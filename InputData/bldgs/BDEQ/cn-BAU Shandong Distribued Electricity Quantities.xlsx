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G:\Workfile\EPS China 3.3.1\InputData\bldgs\SYDEC\"/>
    </mc:Choice>
  </mc:AlternateContent>
  <xr:revisionPtr revIDLastSave="0" documentId="8_{F5ABCA23-571C-4B73-8DBD-0388D2E8387B}" xr6:coauthVersionLast="47" xr6:coauthVersionMax="47" xr10:uidLastSave="{00000000-0000-0000-0000-000000000000}"/>
  <bookViews>
    <workbookView xWindow="-120" yWindow="-120" windowWidth="29040" windowHeight="15840" tabRatio="800" firstSheet="5" activeTab="13" xr2:uid="{8D662839-B8E4-499C-A07A-1C8D6D94B01A}"/>
  </bookViews>
  <sheets>
    <sheet name="National Workbook" sheetId="15" r:id="rId1"/>
    <sheet name="Capacity Limit" sheetId="16" r:id="rId2"/>
    <sheet name="Population" sheetId="17" r:id="rId3"/>
    <sheet name="Building Area Result" sheetId="18" r:id="rId4"/>
    <sheet name="能源局光伏并网数据" sheetId="1" r:id="rId5"/>
    <sheet name="户用光伏安装数据" sheetId="2" r:id="rId6"/>
    <sheet name="户用光伏上限模拟" sheetId="4" r:id="rId7"/>
    <sheet name="世行山东城市化率" sheetId="5" r:id="rId8"/>
    <sheet name="整县推进试点城市" sheetId="6" r:id="rId9"/>
    <sheet name="山东光伏数据" sheetId="3" r:id="rId10"/>
    <sheet name="SYDEC" sheetId="8" r:id="rId11"/>
    <sheet name="BDEQ-BEOfDS-urban-residential" sheetId="9" r:id="rId12"/>
    <sheet name="BDEQ-BEOfDS-rural-residential" sheetId="10" r:id="rId13"/>
    <sheet name="BDEQ-BEOfDS-commercial" sheetId="11" r:id="rId14"/>
    <sheet name="BDEQ-BDESC-urban-residential" sheetId="12" r:id="rId15"/>
    <sheet name="BDEQ-BDESC-rural-residential" sheetId="13" r:id="rId16"/>
    <sheet name="BDEQ-BDESC-commercial" sheetId="14" r:id="rId17"/>
  </sheets>
  <externalReferences>
    <externalReference r:id="rId18"/>
    <externalReference r:id="rId19"/>
  </externalReferences>
  <definedNames>
    <definedName name="billion_kw_to_MW">[1]About!$B$29</definedName>
    <definedName name="gigwatt_to_megawatt">[1]About!$B$30</definedName>
    <definedName name="OLE_LINK2" localSheetId="5">户用光伏安装数据!#REF!</definedName>
    <definedName name="Percent_rural">[1]About!$A$27</definedName>
    <definedName name="Percent_Urban">[1]About!$A$26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 i="11" l="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AO7" i="11"/>
  <c r="AP7" i="11"/>
  <c r="AQ7" i="11"/>
  <c r="AR7" i="11"/>
  <c r="B7" i="11"/>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AL7" i="10"/>
  <c r="AM7" i="10"/>
  <c r="AN7" i="10"/>
  <c r="AO7" i="10"/>
  <c r="AP7" i="10"/>
  <c r="AQ7" i="10"/>
  <c r="AR7" i="10"/>
  <c r="B7" i="10"/>
  <c r="AQ7" i="9"/>
  <c r="C7" i="9"/>
  <c r="D7" i="9"/>
  <c r="E7" i="9"/>
  <c r="F7" i="9"/>
  <c r="G7" i="9"/>
  <c r="H7" i="9"/>
  <c r="I7" i="9"/>
  <c r="J7" i="9"/>
  <c r="K7" i="9"/>
  <c r="L7" i="9"/>
  <c r="M7" i="9"/>
  <c r="N7" i="9"/>
  <c r="O7" i="9"/>
  <c r="P7" i="9"/>
  <c r="Q7" i="9"/>
  <c r="R7" i="9"/>
  <c r="S7" i="9"/>
  <c r="T7" i="9"/>
  <c r="U7" i="9"/>
  <c r="V7" i="9"/>
  <c r="W7" i="9"/>
  <c r="X7" i="9"/>
  <c r="Y7" i="9"/>
  <c r="Z7" i="9"/>
  <c r="AA7" i="9"/>
  <c r="AB7" i="9"/>
  <c r="AC7" i="9"/>
  <c r="AD7" i="9"/>
  <c r="AE7" i="9"/>
  <c r="AF7" i="9"/>
  <c r="AG7" i="9"/>
  <c r="AH7" i="9"/>
  <c r="AI7" i="9"/>
  <c r="AJ7" i="9"/>
  <c r="AK7" i="9"/>
  <c r="AL7" i="9"/>
  <c r="AM7" i="9"/>
  <c r="AN7" i="9"/>
  <c r="AO7" i="9"/>
  <c r="AP7" i="9"/>
  <c r="AR7" i="9"/>
  <c r="B7" i="9"/>
  <c r="Q55" i="16"/>
  <c r="R55" i="16"/>
  <c r="S55" i="16"/>
  <c r="AB64" i="15" s="1"/>
  <c r="T7" i="13" s="1"/>
  <c r="T55" i="16"/>
  <c r="U55" i="16"/>
  <c r="V55" i="16"/>
  <c r="W55" i="16"/>
  <c r="X55" i="16"/>
  <c r="Y55" i="16"/>
  <c r="AH64" i="15" s="1"/>
  <c r="Z7" i="13" s="1"/>
  <c r="Z55" i="16"/>
  <c r="AA55" i="16"/>
  <c r="AB55" i="16"/>
  <c r="AK64" i="15" s="1"/>
  <c r="AC7" i="13" s="1"/>
  <c r="AC55" i="16"/>
  <c r="AD55" i="16"/>
  <c r="AE55" i="16"/>
  <c r="AN64" i="15" s="1"/>
  <c r="AF7" i="13" s="1"/>
  <c r="AF55" i="16"/>
  <c r="AO64" i="15" s="1"/>
  <c r="AG7" i="13" s="1"/>
  <c r="AG55" i="16"/>
  <c r="AH55" i="16"/>
  <c r="AI55" i="16"/>
  <c r="AR64" i="15" s="1"/>
  <c r="AJ7" i="13" s="1"/>
  <c r="AJ55" i="16"/>
  <c r="AK55" i="16"/>
  <c r="AL55" i="16"/>
  <c r="AM55" i="16"/>
  <c r="AN55" i="16"/>
  <c r="AO55" i="16"/>
  <c r="AX64" i="15" s="1"/>
  <c r="AP7" i="13" s="1"/>
  <c r="AP55" i="16"/>
  <c r="AQ55" i="16"/>
  <c r="Q56" i="16"/>
  <c r="Z65" i="15" s="1"/>
  <c r="R56" i="16"/>
  <c r="S56" i="16"/>
  <c r="T56" i="16"/>
  <c r="AC65" i="15" s="1"/>
  <c r="U56" i="16"/>
  <c r="AD65" i="15" s="1"/>
  <c r="V56" i="16"/>
  <c r="W56" i="16"/>
  <c r="X56" i="16"/>
  <c r="Y56" i="16"/>
  <c r="AH65" i="15" s="1"/>
  <c r="Z56" i="16"/>
  <c r="AI65" i="15" s="1"/>
  <c r="AA56" i="16"/>
  <c r="AB56" i="16"/>
  <c r="AC56" i="16"/>
  <c r="AD56" i="16"/>
  <c r="AE56" i="16"/>
  <c r="AF56" i="16"/>
  <c r="AG56" i="16"/>
  <c r="AH56" i="16"/>
  <c r="AI56" i="16"/>
  <c r="AJ56" i="16"/>
  <c r="AS65" i="15" s="1"/>
  <c r="AK56" i="16"/>
  <c r="AT65" i="15" s="1"/>
  <c r="AL56" i="16"/>
  <c r="AM56" i="16"/>
  <c r="AN56" i="16"/>
  <c r="AO56" i="16"/>
  <c r="AP56" i="16"/>
  <c r="AY65" i="15" s="1"/>
  <c r="AQ56" i="16"/>
  <c r="D55" i="16"/>
  <c r="E55" i="16"/>
  <c r="F55" i="16"/>
  <c r="G55" i="16"/>
  <c r="H55" i="16"/>
  <c r="I55" i="16"/>
  <c r="J55" i="16"/>
  <c r="K55" i="16"/>
  <c r="T64" i="15" s="1"/>
  <c r="L7" i="13" s="1"/>
  <c r="L55" i="16"/>
  <c r="M55" i="16"/>
  <c r="N55" i="16"/>
  <c r="O55" i="16"/>
  <c r="P55" i="16"/>
  <c r="Y64" i="15" s="1"/>
  <c r="Q7" i="13" s="1"/>
  <c r="D56" i="16"/>
  <c r="E56" i="16"/>
  <c r="F56" i="16"/>
  <c r="O65" i="15" s="1"/>
  <c r="G56" i="16"/>
  <c r="H56" i="16"/>
  <c r="I56" i="16"/>
  <c r="R65" i="15" s="1"/>
  <c r="J56" i="16"/>
  <c r="K56" i="16"/>
  <c r="T65" i="15" s="1"/>
  <c r="L56" i="16"/>
  <c r="M56" i="16"/>
  <c r="N56" i="16"/>
  <c r="W65" i="15" s="1"/>
  <c r="O56" i="16"/>
  <c r="P56" i="16"/>
  <c r="C55" i="16"/>
  <c r="C56" i="16"/>
  <c r="P62" i="15"/>
  <c r="Q62" i="15"/>
  <c r="R62" i="15"/>
  <c r="S62" i="15"/>
  <c r="T62" i="15"/>
  <c r="U62" i="15"/>
  <c r="V62" i="15"/>
  <c r="W62" i="15"/>
  <c r="X62" i="15"/>
  <c r="Y62" i="15"/>
  <c r="Z62" i="15"/>
  <c r="AA62" i="15"/>
  <c r="AB62" i="15"/>
  <c r="AC62" i="15"/>
  <c r="AD62" i="15"/>
  <c r="AE62" i="15"/>
  <c r="AF62" i="15"/>
  <c r="AG62" i="15"/>
  <c r="AH62" i="15"/>
  <c r="AI62" i="15"/>
  <c r="AJ62" i="15"/>
  <c r="AK62" i="15"/>
  <c r="AL62" i="15"/>
  <c r="AM62" i="15"/>
  <c r="AN62" i="15"/>
  <c r="AO62" i="15"/>
  <c r="AP62" i="15"/>
  <c r="AQ62" i="15"/>
  <c r="AR62" i="15"/>
  <c r="AS62" i="15"/>
  <c r="AT62" i="15"/>
  <c r="AU62" i="15"/>
  <c r="AV62" i="15"/>
  <c r="AW62" i="15"/>
  <c r="AX62" i="15"/>
  <c r="AY62" i="15"/>
  <c r="AZ62" i="15"/>
  <c r="P64" i="15"/>
  <c r="H7" i="13" s="1"/>
  <c r="Q64" i="15"/>
  <c r="R64" i="15"/>
  <c r="J7" i="13" s="1"/>
  <c r="S64" i="15"/>
  <c r="U64" i="15"/>
  <c r="V64" i="15"/>
  <c r="W64" i="15"/>
  <c r="O7" i="13" s="1"/>
  <c r="X64" i="15"/>
  <c r="Z64" i="15"/>
  <c r="R7" i="13" s="1"/>
  <c r="AA64" i="15"/>
  <c r="AC64" i="15"/>
  <c r="U7" i="13" s="1"/>
  <c r="AD64" i="15"/>
  <c r="V7" i="13" s="1"/>
  <c r="AE64" i="15"/>
  <c r="W7" i="13" s="1"/>
  <c r="AF64" i="15"/>
  <c r="AG64" i="15"/>
  <c r="AI64" i="15"/>
  <c r="AA7" i="13" s="1"/>
  <c r="AJ64" i="15"/>
  <c r="AL64" i="15"/>
  <c r="AD7" i="13" s="1"/>
  <c r="AM64" i="15"/>
  <c r="AE7" i="13" s="1"/>
  <c r="AP64" i="15"/>
  <c r="AH7" i="13" s="1"/>
  <c r="AQ64" i="15"/>
  <c r="AS64" i="15"/>
  <c r="AT64" i="15"/>
  <c r="AL7" i="13" s="1"/>
  <c r="AU64" i="15"/>
  <c r="AM7" i="13" s="1"/>
  <c r="AV64" i="15"/>
  <c r="AN7" i="13" s="1"/>
  <c r="AW64" i="15"/>
  <c r="AY64" i="15"/>
  <c r="AQ7" i="13" s="1"/>
  <c r="AZ64" i="15"/>
  <c r="P65" i="15"/>
  <c r="Q65" i="15"/>
  <c r="S65" i="15"/>
  <c r="U65" i="15"/>
  <c r="V65" i="15"/>
  <c r="X65" i="15"/>
  <c r="Y65" i="15"/>
  <c r="AA65" i="15"/>
  <c r="AB65" i="15"/>
  <c r="AE65" i="15"/>
  <c r="AF65" i="15"/>
  <c r="AG65" i="15"/>
  <c r="AJ65" i="15"/>
  <c r="AK65" i="15"/>
  <c r="AL65" i="15"/>
  <c r="AM65" i="15"/>
  <c r="AN65" i="15"/>
  <c r="AO65" i="15"/>
  <c r="AP65" i="15"/>
  <c r="AQ65" i="15"/>
  <c r="AR65" i="15"/>
  <c r="AU65" i="15"/>
  <c r="AV65" i="15"/>
  <c r="AW65" i="15"/>
  <c r="AX65" i="15"/>
  <c r="AZ65" i="15"/>
  <c r="O64" i="15"/>
  <c r="G7" i="13" s="1"/>
  <c r="O62" i="15"/>
  <c r="D54" i="16"/>
  <c r="E54" i="16"/>
  <c r="F54" i="16"/>
  <c r="G54" i="16"/>
  <c r="H54" i="16"/>
  <c r="I54" i="16"/>
  <c r="J54" i="16"/>
  <c r="K54" i="16"/>
  <c r="L54" i="16"/>
  <c r="M54" i="16"/>
  <c r="N54" i="16"/>
  <c r="O54" i="16"/>
  <c r="P54" i="16"/>
  <c r="Q54" i="16"/>
  <c r="R54" i="16"/>
  <c r="S54" i="16"/>
  <c r="T54" i="16"/>
  <c r="U54" i="16"/>
  <c r="V54" i="16"/>
  <c r="W54" i="16"/>
  <c r="X54" i="16"/>
  <c r="Y54" i="16"/>
  <c r="Z54" i="16"/>
  <c r="AA54" i="16"/>
  <c r="AB54" i="16"/>
  <c r="AC54" i="16"/>
  <c r="AD54" i="16"/>
  <c r="AE54" i="16"/>
  <c r="AF54" i="16"/>
  <c r="AG54" i="16"/>
  <c r="AH54" i="16"/>
  <c r="AI54" i="16"/>
  <c r="AJ54" i="16"/>
  <c r="AK54" i="16"/>
  <c r="AL54" i="16"/>
  <c r="AM54" i="16"/>
  <c r="AN54" i="16"/>
  <c r="AO54" i="16"/>
  <c r="AP54" i="16"/>
  <c r="AQ54" i="16"/>
  <c r="C54" i="16"/>
  <c r="M50" i="16"/>
  <c r="N50" i="16"/>
  <c r="C7" i="14"/>
  <c r="D7" i="14"/>
  <c r="E7" i="14"/>
  <c r="F7" i="14"/>
  <c r="B7" i="14"/>
  <c r="C7" i="13"/>
  <c r="D7" i="13"/>
  <c r="E7" i="13"/>
  <c r="F7" i="13"/>
  <c r="I7" i="13"/>
  <c r="K7" i="13"/>
  <c r="M7" i="13"/>
  <c r="N7" i="13"/>
  <c r="P7" i="13"/>
  <c r="S7" i="13"/>
  <c r="X7" i="13"/>
  <c r="Y7" i="13"/>
  <c r="AB7" i="13"/>
  <c r="AI7" i="13"/>
  <c r="AK7" i="13"/>
  <c r="AO7" i="13"/>
  <c r="AR7" i="13"/>
  <c r="B7" i="13"/>
  <c r="C7" i="12"/>
  <c r="D7" i="12"/>
  <c r="E7" i="12"/>
  <c r="F7" i="12"/>
  <c r="B7" i="12"/>
  <c r="D7" i="8"/>
  <c r="C7" i="8"/>
  <c r="B7" i="8"/>
  <c r="E2" i="18"/>
  <c r="F2" i="18"/>
  <c r="G2" i="18"/>
  <c r="H2" i="18"/>
  <c r="I2" i="18"/>
  <c r="J2" i="18"/>
  <c r="K2" i="18"/>
  <c r="L2" i="18"/>
  <c r="M2" i="18"/>
  <c r="N2" i="18"/>
  <c r="O2" i="18"/>
  <c r="P2" i="18"/>
  <c r="Q2" i="18"/>
  <c r="R2" i="18"/>
  <c r="S2" i="18"/>
  <c r="Q48" i="16" s="1"/>
  <c r="T2" i="18"/>
  <c r="U2" i="18"/>
  <c r="V2" i="18"/>
  <c r="W2" i="18"/>
  <c r="X2" i="18"/>
  <c r="Y2" i="18"/>
  <c r="Z2" i="18"/>
  <c r="AA2" i="18"/>
  <c r="AB2" i="18"/>
  <c r="AC2" i="18"/>
  <c r="AD2" i="18"/>
  <c r="AE2" i="18"/>
  <c r="AF2" i="18"/>
  <c r="AG2" i="18"/>
  <c r="AH2" i="18"/>
  <c r="AI2" i="18"/>
  <c r="AG48" i="16" s="1"/>
  <c r="AJ2" i="18"/>
  <c r="AK2" i="18"/>
  <c r="AL2" i="18"/>
  <c r="AM2" i="18"/>
  <c r="AN2" i="18"/>
  <c r="AO2" i="18"/>
  <c r="AP2" i="18"/>
  <c r="AQ2" i="18"/>
  <c r="AR2" i="18"/>
  <c r="AS2" i="18"/>
  <c r="AT2" i="18"/>
  <c r="E3" i="18"/>
  <c r="F3" i="18"/>
  <c r="G3" i="18"/>
  <c r="H3" i="18"/>
  <c r="I3" i="18"/>
  <c r="G46" i="16" s="1"/>
  <c r="J3" i="18"/>
  <c r="K3" i="18"/>
  <c r="L3" i="18"/>
  <c r="M3" i="18"/>
  <c r="N3" i="18"/>
  <c r="O3" i="18"/>
  <c r="P3" i="18"/>
  <c r="Q3" i="18"/>
  <c r="R3" i="18"/>
  <c r="S3" i="18"/>
  <c r="T3" i="18"/>
  <c r="U3" i="18"/>
  <c r="V3" i="18"/>
  <c r="W3" i="18"/>
  <c r="X3" i="18"/>
  <c r="Y3" i="18"/>
  <c r="W46" i="16" s="1"/>
  <c r="Z3" i="18"/>
  <c r="AA3" i="18"/>
  <c r="AB3" i="18"/>
  <c r="AC3" i="18"/>
  <c r="AD3" i="18"/>
  <c r="AE3" i="18"/>
  <c r="AF3" i="18"/>
  <c r="AG3" i="18"/>
  <c r="AH3" i="18"/>
  <c r="AI3" i="18"/>
  <c r="AJ3" i="18"/>
  <c r="AK3" i="18"/>
  <c r="AL3" i="18"/>
  <c r="AM3" i="18"/>
  <c r="AN3" i="18"/>
  <c r="AO3" i="18"/>
  <c r="AM46" i="16" s="1"/>
  <c r="AP3" i="18"/>
  <c r="AQ3" i="18"/>
  <c r="AR3" i="18"/>
  <c r="AS3" i="18"/>
  <c r="AT3" i="18"/>
  <c r="E4" i="18"/>
  <c r="F4" i="18"/>
  <c r="G4" i="18"/>
  <c r="H4" i="18"/>
  <c r="I4" i="18"/>
  <c r="J4" i="18"/>
  <c r="K4" i="18"/>
  <c r="L4" i="18"/>
  <c r="M4" i="18"/>
  <c r="N4" i="18"/>
  <c r="O4" i="18"/>
  <c r="M47" i="16" s="1"/>
  <c r="P4" i="18"/>
  <c r="Q4" i="18"/>
  <c r="R4" i="18"/>
  <c r="S4" i="18"/>
  <c r="T4" i="18"/>
  <c r="U4" i="18"/>
  <c r="V4" i="18"/>
  <c r="W4" i="18"/>
  <c r="X4" i="18"/>
  <c r="Y4" i="18"/>
  <c r="Z4" i="18"/>
  <c r="AA4" i="18"/>
  <c r="AB4" i="18"/>
  <c r="AC4" i="18"/>
  <c r="AD4" i="18"/>
  <c r="AE4" i="18"/>
  <c r="AC47" i="16" s="1"/>
  <c r="AF4" i="18"/>
  <c r="AG4" i="18"/>
  <c r="AH4" i="18"/>
  <c r="AI4" i="18"/>
  <c r="AJ4" i="18"/>
  <c r="AK4" i="18"/>
  <c r="AL4" i="18"/>
  <c r="AM4" i="18"/>
  <c r="AN4" i="18"/>
  <c r="AO4" i="18"/>
  <c r="AP4" i="18"/>
  <c r="AQ4" i="18"/>
  <c r="AO47" i="16" s="1"/>
  <c r="AR4" i="18"/>
  <c r="AS4" i="18"/>
  <c r="AT4" i="18"/>
  <c r="I4" i="16"/>
  <c r="J4" i="16"/>
  <c r="K4" i="16"/>
  <c r="L4" i="16"/>
  <c r="L19" i="16" s="1"/>
  <c r="I5" i="16"/>
  <c r="J5" i="16"/>
  <c r="K5" i="16"/>
  <c r="N5" i="16" s="1"/>
  <c r="L5" i="16"/>
  <c r="I6" i="16"/>
  <c r="J6" i="16"/>
  <c r="D18" i="16" s="1"/>
  <c r="K6" i="16"/>
  <c r="N6" i="16" s="1"/>
  <c r="L6" i="16"/>
  <c r="I7" i="16"/>
  <c r="J7" i="16"/>
  <c r="K7" i="16"/>
  <c r="N7" i="16" s="1"/>
  <c r="L7" i="16"/>
  <c r="I8" i="16"/>
  <c r="J8" i="16"/>
  <c r="J19" i="16" s="1"/>
  <c r="K8" i="16"/>
  <c r="N8" i="16" s="1"/>
  <c r="L8" i="16"/>
  <c r="I9" i="16"/>
  <c r="J9" i="16"/>
  <c r="K9" i="16"/>
  <c r="N9" i="16" s="1"/>
  <c r="L9" i="16"/>
  <c r="I10" i="16"/>
  <c r="J10" i="16"/>
  <c r="K10" i="16"/>
  <c r="N10" i="16" s="1"/>
  <c r="L10" i="16"/>
  <c r="I11" i="16"/>
  <c r="J11" i="16"/>
  <c r="K11" i="16"/>
  <c r="N11" i="16" s="1"/>
  <c r="L11" i="16"/>
  <c r="I12" i="16"/>
  <c r="J12" i="16"/>
  <c r="K12" i="16"/>
  <c r="N12" i="16" s="1"/>
  <c r="L12" i="16"/>
  <c r="I13" i="16"/>
  <c r="J13" i="16"/>
  <c r="K13" i="16"/>
  <c r="N13" i="16" s="1"/>
  <c r="L13" i="16"/>
  <c r="I14" i="16"/>
  <c r="J14" i="16"/>
  <c r="K14" i="16"/>
  <c r="N14" i="16" s="1"/>
  <c r="L14" i="16"/>
  <c r="I15" i="16"/>
  <c r="J15" i="16"/>
  <c r="K15" i="16"/>
  <c r="N15" i="16" s="1"/>
  <c r="L15" i="16"/>
  <c r="I16" i="16"/>
  <c r="J16" i="16"/>
  <c r="K16" i="16"/>
  <c r="N16" i="16" s="1"/>
  <c r="L16" i="16"/>
  <c r="C17" i="16"/>
  <c r="D17" i="16"/>
  <c r="E17" i="16"/>
  <c r="F17" i="16"/>
  <c r="I18" i="16"/>
  <c r="J18" i="16"/>
  <c r="K18" i="16"/>
  <c r="L18" i="16"/>
  <c r="C46" i="16"/>
  <c r="D46" i="16"/>
  <c r="E46" i="16"/>
  <c r="F46" i="16"/>
  <c r="H46" i="16"/>
  <c r="I46" i="16"/>
  <c r="J46" i="16"/>
  <c r="K46" i="16"/>
  <c r="L46" i="16"/>
  <c r="M46" i="16"/>
  <c r="N46" i="16"/>
  <c r="O46" i="16"/>
  <c r="P46" i="16"/>
  <c r="Q46" i="16"/>
  <c r="R46" i="16"/>
  <c r="S46" i="16"/>
  <c r="T46" i="16"/>
  <c r="U46" i="16"/>
  <c r="V46" i="16"/>
  <c r="X46" i="16"/>
  <c r="Y46" i="16"/>
  <c r="Z46" i="16"/>
  <c r="AA46" i="16"/>
  <c r="AB46" i="16"/>
  <c r="AC46" i="16"/>
  <c r="AD46" i="16"/>
  <c r="AE46" i="16"/>
  <c r="AF46" i="16"/>
  <c r="AG46" i="16"/>
  <c r="AH46" i="16"/>
  <c r="AI46" i="16"/>
  <c r="AJ46" i="16"/>
  <c r="AK46" i="16"/>
  <c r="AL46" i="16"/>
  <c r="AN46" i="16"/>
  <c r="AO46" i="16"/>
  <c r="AP46" i="16"/>
  <c r="AQ46" i="16"/>
  <c r="C47" i="16"/>
  <c r="D47" i="16"/>
  <c r="E47" i="16"/>
  <c r="F47" i="16"/>
  <c r="G47" i="16"/>
  <c r="H47" i="16"/>
  <c r="I47" i="16"/>
  <c r="J47" i="16"/>
  <c r="K47" i="16"/>
  <c r="L47" i="16"/>
  <c r="N47" i="16"/>
  <c r="O47" i="16"/>
  <c r="P47" i="16"/>
  <c r="Q47" i="16"/>
  <c r="R47" i="16"/>
  <c r="S47" i="16"/>
  <c r="T47" i="16"/>
  <c r="U47" i="16"/>
  <c r="V47" i="16"/>
  <c r="W47" i="16"/>
  <c r="X47" i="16"/>
  <c r="Y47" i="16"/>
  <c r="Z47" i="16"/>
  <c r="AA47" i="16"/>
  <c r="AB47" i="16"/>
  <c r="AD47" i="16"/>
  <c r="AE47" i="16"/>
  <c r="AF47" i="16"/>
  <c r="AG47" i="16"/>
  <c r="AH47" i="16"/>
  <c r="AI47" i="16"/>
  <c r="AJ47" i="16"/>
  <c r="AK47" i="16"/>
  <c r="AL47" i="16"/>
  <c r="AM47" i="16"/>
  <c r="AN47" i="16"/>
  <c r="AP47" i="16"/>
  <c r="AQ47" i="16"/>
  <c r="C48" i="16"/>
  <c r="D48" i="16"/>
  <c r="E48" i="16"/>
  <c r="F48" i="16"/>
  <c r="G48" i="16"/>
  <c r="H48" i="16"/>
  <c r="I48" i="16"/>
  <c r="J48" i="16"/>
  <c r="K48" i="16"/>
  <c r="L48" i="16"/>
  <c r="M48" i="16"/>
  <c r="N48" i="16"/>
  <c r="O48" i="16"/>
  <c r="P48" i="16"/>
  <c r="R48" i="16"/>
  <c r="S48" i="16"/>
  <c r="T48" i="16"/>
  <c r="U48" i="16"/>
  <c r="V48" i="16"/>
  <c r="W48" i="16"/>
  <c r="X48" i="16"/>
  <c r="Y48" i="16"/>
  <c r="Z48" i="16"/>
  <c r="AA48" i="16"/>
  <c r="AB48" i="16"/>
  <c r="AC48" i="16"/>
  <c r="AD48" i="16"/>
  <c r="AE48" i="16"/>
  <c r="AF48" i="16"/>
  <c r="AH48" i="16"/>
  <c r="AI48" i="16"/>
  <c r="AJ48" i="16"/>
  <c r="AK48" i="16"/>
  <c r="AL48" i="16"/>
  <c r="AM48" i="16"/>
  <c r="AN48" i="16"/>
  <c r="AO48" i="16"/>
  <c r="AP48" i="16"/>
  <c r="AQ48" i="16"/>
  <c r="S3" i="15"/>
  <c r="AA3" i="15"/>
  <c r="R4" i="15"/>
  <c r="AA4" i="15"/>
  <c r="R5" i="15"/>
  <c r="AA5" i="15"/>
  <c r="R6" i="15"/>
  <c r="AA6" i="15"/>
  <c r="R7" i="15"/>
  <c r="AA7" i="15"/>
  <c r="R8" i="15"/>
  <c r="AA8" i="15"/>
  <c r="R9" i="15"/>
  <c r="AA9" i="15"/>
  <c r="R10" i="15"/>
  <c r="AA10" i="15"/>
  <c r="R11" i="15"/>
  <c r="AA11" i="15"/>
  <c r="R12" i="15"/>
  <c r="AA12" i="15"/>
  <c r="R13" i="15"/>
  <c r="AA13" i="15"/>
  <c r="R14" i="15"/>
  <c r="AA14" i="15"/>
  <c r="R15" i="15"/>
  <c r="AA15" i="15"/>
  <c r="R16" i="15"/>
  <c r="AA16" i="15"/>
  <c r="R17" i="15"/>
  <c r="AA17" i="15"/>
  <c r="R18" i="15"/>
  <c r="AA18" i="15"/>
  <c r="R19" i="15"/>
  <c r="AA19" i="15"/>
  <c r="R20" i="15"/>
  <c r="AA20" i="15"/>
  <c r="R21" i="15"/>
  <c r="AA21" i="15"/>
  <c r="AA22" i="15"/>
  <c r="AA23" i="15"/>
  <c r="AA24" i="15"/>
  <c r="R25" i="15"/>
  <c r="AA25" i="15"/>
  <c r="R26" i="15"/>
  <c r="AA26" i="15"/>
  <c r="AA27" i="15"/>
  <c r="AA28" i="15"/>
  <c r="AA29" i="15"/>
  <c r="R27" i="15" s="1"/>
  <c r="R30" i="15"/>
  <c r="AA30" i="15"/>
  <c r="R31" i="15"/>
  <c r="AA32" i="15"/>
  <c r="AA33" i="15"/>
  <c r="AA34" i="15"/>
  <c r="AA35" i="15"/>
  <c r="AA36" i="15"/>
  <c r="E58" i="15"/>
  <c r="F61" i="15" s="1"/>
  <c r="F58" i="15"/>
  <c r="G58" i="15"/>
  <c r="M61" i="15" s="1"/>
  <c r="H58" i="15"/>
  <c r="I58" i="15"/>
  <c r="J58" i="15"/>
  <c r="K61" i="15" s="1"/>
  <c r="K58" i="15"/>
  <c r="L58" i="15"/>
  <c r="M58" i="15"/>
  <c r="N58" i="15"/>
  <c r="D59" i="15"/>
  <c r="I62" i="15" s="1"/>
  <c r="E59" i="15"/>
  <c r="F59" i="15"/>
  <c r="G59" i="15"/>
  <c r="H59" i="15"/>
  <c r="I59" i="15"/>
  <c r="J59" i="15"/>
  <c r="K59" i="15"/>
  <c r="L59" i="15"/>
  <c r="N59" i="15"/>
  <c r="E60" i="15"/>
  <c r="H63" i="15" s="1"/>
  <c r="F60" i="15"/>
  <c r="G60" i="15"/>
  <c r="H60" i="15"/>
  <c r="I60" i="15"/>
  <c r="J60" i="15"/>
  <c r="K60" i="15"/>
  <c r="L60" i="15"/>
  <c r="N60" i="15"/>
  <c r="D61" i="15"/>
  <c r="E61" i="15"/>
  <c r="G61" i="15"/>
  <c r="I61" i="15"/>
  <c r="D62" i="15"/>
  <c r="H62" i="15"/>
  <c r="L62" i="15"/>
  <c r="D63" i="15"/>
  <c r="AY18" i="1"/>
  <c r="AZ4" i="1"/>
  <c r="BA4" i="1"/>
  <c r="BB4" i="1"/>
  <c r="BC4" i="1"/>
  <c r="AZ5" i="1"/>
  <c r="BA5" i="1"/>
  <c r="BB5" i="1"/>
  <c r="BC5" i="1"/>
  <c r="AZ6" i="1"/>
  <c r="BA6" i="1"/>
  <c r="BB6" i="1"/>
  <c r="BC6" i="1"/>
  <c r="AZ7" i="1"/>
  <c r="BA7" i="1"/>
  <c r="BB7" i="1"/>
  <c r="BC7" i="1"/>
  <c r="AZ8" i="1"/>
  <c r="BA8" i="1"/>
  <c r="BB8" i="1"/>
  <c r="BC8" i="1"/>
  <c r="AZ9" i="1"/>
  <c r="BA9" i="1"/>
  <c r="BB9" i="1"/>
  <c r="BC9" i="1"/>
  <c r="AZ10" i="1"/>
  <c r="BA10" i="1"/>
  <c r="BB10" i="1"/>
  <c r="BC10" i="1"/>
  <c r="AZ11" i="1"/>
  <c r="BA11" i="1"/>
  <c r="BB11" i="1"/>
  <c r="BC11" i="1"/>
  <c r="AZ12" i="1"/>
  <c r="BA12" i="1"/>
  <c r="BB12" i="1"/>
  <c r="BC12" i="1"/>
  <c r="AZ13" i="1"/>
  <c r="BA13" i="1"/>
  <c r="BB13" i="1"/>
  <c r="BC13" i="1"/>
  <c r="AZ14" i="1"/>
  <c r="BA14" i="1"/>
  <c r="BB14" i="1"/>
  <c r="BC14" i="1"/>
  <c r="AZ15" i="1"/>
  <c r="BA15" i="1"/>
  <c r="BB15" i="1"/>
  <c r="BC15" i="1"/>
  <c r="AZ16" i="1"/>
  <c r="BA16" i="1"/>
  <c r="BB16" i="1"/>
  <c r="BC16" i="1"/>
  <c r="AZ17" i="1"/>
  <c r="BA17" i="1"/>
  <c r="BB17" i="1"/>
  <c r="BC17" i="1"/>
  <c r="AZ18" i="1"/>
  <c r="BA18" i="1"/>
  <c r="BB18" i="1"/>
  <c r="BC18" i="1"/>
  <c r="AZ19" i="1"/>
  <c r="BA19" i="1"/>
  <c r="BB19" i="1"/>
  <c r="BC19" i="1"/>
  <c r="AZ20" i="1"/>
  <c r="BA20" i="1"/>
  <c r="BB20" i="1"/>
  <c r="BC20" i="1"/>
  <c r="AZ21" i="1"/>
  <c r="BA21" i="1"/>
  <c r="BB21" i="1"/>
  <c r="BC21" i="1"/>
  <c r="AZ22" i="1"/>
  <c r="BA22" i="1"/>
  <c r="BB22" i="1"/>
  <c r="BC22" i="1"/>
  <c r="AZ23" i="1"/>
  <c r="BA23" i="1"/>
  <c r="BB23" i="1"/>
  <c r="BC23" i="1"/>
  <c r="AZ24" i="1"/>
  <c r="BA24" i="1"/>
  <c r="BB24" i="1"/>
  <c r="BC24" i="1"/>
  <c r="AZ25" i="1"/>
  <c r="BA25" i="1"/>
  <c r="BB25" i="1"/>
  <c r="BC25" i="1"/>
  <c r="AZ26" i="1"/>
  <c r="BA26" i="1"/>
  <c r="BB26" i="1"/>
  <c r="BC26" i="1"/>
  <c r="AZ27" i="1"/>
  <c r="BA27" i="1"/>
  <c r="BB27" i="1"/>
  <c r="AZ28" i="1"/>
  <c r="BA28" i="1"/>
  <c r="BB28" i="1"/>
  <c r="BC28" i="1"/>
  <c r="AZ30" i="1"/>
  <c r="BA30" i="1"/>
  <c r="BB30" i="1"/>
  <c r="BC30" i="1"/>
  <c r="AZ31" i="1"/>
  <c r="BA31" i="1"/>
  <c r="BB31" i="1"/>
  <c r="BC31" i="1"/>
  <c r="AZ32" i="1"/>
  <c r="BA32" i="1"/>
  <c r="BB32" i="1"/>
  <c r="BC32" i="1"/>
  <c r="AZ33" i="1"/>
  <c r="BA33" i="1"/>
  <c r="BB33" i="1"/>
  <c r="BC33" i="1"/>
  <c r="AZ34" i="1"/>
  <c r="BA34" i="1"/>
  <c r="BB34" i="1"/>
  <c r="BC34" i="1"/>
  <c r="BA3" i="1"/>
  <c r="BB3" i="1"/>
  <c r="BC3" i="1"/>
  <c r="AZ3" i="1"/>
  <c r="AV27" i="1"/>
  <c r="AW27" i="1"/>
  <c r="AX27" i="1"/>
  <c r="AV28" i="1"/>
  <c r="AW28" i="1"/>
  <c r="AX28" i="1"/>
  <c r="AY28" i="1"/>
  <c r="AV30" i="1"/>
  <c r="AW30" i="1"/>
  <c r="AX30" i="1"/>
  <c r="AY30" i="1"/>
  <c r="AV31" i="1"/>
  <c r="AW31" i="1"/>
  <c r="AX31" i="1"/>
  <c r="AY31" i="1"/>
  <c r="AV32" i="1"/>
  <c r="AW32" i="1"/>
  <c r="AX32" i="1"/>
  <c r="AY32" i="1"/>
  <c r="AV33" i="1"/>
  <c r="AW33" i="1"/>
  <c r="AX33" i="1"/>
  <c r="AY33" i="1"/>
  <c r="AV34" i="1"/>
  <c r="AW34" i="1"/>
  <c r="AX34" i="1"/>
  <c r="AY34" i="1"/>
  <c r="AV4" i="1"/>
  <c r="AW4" i="1"/>
  <c r="AX4" i="1"/>
  <c r="AY4" i="1"/>
  <c r="AV5" i="1"/>
  <c r="AW5" i="1"/>
  <c r="AX5" i="1"/>
  <c r="AY5" i="1"/>
  <c r="AV6" i="1"/>
  <c r="AW6" i="1"/>
  <c r="AX6" i="1"/>
  <c r="AY6" i="1"/>
  <c r="AV7" i="1"/>
  <c r="AW7" i="1"/>
  <c r="AX7" i="1"/>
  <c r="AY7" i="1"/>
  <c r="AV8" i="1"/>
  <c r="AW8" i="1"/>
  <c r="AX8" i="1"/>
  <c r="AY8" i="1"/>
  <c r="AV9" i="1"/>
  <c r="AW9" i="1"/>
  <c r="AX9" i="1"/>
  <c r="AY9" i="1"/>
  <c r="AV10" i="1"/>
  <c r="AW10" i="1"/>
  <c r="AX10" i="1"/>
  <c r="AY10" i="1"/>
  <c r="AV11" i="1"/>
  <c r="AW11" i="1"/>
  <c r="AX11" i="1"/>
  <c r="AY11" i="1"/>
  <c r="AV12" i="1"/>
  <c r="AW12" i="1"/>
  <c r="AX12" i="1"/>
  <c r="AY12" i="1"/>
  <c r="AV13" i="1"/>
  <c r="AW13" i="1"/>
  <c r="AX13" i="1"/>
  <c r="AY13" i="1"/>
  <c r="AV14" i="1"/>
  <c r="AW14" i="1"/>
  <c r="AX14" i="1"/>
  <c r="AY14" i="1"/>
  <c r="AV15" i="1"/>
  <c r="AW15" i="1"/>
  <c r="AX15" i="1"/>
  <c r="AY15" i="1"/>
  <c r="AV16" i="1"/>
  <c r="AW16" i="1"/>
  <c r="AX16" i="1"/>
  <c r="AY16" i="1"/>
  <c r="AV17" i="1"/>
  <c r="AW17" i="1"/>
  <c r="AX17" i="1"/>
  <c r="AY17" i="1"/>
  <c r="AV18" i="1"/>
  <c r="AW18" i="1"/>
  <c r="AX18" i="1"/>
  <c r="AV19" i="1"/>
  <c r="AW19" i="1"/>
  <c r="AX19" i="1"/>
  <c r="AY19" i="1"/>
  <c r="AV20" i="1"/>
  <c r="AW20" i="1"/>
  <c r="AX20" i="1"/>
  <c r="AY20" i="1"/>
  <c r="AV21" i="1"/>
  <c r="AW21" i="1"/>
  <c r="AX21" i="1"/>
  <c r="AY21" i="1"/>
  <c r="AV22" i="1"/>
  <c r="AW22" i="1"/>
  <c r="AX22" i="1"/>
  <c r="AY22" i="1"/>
  <c r="AV23" i="1"/>
  <c r="AW23" i="1"/>
  <c r="AX23" i="1"/>
  <c r="AY23" i="1"/>
  <c r="AV24" i="1"/>
  <c r="AW24" i="1"/>
  <c r="AX24" i="1"/>
  <c r="AY24" i="1"/>
  <c r="AV25" i="1"/>
  <c r="AW25" i="1"/>
  <c r="AX25" i="1"/>
  <c r="AY25" i="1"/>
  <c r="AV26" i="1"/>
  <c r="AW26" i="1"/>
  <c r="AX26" i="1"/>
  <c r="AY26" i="1"/>
  <c r="AW3" i="1"/>
  <c r="AX3" i="1"/>
  <c r="AY3" i="1"/>
  <c r="AV3" i="1"/>
  <c r="K19" i="16" l="1"/>
  <c r="D19" i="16"/>
  <c r="H52" i="16" s="1"/>
  <c r="C18" i="16"/>
  <c r="K52" i="16"/>
  <c r="AA52" i="16"/>
  <c r="AQ52" i="16"/>
  <c r="L52" i="16"/>
  <c r="AB52" i="16"/>
  <c r="M52" i="16"/>
  <c r="AC52" i="16"/>
  <c r="N52" i="16"/>
  <c r="AD52" i="16"/>
  <c r="O52" i="16"/>
  <c r="AE52" i="16"/>
  <c r="G52" i="16"/>
  <c r="W52" i="16"/>
  <c r="AM52" i="16"/>
  <c r="I52" i="16"/>
  <c r="Y52" i="16"/>
  <c r="AO52" i="16"/>
  <c r="J52" i="16"/>
  <c r="AP52" i="16"/>
  <c r="P52" i="16"/>
  <c r="AF52" i="16"/>
  <c r="Q52" i="16"/>
  <c r="AG52" i="16"/>
  <c r="R52" i="16"/>
  <c r="AH52" i="16"/>
  <c r="C52" i="16"/>
  <c r="S52" i="16"/>
  <c r="AI52" i="16"/>
  <c r="AJ52" i="16"/>
  <c r="X52" i="16"/>
  <c r="Z52" i="16"/>
  <c r="E52" i="16"/>
  <c r="U52" i="16"/>
  <c r="AK52" i="16"/>
  <c r="F52" i="16"/>
  <c r="V52" i="16"/>
  <c r="AL52" i="16"/>
  <c r="C19" i="16"/>
  <c r="E19" i="16" s="1"/>
  <c r="N4" i="16"/>
  <c r="I19" i="16"/>
  <c r="G63" i="15"/>
  <c r="F63" i="15"/>
  <c r="G62" i="15"/>
  <c r="E63" i="15"/>
  <c r="F62" i="15"/>
  <c r="R34" i="15"/>
  <c r="E62" i="15"/>
  <c r="R33" i="15"/>
  <c r="R24" i="15"/>
  <c r="R3" i="15" s="1"/>
  <c r="N61" i="15"/>
  <c r="R32" i="15"/>
  <c r="R23" i="15"/>
  <c r="J61" i="15"/>
  <c r="L61" i="15"/>
  <c r="R22" i="15"/>
  <c r="L63" i="15"/>
  <c r="H61" i="15"/>
  <c r="R28" i="15"/>
  <c r="J63" i="15"/>
  <c r="K62" i="15"/>
  <c r="I63" i="15"/>
  <c r="J62" i="15"/>
  <c r="K63" i="15"/>
  <c r="F31" i="3"/>
  <c r="T52" i="16" l="1"/>
  <c r="AN52" i="16"/>
  <c r="D52" i="16"/>
  <c r="C20" i="16"/>
  <c r="A67" i="15" s="1"/>
  <c r="H65" i="15" s="1"/>
  <c r="D51" i="16"/>
  <c r="T51" i="16"/>
  <c r="AJ51" i="16"/>
  <c r="R53" i="16"/>
  <c r="AH53" i="16"/>
  <c r="E51" i="16"/>
  <c r="U51" i="16"/>
  <c r="AK51" i="16"/>
  <c r="C53" i="16"/>
  <c r="S53" i="16"/>
  <c r="AI53" i="16"/>
  <c r="F51" i="16"/>
  <c r="V51" i="16"/>
  <c r="AL51" i="16"/>
  <c r="D53" i="16"/>
  <c r="T53" i="16"/>
  <c r="AJ53" i="16"/>
  <c r="G51" i="16"/>
  <c r="W51" i="16"/>
  <c r="AM51" i="16"/>
  <c r="E53" i="16"/>
  <c r="U53" i="16"/>
  <c r="AK53" i="16"/>
  <c r="H51" i="16"/>
  <c r="X51" i="16"/>
  <c r="AN51" i="16"/>
  <c r="F53" i="16"/>
  <c r="V53" i="16"/>
  <c r="AL53" i="16"/>
  <c r="P51" i="16"/>
  <c r="AF51" i="16"/>
  <c r="N53" i="16"/>
  <c r="AD53" i="16"/>
  <c r="Q51" i="16"/>
  <c r="AE53" i="16"/>
  <c r="R51" i="16"/>
  <c r="AH51" i="16"/>
  <c r="P53" i="16"/>
  <c r="AF53" i="16"/>
  <c r="C51" i="16"/>
  <c r="S51" i="16"/>
  <c r="AI51" i="16"/>
  <c r="Q53" i="16"/>
  <c r="AG53" i="16"/>
  <c r="I51" i="16"/>
  <c r="Y51" i="16"/>
  <c r="AO51" i="16"/>
  <c r="G53" i="16"/>
  <c r="W53" i="16"/>
  <c r="AM53" i="16"/>
  <c r="J51" i="16"/>
  <c r="Z51" i="16"/>
  <c r="AP51" i="16"/>
  <c r="H53" i="16"/>
  <c r="X53" i="16"/>
  <c r="AN53" i="16"/>
  <c r="K51" i="16"/>
  <c r="AA51" i="16"/>
  <c r="AQ51" i="16"/>
  <c r="I53" i="16"/>
  <c r="Y53" i="16"/>
  <c r="AO53" i="16"/>
  <c r="N18" i="16"/>
  <c r="L51" i="16"/>
  <c r="AB51" i="16"/>
  <c r="J53" i="16"/>
  <c r="Z53" i="16"/>
  <c r="AP53" i="16"/>
  <c r="M51" i="16"/>
  <c r="AC51" i="16"/>
  <c r="K53" i="16"/>
  <c r="AA53" i="16"/>
  <c r="AQ53" i="16"/>
  <c r="AG51" i="16"/>
  <c r="O53" i="16"/>
  <c r="N51" i="16"/>
  <c r="AD51" i="16"/>
  <c r="L53" i="16"/>
  <c r="AB53" i="16"/>
  <c r="O51" i="16"/>
  <c r="AE51" i="16"/>
  <c r="M53" i="16"/>
  <c r="AC53" i="16"/>
  <c r="D20" i="16"/>
  <c r="A65" i="15" s="1"/>
  <c r="H64" i="15" s="1"/>
  <c r="M59" i="15"/>
  <c r="M60" i="15"/>
  <c r="J65" i="15"/>
  <c r="J32" i="3" a="1"/>
  <c r="J32" i="3" s="1"/>
  <c r="F37" i="3"/>
  <c r="G37" i="3"/>
  <c r="I37" i="3"/>
  <c r="H31" i="3"/>
  <c r="H37" i="3" s="1"/>
  <c r="G31" i="3"/>
  <c r="I31" i="3"/>
  <c r="K36" i="3"/>
  <c r="B41" i="3"/>
  <c r="F32" i="3"/>
  <c r="B36" i="3"/>
  <c r="C36" i="3"/>
  <c r="D36" i="3"/>
  <c r="E36" i="3"/>
  <c r="D50" i="3"/>
  <c r="E50" i="3"/>
  <c r="C52" i="3"/>
  <c r="D49" i="3"/>
  <c r="B49" i="3"/>
  <c r="C34" i="3"/>
  <c r="D34" i="3"/>
  <c r="E34" i="3"/>
  <c r="C35" i="3"/>
  <c r="D35" i="3"/>
  <c r="E35" i="3"/>
  <c r="B35" i="3"/>
  <c r="B34" i="3"/>
  <c r="C45" i="3"/>
  <c r="D52" i="3" s="1"/>
  <c r="C44" i="3"/>
  <c r="C51" i="3" s="1"/>
  <c r="C41" i="3"/>
  <c r="C43" i="3"/>
  <c r="B50" i="3" s="1"/>
  <c r="C42" i="3"/>
  <c r="C49" i="3" s="1"/>
  <c r="G7" i="14" l="1"/>
  <c r="J64" i="15"/>
  <c r="E64" i="15"/>
  <c r="L64" i="15"/>
  <c r="I64" i="15"/>
  <c r="L65" i="15"/>
  <c r="E65" i="15"/>
  <c r="I65" i="15"/>
  <c r="K65" i="15"/>
  <c r="K64" i="15"/>
  <c r="G65" i="15"/>
  <c r="G64" i="15"/>
  <c r="F65" i="15"/>
  <c r="F64" i="15"/>
  <c r="N63" i="15"/>
  <c r="M63" i="15"/>
  <c r="N62" i="15"/>
  <c r="M62" i="15"/>
  <c r="B52" i="3"/>
  <c r="F35" i="3" s="1"/>
  <c r="D51" i="3"/>
  <c r="E51" i="3"/>
  <c r="B51" i="3"/>
  <c r="F34" i="3" s="1"/>
  <c r="C50" i="3"/>
  <c r="E49" i="3"/>
  <c r="E52" i="3"/>
  <c r="G32" i="3"/>
  <c r="F33" i="4"/>
  <c r="K33" i="4" s="1"/>
  <c r="G33" i="4"/>
  <c r="E33" i="4"/>
  <c r="AM7" i="14" l="1"/>
  <c r="AK7" i="14"/>
  <c r="AG7" i="14"/>
  <c r="T7" i="14"/>
  <c r="W7" i="14"/>
  <c r="AR7" i="14"/>
  <c r="X7" i="14"/>
  <c r="Q7" i="14"/>
  <c r="AE7" i="14"/>
  <c r="AA7" i="14"/>
  <c r="M7" i="14"/>
  <c r="AP7" i="14"/>
  <c r="N7" i="14"/>
  <c r="V7" i="14"/>
  <c r="P7" i="14"/>
  <c r="AH7" i="14"/>
  <c r="AO7" i="14"/>
  <c r="AD7" i="14"/>
  <c r="J7" i="14"/>
  <c r="AB7" i="14"/>
  <c r="K7" i="14"/>
  <c r="AJ7" i="14"/>
  <c r="AN7" i="14"/>
  <c r="S7" i="14"/>
  <c r="O7" i="14"/>
  <c r="I7" i="14"/>
  <c r="Z7" i="14"/>
  <c r="H7" i="14"/>
  <c r="AL7" i="14"/>
  <c r="L7" i="14"/>
  <c r="AI7" i="14"/>
  <c r="U7" i="14"/>
  <c r="AC7" i="14"/>
  <c r="R7" i="14"/>
  <c r="AQ7" i="14"/>
  <c r="Y7" i="14"/>
  <c r="AF7" i="14"/>
  <c r="M65" i="15"/>
  <c r="M64" i="15"/>
  <c r="N64" i="15"/>
  <c r="N65" i="15"/>
  <c r="L37" i="3"/>
  <c r="K37" i="3"/>
  <c r="F33" i="3"/>
  <c r="N34" i="3"/>
  <c r="N33" i="3" s="1"/>
  <c r="G34" i="3"/>
  <c r="H34" i="3" s="1"/>
  <c r="I34" i="3" s="1"/>
  <c r="O34" i="3"/>
  <c r="AE34" i="3"/>
  <c r="AE33" i="3" s="1"/>
  <c r="Q34" i="3"/>
  <c r="AG34" i="3"/>
  <c r="AH34" i="3"/>
  <c r="AH33" i="3" s="1"/>
  <c r="R34" i="3"/>
  <c r="R33" i="3" s="1"/>
  <c r="S34" i="3"/>
  <c r="T34" i="3"/>
  <c r="T33" i="3" s="1"/>
  <c r="AL34" i="3"/>
  <c r="AK34" i="3"/>
  <c r="AK33" i="3" s="1"/>
  <c r="V34" i="3"/>
  <c r="V33" i="3" s="1"/>
  <c r="X34" i="3"/>
  <c r="AN34" i="3"/>
  <c r="Y34" i="3"/>
  <c r="Y33" i="3" s="1"/>
  <c r="AO34" i="3"/>
  <c r="Z34" i="3"/>
  <c r="Z33" i="3" s="1"/>
  <c r="AA34" i="3"/>
  <c r="AA33" i="3" s="1"/>
  <c r="K35" i="3"/>
  <c r="AA35" i="3"/>
  <c r="AQ35" i="3"/>
  <c r="AL35" i="3"/>
  <c r="L35" i="3"/>
  <c r="AB35" i="3"/>
  <c r="AR35" i="3"/>
  <c r="AD35" i="3"/>
  <c r="AN35" i="3"/>
  <c r="M35" i="3"/>
  <c r="AC35" i="3"/>
  <c r="G35" i="3"/>
  <c r="H35" i="3" s="1"/>
  <c r="I35" i="3" s="1"/>
  <c r="J35" i="3"/>
  <c r="N35" i="3"/>
  <c r="O35" i="3"/>
  <c r="AE35" i="3"/>
  <c r="P35" i="3"/>
  <c r="AF35" i="3"/>
  <c r="Q35" i="3"/>
  <c r="AG35" i="3"/>
  <c r="T35" i="3"/>
  <c r="R35" i="3"/>
  <c r="AH35" i="3"/>
  <c r="AI35" i="3"/>
  <c r="X35" i="3"/>
  <c r="S35" i="3"/>
  <c r="AJ35" i="3"/>
  <c r="AK35" i="3"/>
  <c r="Z35" i="3"/>
  <c r="U35" i="3"/>
  <c r="V35" i="3"/>
  <c r="W35" i="3"/>
  <c r="AM35" i="3"/>
  <c r="Y35" i="3"/>
  <c r="AO35" i="3"/>
  <c r="AP35" i="3"/>
  <c r="H32" i="3"/>
  <c r="F29" i="4"/>
  <c r="F32" i="4" s="1"/>
  <c r="G29" i="4"/>
  <c r="G32" i="4" s="1"/>
  <c r="H29" i="4"/>
  <c r="H32" i="4" s="1"/>
  <c r="I29" i="4"/>
  <c r="I32" i="4" s="1"/>
  <c r="J29" i="4"/>
  <c r="J32" i="4" s="1"/>
  <c r="K29" i="4"/>
  <c r="K32" i="4" s="1"/>
  <c r="L29" i="4"/>
  <c r="L32" i="4" s="1"/>
  <c r="M29" i="4"/>
  <c r="M32" i="4" s="1"/>
  <c r="N29" i="4"/>
  <c r="N32" i="4" s="1"/>
  <c r="O29" i="4"/>
  <c r="O32" i="4" s="1"/>
  <c r="P29" i="4"/>
  <c r="P32" i="4" s="1"/>
  <c r="Q29" i="4"/>
  <c r="Q32" i="4" s="1"/>
  <c r="R29" i="4"/>
  <c r="R32" i="4" s="1"/>
  <c r="S29" i="4"/>
  <c r="S32" i="4" s="1"/>
  <c r="T29" i="4"/>
  <c r="T32" i="4" s="1"/>
  <c r="U29" i="4"/>
  <c r="U32" i="4" s="1"/>
  <c r="V29" i="4"/>
  <c r="V32" i="4" s="1"/>
  <c r="W29" i="4"/>
  <c r="W32" i="4" s="1"/>
  <c r="X29" i="4"/>
  <c r="X32" i="4" s="1"/>
  <c r="Y29" i="4"/>
  <c r="Y32" i="4" s="1"/>
  <c r="Z29" i="4"/>
  <c r="Z32" i="4" s="1"/>
  <c r="AA29" i="4"/>
  <c r="AA32" i="4" s="1"/>
  <c r="AB29" i="4"/>
  <c r="AB32" i="4" s="1"/>
  <c r="AC29" i="4"/>
  <c r="AC32" i="4" s="1"/>
  <c r="AD29" i="4"/>
  <c r="AD32" i="4" s="1"/>
  <c r="AE29" i="4"/>
  <c r="AE32" i="4" s="1"/>
  <c r="AF29" i="4"/>
  <c r="AF32" i="4" s="1"/>
  <c r="AG29" i="4"/>
  <c r="AG32" i="4" s="1"/>
  <c r="AH29" i="4"/>
  <c r="AH32" i="4" s="1"/>
  <c r="AI29" i="4"/>
  <c r="AI32" i="4" s="1"/>
  <c r="AJ29" i="4"/>
  <c r="AJ32" i="4" s="1"/>
  <c r="AK29" i="4"/>
  <c r="AK32" i="4" s="1"/>
  <c r="AL29" i="4"/>
  <c r="AL32" i="4" s="1"/>
  <c r="AM29" i="4"/>
  <c r="AM32" i="4" s="1"/>
  <c r="AN29" i="4"/>
  <c r="AN32" i="4" s="1"/>
  <c r="AO29" i="4"/>
  <c r="AO32" i="4" s="1"/>
  <c r="AP29" i="4"/>
  <c r="AP32" i="4" s="1"/>
  <c r="AQ29" i="4"/>
  <c r="AQ32" i="4" s="1"/>
  <c r="AR29" i="4"/>
  <c r="AR32" i="4" s="1"/>
  <c r="AS29" i="4"/>
  <c r="AS32" i="4" s="1"/>
  <c r="AT29" i="4"/>
  <c r="AT32" i="4" s="1"/>
  <c r="F30" i="4"/>
  <c r="G30" i="4"/>
  <c r="H30" i="4"/>
  <c r="I30" i="4"/>
  <c r="J30" i="4"/>
  <c r="K30" i="4"/>
  <c r="L30" i="4"/>
  <c r="M30" i="4"/>
  <c r="N30" i="4"/>
  <c r="O30" i="4"/>
  <c r="P30" i="4"/>
  <c r="Q30" i="4"/>
  <c r="R30" i="4"/>
  <c r="S30" i="4"/>
  <c r="T30" i="4"/>
  <c r="U30" i="4"/>
  <c r="V30" i="4"/>
  <c r="W30" i="4"/>
  <c r="X30" i="4"/>
  <c r="Y30" i="4"/>
  <c r="Z30" i="4"/>
  <c r="AA30" i="4"/>
  <c r="AB30" i="4"/>
  <c r="AC30" i="4"/>
  <c r="AD30" i="4"/>
  <c r="AE30" i="4"/>
  <c r="AF30" i="4"/>
  <c r="AG30" i="4"/>
  <c r="AH30" i="4"/>
  <c r="AI30" i="4"/>
  <c r="AJ30" i="4"/>
  <c r="AK30" i="4"/>
  <c r="AL30" i="4"/>
  <c r="AM30" i="4"/>
  <c r="AN30" i="4"/>
  <c r="AO30" i="4"/>
  <c r="AP30" i="4"/>
  <c r="AQ30" i="4"/>
  <c r="AR30" i="4"/>
  <c r="AS30" i="4"/>
  <c r="AT30" i="4"/>
  <c r="E30" i="4"/>
  <c r="E29" i="4"/>
  <c r="E32" i="4" s="1"/>
  <c r="F21" i="4"/>
  <c r="G21" i="4"/>
  <c r="H21" i="4"/>
  <c r="H24" i="4" s="1"/>
  <c r="H27" i="4" s="1"/>
  <c r="I21" i="4"/>
  <c r="I24" i="4" s="1"/>
  <c r="I27" i="4" s="1"/>
  <c r="J21" i="4"/>
  <c r="K21" i="4"/>
  <c r="L21" i="4"/>
  <c r="M21" i="4"/>
  <c r="N21" i="4"/>
  <c r="O21" i="4"/>
  <c r="O23" i="4" s="1"/>
  <c r="P21" i="4"/>
  <c r="P23" i="4" s="1"/>
  <c r="P26" i="4" s="1"/>
  <c r="Q21" i="4"/>
  <c r="R21" i="4"/>
  <c r="R23" i="4" s="1"/>
  <c r="S21" i="4"/>
  <c r="S23" i="4" s="1"/>
  <c r="T21" i="4"/>
  <c r="T23" i="4" s="1"/>
  <c r="U21" i="4"/>
  <c r="U23" i="4" s="1"/>
  <c r="V21" i="4"/>
  <c r="W21" i="4"/>
  <c r="X21" i="4"/>
  <c r="X24" i="4" s="1"/>
  <c r="X27" i="4" s="1"/>
  <c r="Y21" i="4"/>
  <c r="Y24" i="4" s="1"/>
  <c r="Y27" i="4" s="1"/>
  <c r="Z21" i="4"/>
  <c r="AA21" i="4"/>
  <c r="AB21" i="4"/>
  <c r="AC21" i="4"/>
  <c r="AD21" i="4"/>
  <c r="AE21" i="4"/>
  <c r="AE23" i="4" s="1"/>
  <c r="AF21" i="4"/>
  <c r="AF23" i="4" s="1"/>
  <c r="AF26" i="4" s="1"/>
  <c r="AG21" i="4"/>
  <c r="AH21" i="4"/>
  <c r="AH23" i="4" s="1"/>
  <c r="AI21" i="4"/>
  <c r="AI23" i="4" s="1"/>
  <c r="AJ21" i="4"/>
  <c r="AJ23" i="4" s="1"/>
  <c r="AK21" i="4"/>
  <c r="AK23" i="4" s="1"/>
  <c r="AL21" i="4"/>
  <c r="AM21" i="4"/>
  <c r="AN21" i="4"/>
  <c r="AO21" i="4"/>
  <c r="AO24" i="4" s="1"/>
  <c r="AO27" i="4" s="1"/>
  <c r="AP21" i="4"/>
  <c r="AQ21" i="4"/>
  <c r="AR21" i="4"/>
  <c r="AS21" i="4"/>
  <c r="AT21" i="4"/>
  <c r="E21" i="4"/>
  <c r="E23" i="4" s="1"/>
  <c r="J26" i="4"/>
  <c r="K26" i="4"/>
  <c r="N26" i="4"/>
  <c r="Z26" i="4"/>
  <c r="AA26" i="4"/>
  <c r="AD26" i="4"/>
  <c r="AP26" i="4"/>
  <c r="AQ26" i="4"/>
  <c r="AT26" i="4"/>
  <c r="J27" i="4"/>
  <c r="AD27" i="4"/>
  <c r="AT27" i="4"/>
  <c r="F23" i="4"/>
  <c r="F24" i="4" s="1"/>
  <c r="F27" i="4" s="1"/>
  <c r="G23" i="4"/>
  <c r="G24" i="4" s="1"/>
  <c r="G27" i="4" s="1"/>
  <c r="H23" i="4"/>
  <c r="H26" i="4" s="1"/>
  <c r="I23" i="4"/>
  <c r="I26" i="4" s="1"/>
  <c r="J23" i="4"/>
  <c r="K23" i="4"/>
  <c r="L23" i="4"/>
  <c r="L26" i="4" s="1"/>
  <c r="M23" i="4"/>
  <c r="M26" i="4" s="1"/>
  <c r="N23" i="4"/>
  <c r="Q23" i="4"/>
  <c r="Q26" i="4" s="1"/>
  <c r="V23" i="4"/>
  <c r="V26" i="4" s="1"/>
  <c r="W23" i="4"/>
  <c r="W24" i="4" s="1"/>
  <c r="W27" i="4" s="1"/>
  <c r="X23" i="4"/>
  <c r="X26" i="4" s="1"/>
  <c r="Y23" i="4"/>
  <c r="Y26" i="4" s="1"/>
  <c r="Z23" i="4"/>
  <c r="AA23" i="4"/>
  <c r="AB23" i="4"/>
  <c r="AB26" i="4" s="1"/>
  <c r="AC23" i="4"/>
  <c r="AC26" i="4" s="1"/>
  <c r="AD23" i="4"/>
  <c r="AG23" i="4"/>
  <c r="AG26" i="4" s="1"/>
  <c r="AL23" i="4"/>
  <c r="AL24" i="4" s="1"/>
  <c r="AL27" i="4" s="1"/>
  <c r="AM23" i="4"/>
  <c r="AM24" i="4" s="1"/>
  <c r="AM27" i="4" s="1"/>
  <c r="AN23" i="4"/>
  <c r="AN24" i="4" s="1"/>
  <c r="AN27" i="4" s="1"/>
  <c r="AO23" i="4"/>
  <c r="AO26" i="4" s="1"/>
  <c r="AP23" i="4"/>
  <c r="AQ23" i="4"/>
  <c r="AR23" i="4"/>
  <c r="AR26" i="4" s="1"/>
  <c r="AS23" i="4"/>
  <c r="AS26" i="4" s="1"/>
  <c r="AT23" i="4"/>
  <c r="J24" i="4"/>
  <c r="K24" i="4"/>
  <c r="K27" i="4" s="1"/>
  <c r="L24" i="4"/>
  <c r="L27" i="4" s="1"/>
  <c r="N24" i="4"/>
  <c r="N27" i="4" s="1"/>
  <c r="Q24" i="4"/>
  <c r="Q27" i="4" s="1"/>
  <c r="V24" i="4"/>
  <c r="V27" i="4" s="1"/>
  <c r="Z24" i="4"/>
  <c r="Z27" i="4" s="1"/>
  <c r="AA24" i="4"/>
  <c r="AA27" i="4" s="1"/>
  <c r="AD24" i="4"/>
  <c r="AP24" i="4"/>
  <c r="AP27" i="4" s="1"/>
  <c r="AQ24" i="4"/>
  <c r="AQ27" i="4" s="1"/>
  <c r="AR24" i="4"/>
  <c r="AR27" i="4" s="1"/>
  <c r="AS24" i="4"/>
  <c r="AS27" i="4" s="1"/>
  <c r="AT24" i="4"/>
  <c r="B22" i="4"/>
  <c r="C22" i="4"/>
  <c r="D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F22" i="4"/>
  <c r="G22" i="4"/>
  <c r="H22" i="4"/>
  <c r="I22" i="4"/>
  <c r="J22" i="4"/>
  <c r="K22" i="4"/>
  <c r="L22" i="4"/>
  <c r="M22" i="4"/>
  <c r="N22" i="4"/>
  <c r="O22" i="4"/>
  <c r="E22" i="4"/>
  <c r="AA7" i="12" l="1"/>
  <c r="AG7" i="12"/>
  <c r="X7" i="12"/>
  <c r="AH7" i="12"/>
  <c r="I7" i="12"/>
  <c r="AJ7" i="12"/>
  <c r="P7" i="12"/>
  <c r="Y7" i="12"/>
  <c r="AQ7" i="12"/>
  <c r="U7" i="12"/>
  <c r="AO7" i="12"/>
  <c r="L7" i="12"/>
  <c r="R7" i="12"/>
  <c r="V7" i="12"/>
  <c r="S7" i="12"/>
  <c r="H7" i="12"/>
  <c r="AI7" i="12"/>
  <c r="M7" i="12"/>
  <c r="Q7" i="12"/>
  <c r="AK7" i="12"/>
  <c r="J7" i="12"/>
  <c r="AB7" i="12"/>
  <c r="AP7" i="12"/>
  <c r="Z7" i="12"/>
  <c r="AC7" i="12"/>
  <c r="T7" i="12"/>
  <c r="AR7" i="12"/>
  <c r="AL7" i="12"/>
  <c r="K7" i="12"/>
  <c r="AD7" i="12"/>
  <c r="N7" i="12"/>
  <c r="AN7" i="12"/>
  <c r="O7" i="12"/>
  <c r="W7" i="12"/>
  <c r="AM7" i="12"/>
  <c r="G7" i="12"/>
  <c r="AE7" i="12"/>
  <c r="AF7" i="12"/>
  <c r="M37" i="3"/>
  <c r="AG33" i="3"/>
  <c r="X33" i="3"/>
  <c r="AB34" i="3"/>
  <c r="AB33" i="3" s="1"/>
  <c r="P34" i="3"/>
  <c r="P33" i="3" s="1"/>
  <c r="AH32" i="3" a="1"/>
  <c r="AH32" i="3" s="1"/>
  <c r="AH36" i="3" s="1"/>
  <c r="AN33" i="3"/>
  <c r="Q33" i="3"/>
  <c r="W34" i="3"/>
  <c r="W33" i="3" s="1"/>
  <c r="J34" i="3"/>
  <c r="J33" i="3" s="1"/>
  <c r="O33" i="3"/>
  <c r="U34" i="3"/>
  <c r="U33" i="3" s="1"/>
  <c r="AF34" i="3"/>
  <c r="AF33" i="3" s="1"/>
  <c r="AM32" i="3" a="1"/>
  <c r="AM32" i="3" s="1"/>
  <c r="AM36" i="3" s="1"/>
  <c r="AL33" i="3"/>
  <c r="AQ34" i="3"/>
  <c r="AQ33" i="3" s="1"/>
  <c r="AJ34" i="3"/>
  <c r="AJ33" i="3" s="1"/>
  <c r="AD34" i="3"/>
  <c r="AD33" i="3" s="1"/>
  <c r="K34" i="3"/>
  <c r="K33" i="3" s="1"/>
  <c r="L34" i="3"/>
  <c r="L33" i="3" s="1"/>
  <c r="G33" i="3"/>
  <c r="F36" i="3"/>
  <c r="AR34" i="3"/>
  <c r="AR33" i="3" s="1"/>
  <c r="AM34" i="3"/>
  <c r="AM33" i="3" s="1"/>
  <c r="AC34" i="3"/>
  <c r="AC33" i="3" s="1"/>
  <c r="AP34" i="3"/>
  <c r="AP33" i="3" s="1"/>
  <c r="AI34" i="3"/>
  <c r="AI33" i="3" s="1"/>
  <c r="M34" i="3"/>
  <c r="M33" i="3" s="1"/>
  <c r="S33" i="3"/>
  <c r="AO33" i="3"/>
  <c r="V32" i="3" a="1"/>
  <c r="V32" i="3" s="1"/>
  <c r="V36" i="3" s="1"/>
  <c r="I32" i="3"/>
  <c r="AO32" i="3" s="1" a="1"/>
  <c r="AO32" i="3" s="1"/>
  <c r="AO36" i="3" s="1"/>
  <c r="AJ24" i="4"/>
  <c r="AJ27" i="4" s="1"/>
  <c r="AJ26" i="4"/>
  <c r="AI24" i="4"/>
  <c r="AI27" i="4" s="1"/>
  <c r="AI26" i="4"/>
  <c r="S24" i="4"/>
  <c r="S27" i="4" s="1"/>
  <c r="S26" i="4"/>
  <c r="AH24" i="4"/>
  <c r="AH27" i="4" s="1"/>
  <c r="AH26" i="4"/>
  <c r="R24" i="4"/>
  <c r="R27" i="4" s="1"/>
  <c r="R26" i="4"/>
  <c r="T24" i="4"/>
  <c r="T27" i="4" s="1"/>
  <c r="T26" i="4"/>
  <c r="AK24" i="4"/>
  <c r="AK27" i="4" s="1"/>
  <c r="AK26" i="4"/>
  <c r="AE24" i="4"/>
  <c r="AE27" i="4" s="1"/>
  <c r="AE26" i="4"/>
  <c r="O24" i="4"/>
  <c r="O27" i="4" s="1"/>
  <c r="O26" i="4"/>
  <c r="U24" i="4"/>
  <c r="U27" i="4" s="1"/>
  <c r="U26" i="4"/>
  <c r="P24" i="4"/>
  <c r="P27" i="4" s="1"/>
  <c r="AN26" i="4"/>
  <c r="M24" i="4"/>
  <c r="M27" i="4" s="1"/>
  <c r="AM26" i="4"/>
  <c r="W26" i="4"/>
  <c r="G26" i="4"/>
  <c r="AL26" i="4"/>
  <c r="F26" i="4"/>
  <c r="AG24" i="4"/>
  <c r="AG27" i="4" s="1"/>
  <c r="AF24" i="4"/>
  <c r="AF27" i="4" s="1"/>
  <c r="AC24" i="4"/>
  <c r="AC27" i="4" s="1"/>
  <c r="AB24" i="4"/>
  <c r="AB27" i="4" s="1"/>
  <c r="E26" i="4"/>
  <c r="E24" i="4"/>
  <c r="E27" i="4" s="1"/>
  <c r="N37" i="3" l="1"/>
  <c r="M32" i="3" a="1"/>
  <c r="M32" i="3" s="1"/>
  <c r="P32" i="3" a="1"/>
  <c r="P32" i="3" s="1"/>
  <c r="P36" i="3" s="1"/>
  <c r="AA32" i="3" a="1"/>
  <c r="AA32" i="3" s="1"/>
  <c r="AA36" i="3" s="1"/>
  <c r="Q32" i="3" a="1"/>
  <c r="Q32" i="3" s="1"/>
  <c r="Q36" i="3" s="1"/>
  <c r="AR32" i="3" a="1"/>
  <c r="AR32" i="3" s="1"/>
  <c r="AR36" i="3" s="1"/>
  <c r="AI32" i="3" a="1"/>
  <c r="AI32" i="3" s="1"/>
  <c r="AI36" i="3" s="1"/>
  <c r="H33" i="3"/>
  <c r="G36" i="3"/>
  <c r="J36" i="3"/>
  <c r="J37" i="3" s="1"/>
  <c r="AF32" i="3" a="1"/>
  <c r="AF32" i="3" s="1"/>
  <c r="AF36" i="3" s="1"/>
  <c r="AC32" i="3" a="1"/>
  <c r="AC32" i="3" s="1"/>
  <c r="AC36" i="3" s="1"/>
  <c r="N32" i="3" a="1"/>
  <c r="N32" i="3" s="1"/>
  <c r="N36" i="3" s="1"/>
  <c r="AP32" i="3" a="1"/>
  <c r="AP32" i="3" s="1"/>
  <c r="AP36" i="3" s="1"/>
  <c r="AN32" i="3" a="1"/>
  <c r="AN32" i="3" s="1"/>
  <c r="AN36" i="3" s="1"/>
  <c r="AE32" i="3" a="1"/>
  <c r="AE32" i="3" s="1"/>
  <c r="AE36" i="3" s="1"/>
  <c r="K32" i="3" a="1"/>
  <c r="K32" i="3" s="1"/>
  <c r="AB32" i="3" a="1"/>
  <c r="AB32" i="3" s="1"/>
  <c r="AB36" i="3" s="1"/>
  <c r="W32" i="3" a="1"/>
  <c r="W32" i="3" s="1"/>
  <c r="W36" i="3" s="1"/>
  <c r="AL32" i="3" a="1"/>
  <c r="AL32" i="3" s="1"/>
  <c r="AL36" i="3" s="1"/>
  <c r="AJ32" i="3" a="1"/>
  <c r="AJ32" i="3" s="1"/>
  <c r="AJ36" i="3" s="1"/>
  <c r="U32" i="3" a="1"/>
  <c r="U32" i="3" s="1"/>
  <c r="U36" i="3" s="1"/>
  <c r="L32" i="3" a="1"/>
  <c r="L32" i="3" s="1"/>
  <c r="L36" i="3" s="1"/>
  <c r="AQ32" i="3" a="1"/>
  <c r="AQ32" i="3" s="1"/>
  <c r="AQ36" i="3" s="1"/>
  <c r="Z32" i="3" a="1"/>
  <c r="Z32" i="3" s="1"/>
  <c r="Z36" i="3" s="1"/>
  <c r="S32" i="3" a="1"/>
  <c r="S32" i="3" s="1"/>
  <c r="S36" i="3" s="1"/>
  <c r="X32" i="3" a="1"/>
  <c r="X32" i="3" s="1"/>
  <c r="X36" i="3" s="1"/>
  <c r="O32" i="3" a="1"/>
  <c r="O32" i="3" s="1"/>
  <c r="O36" i="3" s="1"/>
  <c r="R32" i="3" a="1"/>
  <c r="R32" i="3" s="1"/>
  <c r="R36" i="3" s="1"/>
  <c r="Y32" i="3" a="1"/>
  <c r="Y32" i="3" s="1"/>
  <c r="Y36" i="3" s="1"/>
  <c r="AG32" i="3" a="1"/>
  <c r="AG32" i="3" s="1"/>
  <c r="AG36" i="3" s="1"/>
  <c r="M36" i="3"/>
  <c r="T32" i="3" a="1"/>
  <c r="T32" i="3" s="1"/>
  <c r="T36" i="3" s="1"/>
  <c r="AD32" i="3" a="1"/>
  <c r="AD32" i="3" s="1"/>
  <c r="AD36" i="3" s="1"/>
  <c r="AK32" i="3" a="1"/>
  <c r="AK32" i="3" s="1"/>
  <c r="AK36" i="3" s="1"/>
  <c r="B1" i="4"/>
  <c r="J20" i="5"/>
  <c r="H20" i="5"/>
  <c r="F20" i="5"/>
  <c r="D20" i="5"/>
  <c r="B20" i="5"/>
  <c r="B19" i="5"/>
  <c r="C19" i="5"/>
  <c r="D19" i="5"/>
  <c r="E19" i="5"/>
  <c r="F19" i="5"/>
  <c r="G19" i="5"/>
  <c r="H19" i="5"/>
  <c r="I19" i="5"/>
  <c r="J19" i="5"/>
  <c r="A19" i="5"/>
  <c r="P37" i="3" l="1"/>
  <c r="O37" i="3"/>
  <c r="I33" i="3"/>
  <c r="I36" i="3" s="1"/>
  <c r="H36" i="3"/>
  <c r="O25" i="3"/>
  <c r="C37" i="3" s="1"/>
  <c r="P25" i="3"/>
  <c r="D37" i="3" s="1"/>
  <c r="Q25" i="3"/>
  <c r="E37" i="3" s="1"/>
  <c r="N25" i="3"/>
  <c r="B37" i="3" s="1"/>
  <c r="R23" i="3" a="1"/>
  <c r="R23" i="3" s="1"/>
  <c r="S23" i="3" s="1" a="1"/>
  <c r="S23" i="3" s="1"/>
  <c r="S25" i="3" s="1"/>
  <c r="R24" i="3" a="1"/>
  <c r="R24" i="3" s="1"/>
  <c r="S24" i="3" s="1" a="1"/>
  <c r="S24" i="3" s="1"/>
  <c r="R22" i="3" a="1"/>
  <c r="R22" i="3" s="1"/>
  <c r="S22" i="3" s="1" a="1"/>
  <c r="S22" i="3" s="1"/>
  <c r="B14" i="3"/>
  <c r="Q37" i="3" l="1"/>
  <c r="R25" i="3"/>
  <c r="T22" i="3" a="1"/>
  <c r="T22" i="3" s="1"/>
  <c r="U22" i="3" s="1" a="1"/>
  <c r="U22" i="3" s="1"/>
  <c r="T24" i="3" a="1"/>
  <c r="T24" i="3" s="1"/>
  <c r="U24" i="3" s="1" a="1"/>
  <c r="U24" i="3" s="1"/>
  <c r="T23" i="3" a="1"/>
  <c r="T23" i="3" s="1"/>
  <c r="J25" i="3"/>
  <c r="I12" i="3"/>
  <c r="E27" i="3"/>
  <c r="I27" i="3" s="1"/>
  <c r="I26" i="3" s="1"/>
  <c r="F15" i="3"/>
  <c r="C14" i="3"/>
  <c r="E14" i="3"/>
  <c r="F13" i="3"/>
  <c r="F12" i="3"/>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38" i="2"/>
  <c r="U39" i="2"/>
  <c r="U3" i="2" s="1"/>
  <c r="U40" i="2"/>
  <c r="U4" i="2" s="1"/>
  <c r="U41" i="2"/>
  <c r="U5" i="2" s="1"/>
  <c r="U42" i="2"/>
  <c r="U6" i="2" s="1"/>
  <c r="U43" i="2"/>
  <c r="U7" i="2" s="1"/>
  <c r="U44" i="2"/>
  <c r="U8" i="2" s="1"/>
  <c r="U45" i="2"/>
  <c r="U9" i="2" s="1"/>
  <c r="U46" i="2"/>
  <c r="U10" i="2" s="1"/>
  <c r="U47" i="2"/>
  <c r="U11" i="2" s="1"/>
  <c r="U48" i="2"/>
  <c r="U12" i="2" s="1"/>
  <c r="U49" i="2"/>
  <c r="U13" i="2" s="1"/>
  <c r="U50" i="2"/>
  <c r="U14" i="2" s="1"/>
  <c r="U51" i="2"/>
  <c r="U15" i="2" s="1"/>
  <c r="U52" i="2"/>
  <c r="U16" i="2" s="1"/>
  <c r="U53" i="2"/>
  <c r="U17" i="2" s="1"/>
  <c r="U54" i="2"/>
  <c r="U18" i="2" s="1"/>
  <c r="U55" i="2"/>
  <c r="U19" i="2" s="1"/>
  <c r="U56" i="2"/>
  <c r="U20" i="2" s="1"/>
  <c r="U57" i="2"/>
  <c r="U21" i="2" s="1"/>
  <c r="U58" i="2"/>
  <c r="U22" i="2" s="1"/>
  <c r="U59" i="2"/>
  <c r="U23" i="2" s="1"/>
  <c r="U60" i="2"/>
  <c r="U24" i="2" s="1"/>
  <c r="U61" i="2"/>
  <c r="U25" i="2" s="1"/>
  <c r="U62" i="2"/>
  <c r="U26" i="2" s="1"/>
  <c r="U63" i="2"/>
  <c r="U27" i="2" s="1"/>
  <c r="U64" i="2"/>
  <c r="U28" i="2" s="1"/>
  <c r="U65" i="2"/>
  <c r="U29" i="2" s="1"/>
  <c r="U66" i="2"/>
  <c r="U30" i="2" s="1"/>
  <c r="U67" i="2"/>
  <c r="U31" i="2" s="1"/>
  <c r="U68" i="2"/>
  <c r="U32" i="2" s="1"/>
  <c r="U69" i="2"/>
  <c r="U33" i="2" s="1"/>
  <c r="U70" i="2"/>
  <c r="U34" i="2" s="1"/>
  <c r="U71" i="2"/>
  <c r="U35" i="2" s="1"/>
  <c r="U38" i="2"/>
  <c r="U2" i="2" s="1"/>
  <c r="J39" i="2"/>
  <c r="K39" i="2" s="1"/>
  <c r="N39" i="2" s="1"/>
  <c r="O39" i="2" s="1"/>
  <c r="P39" i="2" s="1"/>
  <c r="AA39" i="2" s="1"/>
  <c r="AB39" i="2" s="1"/>
  <c r="AC39" i="2" s="1"/>
  <c r="AD39" i="2" s="1"/>
  <c r="J40" i="2"/>
  <c r="K40" i="2" s="1"/>
  <c r="N40" i="2" s="1"/>
  <c r="O40" i="2" s="1"/>
  <c r="P40" i="2" s="1"/>
  <c r="J41" i="2"/>
  <c r="K41" i="2" s="1"/>
  <c r="N41" i="2" s="1"/>
  <c r="O41" i="2" s="1"/>
  <c r="P41" i="2" s="1"/>
  <c r="J42" i="2"/>
  <c r="K42" i="2" s="1"/>
  <c r="N42" i="2" s="1"/>
  <c r="O42" i="2" s="1"/>
  <c r="P42" i="2" s="1"/>
  <c r="J43" i="2"/>
  <c r="K43" i="2" s="1"/>
  <c r="N43" i="2"/>
  <c r="O43" i="2" s="1"/>
  <c r="P43" i="2" s="1"/>
  <c r="J44" i="2"/>
  <c r="K44" i="2" s="1"/>
  <c r="N44" i="2" s="1"/>
  <c r="O44" i="2" s="1"/>
  <c r="P44" i="2" s="1"/>
  <c r="J45" i="2"/>
  <c r="K45" i="2" s="1"/>
  <c r="N45" i="2" s="1"/>
  <c r="O45" i="2" s="1"/>
  <c r="P45" i="2" s="1"/>
  <c r="J46" i="2"/>
  <c r="K46" i="2" s="1"/>
  <c r="N46" i="2" s="1"/>
  <c r="O46" i="2" s="1"/>
  <c r="P46" i="2" s="1"/>
  <c r="AA46" i="2" s="1"/>
  <c r="AB46" i="2" s="1"/>
  <c r="AC46" i="2" s="1"/>
  <c r="AD46" i="2" s="1"/>
  <c r="J47" i="2"/>
  <c r="K47" i="2" s="1"/>
  <c r="N47" i="2"/>
  <c r="O47" i="2" s="1"/>
  <c r="P47" i="2" s="1"/>
  <c r="J48" i="2"/>
  <c r="K48" i="2" s="1"/>
  <c r="N48" i="2" s="1"/>
  <c r="O48" i="2" s="1"/>
  <c r="P48" i="2" s="1"/>
  <c r="J49" i="2"/>
  <c r="K49" i="2" s="1"/>
  <c r="N49" i="2" s="1"/>
  <c r="O49" i="2" s="1"/>
  <c r="P49" i="2" s="1"/>
  <c r="J50" i="2"/>
  <c r="K50" i="2" s="1"/>
  <c r="N50" i="2" s="1"/>
  <c r="O50" i="2" s="1"/>
  <c r="P50" i="2" s="1"/>
  <c r="J51" i="2"/>
  <c r="K51" i="2" s="1"/>
  <c r="N51" i="2"/>
  <c r="O51" i="2" s="1"/>
  <c r="P51" i="2" s="1"/>
  <c r="J52" i="2"/>
  <c r="K52" i="2" s="1"/>
  <c r="N52" i="2"/>
  <c r="O52" i="2" s="1"/>
  <c r="P52" i="2" s="1"/>
  <c r="J53" i="2"/>
  <c r="K53" i="2" s="1"/>
  <c r="N53" i="2" s="1"/>
  <c r="O53" i="2" s="1"/>
  <c r="P53" i="2" s="1"/>
  <c r="J54" i="2"/>
  <c r="K54" i="2" s="1"/>
  <c r="N54" i="2" s="1"/>
  <c r="O54" i="2" s="1"/>
  <c r="P54" i="2" s="1"/>
  <c r="J55" i="2"/>
  <c r="K55" i="2" s="1"/>
  <c r="N55" i="2"/>
  <c r="O55" i="2" s="1"/>
  <c r="P55" i="2" s="1"/>
  <c r="AA55" i="2" s="1"/>
  <c r="AB55" i="2" s="1"/>
  <c r="AC55" i="2" s="1"/>
  <c r="AD55" i="2" s="1"/>
  <c r="J56" i="2"/>
  <c r="K56" i="2" s="1"/>
  <c r="N56" i="2" s="1"/>
  <c r="O56" i="2" s="1"/>
  <c r="P56" i="2" s="1"/>
  <c r="J57" i="2"/>
  <c r="K57" i="2" s="1"/>
  <c r="N57" i="2" s="1"/>
  <c r="O57" i="2" s="1"/>
  <c r="P57" i="2" s="1"/>
  <c r="J58" i="2"/>
  <c r="K58" i="2" s="1"/>
  <c r="N58" i="2" s="1"/>
  <c r="O58" i="2" s="1"/>
  <c r="P58" i="2" s="1"/>
  <c r="J59" i="2"/>
  <c r="K59" i="2" s="1"/>
  <c r="N59" i="2"/>
  <c r="O59" i="2" s="1"/>
  <c r="P59" i="2" s="1"/>
  <c r="J60" i="2"/>
  <c r="K60" i="2" s="1"/>
  <c r="N60" i="2"/>
  <c r="O60" i="2" s="1"/>
  <c r="P60" i="2" s="1"/>
  <c r="J61" i="2"/>
  <c r="K61" i="2" s="1"/>
  <c r="N61" i="2" s="1"/>
  <c r="O61" i="2" s="1"/>
  <c r="P61" i="2" s="1"/>
  <c r="J62" i="2"/>
  <c r="K62" i="2" s="1"/>
  <c r="N62" i="2" s="1"/>
  <c r="O62" i="2" s="1"/>
  <c r="P62" i="2" s="1"/>
  <c r="J63" i="2"/>
  <c r="K63" i="2"/>
  <c r="N63" i="2"/>
  <c r="O63" i="2" s="1"/>
  <c r="P63" i="2" s="1"/>
  <c r="AA63" i="2" s="1"/>
  <c r="AB63" i="2" s="1"/>
  <c r="AC63" i="2" s="1"/>
  <c r="AD63" i="2" s="1"/>
  <c r="J64" i="2"/>
  <c r="K64" i="2" s="1"/>
  <c r="N64" i="2" s="1"/>
  <c r="O64" i="2" s="1"/>
  <c r="P64" i="2" s="1"/>
  <c r="J65" i="2"/>
  <c r="K65" i="2" s="1"/>
  <c r="N65" i="2" s="1"/>
  <c r="O65" i="2" s="1"/>
  <c r="P65" i="2" s="1"/>
  <c r="J66" i="2"/>
  <c r="K66" i="2" s="1"/>
  <c r="N66" i="2" s="1"/>
  <c r="O66" i="2" s="1"/>
  <c r="P66" i="2" s="1"/>
  <c r="J67" i="2"/>
  <c r="K67" i="2" s="1"/>
  <c r="N67" i="2"/>
  <c r="O67" i="2" s="1"/>
  <c r="P67" i="2" s="1"/>
  <c r="J68" i="2"/>
  <c r="K68" i="2" s="1"/>
  <c r="N68" i="2" s="1"/>
  <c r="O68" i="2" s="1"/>
  <c r="P68" i="2" s="1"/>
  <c r="J69" i="2"/>
  <c r="K69" i="2" s="1"/>
  <c r="N69" i="2"/>
  <c r="O69" i="2" s="1"/>
  <c r="P69" i="2" s="1"/>
  <c r="J70" i="2"/>
  <c r="K70" i="2" s="1"/>
  <c r="N70" i="2" s="1"/>
  <c r="O70" i="2" s="1"/>
  <c r="P70" i="2" s="1"/>
  <c r="J71" i="2"/>
  <c r="K71" i="2" s="1"/>
  <c r="N71" i="2"/>
  <c r="O71" i="2" s="1"/>
  <c r="P71" i="2" s="1"/>
  <c r="AA71" i="2" s="1"/>
  <c r="AB71" i="2" s="1"/>
  <c r="AC71" i="2" s="1"/>
  <c r="AD71" i="2" s="1"/>
  <c r="N38" i="2"/>
  <c r="O38" i="2" s="1"/>
  <c r="P38" i="2" s="1"/>
  <c r="AA38" i="2" s="1"/>
  <c r="AB38" i="2" s="1"/>
  <c r="AC38" i="2" s="1"/>
  <c r="AD38" i="2" s="1"/>
  <c r="J38" i="2"/>
  <c r="K38" i="2" s="1"/>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38" i="2"/>
  <c r="S37" i="1"/>
  <c r="R37"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 i="1"/>
  <c r="O25" i="1"/>
  <c r="N25" i="1"/>
  <c r="U16" i="1"/>
  <c r="V16" i="1"/>
  <c r="W16" i="1"/>
  <c r="U17" i="1"/>
  <c r="V17" i="1"/>
  <c r="W17" i="1"/>
  <c r="U18" i="1"/>
  <c r="V18" i="1"/>
  <c r="W18" i="1"/>
  <c r="U19" i="1"/>
  <c r="V19" i="1"/>
  <c r="W19" i="1"/>
  <c r="U20" i="1"/>
  <c r="V20" i="1"/>
  <c r="W20" i="1"/>
  <c r="U21" i="1"/>
  <c r="V21" i="1"/>
  <c r="W21" i="1"/>
  <c r="U22" i="1"/>
  <c r="V22" i="1"/>
  <c r="W22" i="1"/>
  <c r="U23" i="1"/>
  <c r="V23" i="1"/>
  <c r="W23" i="1"/>
  <c r="U24" i="1"/>
  <c r="V24" i="1"/>
  <c r="W24" i="1"/>
  <c r="U25" i="1"/>
  <c r="V25" i="1"/>
  <c r="W25" i="1"/>
  <c r="U26" i="1"/>
  <c r="V26" i="1"/>
  <c r="W26" i="1"/>
  <c r="U27" i="1"/>
  <c r="V27" i="1"/>
  <c r="W27" i="1"/>
  <c r="U28" i="1"/>
  <c r="V28" i="1"/>
  <c r="W28" i="1"/>
  <c r="U29" i="1"/>
  <c r="V29" i="1"/>
  <c r="W29" i="1"/>
  <c r="U30" i="1"/>
  <c r="V30" i="1"/>
  <c r="W30" i="1"/>
  <c r="U31" i="1"/>
  <c r="V31" i="1"/>
  <c r="W31" i="1"/>
  <c r="U32" i="1"/>
  <c r="V32" i="1"/>
  <c r="W32" i="1"/>
  <c r="U33" i="1"/>
  <c r="V33" i="1"/>
  <c r="W33" i="1"/>
  <c r="U34" i="1"/>
  <c r="V34" i="1"/>
  <c r="W34" i="1"/>
  <c r="U35" i="1"/>
  <c r="V35" i="1"/>
  <c r="W35" i="1"/>
  <c r="M16" i="1"/>
  <c r="N16" i="1"/>
  <c r="O16" i="1"/>
  <c r="P16" i="1"/>
  <c r="M17" i="1"/>
  <c r="N17" i="1"/>
  <c r="O17" i="1"/>
  <c r="P17" i="1"/>
  <c r="M18" i="1"/>
  <c r="N18" i="1"/>
  <c r="O18" i="1"/>
  <c r="P18" i="1"/>
  <c r="M19" i="1"/>
  <c r="N19" i="1"/>
  <c r="O19" i="1"/>
  <c r="P19" i="1"/>
  <c r="M20" i="1"/>
  <c r="N20" i="1"/>
  <c r="O20" i="1"/>
  <c r="P20" i="1"/>
  <c r="M21" i="1"/>
  <c r="N21" i="1"/>
  <c r="O21" i="1"/>
  <c r="P21" i="1"/>
  <c r="M22" i="1"/>
  <c r="N22" i="1"/>
  <c r="O22" i="1"/>
  <c r="P22" i="1"/>
  <c r="M23" i="1"/>
  <c r="N23" i="1"/>
  <c r="O23" i="1"/>
  <c r="P23" i="1"/>
  <c r="M24" i="1"/>
  <c r="N24" i="1"/>
  <c r="O24" i="1"/>
  <c r="P24" i="1"/>
  <c r="M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M34" i="1"/>
  <c r="N34" i="1"/>
  <c r="O34" i="1"/>
  <c r="P34" i="1"/>
  <c r="M35" i="1"/>
  <c r="N35" i="1"/>
  <c r="O35" i="1"/>
  <c r="P35" i="1"/>
  <c r="V4" i="1"/>
  <c r="W4" i="1"/>
  <c r="V5" i="1"/>
  <c r="W5" i="1"/>
  <c r="V6" i="1"/>
  <c r="W6" i="1"/>
  <c r="V7" i="1"/>
  <c r="W7" i="1"/>
  <c r="V8" i="1"/>
  <c r="W8" i="1"/>
  <c r="V9" i="1"/>
  <c r="W9" i="1"/>
  <c r="V10" i="1"/>
  <c r="W10" i="1"/>
  <c r="V11" i="1"/>
  <c r="W11" i="1"/>
  <c r="V12" i="1"/>
  <c r="W12" i="1"/>
  <c r="V13" i="1"/>
  <c r="W13" i="1"/>
  <c r="V14" i="1"/>
  <c r="W14" i="1"/>
  <c r="V15" i="1"/>
  <c r="W15" i="1"/>
  <c r="O4" i="1"/>
  <c r="P4" i="1"/>
  <c r="O5" i="1"/>
  <c r="P5" i="1"/>
  <c r="O6" i="1"/>
  <c r="P6" i="1"/>
  <c r="O7" i="1"/>
  <c r="P7" i="1"/>
  <c r="O8" i="1"/>
  <c r="P8" i="1"/>
  <c r="O9" i="1"/>
  <c r="P9" i="1"/>
  <c r="O10" i="1"/>
  <c r="P10" i="1"/>
  <c r="O11" i="1"/>
  <c r="P11" i="1"/>
  <c r="O12" i="1"/>
  <c r="P12" i="1"/>
  <c r="O13" i="1"/>
  <c r="P13" i="1"/>
  <c r="O14" i="1"/>
  <c r="P14" i="1"/>
  <c r="O15" i="1"/>
  <c r="P15" i="1"/>
  <c r="W3" i="1"/>
  <c r="V3" i="1"/>
  <c r="P3" i="1"/>
  <c r="O3" i="1"/>
  <c r="U4" i="1"/>
  <c r="U5" i="1"/>
  <c r="U6" i="1"/>
  <c r="U7" i="1"/>
  <c r="U8" i="1"/>
  <c r="U9" i="1"/>
  <c r="U10" i="1"/>
  <c r="U11" i="1"/>
  <c r="U12" i="1"/>
  <c r="U13" i="1"/>
  <c r="U14" i="1"/>
  <c r="U15" i="1"/>
  <c r="U3" i="1"/>
  <c r="N4" i="1"/>
  <c r="N5" i="1"/>
  <c r="N6" i="1"/>
  <c r="N7" i="1"/>
  <c r="N8" i="1"/>
  <c r="N9" i="1"/>
  <c r="N10" i="1"/>
  <c r="N11" i="1"/>
  <c r="N12" i="1"/>
  <c r="N13" i="1"/>
  <c r="N14" i="1"/>
  <c r="N15" i="1"/>
  <c r="N3" i="1"/>
  <c r="H4" i="1"/>
  <c r="M4" i="1"/>
  <c r="H5" i="1"/>
  <c r="M5" i="1"/>
  <c r="H6" i="1"/>
  <c r="M6" i="1"/>
  <c r="H7" i="1"/>
  <c r="M7" i="1"/>
  <c r="H8" i="1"/>
  <c r="M8" i="1"/>
  <c r="H9" i="1"/>
  <c r="M9" i="1"/>
  <c r="H10" i="1"/>
  <c r="M10" i="1"/>
  <c r="H11" i="1"/>
  <c r="M11" i="1"/>
  <c r="H12" i="1"/>
  <c r="M12" i="1"/>
  <c r="H13" i="1"/>
  <c r="M13" i="1"/>
  <c r="H14" i="1"/>
  <c r="M14" i="1"/>
  <c r="H15" i="1"/>
  <c r="M15" i="1"/>
  <c r="H16" i="1"/>
  <c r="H17" i="1"/>
  <c r="H18" i="1"/>
  <c r="H19" i="1"/>
  <c r="H20" i="1"/>
  <c r="H21" i="1"/>
  <c r="H22" i="1"/>
  <c r="H23" i="1"/>
  <c r="H24" i="1"/>
  <c r="H25" i="1"/>
  <c r="H26" i="1"/>
  <c r="H27" i="1"/>
  <c r="H28" i="1"/>
  <c r="H29" i="1"/>
  <c r="H30" i="1"/>
  <c r="H31" i="1"/>
  <c r="H32" i="1"/>
  <c r="H33" i="1"/>
  <c r="H34" i="1"/>
  <c r="H35" i="1"/>
  <c r="M3" i="1"/>
  <c r="H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T33" i="1" s="1"/>
  <c r="F34" i="1"/>
  <c r="F35" i="1"/>
  <c r="F3" i="1"/>
  <c r="T17" i="1" l="1"/>
  <c r="T22" i="1"/>
  <c r="R37" i="3"/>
  <c r="T25" i="3"/>
  <c r="N37" i="1"/>
  <c r="P37" i="1"/>
  <c r="U37" i="1"/>
  <c r="M37" i="1"/>
  <c r="W37" i="1"/>
  <c r="K37" i="1"/>
  <c r="V37" i="1"/>
  <c r="L37" i="1"/>
  <c r="O37" i="1"/>
  <c r="U23" i="3" a="1"/>
  <c r="U23" i="3" s="1"/>
  <c r="U25" i="3" s="1"/>
  <c r="V24" i="3" a="1"/>
  <c r="V24" i="3" s="1"/>
  <c r="W24" i="3" s="1" a="1"/>
  <c r="W24" i="3" s="1"/>
  <c r="V22" i="3" a="1"/>
  <c r="V22" i="3" s="1"/>
  <c r="C27" i="3"/>
  <c r="E26" i="3"/>
  <c r="J26" i="3" s="1"/>
  <c r="F14" i="3"/>
  <c r="AA64" i="2"/>
  <c r="AB64" i="2" s="1"/>
  <c r="AC64" i="2" s="1"/>
  <c r="AD64" i="2" s="1"/>
  <c r="AA56" i="2"/>
  <c r="AB56" i="2" s="1"/>
  <c r="AC56" i="2" s="1"/>
  <c r="AD56" i="2" s="1"/>
  <c r="AA62" i="2"/>
  <c r="AB62" i="2" s="1"/>
  <c r="AC62" i="2" s="1"/>
  <c r="AD62" i="2" s="1"/>
  <c r="AA68" i="2"/>
  <c r="AB68" i="2" s="1"/>
  <c r="AC68" i="2" s="1"/>
  <c r="AD68" i="2" s="1"/>
  <c r="AA44" i="2"/>
  <c r="AB44" i="2" s="1"/>
  <c r="AC44" i="2" s="1"/>
  <c r="AD44" i="2" s="1"/>
  <c r="AA70" i="2"/>
  <c r="AB70" i="2" s="1"/>
  <c r="AC70" i="2" s="1"/>
  <c r="AD70" i="2" s="1"/>
  <c r="AA57" i="2"/>
  <c r="AB57" i="2" s="1"/>
  <c r="AC57" i="2" s="1"/>
  <c r="AD57" i="2" s="1"/>
  <c r="AA45" i="2"/>
  <c r="AB45" i="2" s="1"/>
  <c r="AC45" i="2" s="1"/>
  <c r="AD45" i="2" s="1"/>
  <c r="AA54" i="2"/>
  <c r="AB54" i="2" s="1"/>
  <c r="AC54" i="2" s="1"/>
  <c r="AD54" i="2" s="1"/>
  <c r="AA41" i="2"/>
  <c r="AB41" i="2" s="1"/>
  <c r="AC41" i="2" s="1"/>
  <c r="AD41" i="2" s="1"/>
  <c r="AA40" i="2"/>
  <c r="AB40" i="2" s="1"/>
  <c r="AC40" i="2" s="1"/>
  <c r="AD40" i="2" s="1"/>
  <c r="AA60" i="2"/>
  <c r="AB60" i="2" s="1"/>
  <c r="AC60" i="2" s="1"/>
  <c r="AD60" i="2" s="1"/>
  <c r="AA42" i="2"/>
  <c r="AB42" i="2" s="1"/>
  <c r="AC42" i="2" s="1"/>
  <c r="AD42" i="2" s="1"/>
  <c r="AA52" i="2"/>
  <c r="AB52" i="2" s="1"/>
  <c r="AC52" i="2" s="1"/>
  <c r="AD52" i="2" s="1"/>
  <c r="AA49" i="2"/>
  <c r="AB49" i="2" s="1"/>
  <c r="AC49" i="2" s="1"/>
  <c r="AD49" i="2" s="1"/>
  <c r="AA48" i="2"/>
  <c r="AB48" i="2" s="1"/>
  <c r="AC48" i="2" s="1"/>
  <c r="AD48" i="2" s="1"/>
  <c r="AA47" i="2"/>
  <c r="AB47" i="2" s="1"/>
  <c r="AC47" i="2" s="1"/>
  <c r="AD47" i="2" s="1"/>
  <c r="AA59" i="2"/>
  <c r="AB59" i="2" s="1"/>
  <c r="AC59" i="2" s="1"/>
  <c r="AD59" i="2" s="1"/>
  <c r="AA58" i="2"/>
  <c r="AB58" i="2" s="1"/>
  <c r="AC58" i="2" s="1"/>
  <c r="AD58" i="2" s="1"/>
  <c r="AA67" i="2"/>
  <c r="AB67" i="2" s="1"/>
  <c r="AC67" i="2" s="1"/>
  <c r="AD67" i="2" s="1"/>
  <c r="AA69" i="2"/>
  <c r="AB69" i="2" s="1"/>
  <c r="AC69" i="2" s="1"/>
  <c r="AD69" i="2" s="1"/>
  <c r="AA66" i="2"/>
  <c r="AB66" i="2" s="1"/>
  <c r="AC66" i="2" s="1"/>
  <c r="AD66" i="2" s="1"/>
  <c r="AA43" i="2"/>
  <c r="AB43" i="2" s="1"/>
  <c r="AC43" i="2" s="1"/>
  <c r="AD43" i="2" s="1"/>
  <c r="AA65" i="2"/>
  <c r="AB65" i="2" s="1"/>
  <c r="AC65" i="2" s="1"/>
  <c r="AD65" i="2" s="1"/>
  <c r="AA53" i="2"/>
  <c r="AB53" i="2" s="1"/>
  <c r="AC53" i="2" s="1"/>
  <c r="AD53" i="2" s="1"/>
  <c r="AA51" i="2"/>
  <c r="AB51" i="2" s="1"/>
  <c r="AC51" i="2" s="1"/>
  <c r="AD51" i="2" s="1"/>
  <c r="AA61" i="2"/>
  <c r="AB61" i="2" s="1"/>
  <c r="AC61" i="2" s="1"/>
  <c r="AD61" i="2" s="1"/>
  <c r="AA50" i="2"/>
  <c r="AB50" i="2" s="1"/>
  <c r="AC50" i="2" s="1"/>
  <c r="AD50" i="2" s="1"/>
  <c r="T30" i="1"/>
  <c r="T25" i="1"/>
  <c r="T8" i="1"/>
  <c r="T23" i="1"/>
  <c r="T35" i="1"/>
  <c r="T26" i="1"/>
  <c r="T20" i="1"/>
  <c r="T31" i="1"/>
  <c r="T29" i="1"/>
  <c r="T27" i="1"/>
  <c r="T24" i="1"/>
  <c r="T19" i="1"/>
  <c r="T34" i="1"/>
  <c r="T28" i="1"/>
  <c r="T21" i="1"/>
  <c r="T18" i="1"/>
  <c r="T32" i="1"/>
  <c r="T16" i="1"/>
  <c r="T15" i="1"/>
  <c r="T12" i="1"/>
  <c r="T7" i="1"/>
  <c r="T3" i="1"/>
  <c r="T4" i="1"/>
  <c r="T13" i="1"/>
  <c r="T14" i="1"/>
  <c r="T10" i="1"/>
  <c r="T6" i="1"/>
  <c r="T11" i="1"/>
  <c r="T9" i="1"/>
  <c r="T5" i="1"/>
  <c r="S37" i="3" l="1"/>
  <c r="C26" i="3"/>
  <c r="B27" i="3"/>
  <c r="B26" i="3" s="1"/>
  <c r="X24" i="3" a="1"/>
  <c r="X24" i="3" s="1"/>
  <c r="Y24" i="3" s="1" a="1"/>
  <c r="Y24" i="3" s="1"/>
  <c r="V23" i="3" a="1"/>
  <c r="V23" i="3" s="1"/>
  <c r="W22" i="3" a="1"/>
  <c r="W22" i="3" s="1"/>
  <c r="X22" i="3" s="1" a="1"/>
  <c r="X22" i="3" s="1"/>
  <c r="T37" i="1"/>
  <c r="T37" i="3" l="1"/>
  <c r="W23" i="3" a="1"/>
  <c r="W23" i="3" s="1"/>
  <c r="W25" i="3" s="1"/>
  <c r="V25" i="3"/>
  <c r="Z24" i="3" a="1"/>
  <c r="Z24" i="3" s="1"/>
  <c r="AA24" i="3" s="1" a="1"/>
  <c r="AA24" i="3" s="1"/>
  <c r="Y22" i="3" a="1"/>
  <c r="Y22" i="3" s="1"/>
  <c r="Z22" i="3" s="1" a="1"/>
  <c r="Z22" i="3" s="1"/>
  <c r="U37" i="3" l="1"/>
  <c r="X23" i="3" a="1"/>
  <c r="X23" i="3" s="1"/>
  <c r="X25" i="3" s="1"/>
  <c r="AB24" i="3" a="1"/>
  <c r="AB24" i="3" s="1"/>
  <c r="AA22" i="3" a="1"/>
  <c r="AA22" i="3" s="1"/>
  <c r="V37" i="3" l="1"/>
  <c r="Y23" i="3" a="1"/>
  <c r="Y23" i="3" s="1"/>
  <c r="Y25" i="3" s="1"/>
  <c r="AC24" i="3" a="1"/>
  <c r="AC24" i="3" s="1"/>
  <c r="AB22" i="3" a="1"/>
  <c r="AB22" i="3" s="1"/>
  <c r="W37" i="3" l="1"/>
  <c r="Z23" i="3" a="1"/>
  <c r="Z23" i="3" s="1"/>
  <c r="Z25" i="3" s="1"/>
  <c r="AC22" i="3" a="1"/>
  <c r="AC22" i="3" s="1"/>
  <c r="AD24" i="3" a="1"/>
  <c r="AD24" i="3" s="1"/>
  <c r="X37" i="3" l="1"/>
  <c r="AA23" i="3" a="1"/>
  <c r="AA23" i="3" s="1"/>
  <c r="AA25" i="3" s="1"/>
  <c r="AE24" i="3" a="1"/>
  <c r="AE24" i="3" s="1"/>
  <c r="AD22" i="3" a="1"/>
  <c r="AD22" i="3" s="1"/>
  <c r="Y37" i="3" l="1"/>
  <c r="AB23" i="3" a="1"/>
  <c r="AB23" i="3" s="1"/>
  <c r="AB25" i="3" s="1"/>
  <c r="AE22" i="3" a="1"/>
  <c r="AE22" i="3" s="1"/>
  <c r="AF22" i="3" s="1" a="1"/>
  <c r="AF22" i="3" s="1"/>
  <c r="AF24" i="3" a="1"/>
  <c r="AF24" i="3" s="1"/>
  <c r="Z37" i="3" l="1"/>
  <c r="AC23" i="3" a="1"/>
  <c r="AC23" i="3" s="1"/>
  <c r="AC25" i="3" s="1"/>
  <c r="AG24" i="3" a="1"/>
  <c r="AG24" i="3" s="1"/>
  <c r="AG22" i="3" a="1"/>
  <c r="AG22" i="3" s="1"/>
  <c r="AA37" i="3" l="1"/>
  <c r="AD23" i="3" a="1"/>
  <c r="AD23" i="3" s="1"/>
  <c r="AD25" i="3" s="1"/>
  <c r="AH22" i="3" a="1"/>
  <c r="AH22" i="3" s="1"/>
  <c r="AH24" i="3" a="1"/>
  <c r="AH24" i="3" s="1"/>
  <c r="AB37" i="3" l="1"/>
  <c r="AE23" i="3" a="1"/>
  <c r="AE23" i="3" s="1"/>
  <c r="AE25" i="3" s="1"/>
  <c r="AI24" i="3" a="1"/>
  <c r="AI24" i="3" s="1"/>
  <c r="AI22" i="3" a="1"/>
  <c r="AI22" i="3" s="1"/>
  <c r="AC37" i="3" l="1"/>
  <c r="AF23" i="3" a="1"/>
  <c r="AF23" i="3" s="1"/>
  <c r="AF25" i="3" s="1"/>
  <c r="AJ22" i="3" a="1"/>
  <c r="AJ22" i="3" s="1"/>
  <c r="AJ24" i="3" a="1"/>
  <c r="AJ24" i="3" s="1"/>
  <c r="AD37" i="3" l="1"/>
  <c r="AG23" i="3" a="1"/>
  <c r="AG23" i="3" s="1"/>
  <c r="AK22" i="3" a="1"/>
  <c r="AK22" i="3" s="1"/>
  <c r="AK24" i="3" a="1"/>
  <c r="AK24" i="3" s="1"/>
  <c r="AE37" i="3" l="1"/>
  <c r="AG25" i="3"/>
  <c r="AH23" i="3" a="1"/>
  <c r="AH23" i="3" s="1"/>
  <c r="AL24" i="3" a="1"/>
  <c r="AL24" i="3" s="1"/>
  <c r="AL22" i="3" a="1"/>
  <c r="AL22" i="3" s="1"/>
  <c r="AF37" i="3" l="1"/>
  <c r="AH25" i="3"/>
  <c r="AI23" i="3" a="1"/>
  <c r="AI23" i="3" s="1"/>
  <c r="AI25" i="3" s="1"/>
  <c r="AM22" i="3" a="1"/>
  <c r="AM22" i="3" s="1"/>
  <c r="AM24" i="3" a="1"/>
  <c r="AM24" i="3" s="1"/>
  <c r="AN24" i="3" s="1" a="1"/>
  <c r="AN24" i="3" s="1"/>
  <c r="AG37" i="3" l="1"/>
  <c r="AJ23" i="3" a="1"/>
  <c r="AJ23" i="3" s="1"/>
  <c r="AJ25" i="3" s="1"/>
  <c r="AN22" i="3" a="1"/>
  <c r="AN22" i="3" s="1"/>
  <c r="AO22" i="3" s="1" a="1"/>
  <c r="AO22" i="3" s="1"/>
  <c r="AO24" i="3" a="1"/>
  <c r="AO24" i="3" s="1"/>
  <c r="AH37" i="3" l="1"/>
  <c r="AK23" i="3" a="1"/>
  <c r="AK23" i="3" s="1"/>
  <c r="AK25" i="3" s="1"/>
  <c r="AP24" i="3" a="1"/>
  <c r="AP24" i="3" s="1"/>
  <c r="AP22" i="3" a="1"/>
  <c r="AP22" i="3" s="1"/>
  <c r="AQ22" i="3" s="1" a="1"/>
  <c r="AQ22" i="3" s="1"/>
  <c r="AI37" i="3" l="1"/>
  <c r="AL23" i="3" a="1"/>
  <c r="AL23" i="3" s="1"/>
  <c r="AL25" i="3" s="1"/>
  <c r="AR22" i="3" a="1"/>
  <c r="AR22" i="3" s="1"/>
  <c r="AQ24" i="3" a="1"/>
  <c r="AQ24" i="3" s="1"/>
  <c r="AJ37" i="3" l="1"/>
  <c r="AM23" i="3" a="1"/>
  <c r="AM23" i="3" s="1"/>
  <c r="AM25" i="3" s="1"/>
  <c r="AS22" i="3" a="1"/>
  <c r="AS22" i="3" s="1"/>
  <c r="AT22" i="3" s="1" a="1"/>
  <c r="AT22" i="3" s="1"/>
  <c r="AR24" i="3" a="1"/>
  <c r="AR24" i="3" s="1"/>
  <c r="AS24" i="3" s="1" a="1"/>
  <c r="AS24" i="3" s="1"/>
  <c r="AK37" i="3" l="1"/>
  <c r="AN23" i="3" a="1"/>
  <c r="AN23" i="3" s="1"/>
  <c r="AN25" i="3" s="1"/>
  <c r="AT24" i="3" a="1"/>
  <c r="AT24" i="3" s="1"/>
  <c r="AU24" i="3" s="1" a="1"/>
  <c r="AU24" i="3" s="1"/>
  <c r="AU22" i="3" a="1"/>
  <c r="AU22" i="3" s="1"/>
  <c r="AL37" i="3" l="1"/>
  <c r="AO23" i="3" a="1"/>
  <c r="AO23" i="3" s="1"/>
  <c r="AO25" i="3" s="1"/>
  <c r="AV22" i="3" a="1"/>
  <c r="AV22" i="3" s="1"/>
  <c r="AV24" i="3" a="1"/>
  <c r="AV24" i="3" s="1"/>
  <c r="AM37" i="3" l="1"/>
  <c r="AP23" i="3" a="1"/>
  <c r="AP23" i="3" s="1"/>
  <c r="AP25" i="3" s="1"/>
  <c r="AW24" i="3" a="1"/>
  <c r="AW24" i="3" s="1"/>
  <c r="AW22" i="3" a="1"/>
  <c r="AW22" i="3" s="1"/>
  <c r="AN37" i="3" l="1"/>
  <c r="AQ23" i="3" a="1"/>
  <c r="AQ23" i="3" s="1"/>
  <c r="AQ25" i="3" s="1"/>
  <c r="AX22" i="3" a="1"/>
  <c r="AX22" i="3" s="1"/>
  <c r="AX24" i="3" a="1"/>
  <c r="AX24" i="3" s="1"/>
  <c r="AO37" i="3" l="1"/>
  <c r="AR23" i="3" a="1"/>
  <c r="AR23" i="3" s="1"/>
  <c r="AR25" i="3" s="1"/>
  <c r="AY22" i="3" a="1"/>
  <c r="AY22" i="3" s="1"/>
  <c r="AY24" i="3" a="1"/>
  <c r="AY24" i="3" s="1"/>
  <c r="AP37" i="3" l="1"/>
  <c r="AS23" i="3" a="1"/>
  <c r="AS23" i="3" s="1"/>
  <c r="AS25" i="3" s="1"/>
  <c r="AZ22" i="3" a="1"/>
  <c r="AZ22" i="3" s="1"/>
  <c r="AZ24" i="3" a="1"/>
  <c r="AZ24" i="3" s="1"/>
  <c r="AQ37" i="3" l="1"/>
  <c r="AR37" i="3"/>
  <c r="AT23" i="3" a="1"/>
  <c r="AT23" i="3" s="1"/>
  <c r="AT25" i="3" s="1"/>
  <c r="BA24" i="3" a="1"/>
  <c r="BA24" i="3" s="1"/>
  <c r="BA22" i="3" a="1"/>
  <c r="BA22" i="3" s="1"/>
  <c r="AU23" i="3" l="1" a="1"/>
  <c r="AU23" i="3" s="1"/>
  <c r="AU25" i="3" s="1"/>
  <c r="BB22" i="3" a="1"/>
  <c r="BB22" i="3" s="1"/>
  <c r="BC22" i="3" s="1" a="1"/>
  <c r="BC22" i="3" s="1"/>
  <c r="BB24" i="3" a="1"/>
  <c r="BB24" i="3" s="1"/>
  <c r="AV23" i="3" l="1" a="1"/>
  <c r="AV23" i="3" s="1"/>
  <c r="AV25" i="3" s="1"/>
  <c r="BD22" i="3" a="1"/>
  <c r="BD22" i="3" s="1"/>
  <c r="BC24" i="3" a="1"/>
  <c r="BC24" i="3" s="1"/>
  <c r="BD24" i="3" s="1" a="1"/>
  <c r="BD24" i="3" s="1"/>
  <c r="AW23" i="3" l="1" a="1"/>
  <c r="AW23" i="3" s="1"/>
  <c r="AW25" i="3" s="1"/>
  <c r="AX23" i="3" l="1" a="1"/>
  <c r="AX23" i="3" s="1"/>
  <c r="AX25" i="3" s="1"/>
  <c r="AY23" i="3" l="1" a="1"/>
  <c r="AY23" i="3" s="1"/>
  <c r="AY25" i="3" s="1"/>
  <c r="AZ23" i="3" l="1" a="1"/>
  <c r="AZ23" i="3" s="1"/>
  <c r="AZ25" i="3" s="1"/>
  <c r="BA23" i="3" l="1" a="1"/>
  <c r="BA23" i="3" s="1"/>
  <c r="BA25" i="3" s="1"/>
  <c r="BB23" i="3" l="1" a="1"/>
  <c r="BB23" i="3" s="1"/>
  <c r="BB25" i="3" s="1"/>
  <c r="BC23" i="3" l="1" a="1"/>
  <c r="BC23" i="3" s="1"/>
  <c r="BC25" i="3" s="1"/>
  <c r="BD23" i="3" l="1" a="1"/>
  <c r="BD23" i="3" s="1"/>
  <c r="BD2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<sst xmlns="http://schemas.openxmlformats.org/spreadsheetml/2006/main" count="3747" uniqueCount="835">
  <si>
    <t>省（区、市）</t>
  </si>
  <si>
    <t>累计装机容量（万千瓦）</t>
  </si>
  <si>
    <t>新增装机容量（万千瓦）</t>
  </si>
  <si>
    <t>其中：光伏电站</t>
  </si>
  <si>
    <t>总计</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</si>
  <si>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</si>
  <si>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</si>
  <si>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</si>
  <si>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</si>
  <si>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</si>
  <si>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</si>
  <si>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</si>
  <si>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</si>
  <si>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</si>
  <si>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</si>
  <si>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</si>
  <si>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</si>
  <si>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</si>
  <si>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</si>
  <si>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</si>
  <si>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</si>
  <si>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</si>
  <si>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</si>
  <si>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</si>
  <si>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</si>
  <si>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</si>
  <si>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</si>
  <si>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</si>
  <si>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</si>
  <si>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</si>
  <si>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</si>
  <si>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</si>
  <si>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</si>
  <si>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</si>
  <si>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</si>
  <si>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新疆自治区</t>
  </si>
  <si>
    <t>新疆兵团</t>
  </si>
  <si>
    <t>分布式</t>
    <phoneticPr fontId="7" type="noConversion"/>
  </si>
  <si>
    <t>光伏电站</t>
    <phoneticPr fontId="7" type="noConversion"/>
  </si>
  <si>
    <t>分布式光伏</t>
    <phoneticPr fontId="7" type="noConversion"/>
  </si>
  <si>
    <r>
      <rPr>
        <sz val="6"/>
        <rFont val="Microsoft YaHei"/>
        <family val="2"/>
        <charset val="134"/>
      </rPr>
      <t>省（区、市）</t>
    </r>
  </si>
  <si>
    <r>
      <rPr>
        <sz val="6"/>
        <rFont val="Times New Roman"/>
        <family val="1"/>
      </rPr>
      <t>2021</t>
    </r>
    <r>
      <rPr>
        <sz val="6"/>
        <rFont val="Microsoft YaHei"/>
        <family val="2"/>
        <charset val="134"/>
      </rPr>
      <t>年新增并网容量</t>
    </r>
  </si>
  <si>
    <r>
      <rPr>
        <sz val="6"/>
        <rFont val="Microsoft YaHei"/>
        <family val="2"/>
        <charset val="134"/>
      </rPr>
      <t>截至</t>
    </r>
    <r>
      <rPr>
        <sz val="6"/>
        <rFont val="Times New Roman"/>
        <family val="1"/>
      </rPr>
      <t>2021</t>
    </r>
    <r>
      <rPr>
        <sz val="6"/>
        <rFont val="Microsoft YaHei"/>
        <family val="2"/>
        <charset val="134"/>
      </rPr>
      <t>年底累计并网容置</t>
    </r>
  </si>
  <si>
    <r>
      <rPr>
        <sz val="6"/>
        <rFont val="Microsoft YaHei"/>
        <family val="2"/>
        <charset val="134"/>
      </rPr>
      <t>其中：集中 式光伏电站</t>
    </r>
  </si>
  <si>
    <r>
      <rPr>
        <sz val="6"/>
        <rFont val="Microsoft YaHei"/>
        <family val="2"/>
        <charset val="134"/>
      </rPr>
      <t>其中：分 布式光伏</t>
    </r>
  </si>
  <si>
    <r>
      <rPr>
        <sz val="6"/>
        <rFont val="Microsoft YaHei"/>
        <family val="2"/>
        <charset val="134"/>
      </rPr>
      <t>其中:分布式 光伏</t>
    </r>
  </si>
  <si>
    <r>
      <rPr>
        <sz val="6"/>
        <rFont val="Microsoft YaHei"/>
        <family val="2"/>
        <charset val="134"/>
      </rPr>
      <t>总计</t>
    </r>
  </si>
  <si>
    <r>
      <rPr>
        <sz val="6"/>
        <rFont val="Microsoft YaHei"/>
        <family val="2"/>
        <charset val="134"/>
      </rPr>
      <t>北京</t>
    </r>
  </si>
  <si>
    <r>
      <rPr>
        <sz val="6"/>
        <rFont val="Microsoft YaHei"/>
        <family val="2"/>
        <charset val="134"/>
      </rPr>
      <t>天津</t>
    </r>
  </si>
  <si>
    <r>
      <rPr>
        <sz val="6"/>
        <rFont val="Microsoft YaHei"/>
        <family val="2"/>
        <charset val="134"/>
      </rPr>
      <t>河北</t>
    </r>
  </si>
  <si>
    <r>
      <rPr>
        <sz val="6"/>
        <rFont val="Microsoft YaHei"/>
        <family val="2"/>
        <charset val="134"/>
      </rPr>
      <t>山西</t>
    </r>
  </si>
  <si>
    <r>
      <rPr>
        <sz val="6"/>
        <rFont val="Microsoft YaHei"/>
        <family val="2"/>
        <charset val="134"/>
      </rPr>
      <t>山东</t>
    </r>
  </si>
  <si>
    <r>
      <rPr>
        <sz val="6"/>
        <rFont val="Microsoft YaHei"/>
        <family val="2"/>
        <charset val="134"/>
      </rPr>
      <t>内蒙古</t>
    </r>
  </si>
  <si>
    <r>
      <rPr>
        <sz val="6"/>
        <rFont val="Microsoft YaHei"/>
        <family val="2"/>
        <charset val="134"/>
      </rPr>
      <t>辽宁</t>
    </r>
  </si>
  <si>
    <r>
      <rPr>
        <sz val="6"/>
        <rFont val="Microsoft YaHei"/>
        <family val="2"/>
        <charset val="134"/>
      </rPr>
      <t>吉林</t>
    </r>
  </si>
  <si>
    <r>
      <rPr>
        <sz val="6"/>
        <rFont val="Microsoft YaHei"/>
        <family val="2"/>
        <charset val="134"/>
      </rPr>
      <t>黑龙江</t>
    </r>
  </si>
  <si>
    <r>
      <rPr>
        <sz val="6"/>
        <rFont val="Microsoft YaHei"/>
        <family val="2"/>
        <charset val="134"/>
      </rPr>
      <t>上海</t>
    </r>
  </si>
  <si>
    <r>
      <rPr>
        <sz val="6"/>
        <rFont val="Microsoft YaHei"/>
        <family val="2"/>
        <charset val="134"/>
      </rPr>
      <t>江苏</t>
    </r>
  </si>
  <si>
    <r>
      <rPr>
        <sz val="6"/>
        <rFont val="Microsoft YaHei"/>
        <family val="2"/>
        <charset val="134"/>
      </rPr>
      <t>浙江</t>
    </r>
  </si>
  <si>
    <r>
      <rPr>
        <sz val="6"/>
        <rFont val="Microsoft YaHei"/>
        <family val="2"/>
        <charset val="134"/>
      </rPr>
      <t>安徽</t>
    </r>
  </si>
  <si>
    <r>
      <rPr>
        <sz val="6"/>
        <rFont val="Microsoft YaHei"/>
        <family val="2"/>
        <charset val="134"/>
      </rPr>
      <t>福建</t>
    </r>
  </si>
  <si>
    <r>
      <rPr>
        <sz val="6"/>
        <rFont val="Microsoft YaHei"/>
        <family val="2"/>
        <charset val="134"/>
      </rPr>
      <t>江西</t>
    </r>
  </si>
  <si>
    <r>
      <rPr>
        <sz val="6"/>
        <rFont val="Microsoft YaHei"/>
        <family val="2"/>
        <charset val="134"/>
      </rPr>
      <t>河南</t>
    </r>
  </si>
  <si>
    <r>
      <rPr>
        <sz val="6"/>
        <rFont val="Microsoft YaHei"/>
        <family val="2"/>
        <charset val="134"/>
      </rPr>
      <t>湖北</t>
    </r>
  </si>
  <si>
    <r>
      <rPr>
        <sz val="6"/>
        <rFont val="Microsoft YaHei"/>
        <family val="2"/>
        <charset val="134"/>
      </rPr>
      <t>湖南</t>
    </r>
  </si>
  <si>
    <r>
      <rPr>
        <sz val="6"/>
        <rFont val="Microsoft YaHei"/>
        <family val="2"/>
        <charset val="134"/>
      </rPr>
      <t>重庆</t>
    </r>
  </si>
  <si>
    <r>
      <rPr>
        <sz val="6"/>
        <rFont val="Microsoft YaHei"/>
        <family val="2"/>
        <charset val="134"/>
      </rPr>
      <t>四川</t>
    </r>
  </si>
  <si>
    <r>
      <rPr>
        <sz val="6"/>
        <rFont val="Microsoft YaHei"/>
        <family val="2"/>
        <charset val="134"/>
      </rPr>
      <t>陕西</t>
    </r>
  </si>
  <si>
    <r>
      <rPr>
        <sz val="6"/>
        <rFont val="Microsoft YaHei"/>
        <family val="2"/>
        <charset val="134"/>
      </rPr>
      <t>甘肃</t>
    </r>
  </si>
  <si>
    <r>
      <rPr>
        <sz val="6"/>
        <rFont val="Microsoft YaHei"/>
        <family val="2"/>
        <charset val="134"/>
      </rPr>
      <t>青海</t>
    </r>
  </si>
  <si>
    <r>
      <rPr>
        <sz val="6"/>
        <rFont val="Microsoft YaHei"/>
        <family val="2"/>
        <charset val="134"/>
      </rPr>
      <t>宁夏</t>
    </r>
  </si>
  <si>
    <r>
      <rPr>
        <sz val="6"/>
        <rFont val="Microsoft YaHei"/>
        <family val="2"/>
        <charset val="134"/>
      </rPr>
      <t>新疆</t>
    </r>
  </si>
  <si>
    <r>
      <rPr>
        <sz val="6"/>
        <rFont val="Microsoft YaHei"/>
        <family val="2"/>
        <charset val="134"/>
      </rPr>
      <t>新疆兵团</t>
    </r>
  </si>
  <si>
    <r>
      <rPr>
        <sz val="6"/>
        <rFont val="Microsoft YaHei"/>
        <family val="2"/>
        <charset val="134"/>
      </rPr>
      <t>西藏</t>
    </r>
  </si>
  <si>
    <r>
      <rPr>
        <sz val="6"/>
        <rFont val="Microsoft YaHei"/>
        <family val="2"/>
        <charset val="134"/>
      </rPr>
      <t>广东</t>
    </r>
  </si>
  <si>
    <r>
      <rPr>
        <sz val="6"/>
        <rFont val="Microsoft YaHei"/>
        <family val="2"/>
        <charset val="134"/>
      </rPr>
      <t>广西</t>
    </r>
  </si>
  <si>
    <r>
      <rPr>
        <sz val="6"/>
        <rFont val="Microsoft YaHei"/>
        <family val="2"/>
        <charset val="134"/>
      </rPr>
      <t>海南</t>
    </r>
  </si>
  <si>
    <r>
      <rPr>
        <sz val="6"/>
        <rFont val="Microsoft YaHei"/>
        <family val="2"/>
        <charset val="134"/>
      </rPr>
      <t>贵州</t>
    </r>
  </si>
  <si>
    <r>
      <rPr>
        <sz val="6"/>
        <rFont val="Microsoft YaHei"/>
        <family val="2"/>
        <charset val="134"/>
      </rPr>
      <t>云南</t>
    </r>
  </si>
  <si>
    <t>2020H1</t>
    <phoneticPr fontId="7" type="noConversion"/>
  </si>
  <si>
    <t>全国</t>
    <phoneticPr fontId="7" type="noConversion"/>
  </si>
  <si>
    <t>北京市</t>
    <phoneticPr fontId="7" type="noConversion"/>
  </si>
  <si>
    <t>天津市</t>
    <phoneticPr fontId="7" type="noConversion"/>
  </si>
  <si>
    <t>河北省</t>
    <phoneticPr fontId="7" type="noConversion"/>
  </si>
  <si>
    <t>山西省</t>
    <phoneticPr fontId="7" type="noConversion"/>
  </si>
  <si>
    <t>内蒙古自治区</t>
    <phoneticPr fontId="7" type="noConversion"/>
  </si>
  <si>
    <t>辽宁省</t>
    <phoneticPr fontId="7" type="noConversion"/>
  </si>
  <si>
    <t>吉林省</t>
    <phoneticPr fontId="7" type="noConversion"/>
  </si>
  <si>
    <t>黑龙江省</t>
    <phoneticPr fontId="7" type="noConversion"/>
  </si>
  <si>
    <t>上海市</t>
    <phoneticPr fontId="7" type="noConversion"/>
  </si>
  <si>
    <t>江苏省</t>
    <phoneticPr fontId="7" type="noConversion"/>
  </si>
  <si>
    <t>浙江省</t>
    <phoneticPr fontId="7" type="noConversion"/>
  </si>
  <si>
    <t>安徽省</t>
    <phoneticPr fontId="7" type="noConversion"/>
  </si>
  <si>
    <t>福建省</t>
    <phoneticPr fontId="7" type="noConversion"/>
  </si>
  <si>
    <t>江西省</t>
    <phoneticPr fontId="7" type="noConversion"/>
  </si>
  <si>
    <t>山东省</t>
    <phoneticPr fontId="7" type="noConversion"/>
  </si>
  <si>
    <t>河南省</t>
    <phoneticPr fontId="7" type="noConversion"/>
  </si>
  <si>
    <t>湖北省</t>
    <phoneticPr fontId="7" type="noConversion"/>
  </si>
  <si>
    <t>湖南省</t>
    <phoneticPr fontId="7" type="noConversion"/>
  </si>
  <si>
    <t>广东省</t>
    <phoneticPr fontId="7" type="noConversion"/>
  </si>
  <si>
    <t>广西壮族自治区</t>
    <phoneticPr fontId="7" type="noConversion"/>
  </si>
  <si>
    <t>海南省</t>
    <phoneticPr fontId="7" type="noConversion"/>
  </si>
  <si>
    <t>重庆市</t>
    <phoneticPr fontId="7" type="noConversion"/>
  </si>
  <si>
    <t>四川省</t>
    <phoneticPr fontId="7" type="noConversion"/>
  </si>
  <si>
    <t>贵州省</t>
    <phoneticPr fontId="7" type="noConversion"/>
  </si>
  <si>
    <t>云南省</t>
    <phoneticPr fontId="7" type="noConversion"/>
  </si>
  <si>
    <t>西藏自治区</t>
    <phoneticPr fontId="7" type="noConversion"/>
  </si>
  <si>
    <t>甘肃省</t>
    <phoneticPr fontId="7" type="noConversion"/>
  </si>
  <si>
    <t>青海省</t>
    <phoneticPr fontId="7" type="noConversion"/>
  </si>
  <si>
    <t>宁夏回族自治区</t>
    <phoneticPr fontId="7" type="noConversion"/>
  </si>
  <si>
    <t>新疆维吾尔自治区</t>
    <phoneticPr fontId="7" type="noConversion"/>
  </si>
  <si>
    <t>新疆建设兵团</t>
    <phoneticPr fontId="7" type="noConversion"/>
  </si>
  <si>
    <t>其中：河北南网</t>
  </si>
  <si>
    <t>冀北电网</t>
  </si>
  <si>
    <t>其中：蒙西</t>
  </si>
  <si>
    <t>蒙东</t>
  </si>
  <si>
    <t>新疆自治区（含兵团）</t>
  </si>
  <si>
    <r>
      <rPr>
        <sz val="14"/>
        <color rgb="FF3B3B3B"/>
        <rFont val="微软雅黑"/>
        <family val="2"/>
        <charset val="134"/>
      </rPr>
      <t>根据中国光伏行业协会数据显示，</t>
    </r>
    <r>
      <rPr>
        <sz val="14"/>
        <color rgb="FF3B3B3B"/>
        <rFont val="Segoe UI"/>
        <family val="2"/>
      </rPr>
      <t>2020</t>
    </r>
    <r>
      <rPr>
        <sz val="14"/>
        <color rgb="FF3B3B3B"/>
        <rFont val="微软雅黑"/>
        <family val="2"/>
        <charset val="134"/>
      </rPr>
      <t>年全国户用光伏的装机规模累计达到</t>
    </r>
    <r>
      <rPr>
        <sz val="14"/>
        <color rgb="FF3B3B3B"/>
        <rFont val="Segoe UI"/>
        <family val="2"/>
      </rPr>
      <t>20GW</t>
    </r>
    <r>
      <rPr>
        <sz val="14"/>
        <color rgb="FF3B3B3B"/>
        <rFont val="微软雅黑"/>
        <family val="2"/>
        <charset val="134"/>
      </rPr>
      <t>，新增装机规模高达</t>
    </r>
    <r>
      <rPr>
        <sz val="14"/>
        <color rgb="FF3B3B3B"/>
        <rFont val="Segoe UI"/>
        <family val="2"/>
      </rPr>
      <t>10.1GW</t>
    </r>
    <r>
      <rPr>
        <sz val="14"/>
        <color rgb="FF3B3B3B"/>
        <rFont val="微软雅黑"/>
        <family val="2"/>
        <charset val="134"/>
      </rPr>
      <t>。</t>
    </r>
    <phoneticPr fontId="7" type="noConversion"/>
  </si>
  <si>
    <r>
      <t>截至今年4月底，山东省</t>
    </r>
    <r>
      <rPr>
        <sz val="12"/>
        <color rgb="FF1780C4"/>
        <rFont val="微软雅黑"/>
        <family val="2"/>
        <charset val="134"/>
      </rPr>
      <t>分布式光伏</t>
    </r>
    <r>
      <rPr>
        <sz val="12"/>
        <color rgb="FF333333"/>
        <rFont val="微软雅黑"/>
        <family val="2"/>
        <charset val="134"/>
      </rPr>
      <t>发电总</t>
    </r>
    <r>
      <rPr>
        <sz val="12"/>
        <color rgb="FF1780C4"/>
        <rFont val="微软雅黑"/>
        <family val="2"/>
        <charset val="134"/>
      </rPr>
      <t>装机</t>
    </r>
    <r>
      <rPr>
        <sz val="12"/>
        <color rgb="FF333333"/>
        <rFont val="微软雅黑"/>
        <family val="2"/>
        <charset val="134"/>
      </rPr>
      <t>1589万千瓦，位居全国第一。其中，</t>
    </r>
    <r>
      <rPr>
        <sz val="12"/>
        <color rgb="FF1780C4"/>
        <rFont val="微软雅黑"/>
        <family val="2"/>
        <charset val="134"/>
      </rPr>
      <t>工商业</t>
    </r>
    <r>
      <rPr>
        <sz val="12"/>
        <color rgb="FF333333"/>
        <rFont val="微软雅黑"/>
        <family val="2"/>
        <charset val="134"/>
      </rPr>
      <t>分布式装机678万千瓦，占分布式总装机42.7%;户用光伏装机911万千瓦，达到51.3万户，占分布式总装机57.3%。</t>
    </r>
    <phoneticPr fontId="7" type="noConversion"/>
  </si>
  <si>
    <t>2020年山东省分布式装机容量1467万千瓦，2019年装机容量942万千瓦</t>
    <phoneticPr fontId="7" type="noConversion"/>
  </si>
  <si>
    <t>电力工业统计资料汇编2020</t>
    <phoneticPr fontId="7" type="noConversion"/>
  </si>
  <si>
    <t>2020年山东省太阳能发电装机容量2272万千瓦，2019年装机容量1619万千瓦</t>
    <phoneticPr fontId="7" type="noConversion"/>
  </si>
  <si>
    <t>2020年山东省6000千瓦以上太阳能电厂装机容量905万千瓦，2019年装机容量751万千瓦</t>
    <phoneticPr fontId="7" type="noConversion"/>
  </si>
  <si>
    <t>光伏合计</t>
    <phoneticPr fontId="7" type="noConversion"/>
  </si>
  <si>
    <t>光伏分布式</t>
    <phoneticPr fontId="7" type="noConversion"/>
  </si>
  <si>
    <t>6000千瓦以上装机</t>
    <phoneticPr fontId="7" type="noConversion"/>
  </si>
  <si>
    <t>2021年4月底</t>
    <phoneticPr fontId="7" type="noConversion"/>
  </si>
  <si>
    <t>户用</t>
    <phoneticPr fontId="7" type="noConversion"/>
  </si>
  <si>
    <t>工商</t>
    <phoneticPr fontId="7" type="noConversion"/>
  </si>
  <si>
    <t>分布式合计</t>
    <phoneticPr fontId="7" type="noConversion"/>
  </si>
  <si>
    <t>2021年前四月新增</t>
    <phoneticPr fontId="7" type="noConversion"/>
  </si>
  <si>
    <t>2021年新增</t>
    <phoneticPr fontId="7" type="noConversion"/>
  </si>
  <si>
    <t>2020年新增</t>
    <phoneticPr fontId="7" type="noConversion"/>
  </si>
  <si>
    <t>2019新增</t>
    <phoneticPr fontId="7" type="noConversion"/>
  </si>
  <si>
    <t>工商业</t>
    <phoneticPr fontId="7" type="noConversion"/>
  </si>
  <si>
    <t>户用光伏</t>
    <phoneticPr fontId="7" type="noConversion"/>
  </si>
  <si>
    <t>集中</t>
    <phoneticPr fontId="7" type="noConversion"/>
  </si>
  <si>
    <t>十四五期间农村分布式新增1000，城镇分布式新增500</t>
    <phoneticPr fontId="7" type="noConversion"/>
  </si>
  <si>
    <t>城市人口</t>
    <phoneticPr fontId="7" type="noConversion"/>
  </si>
  <si>
    <t>乡村人口</t>
    <phoneticPr fontId="7" type="noConversion"/>
  </si>
  <si>
    <t>年份</t>
    <phoneticPr fontId="7" type="noConversion"/>
  </si>
  <si>
    <t>城镇化率</t>
    <phoneticPr fontId="7" type="noConversion"/>
  </si>
  <si>
    <t>单户光伏</t>
    <phoneticPr fontId="7" type="noConversion"/>
  </si>
  <si>
    <t>乡村户人口</t>
    <phoneticPr fontId="7" type="noConversion"/>
  </si>
  <si>
    <t>城镇户人口</t>
    <phoneticPr fontId="7" type="noConversion"/>
  </si>
  <si>
    <t>山东省</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</si>
  <si>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</si>
  <si>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</si>
  <si>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</si>
  <si>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</si>
  <si>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</si>
  <si>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</si>
  <si>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</si>
  <si>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</si>
  <si>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</si>
  <si>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</si>
  <si>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</si>
  <si>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</si>
  <si>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</si>
  <si>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</si>
  <si>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</si>
  <si>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</si>
  <si>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城镇户数</t>
    <phoneticPr fontId="7" type="noConversion"/>
  </si>
  <si>
    <t>乡村户数</t>
    <phoneticPr fontId="7" type="noConversion"/>
  </si>
  <si>
    <t>山东人口(万人）</t>
    <phoneticPr fontId="7" type="noConversion"/>
  </si>
  <si>
    <t>万户</t>
    <phoneticPr fontId="7" type="noConversion"/>
  </si>
  <si>
    <t>乡村户覆盖率</t>
    <phoneticPr fontId="7" type="noConversion"/>
  </si>
  <si>
    <t>城镇户覆盖率</t>
    <phoneticPr fontId="7" type="noConversion"/>
  </si>
  <si>
    <t>城镇光伏</t>
    <phoneticPr fontId="7" type="noConversion"/>
  </si>
  <si>
    <t>乡村光伏</t>
    <phoneticPr fontId="7" type="noConversion"/>
  </si>
  <si>
    <t>MW</t>
    <phoneticPr fontId="7" type="noConversion"/>
  </si>
  <si>
    <t>省，自治区，直辖市，特别行政区</t>
  </si>
  <si>
    <t>一级行政区划</t>
  </si>
  <si>
    <t>地级市，地区，自治州，盟</t>
  </si>
  <si>
    <t>二级行政区划</t>
  </si>
  <si>
    <t>历下区</t>
  </si>
  <si>
    <t>市辖区、县级市、县、自治县、旗、自治旗、特区、林区</t>
  </si>
  <si>
    <t>三级行政区划</t>
  </si>
  <si>
    <t>市中区</t>
  </si>
  <si>
    <t>槐荫区</t>
  </si>
  <si>
    <t>天桥区</t>
  </si>
  <si>
    <t>历城区</t>
  </si>
  <si>
    <t>长清区</t>
  </si>
  <si>
    <t>章丘区</t>
  </si>
  <si>
    <t>济阳区</t>
  </si>
  <si>
    <t>莱芜区</t>
  </si>
  <si>
    <t>钢城区</t>
  </si>
  <si>
    <t>平阴县</t>
  </si>
  <si>
    <t>商河县</t>
  </si>
  <si>
    <t>市南区</t>
  </si>
  <si>
    <t>市北区</t>
  </si>
  <si>
    <t>黄岛区</t>
  </si>
  <si>
    <t>崂山区</t>
  </si>
  <si>
    <t>李沧区</t>
  </si>
  <si>
    <t>城阳区</t>
  </si>
  <si>
    <t>即墨区</t>
  </si>
  <si>
    <t>胶州市</t>
  </si>
  <si>
    <t>平度市</t>
  </si>
  <si>
    <t>莱西市</t>
  </si>
  <si>
    <t>淄川区</t>
  </si>
  <si>
    <t>张店区</t>
  </si>
  <si>
    <t>博山区</t>
  </si>
  <si>
    <t>临淄区</t>
  </si>
  <si>
    <t>周村区</t>
  </si>
  <si>
    <t>桓台县</t>
  </si>
  <si>
    <t>高青县</t>
  </si>
  <si>
    <t>沂源县</t>
  </si>
  <si>
    <t>薛城区</t>
  </si>
  <si>
    <t>峄城区</t>
  </si>
  <si>
    <t>台儿庄区</t>
  </si>
  <si>
    <t>山亭区</t>
  </si>
  <si>
    <t>滕州市</t>
  </si>
  <si>
    <t>东营区</t>
  </si>
  <si>
    <t>河口区</t>
  </si>
  <si>
    <t>垦利区</t>
  </si>
  <si>
    <t>利津县</t>
  </si>
  <si>
    <t>广饶县</t>
  </si>
  <si>
    <t>芝罘区</t>
  </si>
  <si>
    <t>福山区</t>
  </si>
  <si>
    <t>牟平区</t>
  </si>
  <si>
    <t>莱山区</t>
  </si>
  <si>
    <t>蓬莱区</t>
  </si>
  <si>
    <t>龙口市</t>
  </si>
  <si>
    <t>莱阳市</t>
  </si>
  <si>
    <t>莱州市</t>
  </si>
  <si>
    <t>招远市</t>
  </si>
  <si>
    <t>栖霞市</t>
  </si>
  <si>
    <t>海阳市</t>
  </si>
  <si>
    <t>潍城区</t>
  </si>
  <si>
    <t>寒亭区</t>
  </si>
  <si>
    <t>坊子区</t>
  </si>
  <si>
    <t>奎文区</t>
  </si>
  <si>
    <t>临朐县</t>
  </si>
  <si>
    <t>昌乐县</t>
  </si>
  <si>
    <t>青州市</t>
  </si>
  <si>
    <t>诸城市</t>
  </si>
  <si>
    <t>寿光市</t>
  </si>
  <si>
    <t>安丘市</t>
  </si>
  <si>
    <t>高密市</t>
  </si>
  <si>
    <t>昌邑市</t>
  </si>
  <si>
    <t>任城区</t>
  </si>
  <si>
    <t>兖州区</t>
  </si>
  <si>
    <t>微山县</t>
  </si>
  <si>
    <t>鱼台县</t>
  </si>
  <si>
    <t>金乡县</t>
  </si>
  <si>
    <t>嘉祥县</t>
  </si>
  <si>
    <t>汶上县</t>
  </si>
  <si>
    <t>泗水县</t>
  </si>
  <si>
    <t>梁山县</t>
  </si>
  <si>
    <t>曲阜市</t>
  </si>
  <si>
    <t>邹城市</t>
  </si>
  <si>
    <t>泰山区</t>
  </si>
  <si>
    <t>岱岳区</t>
  </si>
  <si>
    <t>宁阳县</t>
  </si>
  <si>
    <t>东平县</t>
  </si>
  <si>
    <t>新泰市</t>
  </si>
  <si>
    <t>肥城市</t>
  </si>
  <si>
    <t>环翠区</t>
  </si>
  <si>
    <t>文登区</t>
  </si>
  <si>
    <t>荣成市</t>
  </si>
  <si>
    <t>乳山市</t>
  </si>
  <si>
    <t>东港区</t>
  </si>
  <si>
    <t>岚山区</t>
  </si>
  <si>
    <t>五莲县</t>
  </si>
  <si>
    <t>莒县</t>
  </si>
  <si>
    <t>兰山区</t>
  </si>
  <si>
    <t>罗庄区</t>
  </si>
  <si>
    <t>河东区</t>
  </si>
  <si>
    <t>沂南县</t>
  </si>
  <si>
    <t>郯城县</t>
  </si>
  <si>
    <t>沂水县</t>
  </si>
  <si>
    <t>兰陵县</t>
  </si>
  <si>
    <t>费县</t>
  </si>
  <si>
    <t>平邑县</t>
  </si>
  <si>
    <t>莒南县</t>
  </si>
  <si>
    <t>蒙阴县</t>
  </si>
  <si>
    <t>临沭县</t>
  </si>
  <si>
    <t>德城区</t>
  </si>
  <si>
    <t>陵城区</t>
  </si>
  <si>
    <t>宁津县</t>
  </si>
  <si>
    <t>庆云县</t>
  </si>
  <si>
    <t>临邑县</t>
  </si>
  <si>
    <t>齐河县</t>
  </si>
  <si>
    <t>平原县</t>
  </si>
  <si>
    <t>夏津县</t>
  </si>
  <si>
    <t>武城县</t>
  </si>
  <si>
    <t>乐陵市</t>
  </si>
  <si>
    <t>禹城市</t>
  </si>
  <si>
    <t>东昌府区</t>
  </si>
  <si>
    <t>茌平区</t>
  </si>
  <si>
    <t>阳谷县</t>
  </si>
  <si>
    <t>莘县</t>
  </si>
  <si>
    <t>东阿县</t>
  </si>
  <si>
    <t>冠县</t>
  </si>
  <si>
    <t>高唐县</t>
  </si>
  <si>
    <t>临清市</t>
  </si>
  <si>
    <t>滨城区</t>
  </si>
  <si>
    <t>沾化区</t>
  </si>
  <si>
    <t>惠民县</t>
  </si>
  <si>
    <t>阳信县</t>
  </si>
  <si>
    <t>无棣县</t>
  </si>
  <si>
    <t>博兴县</t>
  </si>
  <si>
    <t>邹平市</t>
  </si>
  <si>
    <t>牡丹区</t>
  </si>
  <si>
    <t>定陶区</t>
  </si>
  <si>
    <t>曹县</t>
  </si>
  <si>
    <t>单县</t>
  </si>
  <si>
    <t>成武县</t>
  </si>
  <si>
    <t>巨野县</t>
  </si>
  <si>
    <t>郓城县</t>
  </si>
  <si>
    <t>鄄城县</t>
  </si>
  <si>
    <t>东明县</t>
  </si>
  <si>
    <t>济南高新技术产业开发区</t>
    <phoneticPr fontId="7" type="noConversion"/>
  </si>
  <si>
    <t>潍坊高新技术产业开发区</t>
    <phoneticPr fontId="7" type="noConversion"/>
  </si>
  <si>
    <t>潍坊峡山生态经济开发区</t>
    <phoneticPr fontId="7" type="noConversion"/>
  </si>
  <si>
    <t>滨州北海经济开发区</t>
    <phoneticPr fontId="7" type="noConversion"/>
  </si>
  <si>
    <t>聊城经济技术开发区</t>
    <phoneticPr fontId="7" type="noConversion"/>
  </si>
  <si>
    <t>临沂高新技术产业开发区</t>
    <phoneticPr fontId="7" type="noConversion"/>
  </si>
  <si>
    <t>菏泽经济技术开发区</t>
    <phoneticPr fontId="7" type="noConversion"/>
  </si>
  <si>
    <t>Data Sources:</t>
    <phoneticPr fontId="7" type="noConversion"/>
  </si>
  <si>
    <t>总计</t>
    <phoneticPr fontId="7" type="noConversion"/>
  </si>
  <si>
    <t>城镇分布式</t>
    <phoneticPr fontId="7" type="noConversion"/>
  </si>
  <si>
    <t>乡村分布式</t>
    <phoneticPr fontId="7" type="noConversion"/>
  </si>
  <si>
    <t>十四五期间农村分布式新增10000，城镇分布式新增5000</t>
    <phoneticPr fontId="7" type="noConversion"/>
  </si>
  <si>
    <t>2025总计</t>
    <phoneticPr fontId="7" type="noConversion"/>
  </si>
  <si>
    <t>逐年分布</t>
    <phoneticPr fontId="7" type="noConversion"/>
  </si>
  <si>
    <t>其中：城镇</t>
    <phoneticPr fontId="7" type="noConversion"/>
  </si>
  <si>
    <t>乡村</t>
    <phoneticPr fontId="7" type="noConversion"/>
  </si>
  <si>
    <t>整县屋顶分布式则是统筹推进整县分布式光伏集中化、规模化开发建设，充分利用党政机关建筑、公共建筑、工商业厂房和农村居民屋顶资源，到“十四五”末，全省整县分布式光伏规模化开发容量达20GW以上。</t>
    <phoneticPr fontId="7" type="noConversion"/>
  </si>
  <si>
    <t>整县推进光伏测算</t>
    <phoneticPr fontId="7" type="noConversion"/>
  </si>
  <si>
    <t>海上光伏基地</t>
    <phoneticPr fontId="7" type="noConversion"/>
  </si>
  <si>
    <t>2022年并网1500MW，总计4200MW</t>
    <phoneticPr fontId="7" type="noConversion"/>
  </si>
  <si>
    <t>鲁西南采煤沉陷区</t>
    <phoneticPr fontId="7" type="noConversion"/>
  </si>
  <si>
    <t>鲁北盐碱滩土地风光储输一体化集体</t>
    <phoneticPr fontId="7" type="noConversion"/>
  </si>
  <si>
    <t>2022年总并网3000MW左右，其中光伏2023年一期工程建成2000MW。规划到2025年开工15000MW、建成10000MW风电光伏总计规模40000MW风光储</t>
    <phoneticPr fontId="7" type="noConversion"/>
  </si>
  <si>
    <t>2022年装机1500MW，从规划5000MW以上，鲁西南采煤沉陷区光伏发电项目规划到2025年建成3000MW左右光伏。</t>
    <phoneticPr fontId="7" type="noConversion"/>
  </si>
  <si>
    <t>municipal solid waste</t>
  </si>
  <si>
    <t>heavy or residual fuel oil</t>
  </si>
  <si>
    <t>crude oil</t>
  </si>
  <si>
    <t>offshore wind</t>
  </si>
  <si>
    <t>lignite</t>
  </si>
  <si>
    <t>natural gas peaker</t>
  </si>
  <si>
    <t>petroleum</t>
  </si>
  <si>
    <t>geothermal</t>
  </si>
  <si>
    <t>biomass</t>
  </si>
  <si>
    <t>solar thermal</t>
  </si>
  <si>
    <t>solar PV</t>
  </si>
  <si>
    <t>onshore wind</t>
  </si>
  <si>
    <t>hydro</t>
  </si>
  <si>
    <t>nuclear</t>
  </si>
  <si>
    <t>natural gas nonpeaker</t>
  </si>
  <si>
    <t>hard coal</t>
  </si>
  <si>
    <t>commercial</t>
  </si>
  <si>
    <t>rural residential</t>
  </si>
  <si>
    <t>urban residential</t>
  </si>
  <si>
    <t>MW</t>
  </si>
  <si>
    <t>MW*hour</t>
  </si>
  <si>
    <t>山东省可再生能源是四五五发展规划</t>
    <phoneticPr fontId="7" type="noConversion"/>
  </si>
  <si>
    <t>十四五末期，山东省风电装机规模25000MW，光伏装机57000MW</t>
    <phoneticPr fontId="7" type="noConversion"/>
  </si>
  <si>
    <r>
      <rPr>
        <sz val="10"/>
        <rFont val="宋体"/>
        <family val="3"/>
        <charset val="134"/>
      </rPr>
      <t>地区</t>
    </r>
  </si>
  <si>
    <r>
      <rPr>
        <sz val="10"/>
        <rFont val="宋体"/>
        <family val="3"/>
        <charset val="134"/>
      </rPr>
      <t>装机容量（万千瓦）</t>
    </r>
    <phoneticPr fontId="24" type="noConversion"/>
  </si>
  <si>
    <r>
      <rPr>
        <sz val="10"/>
        <rFont val="宋体"/>
        <family val="3"/>
        <charset val="134"/>
      </rPr>
      <t>发电量（亿千瓦时）</t>
    </r>
    <phoneticPr fontId="24" type="noConversion"/>
  </si>
  <si>
    <r>
      <t>2018</t>
    </r>
    <r>
      <rPr>
        <sz val="10"/>
        <rFont val="宋体"/>
        <family val="3"/>
        <charset val="134"/>
      </rPr>
      <t>年</t>
    </r>
    <phoneticPr fontId="24" type="noConversion"/>
  </si>
  <si>
    <r>
      <t>2017</t>
    </r>
    <r>
      <rPr>
        <sz val="10"/>
        <rFont val="宋体"/>
        <family val="3"/>
        <charset val="134"/>
      </rPr>
      <t>年</t>
    </r>
    <phoneticPr fontId="24" type="noConversion"/>
  </si>
  <si>
    <r>
      <rPr>
        <sz val="10"/>
        <rFont val="宋体"/>
        <family val="3"/>
        <charset val="134"/>
      </rPr>
      <t>全国</t>
    </r>
    <phoneticPr fontId="24" type="noConversion"/>
  </si>
  <si>
    <r>
      <rPr>
        <sz val="10"/>
        <rFont val="宋体"/>
        <family val="3"/>
        <charset val="134"/>
      </rPr>
      <t>北京</t>
    </r>
    <phoneticPr fontId="24" type="noConversion"/>
  </si>
  <si>
    <r>
      <rPr>
        <sz val="10"/>
        <rFont val="宋体"/>
        <family val="3"/>
        <charset val="134"/>
      </rPr>
      <t>天津</t>
    </r>
    <phoneticPr fontId="24" type="noConversion"/>
  </si>
  <si>
    <r>
      <rPr>
        <sz val="10"/>
        <rFont val="宋体"/>
        <family val="3"/>
        <charset val="134"/>
      </rPr>
      <t>河北</t>
    </r>
    <phoneticPr fontId="24" type="noConversion"/>
  </si>
  <si>
    <r>
      <rPr>
        <sz val="10"/>
        <rFont val="宋体"/>
        <family val="3"/>
        <charset val="134"/>
      </rPr>
      <t>山西</t>
    </r>
    <phoneticPr fontId="24" type="noConversion"/>
  </si>
  <si>
    <r>
      <rPr>
        <sz val="10"/>
        <rFont val="宋体"/>
        <family val="3"/>
        <charset val="134"/>
      </rPr>
      <t>内蒙古</t>
    </r>
    <phoneticPr fontId="24" type="noConversion"/>
  </si>
  <si>
    <r>
      <rPr>
        <sz val="10"/>
        <rFont val="宋体"/>
        <family val="3"/>
        <charset val="134"/>
      </rPr>
      <t>辽宁</t>
    </r>
    <phoneticPr fontId="24" type="noConversion"/>
  </si>
  <si>
    <r>
      <rPr>
        <sz val="10"/>
        <rFont val="宋体"/>
        <family val="3"/>
        <charset val="134"/>
      </rPr>
      <t>吉林</t>
    </r>
    <phoneticPr fontId="24" type="noConversion"/>
  </si>
  <si>
    <r>
      <rPr>
        <sz val="10"/>
        <rFont val="宋体"/>
        <family val="3"/>
        <charset val="134"/>
      </rPr>
      <t>黑龙江</t>
    </r>
    <phoneticPr fontId="24" type="noConversion"/>
  </si>
  <si>
    <r>
      <rPr>
        <sz val="10"/>
        <rFont val="宋体"/>
        <family val="3"/>
        <charset val="134"/>
      </rPr>
      <t>上海</t>
    </r>
    <phoneticPr fontId="24" type="noConversion"/>
  </si>
  <si>
    <r>
      <rPr>
        <sz val="10"/>
        <rFont val="宋体"/>
        <family val="3"/>
        <charset val="134"/>
      </rPr>
      <t>江苏</t>
    </r>
    <phoneticPr fontId="24" type="noConversion"/>
  </si>
  <si>
    <r>
      <rPr>
        <sz val="10"/>
        <rFont val="宋体"/>
        <family val="3"/>
        <charset val="134"/>
      </rPr>
      <t>浙江</t>
    </r>
    <phoneticPr fontId="24" type="noConversion"/>
  </si>
  <si>
    <r>
      <rPr>
        <sz val="10"/>
        <rFont val="宋体"/>
        <family val="3"/>
        <charset val="134"/>
      </rPr>
      <t>安徽</t>
    </r>
    <phoneticPr fontId="24" type="noConversion"/>
  </si>
  <si>
    <r>
      <rPr>
        <sz val="10"/>
        <rFont val="宋体"/>
        <family val="3"/>
        <charset val="134"/>
      </rPr>
      <t>福建</t>
    </r>
    <phoneticPr fontId="24" type="noConversion"/>
  </si>
  <si>
    <r>
      <rPr>
        <sz val="10"/>
        <rFont val="宋体"/>
        <family val="3"/>
        <charset val="134"/>
      </rPr>
      <t>江西</t>
    </r>
    <phoneticPr fontId="24" type="noConversion"/>
  </si>
  <si>
    <r>
      <rPr>
        <sz val="10"/>
        <rFont val="宋体"/>
        <family val="3"/>
        <charset val="134"/>
      </rPr>
      <t>山东</t>
    </r>
    <phoneticPr fontId="24" type="noConversion"/>
  </si>
  <si>
    <r>
      <rPr>
        <sz val="10"/>
        <rFont val="宋体"/>
        <family val="3"/>
        <charset val="134"/>
      </rPr>
      <t>河南</t>
    </r>
    <phoneticPr fontId="24" type="noConversion"/>
  </si>
  <si>
    <r>
      <rPr>
        <sz val="10"/>
        <rFont val="宋体"/>
        <family val="3"/>
        <charset val="134"/>
      </rPr>
      <t>湖北</t>
    </r>
    <phoneticPr fontId="24" type="noConversion"/>
  </si>
  <si>
    <r>
      <rPr>
        <sz val="10"/>
        <rFont val="宋体"/>
        <family val="3"/>
        <charset val="134"/>
      </rPr>
      <t>湖南</t>
    </r>
    <phoneticPr fontId="24" type="noConversion"/>
  </si>
  <si>
    <r>
      <rPr>
        <sz val="10"/>
        <rFont val="宋体"/>
        <family val="3"/>
        <charset val="134"/>
      </rPr>
      <t>广东</t>
    </r>
    <phoneticPr fontId="24" type="noConversion"/>
  </si>
  <si>
    <r>
      <rPr>
        <sz val="10"/>
        <rFont val="宋体"/>
        <family val="3"/>
        <charset val="134"/>
      </rPr>
      <t>广西</t>
    </r>
    <phoneticPr fontId="24" type="noConversion"/>
  </si>
  <si>
    <r>
      <rPr>
        <sz val="10"/>
        <rFont val="宋体"/>
        <family val="3"/>
        <charset val="134"/>
      </rPr>
      <t>海南</t>
    </r>
    <phoneticPr fontId="24" type="noConversion"/>
  </si>
  <si>
    <r>
      <rPr>
        <sz val="10"/>
        <rFont val="宋体"/>
        <family val="3"/>
        <charset val="134"/>
      </rPr>
      <t>重庆</t>
    </r>
    <phoneticPr fontId="24" type="noConversion"/>
  </si>
  <si>
    <r>
      <rPr>
        <sz val="10"/>
        <rFont val="宋体"/>
        <family val="3"/>
        <charset val="134"/>
      </rPr>
      <t>四川</t>
    </r>
    <phoneticPr fontId="24" type="noConversion"/>
  </si>
  <si>
    <r>
      <rPr>
        <sz val="10"/>
        <rFont val="宋体"/>
        <family val="3"/>
        <charset val="134"/>
      </rPr>
      <t>贵州</t>
    </r>
    <phoneticPr fontId="24" type="noConversion"/>
  </si>
  <si>
    <r>
      <rPr>
        <sz val="10"/>
        <rFont val="宋体"/>
        <family val="3"/>
        <charset val="134"/>
      </rPr>
      <t>云南</t>
    </r>
    <phoneticPr fontId="24" type="noConversion"/>
  </si>
  <si>
    <r>
      <rPr>
        <sz val="10"/>
        <rFont val="宋体"/>
        <family val="3"/>
        <charset val="134"/>
      </rPr>
      <t>西藏</t>
    </r>
    <phoneticPr fontId="24" type="noConversion"/>
  </si>
  <si>
    <r>
      <rPr>
        <sz val="10"/>
        <rFont val="宋体"/>
        <family val="3"/>
        <charset val="134"/>
      </rPr>
      <t>陕西</t>
    </r>
    <phoneticPr fontId="24" type="noConversion"/>
  </si>
  <si>
    <r>
      <rPr>
        <sz val="10"/>
        <rFont val="宋体"/>
        <family val="3"/>
        <charset val="134"/>
      </rPr>
      <t>甘肃</t>
    </r>
    <phoneticPr fontId="24" type="noConversion"/>
  </si>
  <si>
    <r>
      <rPr>
        <sz val="10"/>
        <rFont val="宋体"/>
        <family val="3"/>
        <charset val="134"/>
      </rPr>
      <t>青海</t>
    </r>
    <phoneticPr fontId="24" type="noConversion"/>
  </si>
  <si>
    <r>
      <rPr>
        <sz val="10"/>
        <rFont val="宋体"/>
        <family val="3"/>
        <charset val="134"/>
      </rPr>
      <t>宁夏</t>
    </r>
    <phoneticPr fontId="24" type="noConversion"/>
  </si>
  <si>
    <r>
      <rPr>
        <sz val="10"/>
        <rFont val="宋体"/>
        <family val="3"/>
        <charset val="134"/>
      </rPr>
      <t>新疆</t>
    </r>
    <phoneticPr fontId="24" type="noConversion"/>
  </si>
  <si>
    <r>
      <t>2019</t>
    </r>
    <r>
      <rPr>
        <sz val="10"/>
        <rFont val="宋体"/>
        <family val="3"/>
        <charset val="134"/>
      </rPr>
      <t>年</t>
    </r>
    <phoneticPr fontId="24" type="noConversion"/>
  </si>
  <si>
    <r>
      <t>2020</t>
    </r>
    <r>
      <rPr>
        <sz val="10"/>
        <rFont val="宋体"/>
        <family val="2"/>
        <charset val="134"/>
      </rPr>
      <t>年</t>
    </r>
    <phoneticPr fontId="7" type="noConversion"/>
  </si>
  <si>
    <t>容量因子</t>
    <phoneticPr fontId="24" type="noConversion"/>
  </si>
  <si>
    <t>运行小时数</t>
    <phoneticPr fontId="24" type="noConversion"/>
  </si>
  <si>
    <t>城镇户用比例</t>
    <phoneticPr fontId="7" type="noConversion"/>
  </si>
  <si>
    <t>城镇户用光伏</t>
    <phoneticPr fontId="7" type="noConversion"/>
  </si>
  <si>
    <t>乡村户用光伏</t>
    <phoneticPr fontId="7" type="noConversion"/>
  </si>
  <si>
    <t>乡村户用比例</t>
    <phoneticPr fontId="7" type="noConversion"/>
  </si>
  <si>
    <t>户用分布式</t>
    <phoneticPr fontId="7" type="noConversion"/>
  </si>
  <si>
    <t>工商分布式</t>
    <phoneticPr fontId="7" type="noConversion"/>
  </si>
  <si>
    <t>累计</t>
    <phoneticPr fontId="7" type="noConversion"/>
  </si>
  <si>
    <t>新增</t>
    <phoneticPr fontId="7" type="noConversion"/>
  </si>
  <si>
    <t>识图叠加</t>
    <phoneticPr fontId="7" type="noConversion"/>
  </si>
  <si>
    <t>Pre2013</t>
    <phoneticPr fontId="7" type="noConversion"/>
  </si>
  <si>
    <t>新疆建设兵团</t>
  </si>
  <si>
    <t>新疆维吾尔自治区</t>
  </si>
  <si>
    <t>宁夏回族自治区</t>
  </si>
  <si>
    <t>青海省</t>
  </si>
  <si>
    <t>甘肃省</t>
  </si>
  <si>
    <t>陕西省</t>
  </si>
  <si>
    <t>西藏自治区</t>
  </si>
  <si>
    <t>云南省</t>
  </si>
  <si>
    <t>贵州省</t>
  </si>
  <si>
    <t>四川省</t>
  </si>
  <si>
    <t>重庆市</t>
  </si>
  <si>
    <t>海南省</t>
  </si>
  <si>
    <t>广西壮族自治区</t>
  </si>
  <si>
    <t>广东省</t>
  </si>
  <si>
    <t>湖南省</t>
  </si>
  <si>
    <t>湖北省</t>
  </si>
  <si>
    <t>河南省</t>
  </si>
  <si>
    <t>江西省</t>
  </si>
  <si>
    <t>福建省</t>
  </si>
  <si>
    <t>安徽省</t>
  </si>
  <si>
    <t>浙江省</t>
  </si>
  <si>
    <t>江苏省</t>
  </si>
  <si>
    <t>上海市</t>
  </si>
  <si>
    <t>黑龙江省</t>
  </si>
  <si>
    <t>吉林省</t>
  </si>
  <si>
    <t>辽宁省</t>
  </si>
  <si>
    <t>内蒙古自治区</t>
  </si>
  <si>
    <t>山西省</t>
  </si>
  <si>
    <t>河北省</t>
  </si>
  <si>
    <t>天津市</t>
  </si>
  <si>
    <t>北京市</t>
  </si>
  <si>
    <t>全国</t>
  </si>
  <si>
    <t>分布式光伏</t>
  </si>
  <si>
    <t>光伏电站</t>
  </si>
  <si>
    <t>城镇住宅光伏上限</t>
    <phoneticPr fontId="7" type="noConversion"/>
  </si>
  <si>
    <t>乡村屋顶光伏上限</t>
    <phoneticPr fontId="7" type="noConversion"/>
  </si>
  <si>
    <t>工商分布式光伏上限</t>
    <phoneticPr fontId="7" type="noConversion"/>
  </si>
  <si>
    <t>技术可开发量中城镇住宅与共建之比为：</t>
    <phoneticPr fontId="7" type="noConversion"/>
  </si>
  <si>
    <t>公共建筑面积</t>
    <phoneticPr fontId="7" type="noConversion"/>
  </si>
  <si>
    <t>乡村住宅面积</t>
    <phoneticPr fontId="7" type="noConversion"/>
  </si>
  <si>
    <t>城镇住宅面积</t>
    <phoneticPr fontId="7" type="noConversion"/>
  </si>
  <si>
    <t>考虑项目本体发电成本、电网改造成本、系统平衡成本等，预计全国经济可开发潜力约为4.6亿千瓦左右，其中东中部地区约2.9亿千瓦。</t>
    <phoneticPr fontId="7" type="noConversion"/>
  </si>
  <si>
    <t>开发潜力最大的省份是河南、山东和江苏，均超过1亿千瓦，主要原因在于数量庞大的农村屋顶。</t>
    <phoneticPr fontId="7" type="noConversion"/>
  </si>
  <si>
    <t>从区域分布来看，国网公司经营区东中部地区 的技术可开发潜力为8.7亿千瓦，约占全国的58%，将成为未来发展重点地区。</t>
    <phoneticPr fontId="7" type="noConversion"/>
  </si>
  <si>
    <t>根据测算，2025年我国分布式光伏技术可开发潜力为14.9亿千瓦，其中主要是农村、城镇住房屋顶光伏和工矿厂房，合计13.3亿千瓦，占到技术可开发总潜力的89%。</t>
  </si>
  <si>
    <t>分布式光伏技术可开发潜力主要受可安装分布式光伏的场地或者设施面积制约。重点考虑城镇和农村住宅屋顶、工矿用地屋顶、铁路高速公路、滩涂水库坑塘和农业大棚等五大类分布式光伏，</t>
    <phoneticPr fontId="7" type="noConversion"/>
  </si>
  <si>
    <t>省份占比</t>
    <phoneticPr fontId="7" type="noConversion"/>
  </si>
  <si>
    <t>基于面积推算</t>
    <phoneticPr fontId="7" type="noConversion"/>
  </si>
  <si>
    <t>2020全国</t>
    <phoneticPr fontId="7" type="noConversion"/>
  </si>
  <si>
    <t>基于人口推算</t>
    <phoneticPr fontId="7" type="noConversion"/>
  </si>
  <si>
    <t>湖南</t>
    <phoneticPr fontId="7" type="noConversion"/>
  </si>
  <si>
    <t>湖北</t>
    <phoneticPr fontId="7" type="noConversion"/>
  </si>
  <si>
    <t>河南</t>
    <phoneticPr fontId="7" type="noConversion"/>
  </si>
  <si>
    <t>山东</t>
    <phoneticPr fontId="7" type="noConversion"/>
  </si>
  <si>
    <t>江西</t>
    <phoneticPr fontId="7" type="noConversion"/>
  </si>
  <si>
    <t>福建</t>
    <phoneticPr fontId="7" type="noConversion"/>
  </si>
  <si>
    <t>安徽</t>
    <phoneticPr fontId="7" type="noConversion"/>
  </si>
  <si>
    <t>浙江</t>
    <phoneticPr fontId="7" type="noConversion"/>
  </si>
  <si>
    <t>江苏</t>
    <phoneticPr fontId="7" type="noConversion"/>
  </si>
  <si>
    <t>上海</t>
    <phoneticPr fontId="7" type="noConversion"/>
  </si>
  <si>
    <t>河北</t>
    <phoneticPr fontId="7" type="noConversion"/>
  </si>
  <si>
    <t>天津</t>
    <phoneticPr fontId="7" type="noConversion"/>
  </si>
  <si>
    <t>北京</t>
    <phoneticPr fontId="7" type="noConversion"/>
  </si>
  <si>
    <t>城乡面积与分布式潜能比</t>
    <phoneticPr fontId="7" type="noConversion"/>
  </si>
  <si>
    <t>城镇住宅面积+公共建筑面积</t>
    <phoneticPr fontId="7" type="noConversion"/>
  </si>
  <si>
    <t>滩涂分布式</t>
    <phoneticPr fontId="7" type="noConversion"/>
  </si>
  <si>
    <t>工矿用地</t>
    <phoneticPr fontId="7" type="noConversion"/>
  </si>
  <si>
    <t>农村屋顶</t>
    <phoneticPr fontId="7" type="noConversion"/>
  </si>
  <si>
    <t>城镇屋顶</t>
    <phoneticPr fontId="7" type="noConversion"/>
  </si>
  <si>
    <t>分布式潜能</t>
    <phoneticPr fontId="7" type="noConversion"/>
  </si>
  <si>
    <t>地区</t>
  </si>
  <si>
    <t>胡杨河市</t>
  </si>
  <si>
    <t>昆玉市</t>
  </si>
  <si>
    <t>可克达拉市</t>
  </si>
  <si>
    <t>双河市</t>
  </si>
  <si>
    <t>铁门关市</t>
  </si>
  <si>
    <t>北屯市</t>
  </si>
  <si>
    <t>五家渠市</t>
  </si>
  <si>
    <t>图木舒克市</t>
  </si>
  <si>
    <t>阿拉尔市</t>
  </si>
  <si>
    <t>石河子市</t>
  </si>
  <si>
    <t>阿勒泰地区</t>
  </si>
  <si>
    <t>塔城地区</t>
  </si>
  <si>
    <t>伊犁哈萨克自治州</t>
  </si>
  <si>
    <t>和田地区</t>
  </si>
  <si>
    <t>喀什地区</t>
  </si>
  <si>
    <t>克孜勒苏柯尔克孜自治州</t>
  </si>
  <si>
    <t>阿克苏地区</t>
  </si>
  <si>
    <t>巴音郭楞蒙古自治州</t>
  </si>
  <si>
    <t>博尔塔拉蒙古自治州</t>
  </si>
  <si>
    <t>昌吉回族自治州</t>
  </si>
  <si>
    <t>哈密市</t>
  </si>
  <si>
    <t>吐鲁番市</t>
  </si>
  <si>
    <t>克拉玛依市</t>
  </si>
  <si>
    <t>乌鲁木齐市</t>
  </si>
  <si>
    <t>中卫市</t>
  </si>
  <si>
    <t>固原市</t>
  </si>
  <si>
    <t>吴忠市</t>
  </si>
  <si>
    <t>石嘴山市</t>
  </si>
  <si>
    <t>银川市</t>
  </si>
  <si>
    <t>海西蒙古族藏族自治州</t>
  </si>
  <si>
    <t>玉树藏族自治州</t>
  </si>
  <si>
    <t>果洛藏族自治州</t>
  </si>
  <si>
    <t>海南藏族自治州</t>
  </si>
  <si>
    <t>黄南藏族自治州</t>
  </si>
  <si>
    <t>海北藏族自治州</t>
  </si>
  <si>
    <t>海东市</t>
  </si>
  <si>
    <t>西宁市</t>
  </si>
  <si>
    <t>甘南藏族自治州</t>
  </si>
  <si>
    <t>临夏回族自治州</t>
  </si>
  <si>
    <t>陇南市</t>
  </si>
  <si>
    <t>定西市</t>
  </si>
  <si>
    <t>庆阳市</t>
  </si>
  <si>
    <t>酒泉市</t>
  </si>
  <si>
    <t>平凉市</t>
  </si>
  <si>
    <t>张掖市</t>
  </si>
  <si>
    <t>武威市</t>
  </si>
  <si>
    <t>天水市</t>
  </si>
  <si>
    <t>白银市</t>
  </si>
  <si>
    <t>金昌市</t>
  </si>
  <si>
    <t>嘉峪关市</t>
  </si>
  <si>
    <t>兰州市</t>
  </si>
  <si>
    <t>商洛市</t>
  </si>
  <si>
    <t>安康市</t>
  </si>
  <si>
    <t>榆林市</t>
  </si>
  <si>
    <t>汉中市</t>
  </si>
  <si>
    <t>延安市</t>
  </si>
  <si>
    <t>渭南市</t>
  </si>
  <si>
    <t>咸阳市</t>
  </si>
  <si>
    <t>宝鸡市</t>
  </si>
  <si>
    <t>铜川市</t>
  </si>
  <si>
    <t>西安市</t>
  </si>
  <si>
    <t>阿里地区</t>
  </si>
  <si>
    <t>那曲市</t>
  </si>
  <si>
    <t>山南市</t>
  </si>
  <si>
    <t>林芝市</t>
  </si>
  <si>
    <t>昌都市</t>
  </si>
  <si>
    <t>日喀则市</t>
  </si>
  <si>
    <t>拉萨市</t>
  </si>
  <si>
    <t>迪庆藏族自治州</t>
  </si>
  <si>
    <t>怒江傈僳族自治州</t>
  </si>
  <si>
    <t>德宏傣族景颇族自治州</t>
  </si>
  <si>
    <t>大理白族自治州</t>
  </si>
  <si>
    <t>西双版纳傣族自治州</t>
  </si>
  <si>
    <t>文山壮族苗族自治州</t>
  </si>
  <si>
    <t>红河哈尼族彝族自治州</t>
  </si>
  <si>
    <t>楚雄彝族自治州</t>
  </si>
  <si>
    <t>临沧市</t>
  </si>
  <si>
    <t>普洱市</t>
  </si>
  <si>
    <t>丽江市</t>
  </si>
  <si>
    <t>昭通市</t>
  </si>
  <si>
    <t>保山市</t>
  </si>
  <si>
    <t>玉溪市</t>
  </si>
  <si>
    <t>曲靖市</t>
  </si>
  <si>
    <t>昆明市</t>
  </si>
  <si>
    <t>黔南布依族苗族自治州</t>
  </si>
  <si>
    <t>黔东南苗族侗族自治州</t>
  </si>
  <si>
    <t>黔西南布依族苗族自治州</t>
  </si>
  <si>
    <t>铜仁市</t>
  </si>
  <si>
    <t>毕节市</t>
  </si>
  <si>
    <t>安顺市</t>
  </si>
  <si>
    <t>遵义市</t>
  </si>
  <si>
    <t>六盘水市</t>
  </si>
  <si>
    <t>贵阳市</t>
  </si>
  <si>
    <t>凉山彝族自治州</t>
  </si>
  <si>
    <t>甘孜藏族自治州</t>
  </si>
  <si>
    <t>阿坝藏族羌族自治州</t>
  </si>
  <si>
    <t>资阳市</t>
  </si>
  <si>
    <t>巴中市</t>
  </si>
  <si>
    <t>雅安市</t>
  </si>
  <si>
    <t>达州市</t>
  </si>
  <si>
    <t>广安市</t>
  </si>
  <si>
    <t>宜宾市</t>
  </si>
  <si>
    <t>眉山市</t>
  </si>
  <si>
    <t>南充市</t>
  </si>
  <si>
    <t>乐山市</t>
  </si>
  <si>
    <t>内江市</t>
  </si>
  <si>
    <t>遂宁市</t>
  </si>
  <si>
    <t>广元市</t>
  </si>
  <si>
    <t>绵阳市</t>
  </si>
  <si>
    <t>德阳市</t>
  </si>
  <si>
    <t>泸州市</t>
  </si>
  <si>
    <t>攀枝花市</t>
  </si>
  <si>
    <t>自贡市</t>
  </si>
  <si>
    <t>成都市</t>
  </si>
  <si>
    <t>琼中黎族苗族自治县</t>
  </si>
  <si>
    <t>保亭黎族苗族自治县</t>
  </si>
  <si>
    <t>陵水黎族自治县</t>
  </si>
  <si>
    <t>乐东黎族自治县</t>
  </si>
  <si>
    <t>昌江黎族自治县</t>
  </si>
  <si>
    <t>白沙黎族自治县</t>
  </si>
  <si>
    <t>临高县</t>
  </si>
  <si>
    <t>澄迈县</t>
  </si>
  <si>
    <t>屯昌县</t>
  </si>
  <si>
    <t>定安县</t>
  </si>
  <si>
    <t>东方市</t>
  </si>
  <si>
    <t>万宁市</t>
  </si>
  <si>
    <t>文昌市</t>
  </si>
  <si>
    <t>琼海市</t>
  </si>
  <si>
    <t>五指山市</t>
  </si>
  <si>
    <t>儋州市</t>
  </si>
  <si>
    <t>三沙市</t>
  </si>
  <si>
    <t>三亚市</t>
  </si>
  <si>
    <t>海口市</t>
  </si>
  <si>
    <t>崇左市</t>
  </si>
  <si>
    <t>来宾市</t>
  </si>
  <si>
    <t>河池市</t>
  </si>
  <si>
    <t>贺州市</t>
  </si>
  <si>
    <t>百色市</t>
  </si>
  <si>
    <t>玉林市</t>
  </si>
  <si>
    <t>贵港市</t>
  </si>
  <si>
    <t>钦州市</t>
  </si>
  <si>
    <t>防城港市</t>
  </si>
  <si>
    <t>北海市</t>
  </si>
  <si>
    <t>梧州市</t>
  </si>
  <si>
    <t>桂林市</t>
  </si>
  <si>
    <t>柳州市</t>
  </si>
  <si>
    <t>南宁市</t>
  </si>
  <si>
    <t>云浮市</t>
  </si>
  <si>
    <t>揭阳市</t>
  </si>
  <si>
    <t>潮州市</t>
  </si>
  <si>
    <t>中山市</t>
  </si>
  <si>
    <t>东莞市</t>
  </si>
  <si>
    <t>清远市</t>
  </si>
  <si>
    <t>阳江市</t>
  </si>
  <si>
    <t>河源市</t>
  </si>
  <si>
    <t>汕尾市</t>
  </si>
  <si>
    <t>梅州市</t>
  </si>
  <si>
    <t>惠州市</t>
  </si>
  <si>
    <t>肇庆市</t>
  </si>
  <si>
    <t>茂名市</t>
  </si>
  <si>
    <t>湛江市</t>
  </si>
  <si>
    <t>江门市</t>
  </si>
  <si>
    <t>佛山市</t>
  </si>
  <si>
    <t>汕头市</t>
  </si>
  <si>
    <t>珠海市</t>
  </si>
  <si>
    <t>深圳市</t>
  </si>
  <si>
    <t>韶关市</t>
  </si>
  <si>
    <t>广州市</t>
  </si>
  <si>
    <t>湘西土家族苗族自治州</t>
  </si>
  <si>
    <t>娄底市</t>
  </si>
  <si>
    <t>怀化市</t>
  </si>
  <si>
    <t>永州市</t>
  </si>
  <si>
    <t>郴州市</t>
  </si>
  <si>
    <t>益阳市</t>
  </si>
  <si>
    <t>张家界市</t>
  </si>
  <si>
    <t>常德市</t>
  </si>
  <si>
    <t>岳阳市</t>
  </si>
  <si>
    <t>邵阳市</t>
  </si>
  <si>
    <t>衡阳市</t>
  </si>
  <si>
    <t>湘潭市</t>
  </si>
  <si>
    <t>株洲市</t>
  </si>
  <si>
    <t>长沙市</t>
  </si>
  <si>
    <t>神农架林区</t>
  </si>
  <si>
    <t>天门市</t>
  </si>
  <si>
    <t>潜江市</t>
  </si>
  <si>
    <t>仙桃市</t>
  </si>
  <si>
    <t>恩施土家族苗族自治州</t>
  </si>
  <si>
    <t>随州市</t>
  </si>
  <si>
    <t>咸宁市</t>
  </si>
  <si>
    <t>黄冈市</t>
  </si>
  <si>
    <t>荆州市</t>
  </si>
  <si>
    <t>孝感市</t>
  </si>
  <si>
    <t>荆门市</t>
  </si>
  <si>
    <t>鄂州市</t>
  </si>
  <si>
    <t>襄阳市</t>
  </si>
  <si>
    <t>宜昌市</t>
  </si>
  <si>
    <t>十堰市</t>
  </si>
  <si>
    <t>黄石市</t>
  </si>
  <si>
    <t>武汉市</t>
  </si>
  <si>
    <t>济源市</t>
  </si>
  <si>
    <t>驻马店市</t>
  </si>
  <si>
    <t>周口市</t>
  </si>
  <si>
    <t>信阳市</t>
  </si>
  <si>
    <t>商丘市</t>
  </si>
  <si>
    <t>南阳市</t>
  </si>
  <si>
    <t>三门峡市</t>
  </si>
  <si>
    <t>漯河市</t>
  </si>
  <si>
    <t>许昌市</t>
  </si>
  <si>
    <t>濮阳市</t>
  </si>
  <si>
    <t>焦作市</t>
  </si>
  <si>
    <t>新乡市</t>
  </si>
  <si>
    <t>鹤壁市</t>
  </si>
  <si>
    <t>安阳市</t>
  </si>
  <si>
    <t>平顶山市</t>
  </si>
  <si>
    <t>洛阳市</t>
  </si>
  <si>
    <t>开封市</t>
  </si>
  <si>
    <t>郑州市</t>
  </si>
  <si>
    <t>上饶市</t>
  </si>
  <si>
    <t>抚州市</t>
  </si>
  <si>
    <t>宜春市</t>
  </si>
  <si>
    <t>吉安市</t>
  </si>
  <si>
    <t>赣州市</t>
  </si>
  <si>
    <t>鹰潭市</t>
  </si>
  <si>
    <t>新余市</t>
  </si>
  <si>
    <t>九江市</t>
  </si>
  <si>
    <t>萍乡市</t>
  </si>
  <si>
    <t>景德镇市</t>
  </si>
  <si>
    <t>南昌市</t>
  </si>
  <si>
    <t>宁德市</t>
  </si>
  <si>
    <t>龙岩市</t>
  </si>
  <si>
    <t>南平市</t>
  </si>
  <si>
    <t>漳州市</t>
  </si>
  <si>
    <t>泉州市</t>
  </si>
  <si>
    <t>三明市</t>
  </si>
  <si>
    <t>莆田市</t>
  </si>
  <si>
    <t>厦门市</t>
  </si>
  <si>
    <t>福州市</t>
  </si>
  <si>
    <t>宣城市</t>
  </si>
  <si>
    <t>池州市</t>
  </si>
  <si>
    <t>亳州市</t>
  </si>
  <si>
    <t>六安市</t>
  </si>
  <si>
    <t>宿州市</t>
  </si>
  <si>
    <t>阜阳市</t>
  </si>
  <si>
    <t>滁州市</t>
  </si>
  <si>
    <t>黄山市</t>
  </si>
  <si>
    <t>安庆市</t>
  </si>
  <si>
    <t>铜陵市</t>
  </si>
  <si>
    <t>淮北市</t>
  </si>
  <si>
    <t>马鞍山市</t>
  </si>
  <si>
    <t>淮南市</t>
  </si>
  <si>
    <t>蚌埠市</t>
  </si>
  <si>
    <t>芜湖市</t>
  </si>
  <si>
    <t>合肥市</t>
  </si>
  <si>
    <t>丽水市</t>
  </si>
  <si>
    <t>台州市</t>
  </si>
  <si>
    <t>舟山市</t>
  </si>
  <si>
    <t>衢州市</t>
  </si>
  <si>
    <t>金华市</t>
  </si>
  <si>
    <t>绍兴市</t>
  </si>
  <si>
    <t>湖州市</t>
  </si>
  <si>
    <t>嘉兴市</t>
  </si>
  <si>
    <t>温州市</t>
  </si>
  <si>
    <t>宁波市</t>
  </si>
  <si>
    <t>杭州市</t>
  </si>
  <si>
    <t>宿迁市</t>
  </si>
  <si>
    <t>泰州市</t>
  </si>
  <si>
    <t>镇江市</t>
  </si>
  <si>
    <t>扬州市</t>
  </si>
  <si>
    <t>盐城市</t>
  </si>
  <si>
    <t>淮安市</t>
  </si>
  <si>
    <t>连云港市</t>
  </si>
  <si>
    <t>南通市</t>
  </si>
  <si>
    <t>苏州市</t>
  </si>
  <si>
    <t>常州市</t>
  </si>
  <si>
    <t>徐州市</t>
  </si>
  <si>
    <t>无锡市</t>
  </si>
  <si>
    <t>南京市</t>
  </si>
  <si>
    <t>大兴安岭地区</t>
  </si>
  <si>
    <t>绥化市</t>
  </si>
  <si>
    <t>黑河市</t>
  </si>
  <si>
    <t>牡丹江市</t>
  </si>
  <si>
    <t>七台河市</t>
  </si>
  <si>
    <t>佳木斯市</t>
  </si>
  <si>
    <t>伊春市</t>
  </si>
  <si>
    <t>大庆市</t>
  </si>
  <si>
    <t>双鸭山市</t>
  </si>
  <si>
    <t>鹤岗市</t>
  </si>
  <si>
    <t>鸡西市</t>
  </si>
  <si>
    <t>齐齐哈尔市</t>
  </si>
  <si>
    <t>哈尔滨市</t>
  </si>
  <si>
    <t>延边朝鲜族自治州</t>
  </si>
  <si>
    <t>白城市</t>
  </si>
  <si>
    <t>松原市</t>
  </si>
  <si>
    <t>白山市</t>
  </si>
  <si>
    <t>通化市</t>
  </si>
  <si>
    <t>辽源市</t>
  </si>
  <si>
    <t>四平市</t>
  </si>
  <si>
    <t>吉林市</t>
  </si>
  <si>
    <t>长春市</t>
  </si>
  <si>
    <t>葫芦岛市</t>
  </si>
  <si>
    <t>朝阳市</t>
  </si>
  <si>
    <t>铁岭市</t>
  </si>
  <si>
    <t>盘锦市</t>
  </si>
  <si>
    <t>辽阳市</t>
  </si>
  <si>
    <t>阜新市</t>
  </si>
  <si>
    <t>营口市</t>
  </si>
  <si>
    <t>锦州市</t>
  </si>
  <si>
    <t>丹东市</t>
  </si>
  <si>
    <t>本溪市</t>
  </si>
  <si>
    <t>抚顺市</t>
  </si>
  <si>
    <t>鞍山市</t>
  </si>
  <si>
    <t>大连市</t>
  </si>
  <si>
    <t>沈阳市</t>
  </si>
  <si>
    <t>阿拉善盟</t>
  </si>
  <si>
    <t>锡林郭勒盟</t>
  </si>
  <si>
    <t>兴安盟</t>
  </si>
  <si>
    <t>乌兰察布市</t>
  </si>
  <si>
    <t>巴彦淖尔市</t>
  </si>
  <si>
    <t>呼伦贝尔市</t>
  </si>
  <si>
    <t>鄂尔多斯市</t>
  </si>
  <si>
    <t>通辽市</t>
  </si>
  <si>
    <t>赤峰市</t>
  </si>
  <si>
    <t>乌海市</t>
  </si>
  <si>
    <t>包头市</t>
  </si>
  <si>
    <t>呼和浩特市</t>
  </si>
  <si>
    <t>吕梁市</t>
  </si>
  <si>
    <t>临汾市</t>
  </si>
  <si>
    <t>忻州市</t>
  </si>
  <si>
    <t>运城市</t>
  </si>
  <si>
    <t>晋中市</t>
  </si>
  <si>
    <t>朔州市</t>
  </si>
  <si>
    <t>晋城市</t>
  </si>
  <si>
    <t>长治市</t>
  </si>
  <si>
    <t>阳泉市</t>
  </si>
  <si>
    <t>大同市</t>
  </si>
  <si>
    <t>太原市</t>
  </si>
  <si>
    <t>衡水市</t>
  </si>
  <si>
    <t>廊坊市</t>
  </si>
  <si>
    <t>沧州市</t>
  </si>
  <si>
    <t>承德市</t>
  </si>
  <si>
    <t>张家口市</t>
  </si>
  <si>
    <t>保定市</t>
  </si>
  <si>
    <t>邢台市</t>
  </si>
  <si>
    <t>邯郸市</t>
  </si>
  <si>
    <t>秦皇岛市</t>
  </si>
  <si>
    <t>唐山市</t>
  </si>
  <si>
    <t>石家庄市</t>
  </si>
  <si>
    <t>名称</t>
  </si>
  <si>
    <t>省级行政区</t>
  </si>
  <si>
    <t>行政区划编码</t>
  </si>
  <si>
    <t>Type</t>
    <phoneticPr fontId="7" type="noConversion"/>
  </si>
  <si>
    <t>技术可开发量</t>
    <phoneticPr fontId="7" type="noConversion"/>
  </si>
  <si>
    <t>经济可开发量</t>
    <phoneticPr fontId="7" type="noConversion"/>
  </si>
  <si>
    <t>假设住宅与公共建筑单位建筑面积屋顶光伏密度与容积率成反比，容积率之比约为1.68：0.8</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</si>
</sst>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00_);[Red]\(0.00\)"/>
    <numFmt numFmtId="178" formatCode="0_);[Red]\(0\)"/>
    <numFmt numFmtId="179" formatCode="0.0%"/>
    <numFmt numFmtId="180" formatCode="0.E+00"/>
  </numFmts>
  <fonts count="31">
    <font>
      <sz val="11"/>
      <color theme="1"/>
      <name val="等线"/>
      <family val="2"/>
      <charset val="134"/>
      <scheme val="minor"/>
    </font>
    <font>
      <sz val="11"/>
      <color theme="1"/>
      <name val="等线"/>
      <family val="2"/>
      <scheme val="minor"/>
    </font>
    <font>
      <sz val="12"/>
      <color rgb="FF000000"/>
      <name val="方正黑体_GBK"/>
      <family val="3"/>
      <charset val="134"/>
    </font>
    <font>
      <b/>
      <sz val="12"/>
      <color rgb="FF000000"/>
      <name val="方正仿宋_GBK"/>
      <family val="3"/>
      <charset val="134"/>
    </font>
    <font>
      <b/>
      <sz val="12"/>
      <color rgb="FF000000"/>
      <name val="Times New Roman"/>
      <family val="1"/>
    </font>
    <font>
      <sz val="12"/>
      <color rgb="FF000000"/>
      <name val="方正仿宋_GBK"/>
      <family val="3"/>
      <charset val="134"/>
    </font>
    <font>
      <sz val="12"/>
      <color rgb="FF000000"/>
      <name val="Times New Roman"/>
      <family val="1"/>
    </font>
    <font>
      <sz val="9"/>
      <name val="等线"/>
      <family val="2"/>
      <charset val="134"/>
      <scheme val="minor"/>
    </font>
    <font>
      <sz val="6"/>
      <name val="Microsoft YaHei"/>
      <family val="2"/>
      <charset val="134"/>
    </font>
    <font>
      <sz val="6"/>
      <name val="Times New Roman"/>
      <family val="1"/>
    </font>
    <font>
      <sz val="14"/>
      <color rgb="FF3B3B3B"/>
      <name val="Segoe UI"/>
      <family val="2"/>
    </font>
    <font>
      <sz val="14"/>
      <color rgb="FF3B3B3B"/>
      <name val="微软雅黑"/>
      <family val="2"/>
      <charset val="134"/>
    </font>
    <font>
      <sz val="14"/>
      <color rgb="FF3B3B3B"/>
      <name val="Segoe UI"/>
      <family val="2"/>
      <charset val="134"/>
    </font>
    <font>
      <sz val="11"/>
      <color rgb="FFFF0000"/>
      <name val="等线"/>
      <family val="2"/>
      <charset val="134"/>
      <scheme val="minor"/>
    </font>
    <font>
      <sz val="12"/>
      <color rgb="FF333333"/>
      <name val="微软雅黑"/>
      <family val="2"/>
      <charset val="134"/>
    </font>
    <font>
      <sz val="12"/>
      <color rgb="FF1780C4"/>
      <name val="微软雅黑"/>
      <family val="2"/>
      <charset val="134"/>
    </font>
    <font>
      <sz val="12"/>
      <color theme="1"/>
      <name val="等线"/>
      <family val="3"/>
      <charset val="134"/>
      <scheme val="minor"/>
    </font>
    <font>
      <b/>
      <sz val="12"/>
      <color theme="1"/>
      <name val="等线"/>
      <family val="3"/>
      <charset val="134"/>
      <scheme val="minor"/>
    </font>
    <font>
      <b/>
      <sz val="11"/>
      <color rgb="FFFF0000"/>
      <name val="等线"/>
      <family val="2"/>
      <scheme val="minor"/>
    </font>
    <font>
      <b/>
      <sz val="11"/>
      <color theme="1"/>
      <name val="等线"/>
      <family val="2"/>
      <scheme val="minor"/>
    </font>
    <font>
      <sz val="10"/>
      <color rgb="FF000000"/>
      <name val="等线"/>
      <family val="3"/>
      <charset val="134"/>
    </font>
    <font>
      <b/>
      <sz val="11"/>
      <color theme="1"/>
      <name val="等线"/>
      <family val="3"/>
      <charset val="134"/>
      <scheme val="minor"/>
    </font>
    <font>
      <sz val="10"/>
      <name val="Arial"/>
      <family val="2"/>
    </font>
    <font>
      <sz val="10"/>
      <name val="宋体"/>
      <family val="3"/>
      <charset val="134"/>
    </font>
    <font>
      <sz val="9"/>
      <name val="宋体"/>
      <family val="3"/>
      <charset val="134"/>
    </font>
    <font>
      <sz val="10"/>
      <color rgb="FF000000"/>
      <name val="Arial"/>
      <family val="2"/>
    </font>
    <font>
      <sz val="10"/>
      <name val="宋体"/>
      <family val="2"/>
      <charset val="134"/>
    </font>
    <font>
      <sz val="11"/>
      <color theme="1"/>
      <name val="等线"/>
      <family val="2"/>
      <charset val="134"/>
      <scheme val="minor"/>
    </font>
    <font>
      <sz val="11"/>
      <color rgb="FFFF0000"/>
      <name val="等线"/>
      <family val="3"/>
      <charset val="134"/>
      <scheme val="minor"/>
    </font>
    <font>
      <sz val="12"/>
      <color rgb="FF000000"/>
      <name val="等线"/>
      <family val="3"/>
      <charset val="134"/>
    </font>
    <font>
      <b/>
      <sz val="12"/>
      <color rgb="FFFF0000"/>
      <name val="等线"/>
      <family val="3"/>
      <charset val="134"/>
      <scheme val="minor"/>
    </font>
  </fonts>
  <fills count="9">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6" tint="0.7999816888943144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0" borderId="0"/>
    <xf numFmtId="0" fontId="22" fillId="0" borderId="0"/>
    <xf numFmtId="0" fontId="27" fillId="0" borderId="0"/>
  </cellStyleXfs>
  <cellXfs count="88">
    <xf numFmtId="0" fontId="0" fillId="0" borderId="0" xfId="0">
      <alignment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top"/>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indent="1"/>
    </xf>
    <xf numFmtId="176" fontId="0" fillId="0" borderId="0" xfId="0" applyNumberFormat="1">
      <alignment vertical="center"/>
    </xf>
    <xf numFmtId="176" fontId="0" fillId="0" borderId="0" xfId="0" applyNumberFormat="1" applyAlignment="1">
      <alignment horizontal="center" vertical="center"/>
    </xf>
    <xf numFmtId="177" fontId="0" fillId="0" borderId="0" xfId="0" applyNumberFormat="1">
      <alignment vertical="center"/>
    </xf>
    <xf numFmtId="0" fontId="12" fillId="0" borderId="0" xfId="0" applyFont="1">
      <alignment vertical="center"/>
    </xf>
    <xf numFmtId="0" fontId="14" fillId="0" borderId="0" xfId="0" applyFont="1">
      <alignment vertical="center"/>
    </xf>
    <xf numFmtId="177" fontId="13" fillId="0" borderId="0" xfId="0" applyNumberFormat="1" applyFont="1">
      <alignment vertical="center"/>
    </xf>
    <xf numFmtId="178" fontId="0" fillId="0" borderId="0" xfId="0" applyNumberFormat="1" applyAlignment="1">
      <alignment horizontal="center" vertical="center"/>
    </xf>
    <xf numFmtId="178" fontId="0" fillId="0" borderId="0" xfId="0" applyNumberFormat="1">
      <alignment vertical="center"/>
    </xf>
    <xf numFmtId="0" fontId="0" fillId="0" borderId="0" xfId="0" applyAlignment="1">
      <alignment horizontal="left" vertical="center"/>
    </xf>
    <xf numFmtId="40" fontId="0" fillId="0" borderId="0" xfId="0" applyNumberFormat="1">
      <alignment vertical="center"/>
    </xf>
    <xf numFmtId="0" fontId="16" fillId="0" borderId="0" xfId="0" applyFont="1" applyAlignment="1"/>
    <xf numFmtId="0" fontId="16" fillId="0" borderId="0" xfId="0" applyFont="1" applyAlignment="1">
      <alignment horizontal="left"/>
    </xf>
    <xf numFmtId="0" fontId="17" fillId="3" borderId="0" xfId="0" applyFont="1" applyFill="1" applyAlignment="1">
      <alignment horizontal="left"/>
    </xf>
    <xf numFmtId="0" fontId="0" fillId="0" borderId="0" xfId="0" applyAlignment="1"/>
    <xf numFmtId="11" fontId="0" fillId="0" borderId="0" xfId="0" applyNumberFormat="1">
      <alignment vertical="center"/>
    </xf>
    <xf numFmtId="179" fontId="0" fillId="0" borderId="0" xfId="0" applyNumberFormat="1">
      <alignment vertical="center"/>
    </xf>
    <xf numFmtId="9" fontId="0" fillId="0" borderId="0" xfId="0" applyNumberFormat="1">
      <alignment vertical="center"/>
    </xf>
    <xf numFmtId="0" fontId="0" fillId="0" borderId="0" xfId="0" applyAlignment="1">
      <alignment horizontal="left"/>
    </xf>
    <xf numFmtId="0" fontId="18" fillId="4" borderId="0" xfId="0" applyFont="1" applyFill="1" applyAlignment="1">
      <alignment horizontal="left"/>
    </xf>
    <xf numFmtId="0" fontId="19" fillId="3" borderId="0" xfId="0" applyFont="1" applyFill="1" applyAlignment="1">
      <alignment horizontal="left"/>
    </xf>
    <xf numFmtId="0" fontId="20" fillId="0" borderId="0" xfId="0" applyFont="1" applyAlignment="1">
      <alignment horizontal="left" vertical="center"/>
    </xf>
    <xf numFmtId="0" fontId="20" fillId="5" borderId="0" xfId="0" applyFont="1" applyFill="1" applyAlignment="1">
      <alignment horizontal="left" vertical="center"/>
    </xf>
    <xf numFmtId="0" fontId="20" fillId="6" borderId="0" xfId="0" applyFont="1" applyFill="1" applyAlignment="1">
      <alignment horizontal="left" vertical="center"/>
    </xf>
    <xf numFmtId="9" fontId="0" fillId="0" borderId="0" xfId="0" applyNumberFormat="1" applyAlignment="1">
      <alignment horizontal="center" vertical="center"/>
    </xf>
    <xf numFmtId="0" fontId="21" fillId="0" borderId="0" xfId="0" applyFont="1" applyAlignment="1">
      <alignment horizontal="center" vertical="center"/>
    </xf>
    <xf numFmtId="0" fontId="21" fillId="0" borderId="0" xfId="0" applyFont="1">
      <alignment vertical="center"/>
    </xf>
    <xf numFmtId="178" fontId="0" fillId="0" borderId="0" xfId="0" applyNumberFormat="1" applyAlignment="1">
      <alignment horizontal="right" vertical="center"/>
    </xf>
    <xf numFmtId="176" fontId="0" fillId="0" borderId="0" xfId="0" applyNumberFormat="1" applyAlignment="1">
      <alignment horizontal="right" vertical="center"/>
    </xf>
    <xf numFmtId="0" fontId="1" fillId="0" borderId="0" xfId="1"/>
    <xf numFmtId="0" fontId="22" fillId="0" borderId="11" xfId="0" applyFont="1" applyBorder="1" applyAlignment="1">
      <alignment horizontal="center" vertical="top" wrapText="1"/>
    </xf>
    <xf numFmtId="0" fontId="22" fillId="0" borderId="11" xfId="0" applyFont="1" applyBorder="1" applyAlignment="1">
      <alignment horizontal="center" vertical="center"/>
    </xf>
    <xf numFmtId="0" fontId="22" fillId="0" borderId="11" xfId="0" applyFont="1" applyBorder="1">
      <alignment vertical="center"/>
    </xf>
    <xf numFmtId="0" fontId="25" fillId="0" borderId="11" xfId="0" applyFont="1" applyBorder="1" applyAlignment="1">
      <alignment horizontal="center" vertical="top" shrinkToFit="1"/>
    </xf>
    <xf numFmtId="1" fontId="25" fillId="0" borderId="11" xfId="0" applyNumberFormat="1" applyFont="1" applyBorder="1" applyAlignment="1">
      <alignment horizontal="center" vertical="top" shrinkToFit="1"/>
    </xf>
    <xf numFmtId="0" fontId="22" fillId="0" borderId="11" xfId="0" applyFont="1" applyBorder="1" applyAlignment="1">
      <alignment horizontal="center" wrapText="1"/>
    </xf>
    <xf numFmtId="10" fontId="25" fillId="0" borderId="11" xfId="0" applyNumberFormat="1" applyFont="1" applyBorder="1" applyAlignment="1">
      <alignment horizontal="center" vertical="top" shrinkToFit="1"/>
    </xf>
    <xf numFmtId="176" fontId="25" fillId="0" borderId="11" xfId="0" applyNumberFormat="1" applyFont="1" applyBorder="1" applyAlignment="1">
      <alignment horizontal="center" vertical="top" shrinkToFit="1"/>
    </xf>
    <xf numFmtId="180" fontId="1" fillId="0" borderId="0" xfId="1" applyNumberFormat="1"/>
    <xf numFmtId="0" fontId="22" fillId="0" borderId="11" xfId="0" applyFont="1" applyBorder="1" applyAlignment="1">
      <alignment horizontal="center" vertical="center"/>
    </xf>
    <xf numFmtId="0" fontId="22" fillId="0" borderId="11" xfId="0" applyFont="1" applyBorder="1" applyAlignment="1">
      <alignment horizontal="center" vertical="top" wrapText="1"/>
    </xf>
    <xf numFmtId="0" fontId="23" fillId="0" borderId="11"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1" fontId="0" fillId="0" borderId="0" xfId="0" applyNumberFormat="1">
      <alignment vertical="center"/>
    </xf>
    <xf numFmtId="0" fontId="0" fillId="0" borderId="0" xfId="0" applyAlignment="1">
      <alignment horizontal="center" vertical="center"/>
    </xf>
    <xf numFmtId="10" fontId="0" fillId="0" borderId="0" xfId="0" applyNumberFormat="1">
      <alignment vertical="center"/>
    </xf>
    <xf numFmtId="176" fontId="13" fillId="0" borderId="0" xfId="0" applyNumberFormat="1" applyFont="1">
      <alignment vertical="center"/>
    </xf>
    <xf numFmtId="176" fontId="28" fillId="0" borderId="0" xfId="0" applyNumberFormat="1" applyFont="1">
      <alignment vertical="center"/>
    </xf>
    <xf numFmtId="0" fontId="13" fillId="0" borderId="0" xfId="0" applyFont="1">
      <alignment vertical="center"/>
    </xf>
    <xf numFmtId="0" fontId="23" fillId="0" borderId="0" xfId="2" applyFont="1"/>
    <xf numFmtId="176" fontId="23" fillId="0" borderId="0" xfId="2" applyNumberFormat="1" applyFont="1"/>
    <xf numFmtId="177" fontId="0" fillId="7" borderId="0" xfId="0" applyNumberFormat="1" applyFill="1" applyAlignment="1">
      <alignment vertical="center" wrapText="1"/>
    </xf>
    <xf numFmtId="178" fontId="23" fillId="0" borderId="0" xfId="2" applyNumberFormat="1" applyFont="1"/>
    <xf numFmtId="178" fontId="0" fillId="0" borderId="0" xfId="0" applyNumberFormat="1" applyAlignment="1">
      <alignment vertical="center" wrapText="1"/>
    </xf>
    <xf numFmtId="178" fontId="0" fillId="8" borderId="0" xfId="0" applyNumberFormat="1" applyFill="1" applyAlignment="1">
      <alignment vertical="center" wrapText="1"/>
    </xf>
    <xf numFmtId="176" fontId="23" fillId="0" borderId="0" xfId="2" applyNumberFormat="1" applyFont="1" applyAlignment="1">
      <alignment horizontal="right" vertical="center"/>
    </xf>
    <xf numFmtId="178" fontId="0" fillId="7" borderId="0" xfId="0" applyNumberFormat="1" applyFill="1" applyAlignment="1">
      <alignment vertical="center" wrapText="1"/>
    </xf>
    <xf numFmtId="0" fontId="27" fillId="0" borderId="0" xfId="3"/>
    <xf numFmtId="0" fontId="27" fillId="0" borderId="0" xfId="3" applyAlignment="1">
      <alignment horizontal="left"/>
    </xf>
    <xf numFmtId="0" fontId="16" fillId="0" borderId="0" xfId="3" applyFont="1" applyAlignment="1">
      <alignment horizontal="left"/>
    </xf>
    <xf numFmtId="0" fontId="16" fillId="0" borderId="0" xfId="3" applyFont="1"/>
    <xf numFmtId="0" fontId="29" fillId="5" borderId="0" xfId="3" applyFont="1" applyFill="1" applyAlignment="1">
      <alignment horizontal="left" vertical="center"/>
    </xf>
    <xf numFmtId="0" fontId="29" fillId="0" borderId="0" xfId="3" applyFont="1" applyAlignment="1">
      <alignment horizontal="left" vertical="center"/>
    </xf>
    <xf numFmtId="0" fontId="17" fillId="3" borderId="0" xfId="3" applyFont="1" applyFill="1" applyAlignment="1">
      <alignment horizontal="left"/>
    </xf>
    <xf numFmtId="0" fontId="30" fillId="4" borderId="0" xfId="3" applyFont="1" applyFill="1" applyAlignment="1">
      <alignment horizontal="left"/>
    </xf>
    <xf numFmtId="0" fontId="17" fillId="0" borderId="0" xfId="3" applyFont="1" applyAlignment="1">
      <alignment horizontal="center"/>
    </xf>
    <xf numFmtId="1" fontId="1" fillId="0" borderId="0" xfId="1" applyNumberFormat="1"/>
  </cellXfs>
  <cellStyles count="4">
    <cellStyle name="常规" xfId="0" builtinId="0"/>
    <cellStyle name="常规 2" xfId="1" xr:uid="{A487C3F1-2E1C-44DF-8CA5-6A8F0059B6F2}"/>
    <cellStyle name="常规 3" xfId="2" xr:uid="{3921DA37-2A70-42CF-AF00-8C6C372E2868}"/>
    <cellStyle name="常规 3 2" xfId="3" xr:uid="{BE6E74B4-4A91-4A30-B370-44F5E20943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分布式光伏外推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4580927384077"/>
          <c:y val="0.15146759716259958"/>
          <c:w val="0.86486351706036746"/>
          <c:h val="0.6990727179510724"/>
        </c:manualLayout>
      </c:layout>
      <c:lineChart>
        <c:grouping val="standard"/>
        <c:varyColors val="0"/>
        <c:ser>
          <c:idx val="0"/>
          <c:order val="0"/>
          <c:tx>
            <c:strRef>
              <c:f>'National Workbook'!$C$61</c:f>
              <c:strCache>
                <c:ptCount val="1"/>
                <c:pt idx="0">
                  <c:v>光伏电站</c:v>
                </c:pt>
              </c:strCache>
            </c:strRef>
          </c:tx>
          <c:spPr>
            <a:ln w="28575" cap="rnd">
              <a:solidFill>
                <a:schemeClr val="accent1"/>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Workbook'!$E$61:$N$61</c:f>
              <c:numCache>
                <c:formatCode>0</c:formatCode>
                <c:ptCount val="10"/>
                <c:pt idx="0">
                  <c:v>1163.7410940013699</c:v>
                </c:pt>
                <c:pt idx="1">
                  <c:v>1960.7561480119421</c:v>
                </c:pt>
                <c:pt idx="2">
                  <c:v>3283.9433463571422</c:v>
                </c:pt>
                <c:pt idx="3">
                  <c:v>6265.3700298781623</c:v>
                </c:pt>
                <c:pt idx="4">
                  <c:v>9581.6335325212312</c:v>
                </c:pt>
                <c:pt idx="5">
                  <c:v>12603.633532521231</c:v>
                </c:pt>
                <c:pt idx="6">
                  <c:v>14364.633532521231</c:v>
                </c:pt>
                <c:pt idx="7">
                  <c:v>17485.50353252123</c:v>
                </c:pt>
                <c:pt idx="8">
                  <c:v>20045.57353252123</c:v>
                </c:pt>
                <c:pt idx="9">
                  <c:v>23640.033532521233</c:v>
                </c:pt>
              </c:numCache>
            </c:numRef>
          </c:val>
          <c:smooth val="0"/>
          <c:extLst>
            <c:ext xmlns:c16="http://schemas.microsoft.com/office/drawing/2014/chart" uri="{C3380CC4-5D6E-409C-BE32-E72D297353CC}">
              <c16:uniqueId val="{00000000-4697-4AC6-9310-CEDFCEF76E65}"/>
            </c:ext>
          </c:extLst>
        </c:ser>
        <c:ser>
          <c:idx val="1"/>
          <c:order val="1"/>
          <c:tx>
            <c:strRef>
              <c:f>'National Workbook'!$C$62</c:f>
              <c:strCache>
                <c:ptCount val="1"/>
                <c:pt idx="0">
                  <c:v>工商分布式</c:v>
                </c:pt>
              </c:strCache>
            </c:strRef>
          </c:tx>
          <c:spPr>
            <a:ln w="28575" cap="rnd">
              <a:solidFill>
                <a:schemeClr val="accent2"/>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Workbook'!$E$62:$N$62</c:f>
              <c:numCache>
                <c:formatCode>0</c:formatCode>
                <c:ptCount val="10"/>
                <c:pt idx="0">
                  <c:v>1295.0087336244624</c:v>
                </c:pt>
                <c:pt idx="1">
                  <c:v>1505.4775913583103</c:v>
                </c:pt>
                <c:pt idx="2">
                  <c:v>1633.03447483338</c:v>
                </c:pt>
                <c:pt idx="3">
                  <c:v>2015.70512525857</c:v>
                </c:pt>
                <c:pt idx="4">
                  <c:v>3658</c:v>
                </c:pt>
                <c:pt idx="5">
                  <c:v>5523.5194208227995</c:v>
                </c:pt>
                <c:pt idx="6">
                  <c:v>6225.0822799356492</c:v>
                </c:pt>
                <c:pt idx="7">
                  <c:v>6767.1990347046694</c:v>
                </c:pt>
                <c:pt idx="8">
                  <c:v>7535.4789347046681</c:v>
                </c:pt>
                <c:pt idx="9">
                  <c:v>10019.578934704674</c:v>
                </c:pt>
              </c:numCache>
            </c:numRef>
          </c:val>
          <c:smooth val="0"/>
          <c:extLst>
            <c:ext xmlns:c16="http://schemas.microsoft.com/office/drawing/2014/chart" uri="{C3380CC4-5D6E-409C-BE32-E72D297353CC}">
              <c16:uniqueId val="{00000001-4697-4AC6-9310-CEDFCEF76E65}"/>
            </c:ext>
          </c:extLst>
        </c:ser>
        <c:ser>
          <c:idx val="3"/>
          <c:order val="3"/>
          <c:tx>
            <c:strRef>
              <c:f>'National Workbook'!$C$64</c:f>
              <c:strCache>
                <c:ptCount val="1"/>
                <c:pt idx="0">
                  <c:v>乡村户用光伏</c:v>
                </c:pt>
              </c:strCache>
            </c:strRef>
          </c:tx>
          <c:spPr>
            <a:ln w="28575" cap="rnd">
              <a:solidFill>
                <a:schemeClr val="accent4"/>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Workbook'!$E$64:$N$64</c:f>
              <c:numCache>
                <c:formatCode>0</c:formatCode>
                <c:ptCount val="10"/>
                <c:pt idx="0">
                  <c:v>14.184001497987033</c:v>
                </c:pt>
                <c:pt idx="1">
                  <c:v>24.270402563225691</c:v>
                </c:pt>
                <c:pt idx="2">
                  <c:v>36.87840389476797</c:v>
                </c:pt>
                <c:pt idx="3">
                  <c:v>74.702407889402693</c:v>
                </c:pt>
                <c:pt idx="4">
                  <c:v>314.25443318875324</c:v>
                </c:pt>
                <c:pt idx="5">
                  <c:v>503.37445316191889</c:v>
                </c:pt>
                <c:pt idx="6">
                  <c:v>919.43849710288464</c:v>
                </c:pt>
                <c:pt idx="7">
                  <c:v>1726.3505823217315</c:v>
                </c:pt>
                <c:pt idx="8">
                  <c:v>3434.0431727731711</c:v>
                </c:pt>
                <c:pt idx="9">
                  <c:v>5431.9996042277835</c:v>
                </c:pt>
              </c:numCache>
            </c:numRef>
          </c:val>
          <c:smooth val="0"/>
          <c:extLst>
            <c:ext xmlns:c16="http://schemas.microsoft.com/office/drawing/2014/chart" uri="{C3380CC4-5D6E-409C-BE32-E72D297353CC}">
              <c16:uniqueId val="{00000002-4697-4AC6-9310-CEDFCEF76E65}"/>
            </c:ext>
          </c:extLst>
        </c:ser>
        <c:ser>
          <c:idx val="4"/>
          <c:order val="4"/>
          <c:tx>
            <c:strRef>
              <c:f>'National Workbook'!$C$65</c:f>
              <c:strCache>
                <c:ptCount val="1"/>
                <c:pt idx="0">
                  <c:v>城镇户用光伏</c:v>
                </c:pt>
              </c:strCache>
            </c:strRef>
          </c:tx>
          <c:spPr>
            <a:ln w="28575" cap="rnd">
              <a:solidFill>
                <a:schemeClr val="accent5"/>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Workbook'!$E$65:$N$65</c:f>
              <c:numCache>
                <c:formatCode>0</c:formatCode>
                <c:ptCount val="10"/>
                <c:pt idx="0">
                  <c:v>3.7536852406929793</c:v>
                </c:pt>
                <c:pt idx="1">
                  <c:v>6.422972522964451</c:v>
                </c:pt>
                <c:pt idx="2">
                  <c:v>9.759581625802193</c:v>
                </c:pt>
                <c:pt idx="3">
                  <c:v>19.769408934317497</c:v>
                </c:pt>
                <c:pt idx="4">
                  <c:v>83.16498188824707</c:v>
                </c:pt>
                <c:pt idx="5">
                  <c:v>133.21411843082151</c:v>
                </c:pt>
                <c:pt idx="6">
                  <c:v>243.32221882448559</c:v>
                </c:pt>
                <c:pt idx="7">
                  <c:v>456.86520140613834</c:v>
                </c:pt>
                <c:pt idx="8">
                  <c:v>908.79271095469869</c:v>
                </c:pt>
                <c:pt idx="9">
                  <c:v>1437.5362795000865</c:v>
                </c:pt>
              </c:numCache>
            </c:numRef>
          </c:val>
          <c:smooth val="0"/>
          <c:extLst>
            <c:ext xmlns:c16="http://schemas.microsoft.com/office/drawing/2014/chart" uri="{C3380CC4-5D6E-409C-BE32-E72D297353CC}">
              <c16:uniqueId val="{00000003-4697-4AC6-9310-CEDFCEF76E65}"/>
            </c:ext>
          </c:extLst>
        </c:ser>
        <c:ser>
          <c:idx val="5"/>
          <c:order val="5"/>
          <c:tx>
            <c:strRef>
              <c:f>'National Workbook'!$C$62</c:f>
              <c:strCache>
                <c:ptCount val="1"/>
                <c:pt idx="0">
                  <c:v>工商分布式</c:v>
                </c:pt>
              </c:strCache>
            </c:strRef>
          </c:tx>
          <c:spPr>
            <a:ln w="22225" cap="rnd">
              <a:solidFill>
                <a:schemeClr val="accent2"/>
              </a:solidFill>
              <a:prstDash val="dash"/>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Workbook'!$E$62:$AZ$62</c:f>
              <c:numCache>
                <c:formatCode>0</c:formatCode>
                <c:ptCount val="48"/>
                <c:pt idx="0">
                  <c:v>1295.0087336244624</c:v>
                </c:pt>
                <c:pt idx="1">
                  <c:v>1505.4775913583103</c:v>
                </c:pt>
                <c:pt idx="2">
                  <c:v>1633.03447483338</c:v>
                </c:pt>
                <c:pt idx="3">
                  <c:v>2015.70512525857</c:v>
                </c:pt>
                <c:pt idx="4">
                  <c:v>3658</c:v>
                </c:pt>
                <c:pt idx="5">
                  <c:v>5523.5194208227995</c:v>
                </c:pt>
                <c:pt idx="6">
                  <c:v>6225.0822799356492</c:v>
                </c:pt>
                <c:pt idx="7">
                  <c:v>6767.1990347046694</c:v>
                </c:pt>
                <c:pt idx="8">
                  <c:v>7535.4789347046681</c:v>
                </c:pt>
                <c:pt idx="9">
                  <c:v>10019.578934704674</c:v>
                </c:pt>
                <c:pt idx="10">
                  <c:v>10679.260377394501</c:v>
                </c:pt>
                <c:pt idx="11">
                  <c:v>11858.198195667006</c:v>
                </c:pt>
                <c:pt idx="12">
                  <c:v>13037.136013939511</c:v>
                </c:pt>
                <c:pt idx="13">
                  <c:v>13826.075619561629</c:v>
                </c:pt>
                <c:pt idx="14">
                  <c:v>14109.298398856052</c:v>
                </c:pt>
                <c:pt idx="15">
                  <c:v>14387.290221037552</c:v>
                </c:pt>
                <c:pt idx="16">
                  <c:v>14660.032275055748</c:v>
                </c:pt>
                <c:pt idx="17">
                  <c:v>14927.510929317068</c:v>
                </c:pt>
                <c:pt idx="18">
                  <c:v>15189.718436208692</c:v>
                </c:pt>
                <c:pt idx="19">
                  <c:v>15399.470691221853</c:v>
                </c:pt>
                <c:pt idx="20">
                  <c:v>15603.0932710947</c:v>
                </c:pt>
                <c:pt idx="21">
                  <c:v>15800.669618891327</c:v>
                </c:pt>
                <c:pt idx="22">
                  <c:v>15992.292312684063</c:v>
                </c:pt>
                <c:pt idx="23">
                  <c:v>16178.063141377617</c:v>
                </c:pt>
                <c:pt idx="24">
                  <c:v>16358.094354935782</c:v>
                </c:pt>
                <c:pt idx="25">
                  <c:v>16532.509703888278</c:v>
                </c:pt>
                <c:pt idx="26">
                  <c:v>16701.444697756466</c:v>
                </c:pt>
                <c:pt idx="27">
                  <c:v>16865.048346045984</c:v>
                </c:pt>
                <c:pt idx="28">
                  <c:v>17023.483942553099</c:v>
                </c:pt>
                <c:pt idx="29">
                  <c:v>17173.072004517864</c:v>
                </c:pt>
                <c:pt idx="30">
                  <c:v>17317.73062599315</c:v>
                </c:pt>
                <c:pt idx="31">
                  <c:v>17457.673389695192</c:v>
                </c:pt>
                <c:pt idx="32">
                  <c:v>17593.132691876479</c:v>
                </c:pt>
                <c:pt idx="33">
                  <c:v>17724.360125784118</c:v>
                </c:pt>
                <c:pt idx="34">
                  <c:v>17851.627742611916</c:v>
                </c:pt>
                <c:pt idx="35">
                  <c:v>17975.230656672695</c:v>
                </c:pt>
                <c:pt idx="36">
                  <c:v>18095.486346632006</c:v>
                </c:pt>
                <c:pt idx="37">
                  <c:v>18212.737151850357</c:v>
                </c:pt>
                <c:pt idx="38">
                  <c:v>18327.351953002595</c:v>
                </c:pt>
                <c:pt idx="39">
                  <c:v>18452.798910812533</c:v>
                </c:pt>
                <c:pt idx="40">
                  <c:v>18576.402001877639</c:v>
                </c:pt>
                <c:pt idx="41">
                  <c:v>18698.619469660454</c:v>
                </c:pt>
                <c:pt idx="42">
                  <c:v>18819.94670735006</c:v>
                </c:pt>
                <c:pt idx="43">
                  <c:v>18940.917139372523</c:v>
                </c:pt>
                <c:pt idx="44">
                  <c:v>19062.104387149822</c:v>
                </c:pt>
                <c:pt idx="45">
                  <c:v>19184.124190745428</c:v>
                </c:pt>
                <c:pt idx="46">
                  <c:v>19307.636597693625</c:v>
                </c:pt>
                <c:pt idx="47">
                  <c:v>19433.348277615776</c:v>
                </c:pt>
              </c:numCache>
            </c:numRef>
          </c:val>
          <c:smooth val="0"/>
          <c:extLst>
            <c:ext xmlns:c16="http://schemas.microsoft.com/office/drawing/2014/chart" uri="{C3380CC4-5D6E-409C-BE32-E72D297353CC}">
              <c16:uniqueId val="{00000004-4697-4AC6-9310-CEDFCEF76E65}"/>
            </c:ext>
          </c:extLst>
        </c:ser>
        <c:ser>
          <c:idx val="6"/>
          <c:order val="6"/>
          <c:tx>
            <c:strRef>
              <c:f>'National Workbook'!$C$64</c:f>
              <c:strCache>
                <c:ptCount val="1"/>
                <c:pt idx="0">
                  <c:v>乡村户用光伏</c:v>
                </c:pt>
              </c:strCache>
            </c:strRef>
          </c:tx>
          <c:spPr>
            <a:ln w="22225" cap="rnd">
              <a:solidFill>
                <a:schemeClr val="accent4"/>
              </a:solidFill>
              <a:prstDash val="dash"/>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Workbook'!$E$64:$AZ$64</c:f>
              <c:numCache>
                <c:formatCode>0</c:formatCode>
                <c:ptCount val="48"/>
                <c:pt idx="0">
                  <c:v>14.184001497987033</c:v>
                </c:pt>
                <c:pt idx="1">
                  <c:v>24.270402563225691</c:v>
                </c:pt>
                <c:pt idx="2">
                  <c:v>36.87840389476797</c:v>
                </c:pt>
                <c:pt idx="3">
                  <c:v>74.702407889402693</c:v>
                </c:pt>
                <c:pt idx="4">
                  <c:v>314.25443318875324</c:v>
                </c:pt>
                <c:pt idx="5">
                  <c:v>503.37445316191889</c:v>
                </c:pt>
                <c:pt idx="6">
                  <c:v>919.43849710288464</c:v>
                </c:pt>
                <c:pt idx="7">
                  <c:v>1726.3505823217315</c:v>
                </c:pt>
                <c:pt idx="8">
                  <c:v>3434.0431727731711</c:v>
                </c:pt>
                <c:pt idx="9">
                  <c:v>5431.9996042277835</c:v>
                </c:pt>
                <c:pt idx="10">
                  <c:v>7236.4468083465472</c:v>
                </c:pt>
                <c:pt idx="11">
                  <c:v>9089.2713192999363</c:v>
                </c:pt>
                <c:pt idx="12">
                  <c:v>10942.09583025286</c:v>
                </c:pt>
                <c:pt idx="13">
                  <c:v>12794.920341205783</c:v>
                </c:pt>
                <c:pt idx="14">
                  <c:v>14647.744852158707</c:v>
                </c:pt>
                <c:pt idx="15">
                  <c:v>16500.569363112096</c:v>
                </c:pt>
                <c:pt idx="16">
                  <c:v>18353.393874065019</c:v>
                </c:pt>
                <c:pt idx="17">
                  <c:v>20206.218385017943</c:v>
                </c:pt>
                <c:pt idx="18">
                  <c:v>22059.042895970866</c:v>
                </c:pt>
                <c:pt idx="19">
                  <c:v>23911.86740692379</c:v>
                </c:pt>
                <c:pt idx="20">
                  <c:v>25764.691917877179</c:v>
                </c:pt>
                <c:pt idx="21">
                  <c:v>27617.516428830102</c:v>
                </c:pt>
                <c:pt idx="22">
                  <c:v>29470.340939783026</c:v>
                </c:pt>
                <c:pt idx="23">
                  <c:v>31323.165450735949</c:v>
                </c:pt>
                <c:pt idx="24">
                  <c:v>33175.989961689338</c:v>
                </c:pt>
                <c:pt idx="25">
                  <c:v>35028.814472642262</c:v>
                </c:pt>
                <c:pt idx="26">
                  <c:v>36881.638983595185</c:v>
                </c:pt>
                <c:pt idx="27">
                  <c:v>38734.463494548108</c:v>
                </c:pt>
                <c:pt idx="28">
                  <c:v>40587.288005501032</c:v>
                </c:pt>
                <c:pt idx="29">
                  <c:v>42440.112516454421</c:v>
                </c:pt>
                <c:pt idx="30">
                  <c:v>44292.937027407344</c:v>
                </c:pt>
                <c:pt idx="31">
                  <c:v>45937.304100250534</c:v>
                </c:pt>
                <c:pt idx="32">
                  <c:v>45375.95758614783</c:v>
                </c:pt>
                <c:pt idx="33">
                  <c:v>44798.746106836807</c:v>
                </c:pt>
                <c:pt idx="34">
                  <c:v>44207.937237698701</c:v>
                </c:pt>
                <c:pt idx="35">
                  <c:v>43605.867476893334</c:v>
                </c:pt>
                <c:pt idx="36">
                  <c:v>42994.937263684929</c:v>
                </c:pt>
                <c:pt idx="37">
                  <c:v>42377.609998258122</c:v>
                </c:pt>
                <c:pt idx="38">
                  <c:v>41756.410923645424</c:v>
                </c:pt>
                <c:pt idx="39">
                  <c:v>41165.23679509986</c:v>
                </c:pt>
                <c:pt idx="40">
                  <c:v>40575.149150119651</c:v>
                </c:pt>
                <c:pt idx="41">
                  <c:v>39988.804163120418</c:v>
                </c:pt>
                <c:pt idx="42">
                  <c:v>39408.904101727327</c:v>
                </c:pt>
                <c:pt idx="43">
                  <c:v>38838.188804022175</c:v>
                </c:pt>
                <c:pt idx="44">
                  <c:v>38279.43568348173</c:v>
                </c:pt>
                <c:pt idx="45">
                  <c:v>37735.455653047378</c:v>
                </c:pt>
                <c:pt idx="46">
                  <c:v>37209.090578810654</c:v>
                </c:pt>
                <c:pt idx="47">
                  <c:v>36703.213420659675</c:v>
                </c:pt>
              </c:numCache>
            </c:numRef>
          </c:val>
          <c:smooth val="0"/>
          <c:extLst>
            <c:ext xmlns:c16="http://schemas.microsoft.com/office/drawing/2014/chart" uri="{C3380CC4-5D6E-409C-BE32-E72D297353CC}">
              <c16:uniqueId val="{00000005-4697-4AC6-9310-CEDFCEF76E65}"/>
            </c:ext>
          </c:extLst>
        </c:ser>
        <c:ser>
          <c:idx val="7"/>
          <c:order val="7"/>
          <c:tx>
            <c:strRef>
              <c:f>'National Workbook'!$C$65</c:f>
              <c:strCache>
                <c:ptCount val="1"/>
                <c:pt idx="0">
                  <c:v>城镇户用光伏</c:v>
                </c:pt>
              </c:strCache>
            </c:strRef>
          </c:tx>
          <c:spPr>
            <a:ln w="22225" cap="rnd" cmpd="sng">
              <a:solidFill>
                <a:schemeClr val="accent5"/>
              </a:solidFill>
              <a:prstDash val="dash"/>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Workbook'!$E$65:$AZ$65</c:f>
              <c:numCache>
                <c:formatCode>0</c:formatCode>
                <c:ptCount val="48"/>
                <c:pt idx="0">
                  <c:v>3.7536852406929793</c:v>
                </c:pt>
                <c:pt idx="1">
                  <c:v>6.422972522964451</c:v>
                </c:pt>
                <c:pt idx="2">
                  <c:v>9.759581625802193</c:v>
                </c:pt>
                <c:pt idx="3">
                  <c:v>19.769408934317497</c:v>
                </c:pt>
                <c:pt idx="4">
                  <c:v>83.16498188824707</c:v>
                </c:pt>
                <c:pt idx="5">
                  <c:v>133.21411843082151</c:v>
                </c:pt>
                <c:pt idx="6">
                  <c:v>243.32221882448559</c:v>
                </c:pt>
                <c:pt idx="7">
                  <c:v>456.86520140613834</c:v>
                </c:pt>
                <c:pt idx="8">
                  <c:v>908.79271095469869</c:v>
                </c:pt>
                <c:pt idx="9">
                  <c:v>1437.5362795000865</c:v>
                </c:pt>
                <c:pt idx="10">
                  <c:v>1915.0691420475487</c:v>
                </c:pt>
                <c:pt idx="11">
                  <c:v>2405.4046810944565</c:v>
                </c:pt>
                <c:pt idx="12">
                  <c:v>2895.7402201414807</c:v>
                </c:pt>
                <c:pt idx="13">
                  <c:v>3386.0757591883885</c:v>
                </c:pt>
                <c:pt idx="14">
                  <c:v>3876.4112982354127</c:v>
                </c:pt>
                <c:pt idx="15">
                  <c:v>4366.7468372824369</c:v>
                </c:pt>
                <c:pt idx="16">
                  <c:v>4857.0823763293447</c:v>
                </c:pt>
                <c:pt idx="17">
                  <c:v>5347.4179153763689</c:v>
                </c:pt>
                <c:pt idx="18">
                  <c:v>5837.7534544232767</c:v>
                </c:pt>
                <c:pt idx="19">
                  <c:v>6328.0889934703009</c:v>
                </c:pt>
                <c:pt idx="20">
                  <c:v>6818.4245325172087</c:v>
                </c:pt>
                <c:pt idx="21">
                  <c:v>7308.7600715642329</c:v>
                </c:pt>
                <c:pt idx="22">
                  <c:v>7799.0956106112571</c:v>
                </c:pt>
                <c:pt idx="23">
                  <c:v>8289.4311496581649</c:v>
                </c:pt>
                <c:pt idx="24">
                  <c:v>8779.7666887051892</c:v>
                </c:pt>
                <c:pt idx="25">
                  <c:v>9270.102227752097</c:v>
                </c:pt>
                <c:pt idx="26">
                  <c:v>9760.4377667991212</c:v>
                </c:pt>
                <c:pt idx="27">
                  <c:v>10250.773305846029</c:v>
                </c:pt>
                <c:pt idx="28">
                  <c:v>10439.280667448918</c:v>
                </c:pt>
                <c:pt idx="29">
                  <c:v>10470.522211761403</c:v>
                </c:pt>
                <c:pt idx="30">
                  <c:v>10498.583755490476</c:v>
                </c:pt>
                <c:pt idx="31">
                  <c:v>10523.656877109062</c:v>
                </c:pt>
                <c:pt idx="32">
                  <c:v>10545.942626608277</c:v>
                </c:pt>
                <c:pt idx="33">
                  <c:v>10565.651255169218</c:v>
                </c:pt>
                <c:pt idx="34">
                  <c:v>10583.002548397182</c:v>
                </c:pt>
                <c:pt idx="35">
                  <c:v>10598.226879147109</c:v>
                </c:pt>
                <c:pt idx="36">
                  <c:v>10611.564349393715</c:v>
                </c:pt>
                <c:pt idx="37">
                  <c:v>10623.265719421153</c:v>
                </c:pt>
                <c:pt idx="38">
                  <c:v>10633.592957826515</c:v>
                </c:pt>
                <c:pt idx="39">
                  <c:v>10641.795768222784</c:v>
                </c:pt>
                <c:pt idx="40">
                  <c:v>10649.18462681565</c:v>
                </c:pt>
                <c:pt idx="41">
                  <c:v>10656.057668297681</c:v>
                </c:pt>
                <c:pt idx="42">
                  <c:v>10662.726507295622</c:v>
                </c:pt>
                <c:pt idx="43">
                  <c:v>10669.516109102926</c:v>
                </c:pt>
                <c:pt idx="44">
                  <c:v>10676.76533687699</c:v>
                </c:pt>
                <c:pt idx="45">
                  <c:v>10684.827351817552</c:v>
                </c:pt>
                <c:pt idx="46">
                  <c:v>10694.070189690803</c:v>
                </c:pt>
                <c:pt idx="47">
                  <c:v>10704.877350167635</c:v>
                </c:pt>
              </c:numCache>
            </c:numRef>
          </c:val>
          <c:smooth val="0"/>
          <c:extLst>
            <c:ext xmlns:c16="http://schemas.microsoft.com/office/drawing/2014/chart" uri="{C3380CC4-5D6E-409C-BE32-E72D297353CC}">
              <c16:uniqueId val="{00000006-4697-4AC6-9310-CEDFCEF76E65}"/>
            </c:ext>
          </c:extLst>
        </c:ser>
        <c:dLbls>
          <c:showLegendKey val="0"/>
          <c:showVal val="0"/>
          <c:showCatName val="0"/>
          <c:showSerName val="0"/>
          <c:showPercent val="0"/>
          <c:showBubbleSize val="0"/>
        </c:dLbls>
        <c:smooth val="0"/>
        <c:axId val="911914096"/>
        <c:axId val="1017691584"/>
        <c:extLst>
          <c:ext xmlns:c15="http://schemas.microsoft.com/office/drawing/2012/chart" uri="{02D57815-91ED-43cb-92C2-25804820EDAC}">
            <c15:filteredLineSeries>
              <c15:ser>
                <c:idx val="2"/>
                <c:order val="2"/>
                <c:tx>
                  <c:strRef>
                    <c:extLst>
                      <c:ext uri="{02D57815-91ED-43cb-92C2-25804820EDAC}">
                        <c15:formulaRef>
                          <c15:sqref>'National Workbook'!$C$63</c15:sqref>
                        </c15:formulaRef>
                      </c:ext>
                    </c:extLst>
                    <c:strCache>
                      <c:ptCount val="1"/>
                      <c:pt idx="0">
                        <c:v>户用分布式</c:v>
                      </c:pt>
                    </c:strCache>
                  </c:strRef>
                </c:tx>
                <c:spPr>
                  <a:ln w="28575" cap="rnd">
                    <a:solidFill>
                      <a:schemeClr val="accent3"/>
                    </a:solidFill>
                    <a:round/>
                  </a:ln>
                  <a:effectLst/>
                </c:spPr>
                <c:marker>
                  <c:symbol val="none"/>
                </c:marker>
                <c:cat>
                  <c:numRef>
                    <c:extLst>
                      <c:ext uri="{02D57815-91ED-43cb-92C2-25804820EDAC}">
                        <c15:formulaRef>
                          <c15:sqref>'National Workbook'!$E$54:$AZ$54</c15:sqref>
                        </c15:formulaRef>
                      </c:ext>
                    </c:extLst>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extLst>
                      <c:ext uri="{02D57815-91ED-43cb-92C2-25804820EDAC}">
                        <c15:formulaRef>
                          <c15:sqref>'National Workbook'!$E$63:$N$63</c15:sqref>
                        </c15:formulaRef>
                      </c:ext>
                    </c:extLst>
                    <c:numCache>
                      <c:formatCode>0</c:formatCode>
                      <c:ptCount val="10"/>
                      <c:pt idx="0">
                        <c:v>17.937686738680014</c:v>
                      </c:pt>
                      <c:pt idx="1">
                        <c:v>30.693375086190144</c:v>
                      </c:pt>
                      <c:pt idx="2">
                        <c:v>46.637985520570169</c:v>
                      </c:pt>
                      <c:pt idx="3">
                        <c:v>94.471816823720189</c:v>
                      </c:pt>
                      <c:pt idx="4">
                        <c:v>397.41941507700034</c:v>
                      </c:pt>
                      <c:pt idx="5">
                        <c:v>636.58857159274044</c:v>
                      </c:pt>
                      <c:pt idx="6">
                        <c:v>1162.7607159273703</c:v>
                      </c:pt>
                      <c:pt idx="7">
                        <c:v>2183.2157837278701</c:v>
                      </c:pt>
                      <c:pt idx="8">
                        <c:v>4342.8358837278702</c:v>
                      </c:pt>
                      <c:pt idx="9">
                        <c:v>6869.53588372787</c:v>
                      </c:pt>
                    </c:numCache>
                  </c:numRef>
                </c:val>
                <c:smooth val="0"/>
                <c:extLst>
                  <c:ext xmlns:c16="http://schemas.microsoft.com/office/drawing/2014/chart" uri="{C3380CC4-5D6E-409C-BE32-E72D297353CC}">
                    <c16:uniqueId val="{00000007-4697-4AC6-9310-CEDFCEF76E65}"/>
                  </c:ext>
                </c:extLst>
              </c15:ser>
            </c15:filteredLineSeries>
          </c:ext>
        </c:extLst>
      </c:lineChart>
      <c:catAx>
        <c:axId val="9119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17691584"/>
        <c:crosses val="autoZero"/>
        <c:auto val="1"/>
        <c:lblAlgn val="ctr"/>
        <c:lblOffset val="100"/>
        <c:tickLblSkip val="9"/>
        <c:noMultiLvlLbl val="0"/>
      </c:catAx>
      <c:valAx>
        <c:axId val="1017691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1914096"/>
        <c:crosses val="autoZero"/>
        <c:crossBetween val="between"/>
      </c:valAx>
      <c:spPr>
        <a:noFill/>
        <a:ln>
          <a:noFill/>
        </a:ln>
        <a:effectLst/>
      </c:spPr>
    </c:plotArea>
    <c:legend>
      <c:legendPos val="b"/>
      <c:layout>
        <c:manualLayout>
          <c:xMode val="edge"/>
          <c:yMode val="edge"/>
          <c:x val="0"/>
          <c:y val="0.90573280380768728"/>
          <c:w val="1"/>
          <c:h val="9.03799269989210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0"/>
          <c:order val="0"/>
          <c:tx>
            <c:strRef>
              <c:f>[2]wpd_datasets2!$C$18</c:f>
              <c:strCache>
                <c:ptCount val="1"/>
                <c:pt idx="0">
                  <c:v>城镇屋顶</c:v>
                </c:pt>
              </c:strCache>
            </c:strRef>
          </c:tx>
          <c:spPr>
            <a:solidFill>
              <a:schemeClr val="accent1"/>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[2]wpd_datasets2!$C$19:$C$31</c:f>
              <c:numCache>
                <c:formatCode>General</c:formatCode>
                <c:ptCount val="13"/>
                <c:pt idx="0">
                  <c:v>610.858400586941</c:v>
                </c:pt>
                <c:pt idx="1">
                  <c:v>353.87625336267899</c:v>
                </c:pt>
                <c:pt idx="2">
                  <c:v>1197.21203228173</c:v>
                </c:pt>
                <c:pt idx="3">
                  <c:v>805.10312219776699</c:v>
                </c:pt>
                <c:pt idx="4">
                  <c:v>1914.9724192277299</c:v>
                </c:pt>
                <c:pt idx="5">
                  <c:v>1399.9021765712801</c:v>
                </c:pt>
                <c:pt idx="6">
                  <c:v>1054.84633569739</c:v>
                </c:pt>
                <c:pt idx="7">
                  <c:v>809.92907801418403</c:v>
                </c:pt>
                <c:pt idx="8">
                  <c:v>980.20488573680097</c:v>
                </c:pt>
                <c:pt idx="9">
                  <c:v>1823.42001576044</c:v>
                </c:pt>
                <c:pt idx="10">
                  <c:v>1471.20567375886</c:v>
                </c:pt>
                <c:pt idx="11">
                  <c:v>1118.99133175728</c:v>
                </c:pt>
                <c:pt idx="12">
                  <c:v>1369.7399527186701</c:v>
                </c:pt>
              </c:numCache>
            </c:numRef>
          </c:val>
          <c:extLst>
            <c:ext xmlns:c16="http://schemas.microsoft.com/office/drawing/2014/chart" uri="{C3380CC4-5D6E-409C-BE32-E72D297353CC}">
              <c16:uniqueId val="{00000000-10A6-4594-AD3B-268845815FAE}"/>
            </c:ext>
          </c:extLst>
        </c:ser>
        <c:ser>
          <c:idx val="1"/>
          <c:order val="1"/>
          <c:tx>
            <c:strRef>
              <c:f>[2]wpd_datasets2!$D$18</c:f>
              <c:strCache>
                <c:ptCount val="1"/>
                <c:pt idx="0">
                  <c:v>农村屋顶</c:v>
                </c:pt>
              </c:strCache>
            </c:strRef>
          </c:tx>
          <c:spPr>
            <a:solidFill>
              <a:schemeClr val="accent2"/>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[2]wpd_datasets2!$D$19:$D$31</c:f>
              <c:numCache>
                <c:formatCode>General</c:formatCode>
                <c:ptCount val="13"/>
                <c:pt idx="0">
                  <c:v>415.03220021194909</c:v>
                </c:pt>
                <c:pt idx="1">
                  <c:v>305.24170538844101</c:v>
                </c:pt>
                <c:pt idx="2">
                  <c:v>5088.3671639357599</c:v>
                </c:pt>
                <c:pt idx="3">
                  <c:v>594.79905437351306</c:v>
                </c:pt>
                <c:pt idx="4">
                  <c:v>5575.2859976631098</c:v>
                </c:pt>
                <c:pt idx="5">
                  <c:v>4693.2420314665396</c:v>
                </c:pt>
                <c:pt idx="6">
                  <c:v>4227.5372951822101</c:v>
                </c:pt>
                <c:pt idx="7">
                  <c:v>2897.0212765957358</c:v>
                </c:pt>
                <c:pt idx="8">
                  <c:v>4133.2702915681593</c:v>
                </c:pt>
                <c:pt idx="9">
                  <c:v>6644.0944539550501</c:v>
                </c:pt>
                <c:pt idx="10">
                  <c:v>7664.7036765305302</c:v>
                </c:pt>
                <c:pt idx="11">
                  <c:v>4515.8077226162404</c:v>
                </c:pt>
                <c:pt idx="12">
                  <c:v>6153.09366593299</c:v>
                </c:pt>
              </c:numCache>
            </c:numRef>
          </c:val>
          <c:extLst>
            <c:ext xmlns:c16="http://schemas.microsoft.com/office/drawing/2014/chart" uri="{C3380CC4-5D6E-409C-BE32-E72D297353CC}">
              <c16:uniqueId val="{00000001-10A6-4594-AD3B-268845815FAE}"/>
            </c:ext>
          </c:extLst>
        </c:ser>
        <c:ser>
          <c:idx val="2"/>
          <c:order val="2"/>
          <c:tx>
            <c:strRef>
              <c:f>[2]wpd_datasets2!$E$18</c:f>
              <c:strCache>
                <c:ptCount val="1"/>
                <c:pt idx="0">
                  <c:v>工矿用地</c:v>
                </c:pt>
              </c:strCache>
            </c:strRef>
          </c:tx>
          <c:spPr>
            <a:solidFill>
              <a:schemeClr val="accent3"/>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[2]wpd_datasets2!$E$19:$E$31</c:f>
              <c:numCache>
                <c:formatCode>General</c:formatCode>
                <c:ptCount val="13"/>
                <c:pt idx="0">
                  <c:v>185.79929893208987</c:v>
                </c:pt>
                <c:pt idx="1">
                  <c:v>246.12374663731998</c:v>
                </c:pt>
                <c:pt idx="2">
                  <c:v>1384.9487785658002</c:v>
                </c:pt>
                <c:pt idx="3">
                  <c:v>183.07654683297005</c:v>
                </c:pt>
                <c:pt idx="4">
                  <c:v>1286.1172250754098</c:v>
                </c:pt>
                <c:pt idx="5">
                  <c:v>554.98491888806984</c:v>
                </c:pt>
                <c:pt idx="6">
                  <c:v>1231.8683110319098</c:v>
                </c:pt>
                <c:pt idx="7">
                  <c:v>305.5634357762101</c:v>
                </c:pt>
                <c:pt idx="8">
                  <c:v>553.77842993396007</c:v>
                </c:pt>
                <c:pt idx="9">
                  <c:v>1693.8008107487094</c:v>
                </c:pt>
                <c:pt idx="10">
                  <c:v>1463.2125679814089</c:v>
                </c:pt>
                <c:pt idx="11">
                  <c:v>882.86840031520933</c:v>
                </c:pt>
                <c:pt idx="12">
                  <c:v>800.57063666749036</c:v>
                </c:pt>
              </c:numCache>
            </c:numRef>
          </c:val>
          <c:extLst>
            <c:ext xmlns:c16="http://schemas.microsoft.com/office/drawing/2014/chart" uri="{C3380CC4-5D6E-409C-BE32-E72D297353CC}">
              <c16:uniqueId val="{00000002-10A6-4594-AD3B-268845815FAE}"/>
            </c:ext>
          </c:extLst>
        </c:ser>
        <c:ser>
          <c:idx val="3"/>
          <c:order val="3"/>
          <c:tx>
            <c:strRef>
              <c:f>[2]wpd_datasets2!$F$18</c:f>
              <c:strCache>
                <c:ptCount val="1"/>
                <c:pt idx="0">
                  <c:v>滩涂分布式</c:v>
                </c:pt>
              </c:strCache>
            </c:strRef>
          </c:tx>
          <c:spPr>
            <a:solidFill>
              <a:schemeClr val="accent4"/>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[2]wpd_datasets2!$F$19:$F$31</c:f>
              <c:numCache>
                <c:formatCode>General</c:formatCode>
                <c:ptCount val="13"/>
                <c:pt idx="0">
                  <c:v>115.96967473710015</c:v>
                </c:pt>
                <c:pt idx="1">
                  <c:v>167.0987201434699</c:v>
                </c:pt>
                <c:pt idx="2">
                  <c:v>653.41430939376914</c:v>
                </c:pt>
                <c:pt idx="3">
                  <c:v>136.64302600472979</c:v>
                </c:pt>
                <c:pt idx="4">
                  <c:v>1430.8958995678513</c:v>
                </c:pt>
                <c:pt idx="5">
                  <c:v>598.41852123583976</c:v>
                </c:pt>
                <c:pt idx="6">
                  <c:v>619.20747495216074</c:v>
                </c:pt>
                <c:pt idx="7">
                  <c:v>506.16233254530971</c:v>
                </c:pt>
                <c:pt idx="8">
                  <c:v>529.68886715035933</c:v>
                </c:pt>
                <c:pt idx="9">
                  <c:v>736.87226878710135</c:v>
                </c:pt>
                <c:pt idx="10">
                  <c:v>771.40605651240003</c:v>
                </c:pt>
                <c:pt idx="11">
                  <c:v>835.05122143420067</c:v>
                </c:pt>
                <c:pt idx="12">
                  <c:v>568.79432624112997</c:v>
                </c:pt>
              </c:numCache>
            </c:numRef>
          </c:val>
          <c:extLst>
            <c:ext xmlns:c16="http://schemas.microsoft.com/office/drawing/2014/chart" uri="{C3380CC4-5D6E-409C-BE32-E72D297353CC}">
              <c16:uniqueId val="{00000003-10A6-4594-AD3B-268845815FAE}"/>
            </c:ext>
          </c:extLst>
        </c:ser>
        <c:dLbls>
          <c:showLegendKey val="0"/>
          <c:showVal val="0"/>
          <c:showCatName val="0"/>
          <c:showSerName val="0"/>
          <c:showPercent val="0"/>
          <c:showBubbleSize val="0"/>
        </c:dLbls>
        <c:gapWidth val="150"/>
        <c:overlap val="100"/>
        <c:axId val="1631893647"/>
        <c:axId val="1355556719"/>
      </c:barChart>
      <c:catAx>
        <c:axId val="163189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5556719"/>
        <c:crosses val="autoZero"/>
        <c:auto val="1"/>
        <c:lblAlgn val="ctr"/>
        <c:lblOffset val="100"/>
        <c:noMultiLvlLbl val="0"/>
      </c:catAx>
      <c:valAx>
        <c:axId val="1355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31893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人口推算</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'Capacity Limit'!$C$3</c:f>
              <c:strCache>
                <c:ptCount val="1"/>
                <c:pt idx="0">
                  <c:v>城镇屋顶</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9.8746719160104982E-3"/>
                  <c:y val="-0.11000291630212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Limit'!$I$4:$I$16</c:f>
              <c:numCache>
                <c:formatCode>General</c:formatCode>
                <c:ptCount val="13"/>
                <c:pt idx="0">
                  <c:v>1916</c:v>
                </c:pt>
                <c:pt idx="1">
                  <c:v>1175</c:v>
                </c:pt>
                <c:pt idx="2">
                  <c:v>4484</c:v>
                </c:pt>
                <c:pt idx="3">
                  <c:v>2222</c:v>
                </c:pt>
                <c:pt idx="4">
                  <c:v>6226</c:v>
                </c:pt>
                <c:pt idx="5">
                  <c:v>4668</c:v>
                </c:pt>
                <c:pt idx="6">
                  <c:v>3561</c:v>
                </c:pt>
                <c:pt idx="7">
                  <c:v>2861</c:v>
                </c:pt>
                <c:pt idx="8">
                  <c:v>2731</c:v>
                </c:pt>
                <c:pt idx="9">
                  <c:v>6409</c:v>
                </c:pt>
                <c:pt idx="10">
                  <c:v>5510</c:v>
                </c:pt>
                <c:pt idx="11">
                  <c:v>3613</c:v>
                </c:pt>
                <c:pt idx="12">
                  <c:v>3905</c:v>
                </c:pt>
              </c:numCache>
            </c:numRef>
          </c:xVal>
          <c:yVal>
            <c:numRef>
              <c:f>'Capacity Limit'!$C$4:$C$16</c:f>
              <c:numCache>
                <c:formatCode>0_ </c:formatCode>
                <c:ptCount val="13"/>
                <c:pt idx="0">
                  <c:v>610.858400586941</c:v>
                </c:pt>
                <c:pt idx="1">
                  <c:v>353.87625336267899</c:v>
                </c:pt>
                <c:pt idx="2">
                  <c:v>1197.21203228173</c:v>
                </c:pt>
                <c:pt idx="3">
                  <c:v>805.10312219776699</c:v>
                </c:pt>
                <c:pt idx="4">
                  <c:v>1914.9724192277299</c:v>
                </c:pt>
                <c:pt idx="5">
                  <c:v>1399.9021765712801</c:v>
                </c:pt>
                <c:pt idx="6">
                  <c:v>1054.84633569739</c:v>
                </c:pt>
                <c:pt idx="7">
                  <c:v>809.92907801418403</c:v>
                </c:pt>
                <c:pt idx="8">
                  <c:v>980.20488573680097</c:v>
                </c:pt>
                <c:pt idx="9">
                  <c:v>1823.42001576044</c:v>
                </c:pt>
                <c:pt idx="10">
                  <c:v>1471.20567375886</c:v>
                </c:pt>
                <c:pt idx="11">
                  <c:v>1118.99133175728</c:v>
                </c:pt>
                <c:pt idx="12">
                  <c:v>1369.7399527186701</c:v>
                </c:pt>
              </c:numCache>
            </c:numRef>
          </c:yVal>
          <c:smooth val="0"/>
          <c:extLst>
            <c:ext xmlns:c16="http://schemas.microsoft.com/office/drawing/2014/chart" uri="{C3380CC4-5D6E-409C-BE32-E72D297353CC}">
              <c16:uniqueId val="{00000001-D6E3-4C9F-9AD1-86B388C3D2C2}"/>
            </c:ext>
          </c:extLst>
        </c:ser>
        <c:ser>
          <c:idx val="1"/>
          <c:order val="1"/>
          <c:tx>
            <c:strRef>
              <c:f>'Capacity Limit'!$D$3</c:f>
              <c:strCache>
                <c:ptCount val="1"/>
                <c:pt idx="0">
                  <c:v>农村屋顶</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3.4554461942257218E-2"/>
                  <c:y val="-1.38888888888888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Limit'!$J$4:$J$16</c:f>
              <c:numCache>
                <c:formatCode>General</c:formatCode>
                <c:ptCount val="13"/>
                <c:pt idx="0">
                  <c:v>273.00000000000011</c:v>
                </c:pt>
                <c:pt idx="1">
                  <c:v>212</c:v>
                </c:pt>
                <c:pt idx="2">
                  <c:v>2980.0000000000005</c:v>
                </c:pt>
                <c:pt idx="3">
                  <c:v>265.99999999999994</c:v>
                </c:pt>
                <c:pt idx="4">
                  <c:v>2250.9999999999995</c:v>
                </c:pt>
                <c:pt idx="5">
                  <c:v>1799.9999999999998</c:v>
                </c:pt>
                <c:pt idx="6">
                  <c:v>2544</c:v>
                </c:pt>
                <c:pt idx="7">
                  <c:v>1300</c:v>
                </c:pt>
                <c:pt idx="8">
                  <c:v>1788</c:v>
                </c:pt>
                <c:pt idx="9">
                  <c:v>3756.0000000000005</c:v>
                </c:pt>
                <c:pt idx="10">
                  <c:v>4431</c:v>
                </c:pt>
                <c:pt idx="11">
                  <c:v>2132</c:v>
                </c:pt>
                <c:pt idx="12">
                  <c:v>2740</c:v>
                </c:pt>
              </c:numCache>
            </c:numRef>
          </c:xVal>
          <c:yVal>
            <c:numRef>
              <c:f>'Capacity Limit'!$D$4:$D$16</c:f>
              <c:numCache>
                <c:formatCode>0_ </c:formatCode>
                <c:ptCount val="13"/>
                <c:pt idx="0">
                  <c:v>415.03220021194909</c:v>
                </c:pt>
                <c:pt idx="1">
                  <c:v>305.24170538844101</c:v>
                </c:pt>
                <c:pt idx="2">
                  <c:v>5088.3671639357599</c:v>
                </c:pt>
                <c:pt idx="3">
                  <c:v>594.79905437351306</c:v>
                </c:pt>
                <c:pt idx="4">
                  <c:v>5575.2859976631098</c:v>
                </c:pt>
                <c:pt idx="5">
                  <c:v>4693.2420314665396</c:v>
                </c:pt>
                <c:pt idx="6">
                  <c:v>4227.5372951822101</c:v>
                </c:pt>
                <c:pt idx="7">
                  <c:v>2897.0212765957358</c:v>
                </c:pt>
                <c:pt idx="8">
                  <c:v>4133.2702915681593</c:v>
                </c:pt>
                <c:pt idx="9">
                  <c:v>6644.0944539550501</c:v>
                </c:pt>
                <c:pt idx="10">
                  <c:v>7664.7036765305302</c:v>
                </c:pt>
                <c:pt idx="11">
                  <c:v>4515.8077226162404</c:v>
                </c:pt>
                <c:pt idx="12">
                  <c:v>6153.09366593299</c:v>
                </c:pt>
              </c:numCache>
            </c:numRef>
          </c:yVal>
          <c:smooth val="0"/>
          <c:extLst>
            <c:ext xmlns:c16="http://schemas.microsoft.com/office/drawing/2014/chart" uri="{C3380CC4-5D6E-409C-BE32-E72D297353CC}">
              <c16:uniqueId val="{00000003-D6E3-4C9F-9AD1-86B388C3D2C2}"/>
            </c:ext>
          </c:extLst>
        </c:ser>
        <c:dLbls>
          <c:showLegendKey val="0"/>
          <c:showVal val="0"/>
          <c:showCatName val="0"/>
          <c:showSerName val="0"/>
          <c:showPercent val="0"/>
          <c:showBubbleSize val="0"/>
        </c:dLbls>
        <c:axId val="911922448"/>
        <c:axId val="1286848064"/>
      </c:scatterChart>
      <c:valAx>
        <c:axId val="91192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86848064"/>
        <c:crosses val="autoZero"/>
        <c:crossBetween val="midCat"/>
      </c:valAx>
      <c:valAx>
        <c:axId val="1286848064"/>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1922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建面推算</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'Capacity Limit'!$C$3</c:f>
              <c:strCache>
                <c:ptCount val="1"/>
                <c:pt idx="0">
                  <c:v>城镇屋顶</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9.8746719160104982E-3"/>
                  <c:y val="-0.11000291630212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Limit'!$K$4:$K$16</c:f>
              <c:numCache>
                <c:formatCode>0.00E+00</c:formatCode>
                <c:ptCount val="13"/>
                <c:pt idx="0">
                  <c:v>1035265616.2211175</c:v>
                </c:pt>
                <c:pt idx="1">
                  <c:v>586946613.57377994</c:v>
                </c:pt>
                <c:pt idx="2">
                  <c:v>1877362648.0551805</c:v>
                </c:pt>
                <c:pt idx="3">
                  <c:v>1091137185.5813406</c:v>
                </c:pt>
                <c:pt idx="4">
                  <c:v>3494281236.45542</c:v>
                </c:pt>
                <c:pt idx="5">
                  <c:v>2697997030.7332873</c:v>
                </c:pt>
                <c:pt idx="6">
                  <c:v>1721019461.7468278</c:v>
                </c:pt>
                <c:pt idx="7">
                  <c:v>1585466953.1035225</c:v>
                </c:pt>
                <c:pt idx="8">
                  <c:v>1419480811.8708177</c:v>
                </c:pt>
                <c:pt idx="9">
                  <c:v>3436147885.645607</c:v>
                </c:pt>
                <c:pt idx="10">
                  <c:v>2679858270.4897437</c:v>
                </c:pt>
                <c:pt idx="11">
                  <c:v>2129533004.47543</c:v>
                </c:pt>
                <c:pt idx="12">
                  <c:v>2080875500.3905103</c:v>
                </c:pt>
              </c:numCache>
            </c:numRef>
          </c:xVal>
          <c:yVal>
            <c:numRef>
              <c:f>'Capacity Limit'!$C$4:$C$16</c:f>
              <c:numCache>
                <c:formatCode>0_ </c:formatCode>
                <c:ptCount val="13"/>
                <c:pt idx="0">
                  <c:v>610.858400586941</c:v>
                </c:pt>
                <c:pt idx="1">
                  <c:v>353.87625336267899</c:v>
                </c:pt>
                <c:pt idx="2">
                  <c:v>1197.21203228173</c:v>
                </c:pt>
                <c:pt idx="3">
                  <c:v>805.10312219776699</c:v>
                </c:pt>
                <c:pt idx="4">
                  <c:v>1914.9724192277299</c:v>
                </c:pt>
                <c:pt idx="5">
                  <c:v>1399.9021765712801</c:v>
                </c:pt>
                <c:pt idx="6">
                  <c:v>1054.84633569739</c:v>
                </c:pt>
                <c:pt idx="7">
                  <c:v>809.92907801418403</c:v>
                </c:pt>
                <c:pt idx="8">
                  <c:v>980.20488573680097</c:v>
                </c:pt>
                <c:pt idx="9">
                  <c:v>1823.42001576044</c:v>
                </c:pt>
                <c:pt idx="10">
                  <c:v>1471.20567375886</c:v>
                </c:pt>
                <c:pt idx="11">
                  <c:v>1118.99133175728</c:v>
                </c:pt>
                <c:pt idx="12">
                  <c:v>1369.7399527186701</c:v>
                </c:pt>
              </c:numCache>
            </c:numRef>
          </c:yVal>
          <c:smooth val="0"/>
          <c:extLst>
            <c:ext xmlns:c16="http://schemas.microsoft.com/office/drawing/2014/chart" uri="{C3380CC4-5D6E-409C-BE32-E72D297353CC}">
              <c16:uniqueId val="{00000001-F6BF-4924-B847-295B370B65FE}"/>
            </c:ext>
          </c:extLst>
        </c:ser>
        <c:ser>
          <c:idx val="1"/>
          <c:order val="1"/>
          <c:tx>
            <c:strRef>
              <c:f>'Capacity Limit'!$D$3</c:f>
              <c:strCache>
                <c:ptCount val="1"/>
                <c:pt idx="0">
                  <c:v>农村屋顶</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3.4554461942257218E-2"/>
                  <c:y val="-1.38888888888888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Limit'!$L$4:$L$16</c:f>
              <c:numCache>
                <c:formatCode>0.00E+00</c:formatCode>
                <c:ptCount val="13"/>
                <c:pt idx="0">
                  <c:v>149154881.97233385</c:v>
                </c:pt>
                <c:pt idx="1">
                  <c:v>69415828.213792384</c:v>
                </c:pt>
                <c:pt idx="2">
                  <c:v>1096786574.7787502</c:v>
                </c:pt>
                <c:pt idx="3">
                  <c:v>139303328.12929782</c:v>
                </c:pt>
                <c:pt idx="4">
                  <c:v>1017803174.1508938</c:v>
                </c:pt>
                <c:pt idx="5">
                  <c:v>1222314765.0984907</c:v>
                </c:pt>
                <c:pt idx="6">
                  <c:v>983275217.73203647</c:v>
                </c:pt>
                <c:pt idx="7">
                  <c:v>689975820.01722836</c:v>
                </c:pt>
                <c:pt idx="8">
                  <c:v>918289364.37926328</c:v>
                </c:pt>
                <c:pt idx="9">
                  <c:v>1406222493.8932707</c:v>
                </c:pt>
                <c:pt idx="10">
                  <c:v>1763468349.3918755</c:v>
                </c:pt>
                <c:pt idx="11">
                  <c:v>1011998113.9119028</c:v>
                </c:pt>
                <c:pt idx="12">
                  <c:v>1260158175.6057377</c:v>
                </c:pt>
              </c:numCache>
            </c:numRef>
          </c:xVal>
          <c:yVal>
            <c:numRef>
              <c:f>'Capacity Limit'!$D$4:$D$16</c:f>
              <c:numCache>
                <c:formatCode>0_ </c:formatCode>
                <c:ptCount val="13"/>
                <c:pt idx="0">
                  <c:v>415.03220021194909</c:v>
                </c:pt>
                <c:pt idx="1">
                  <c:v>305.24170538844101</c:v>
                </c:pt>
                <c:pt idx="2">
                  <c:v>5088.3671639357599</c:v>
                </c:pt>
                <c:pt idx="3">
                  <c:v>594.79905437351306</c:v>
                </c:pt>
                <c:pt idx="4">
                  <c:v>5575.2859976631098</c:v>
                </c:pt>
                <c:pt idx="5">
                  <c:v>4693.2420314665396</c:v>
                </c:pt>
                <c:pt idx="6">
                  <c:v>4227.5372951822101</c:v>
                </c:pt>
                <c:pt idx="7">
                  <c:v>2897.0212765957358</c:v>
                </c:pt>
                <c:pt idx="8">
                  <c:v>4133.2702915681593</c:v>
                </c:pt>
                <c:pt idx="9">
                  <c:v>6644.0944539550501</c:v>
                </c:pt>
                <c:pt idx="10">
                  <c:v>7664.7036765305302</c:v>
                </c:pt>
                <c:pt idx="11">
                  <c:v>4515.8077226162404</c:v>
                </c:pt>
                <c:pt idx="12">
                  <c:v>6153.09366593299</c:v>
                </c:pt>
              </c:numCache>
            </c:numRef>
          </c:yVal>
          <c:smooth val="0"/>
          <c:extLst>
            <c:ext xmlns:c16="http://schemas.microsoft.com/office/drawing/2014/chart" uri="{C3380CC4-5D6E-409C-BE32-E72D297353CC}">
              <c16:uniqueId val="{00000003-F6BF-4924-B847-295B370B65FE}"/>
            </c:ext>
          </c:extLst>
        </c:ser>
        <c:dLbls>
          <c:showLegendKey val="0"/>
          <c:showVal val="0"/>
          <c:showCatName val="0"/>
          <c:showSerName val="0"/>
          <c:showPercent val="0"/>
          <c:showBubbleSize val="0"/>
        </c:dLbls>
        <c:axId val="911922448"/>
        <c:axId val="1286848064"/>
      </c:scatterChart>
      <c:valAx>
        <c:axId val="91192244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86848064"/>
        <c:crosses val="autoZero"/>
        <c:crossBetween val="midCat"/>
      </c:valAx>
      <c:valAx>
        <c:axId val="1286848064"/>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1922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户用光伏安装数据!$AN$2:$AY$2</c:f>
              <c:numCache>
                <c:formatCode>0.00_);[Red]\(0.00\)</c:formatCode>
                <c:ptCount val="12"/>
                <c:pt idx="5">
                  <c:v>18.520800000000001</c:v>
                </c:pt>
                <c:pt idx="6">
                  <c:v>19.7179</c:v>
                </c:pt>
                <c:pt idx="7">
                  <c:v>26.513200000000001</c:v>
                </c:pt>
                <c:pt idx="8">
                  <c:v>37.5837</c:v>
                </c:pt>
                <c:pt idx="9">
                  <c:v>44.478115099999997</c:v>
                </c:pt>
              </c:numCache>
            </c:numRef>
          </c:yVal>
          <c:smooth val="1"/>
          <c:extLst>
            <c:ext xmlns:c16="http://schemas.microsoft.com/office/drawing/2014/chart" uri="{C3380CC4-5D6E-409C-BE32-E72D297353CC}">
              <c16:uniqueId val="{00000000-EF17-4B8F-9CA1-88C89B4F60F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户用光伏安装数据!$AN$3:$AY$3</c:f>
              <c:numCache>
                <c:formatCode>General</c:formatCode>
                <c:ptCount val="12"/>
                <c:pt idx="0">
                  <c:v>4.7263237</c:v>
                </c:pt>
                <c:pt idx="1">
                  <c:v>0.42160550000000002</c:v>
                </c:pt>
                <c:pt idx="2">
                  <c:v>4.6102480000000003</c:v>
                </c:pt>
                <c:pt idx="3">
                  <c:v>17.147776</c:v>
                </c:pt>
                <c:pt idx="4">
                  <c:v>25.4394065</c:v>
                </c:pt>
                <c:pt idx="5">
                  <c:v>32.997843899999999</c:v>
                </c:pt>
                <c:pt idx="6">
                  <c:v>38.548428199999996</c:v>
                </c:pt>
                <c:pt idx="7">
                  <c:v>45.486209670000022</c:v>
                </c:pt>
                <c:pt idx="8">
                  <c:v>57.950899999999997</c:v>
                </c:pt>
                <c:pt idx="9">
                  <c:v>56.765900000000002</c:v>
                </c:pt>
                <c:pt idx="10">
                  <c:v>173.20519999999999</c:v>
                </c:pt>
              </c:numCache>
            </c:numRef>
          </c:yVal>
          <c:smooth val="1"/>
          <c:extLst>
            <c:ext xmlns:c16="http://schemas.microsoft.com/office/drawing/2014/chart" uri="{C3380CC4-5D6E-409C-BE32-E72D297353CC}">
              <c16:uniqueId val="{00000001-EF17-4B8F-9CA1-88C89B4F60F3}"/>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户用光伏安装数据!$AN$4:$AY$4</c:f>
              <c:numCache>
                <c:formatCode>General</c:formatCode>
                <c:ptCount val="12"/>
                <c:pt idx="0">
                  <c:v>12.035</c:v>
                </c:pt>
                <c:pt idx="1">
                  <c:v>13.348800000000001</c:v>
                </c:pt>
                <c:pt idx="2">
                  <c:v>28.145700000000001</c:v>
                </c:pt>
                <c:pt idx="3">
                  <c:v>55.813600000000001</c:v>
                </c:pt>
                <c:pt idx="4">
                  <c:v>63.384900000000002</c:v>
                </c:pt>
                <c:pt idx="5">
                  <c:v>67.203400000000002</c:v>
                </c:pt>
                <c:pt idx="6">
                  <c:v>65.569400000000002</c:v>
                </c:pt>
                <c:pt idx="7">
                  <c:v>67.8232</c:v>
                </c:pt>
                <c:pt idx="8">
                  <c:v>69.904399999999995</c:v>
                </c:pt>
                <c:pt idx="9">
                  <c:v>64.360100000000003</c:v>
                </c:pt>
                <c:pt idx="10">
                  <c:v>88.13</c:v>
                </c:pt>
                <c:pt idx="11">
                  <c:v>157.9777</c:v>
                </c:pt>
              </c:numCache>
            </c:numRef>
          </c:yVal>
          <c:smooth val="1"/>
          <c:extLst>
            <c:ext xmlns:c16="http://schemas.microsoft.com/office/drawing/2014/chart" uri="{C3380CC4-5D6E-409C-BE32-E72D297353CC}">
              <c16:uniqueId val="{00000002-EF17-4B8F-9CA1-88C89B4F60F3}"/>
            </c:ext>
          </c:extLst>
        </c:ser>
        <c:dLbls>
          <c:showLegendKey val="0"/>
          <c:showVal val="0"/>
          <c:showCatName val="0"/>
          <c:showSerName val="0"/>
          <c:showPercent val="0"/>
          <c:showBubbleSize val="0"/>
        </c:dLbls>
        <c:axId val="1096146959"/>
        <c:axId val="1096154863"/>
      </c:scatterChart>
      <c:valAx>
        <c:axId val="109614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6154863"/>
        <c:crosses val="autoZero"/>
        <c:crossBetween val="midCat"/>
      </c:valAx>
      <c:valAx>
        <c:axId val="1096154863"/>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61469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893307086614172"/>
                  <c:y val="0.34275444736074656"/>
                </c:manualLayout>
              </c:layout>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世行山东城市化率!$G$24:$K$24</c:f>
              <c:numCache>
                <c:formatCode>General</c:formatCode>
                <c:ptCount val="5"/>
                <c:pt idx="0">
                  <c:v>2020</c:v>
                </c:pt>
                <c:pt idx="1">
                  <c:v>2030</c:v>
                </c:pt>
                <c:pt idx="2">
                  <c:v>2040</c:v>
                </c:pt>
                <c:pt idx="3">
                  <c:v>2050</c:v>
                </c:pt>
                <c:pt idx="4">
                  <c:v>2060</c:v>
                </c:pt>
              </c:numCache>
            </c:numRef>
          </c:xVal>
          <c:yVal>
            <c:numRef>
              <c:f>世行山东城市化率!$G$25:$K$25</c:f>
              <c:numCache>
                <c:formatCode>General</c:formatCode>
                <c:ptCount val="5"/>
                <c:pt idx="0">
                  <c:v>0.65830121711349587</c:v>
                </c:pt>
                <c:pt idx="1">
                  <c:v>0.72698094813324476</c:v>
                </c:pt>
                <c:pt idx="2">
                  <c:v>0.76289930850588217</c:v>
                </c:pt>
                <c:pt idx="3">
                  <c:v>0.78802386241494249</c:v>
                </c:pt>
                <c:pt idx="4">
                  <c:v>0.81415401984220215</c:v>
                </c:pt>
              </c:numCache>
            </c:numRef>
          </c:yVal>
          <c:smooth val="0"/>
          <c:extLst>
            <c:ext xmlns:c16="http://schemas.microsoft.com/office/drawing/2014/chart" uri="{C3380CC4-5D6E-409C-BE32-E72D297353CC}">
              <c16:uniqueId val="{00000000-7C93-443A-B94A-A1102AFDD65C}"/>
            </c:ext>
          </c:extLst>
        </c:ser>
        <c:dLbls>
          <c:showLegendKey val="0"/>
          <c:showVal val="0"/>
          <c:showCatName val="0"/>
          <c:showSerName val="0"/>
          <c:showPercent val="0"/>
          <c:showBubbleSize val="0"/>
        </c:dLbls>
        <c:axId val="1469849791"/>
        <c:axId val="1469850623"/>
      </c:scatterChart>
      <c:valAx>
        <c:axId val="146984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69850623"/>
        <c:crosses val="autoZero"/>
        <c:crossBetween val="midCat"/>
      </c:valAx>
      <c:valAx>
        <c:axId val="146985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69849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光伏装机</a:t>
            </a:r>
            <a:endParaRPr lang="en-US" altLang="zh-CN"/>
          </a:p>
          <a:p>
            <a:pPr>
              <a:defRPr/>
            </a:pP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tx>
            <c:strRef>
              <c:f>山东光伏数据!$A$31</c:f>
              <c:strCache>
                <c:ptCount val="1"/>
                <c:pt idx="0">
                  <c:v>集中</c:v>
                </c:pt>
              </c:strCache>
            </c:strRef>
          </c:tx>
          <c:spPr>
            <a:ln w="19050" cap="rnd">
              <a:solidFill>
                <a:schemeClr val="accent1"/>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山东光伏数据!$B$31:$AR$31</c:f>
              <c:numCache>
                <c:formatCode>0_);[Red]\(0\)</c:formatCode>
                <c:ptCount val="43"/>
                <c:pt idx="0">
                  <c:v>6480</c:v>
                </c:pt>
                <c:pt idx="1">
                  <c:v>6770</c:v>
                </c:pt>
                <c:pt idx="2">
                  <c:v>8050</c:v>
                </c:pt>
                <c:pt idx="3">
                  <c:v>10090</c:v>
                </c:pt>
                <c:pt idx="4">
                  <c:v>14090</c:v>
                </c:pt>
                <c:pt idx="5">
                  <c:v>16836.666666666668</c:v>
                </c:pt>
                <c:pt idx="6">
                  <c:v>19583.333333333336</c:v>
                </c:pt>
                <c:pt idx="7">
                  <c:v>22330</c:v>
                </c:pt>
              </c:numCache>
            </c:numRef>
          </c:yVal>
          <c:smooth val="1"/>
          <c:extLst>
            <c:ext xmlns:c16="http://schemas.microsoft.com/office/drawing/2014/chart" uri="{C3380CC4-5D6E-409C-BE32-E72D297353CC}">
              <c16:uniqueId val="{00000000-7808-455E-9512-94C89BE8B479}"/>
            </c:ext>
          </c:extLst>
        </c:ser>
        <c:ser>
          <c:idx val="1"/>
          <c:order val="1"/>
          <c:tx>
            <c:strRef>
              <c:f>山东光伏数据!$A$32</c:f>
              <c:strCache>
                <c:ptCount val="1"/>
                <c:pt idx="0">
                  <c:v>工商业</c:v>
                </c:pt>
              </c:strCache>
            </c:strRef>
          </c:tx>
          <c:spPr>
            <a:ln w="19050" cap="rnd">
              <a:solidFill>
                <a:schemeClr val="accent2"/>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山东光伏数据!$B$32:$AR$32</c:f>
              <c:numCache>
                <c:formatCode>0_);[Red]\(0\)</c:formatCode>
                <c:ptCount val="43"/>
                <c:pt idx="0">
                  <c:v>5663.4000000000005</c:v>
                </c:pt>
                <c:pt idx="1">
                  <c:v>6063.4000000000005</c:v>
                </c:pt>
                <c:pt idx="2">
                  <c:v>6653.4000000000005</c:v>
                </c:pt>
                <c:pt idx="3">
                  <c:v>7691.1999999999989</c:v>
                </c:pt>
                <c:pt idx="4">
                  <c:v>8201.0499999999993</c:v>
                </c:pt>
                <c:pt idx="5">
                  <c:v>8948.83</c:v>
                </c:pt>
                <c:pt idx="6">
                  <c:v>9900.5499999999993</c:v>
                </c:pt>
                <c:pt idx="7">
                  <c:v>11090.199999999999</c:v>
                </c:pt>
                <c:pt idx="8" formatCode="0_ ">
                  <c:v>11485.583571428666</c:v>
                </c:pt>
                <c:pt idx="9" formatCode="0_ ">
                  <c:v>12254.267976190429</c:v>
                </c:pt>
                <c:pt idx="10" formatCode="0_ ">
                  <c:v>13022.952380952425</c:v>
                </c:pt>
                <c:pt idx="11" formatCode="0_ ">
                  <c:v>13791.636785714189</c:v>
                </c:pt>
                <c:pt idx="12" formatCode="0_ ">
                  <c:v>14560.321190476185</c:v>
                </c:pt>
                <c:pt idx="13" formatCode="0_ ">
                  <c:v>15329.005595238181</c:v>
                </c:pt>
                <c:pt idx="14" formatCode="0_ ">
                  <c:v>16097.689999999944</c:v>
                </c:pt>
                <c:pt idx="15" formatCode="0_ ">
                  <c:v>16866.37440476194</c:v>
                </c:pt>
                <c:pt idx="16" formatCode="0_ ">
                  <c:v>17635.058809523936</c:v>
                </c:pt>
                <c:pt idx="17" formatCode="0_ ">
                  <c:v>18403.7432142857</c:v>
                </c:pt>
                <c:pt idx="18" formatCode="0_ ">
                  <c:v>19172.427619047696</c:v>
                </c:pt>
                <c:pt idx="19" formatCode="0_ ">
                  <c:v>19941.112023809459</c:v>
                </c:pt>
                <c:pt idx="20" formatCode="0_ ">
                  <c:v>20709.796428571455</c:v>
                </c:pt>
                <c:pt idx="21" formatCode="0_ ">
                  <c:v>21478.480833333451</c:v>
                </c:pt>
                <c:pt idx="22" formatCode="0_ ">
                  <c:v>22247.165238095215</c:v>
                </c:pt>
                <c:pt idx="23" formatCode="0_ ">
                  <c:v>23015.849642857211</c:v>
                </c:pt>
                <c:pt idx="24" formatCode="0_ ">
                  <c:v>23784.534047618974</c:v>
                </c:pt>
                <c:pt idx="25" formatCode="0_ ">
                  <c:v>24553.21845238097</c:v>
                </c:pt>
                <c:pt idx="26" formatCode="0_ ">
                  <c:v>25321.902857142966</c:v>
                </c:pt>
                <c:pt idx="27" formatCode="0_ ">
                  <c:v>26090.58726190473</c:v>
                </c:pt>
                <c:pt idx="28" formatCode="0_ ">
                  <c:v>26859.271666666726</c:v>
                </c:pt>
                <c:pt idx="29" formatCode="0_ ">
                  <c:v>27627.956071428489</c:v>
                </c:pt>
                <c:pt idx="30" formatCode="0_ ">
                  <c:v>28396.640476190485</c:v>
                </c:pt>
                <c:pt idx="31" formatCode="0_ ">
                  <c:v>29165.324880952481</c:v>
                </c:pt>
                <c:pt idx="32" formatCode="0_ ">
                  <c:v>29934.009285714244</c:v>
                </c:pt>
                <c:pt idx="33" formatCode="0_ ">
                  <c:v>30702.693690476241</c:v>
                </c:pt>
                <c:pt idx="34" formatCode="0_ ">
                  <c:v>31471.378095238004</c:v>
                </c:pt>
                <c:pt idx="35" formatCode="0_ ">
                  <c:v>32240.0625</c:v>
                </c:pt>
                <c:pt idx="36" formatCode="0_ ">
                  <c:v>33008.746904761996</c:v>
                </c:pt>
                <c:pt idx="37" formatCode="0_ ">
                  <c:v>33777.431309523759</c:v>
                </c:pt>
                <c:pt idx="38" formatCode="0_ ">
                  <c:v>34546.115714285756</c:v>
                </c:pt>
                <c:pt idx="39" formatCode="0_ ">
                  <c:v>35314.800119047519</c:v>
                </c:pt>
                <c:pt idx="40" formatCode="0_ ">
                  <c:v>36083.484523809515</c:v>
                </c:pt>
                <c:pt idx="41" formatCode="0_ ">
                  <c:v>36852.168928571511</c:v>
                </c:pt>
                <c:pt idx="42" formatCode="0_ ">
                  <c:v>37620.853333333274</c:v>
                </c:pt>
              </c:numCache>
            </c:numRef>
          </c:yVal>
          <c:smooth val="1"/>
          <c:extLst>
            <c:ext xmlns:c16="http://schemas.microsoft.com/office/drawing/2014/chart" uri="{C3380CC4-5D6E-409C-BE32-E72D297353CC}">
              <c16:uniqueId val="{00000001-7808-455E-9512-94C89BE8B479}"/>
            </c:ext>
          </c:extLst>
        </c:ser>
        <c:ser>
          <c:idx val="3"/>
          <c:order val="2"/>
          <c:tx>
            <c:strRef>
              <c:f>山东光伏数据!$A$34</c:f>
              <c:strCache>
                <c:ptCount val="1"/>
                <c:pt idx="0">
                  <c:v>城镇分布式</c:v>
                </c:pt>
              </c:strCache>
            </c:strRef>
          </c:tx>
          <c:spPr>
            <a:ln w="19050" cap="rnd">
              <a:solidFill>
                <a:schemeClr val="accent4"/>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山东光伏数据!$B$34:$AR$34</c:f>
              <c:numCache>
                <c:formatCode>0_);[Red]\(0\)</c:formatCode>
                <c:ptCount val="43"/>
                <c:pt idx="0">
                  <c:v>293.31999999999994</c:v>
                </c:pt>
                <c:pt idx="1">
                  <c:v>671.31999999999994</c:v>
                </c:pt>
                <c:pt idx="2">
                  <c:v>1603.32</c:v>
                </c:pt>
                <c:pt idx="3">
                  <c:v>3129.76</c:v>
                </c:pt>
                <c:pt idx="4">
                  <c:v>3367.69</c:v>
                </c:pt>
                <c:pt idx="5">
                  <c:v>3716.654</c:v>
                </c:pt>
                <c:pt idx="6">
                  <c:v>4160.79</c:v>
                </c:pt>
                <c:pt idx="7">
                  <c:v>4715.96</c:v>
                </c:pt>
                <c:pt idx="8" formatCode="0_ ">
                  <c:v>5652.910428571282</c:v>
                </c:pt>
                <c:pt idx="9" formatCode="0_ ">
                  <c:v>6307.4790238093119</c:v>
                </c:pt>
                <c:pt idx="10" formatCode="0_ ">
                  <c:v>6962.0476190473419</c:v>
                </c:pt>
                <c:pt idx="11" formatCode="0_ ">
                  <c:v>7616.6162142856047</c:v>
                </c:pt>
                <c:pt idx="12" formatCode="0_ ">
                  <c:v>8271.1848095236346</c:v>
                </c:pt>
                <c:pt idx="13" formatCode="0_ ">
                  <c:v>8925.7534047616646</c:v>
                </c:pt>
                <c:pt idx="14" formatCode="0_ ">
                  <c:v>9580.3219999999274</c:v>
                </c:pt>
                <c:pt idx="15" formatCode="0_ ">
                  <c:v>10234.890595237957</c:v>
                </c:pt>
                <c:pt idx="16" formatCode="0_ ">
                  <c:v>10889.459190475987</c:v>
                </c:pt>
                <c:pt idx="17" formatCode="0_ ">
                  <c:v>11544.027785714017</c:v>
                </c:pt>
                <c:pt idx="18" formatCode="0_ ">
                  <c:v>12198.59638095228</c:v>
                </c:pt>
                <c:pt idx="19" formatCode="0_ ">
                  <c:v>12853.16497619031</c:v>
                </c:pt>
                <c:pt idx="20" formatCode="0_ ">
                  <c:v>13507.73357142834</c:v>
                </c:pt>
                <c:pt idx="21" formatCode="0_ ">
                  <c:v>14162.30216666637</c:v>
                </c:pt>
                <c:pt idx="22" formatCode="0_ ">
                  <c:v>14816.870761904633</c:v>
                </c:pt>
                <c:pt idx="23" formatCode="0_ ">
                  <c:v>15471.439357142663</c:v>
                </c:pt>
                <c:pt idx="24" formatCode="0_ ">
                  <c:v>16126.007952380693</c:v>
                </c:pt>
                <c:pt idx="25" formatCode="0_ ">
                  <c:v>16780.576547618955</c:v>
                </c:pt>
                <c:pt idx="26" formatCode="0_ ">
                  <c:v>17435.145142856985</c:v>
                </c:pt>
                <c:pt idx="27" formatCode="0_ ">
                  <c:v>18089.713738095015</c:v>
                </c:pt>
                <c:pt idx="28" formatCode="0_ ">
                  <c:v>18744.282333333045</c:v>
                </c:pt>
                <c:pt idx="29" formatCode="0_ ">
                  <c:v>19398.850928571308</c:v>
                </c:pt>
                <c:pt idx="30" formatCode="0_ ">
                  <c:v>20053.419523809338</c:v>
                </c:pt>
                <c:pt idx="31" formatCode="0_ ">
                  <c:v>20707.988119047368</c:v>
                </c:pt>
                <c:pt idx="32" formatCode="0_ ">
                  <c:v>21362.556714285631</c:v>
                </c:pt>
                <c:pt idx="33" formatCode="0_ ">
                  <c:v>22017.125309523661</c:v>
                </c:pt>
                <c:pt idx="34" formatCode="0_ ">
                  <c:v>22671.693904761691</c:v>
                </c:pt>
                <c:pt idx="35" formatCode="0_ ">
                  <c:v>23326.262499999721</c:v>
                </c:pt>
                <c:pt idx="36" formatCode="0_ ">
                  <c:v>23980.831095237983</c:v>
                </c:pt>
                <c:pt idx="37" formatCode="0_ ">
                  <c:v>23937.954961655232</c:v>
                </c:pt>
                <c:pt idx="38" formatCode="0_ ">
                  <c:v>23829.883901552719</c:v>
                </c:pt>
                <c:pt idx="39" formatCode="0_ ">
                  <c:v>23720.314892476716</c:v>
                </c:pt>
                <c:pt idx="40" formatCode="0_ ">
                  <c:v>23610.085384986029</c:v>
                </c:pt>
                <c:pt idx="41" formatCode="0_ ">
                  <c:v>23500.048443249027</c:v>
                </c:pt>
                <c:pt idx="42" formatCode="0_ ">
                  <c:v>23391.066588371148</c:v>
                </c:pt>
              </c:numCache>
            </c:numRef>
          </c:yVal>
          <c:smooth val="1"/>
          <c:extLst>
            <c:ext xmlns:c16="http://schemas.microsoft.com/office/drawing/2014/chart" uri="{C3380CC4-5D6E-409C-BE32-E72D297353CC}">
              <c16:uniqueId val="{00000002-7808-455E-9512-94C89BE8B479}"/>
            </c:ext>
          </c:extLst>
        </c:ser>
        <c:ser>
          <c:idx val="4"/>
          <c:order val="3"/>
          <c:tx>
            <c:strRef>
              <c:f>山东光伏数据!$A$35</c:f>
              <c:strCache>
                <c:ptCount val="1"/>
                <c:pt idx="0">
                  <c:v>乡村分布式</c:v>
                </c:pt>
              </c:strCache>
            </c:strRef>
          </c:tx>
          <c:spPr>
            <a:ln w="19050" cap="rnd">
              <a:solidFill>
                <a:schemeClr val="accent5"/>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山东光伏数据!$B$35:$AR$35</c:f>
              <c:numCache>
                <c:formatCode>0_);[Red]\(0\)</c:formatCode>
                <c:ptCount val="43"/>
                <c:pt idx="0">
                  <c:v>1173.2799999999997</c:v>
                </c:pt>
                <c:pt idx="1">
                  <c:v>2685.2799999999997</c:v>
                </c:pt>
                <c:pt idx="2">
                  <c:v>6413.28</c:v>
                </c:pt>
                <c:pt idx="3">
                  <c:v>12519.04</c:v>
                </c:pt>
                <c:pt idx="4">
                  <c:v>13470.76</c:v>
                </c:pt>
                <c:pt idx="5">
                  <c:v>14866.616</c:v>
                </c:pt>
                <c:pt idx="6">
                  <c:v>16643.16</c:v>
                </c:pt>
                <c:pt idx="7">
                  <c:v>18863.84</c:v>
                </c:pt>
                <c:pt idx="8" formatCode="0_ ">
                  <c:v>22611.641714285128</c:v>
                </c:pt>
                <c:pt idx="9" formatCode="0_ ">
                  <c:v>25229.916095237248</c:v>
                </c:pt>
                <c:pt idx="10" formatCode="0_ ">
                  <c:v>27848.190476189367</c:v>
                </c:pt>
                <c:pt idx="11" formatCode="0_ ">
                  <c:v>30466.464857142419</c:v>
                </c:pt>
                <c:pt idx="12" formatCode="0_ ">
                  <c:v>33084.739238094538</c:v>
                </c:pt>
                <c:pt idx="13" formatCode="0_ ">
                  <c:v>35703.013619046658</c:v>
                </c:pt>
                <c:pt idx="14" formatCode="0_ ">
                  <c:v>35586.889837558316</c:v>
                </c:pt>
                <c:pt idx="15" formatCode="0_ ">
                  <c:v>34896.011407492195</c:v>
                </c:pt>
                <c:pt idx="16" formatCode="0_ ">
                  <c:v>34211.741301778886</c:v>
                </c:pt>
                <c:pt idx="17" formatCode="0_ ">
                  <c:v>33535.280408833685</c:v>
                </c:pt>
                <c:pt idx="18" formatCode="0_ ">
                  <c:v>32867.760279904149</c:v>
                </c:pt>
                <c:pt idx="19" formatCode="0_ ">
                  <c:v>32210.244816849365</c:v>
                </c:pt>
                <c:pt idx="20" formatCode="0_ ">
                  <c:v>31563.732729824715</c:v>
                </c:pt>
                <c:pt idx="21" formatCode="0_ ">
                  <c:v>30929.160690925601</c:v>
                </c:pt>
                <c:pt idx="22" formatCode="0_ ">
                  <c:v>30307.404705551613</c:v>
                </c:pt>
                <c:pt idx="23" formatCode="0_ ">
                  <c:v>29699.281097185736</c:v>
                </c:pt>
                <c:pt idx="24" formatCode="0_ ">
                  <c:v>29105.551838634634</c:v>
                </c:pt>
                <c:pt idx="25" formatCode="0_ ">
                  <c:v>28526.927446198373</c:v>
                </c:pt>
                <c:pt idx="26" formatCode="0_ ">
                  <c:v>27964.065997529753</c:v>
                </c:pt>
                <c:pt idx="27" formatCode="0_ ">
                  <c:v>27417.580151511116</c:v>
                </c:pt>
                <c:pt idx="28" formatCode="0_ ">
                  <c:v>26888.03593006757</c:v>
                </c:pt>
                <c:pt idx="29" formatCode="0_ ">
                  <c:v>26375.962592752385</c:v>
                </c:pt>
                <c:pt idx="30" formatCode="0_ ">
                  <c:v>25881.848374701727</c:v>
                </c:pt>
                <c:pt idx="31" formatCode="0_ ">
                  <c:v>25406.148878856769</c:v>
                </c:pt>
                <c:pt idx="32" formatCode="0_ ">
                  <c:v>24949.288908449809</c:v>
                </c:pt>
                <c:pt idx="33" formatCode="0_ ">
                  <c:v>24511.664795943598</c:v>
                </c:pt>
                <c:pt idx="34" formatCode="0_ ">
                  <c:v>24093.652588426889</c:v>
                </c:pt>
                <c:pt idx="35" formatCode="0_ ">
                  <c:v>23695.605123820213</c:v>
                </c:pt>
                <c:pt idx="36" formatCode="0_ ">
                  <c:v>23317.861230906165</c:v>
                </c:pt>
                <c:pt idx="37" formatCode="0_ ">
                  <c:v>22960.749491068691</c:v>
                </c:pt>
                <c:pt idx="38" formatCode="0_ ">
                  <c:v>22624.589912068855</c:v>
                </c:pt>
                <c:pt idx="39" formatCode="0_ ">
                  <c:v>22309.700026187817</c:v>
                </c:pt>
                <c:pt idx="40" formatCode="0_ ">
                  <c:v>22016.397598148673</c:v>
                </c:pt>
                <c:pt idx="41" formatCode="0_ ">
                  <c:v>21745.009103454933</c:v>
                </c:pt>
                <c:pt idx="42" formatCode="0_ ">
                  <c:v>21495.869726825542</c:v>
                </c:pt>
              </c:numCache>
            </c:numRef>
          </c:yVal>
          <c:smooth val="1"/>
          <c:extLst>
            <c:ext xmlns:c16="http://schemas.microsoft.com/office/drawing/2014/chart" uri="{C3380CC4-5D6E-409C-BE32-E72D297353CC}">
              <c16:uniqueId val="{00000003-7808-455E-9512-94C89BE8B479}"/>
            </c:ext>
          </c:extLst>
        </c:ser>
        <c:dLbls>
          <c:showLegendKey val="0"/>
          <c:showVal val="0"/>
          <c:showCatName val="0"/>
          <c:showSerName val="0"/>
          <c:showPercent val="0"/>
          <c:showBubbleSize val="0"/>
        </c:dLbls>
        <c:axId val="102701551"/>
        <c:axId val="108643663"/>
      </c:scatterChart>
      <c:valAx>
        <c:axId val="102701551"/>
        <c:scaling>
          <c:orientation val="minMax"/>
          <c:max val="2060"/>
          <c:min val="201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8643663"/>
        <c:crosses val="autoZero"/>
        <c:crossBetween val="midCat"/>
      </c:valAx>
      <c:valAx>
        <c:axId val="10864366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27015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3</xdr:col>
      <xdr:colOff>38101</xdr:colOff>
      <xdr:row>35</xdr:row>
      <xdr:rowOff>86681</xdr:rowOff>
    </xdr:from>
    <xdr:ext cx="5181600" cy="3145162"/>
    <xdr:pic>
      <xdr:nvPicPr>
        <xdr:cNvPr id="2" name="图片 1">
          <a:extLst>
            <a:ext uri="{FF2B5EF4-FFF2-40B4-BE49-F238E27FC236}">
              <a16:creationId xmlns:a16="http://schemas.microsoft.com/office/drawing/2014/main" id="{6F1DAA38-C927-44E4-AEE2-D3D6C2888E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1" y="6420806"/>
          <a:ext cx="5181600" cy="3145162"/>
        </a:xfrm>
        <a:prstGeom prst="rect">
          <a:avLst/>
        </a:prstGeom>
      </xdr:spPr>
    </xdr:pic>
    <xdr:clientData/>
  </xdr:oneCellAnchor>
  <xdr:twoCellAnchor>
    <xdr:from>
      <xdr:col>13</xdr:col>
      <xdr:colOff>0</xdr:colOff>
      <xdr:row>34</xdr:row>
      <xdr:rowOff>180974</xdr:rowOff>
    </xdr:from>
    <xdr:to>
      <xdr:col>19</xdr:col>
      <xdr:colOff>523875</xdr:colOff>
      <xdr:row>53</xdr:row>
      <xdr:rowOff>9524</xdr:rowOff>
    </xdr:to>
    <xdr:graphicFrame macro="">
      <xdr:nvGraphicFramePr>
        <xdr:cNvPr id="3" name="图表 2">
          <a:extLst>
            <a:ext uri="{FF2B5EF4-FFF2-40B4-BE49-F238E27FC236}">
              <a16:creationId xmlns:a16="http://schemas.microsoft.com/office/drawing/2014/main" id="{9F88EE5E-9910-44C7-81EA-ADEE62246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28</xdr:row>
      <xdr:rowOff>0</xdr:rowOff>
    </xdr:from>
    <xdr:to>
      <xdr:col>7</xdr:col>
      <xdr:colOff>152400</xdr:colOff>
      <xdr:row>43</xdr:row>
      <xdr:rowOff>28575</xdr:rowOff>
    </xdr:to>
    <xdr:graphicFrame macro="">
      <xdr:nvGraphicFramePr>
        <xdr:cNvPr id="2" name="图表 1">
          <a:extLst>
            <a:ext uri="{FF2B5EF4-FFF2-40B4-BE49-F238E27FC236}">
              <a16:creationId xmlns:a16="http://schemas.microsoft.com/office/drawing/2014/main" id="{9F2C6701-F847-4978-B54A-4492CDCEC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28</xdr:row>
      <xdr:rowOff>0</xdr:rowOff>
    </xdr:from>
    <xdr:to>
      <xdr:col>14</xdr:col>
      <xdr:colOff>457200</xdr:colOff>
      <xdr:row>43</xdr:row>
      <xdr:rowOff>28575</xdr:rowOff>
    </xdr:to>
    <xdr:graphicFrame macro="">
      <xdr:nvGraphicFramePr>
        <xdr:cNvPr id="3" name="图表 2">
          <a:extLst>
            <a:ext uri="{FF2B5EF4-FFF2-40B4-BE49-F238E27FC236}">
              <a16:creationId xmlns:a16="http://schemas.microsoft.com/office/drawing/2014/main" id="{2D0AAFA9-5352-4F79-9C62-1F486E2F7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28</xdr:row>
      <xdr:rowOff>0</xdr:rowOff>
    </xdr:from>
    <xdr:to>
      <xdr:col>21</xdr:col>
      <xdr:colOff>457200</xdr:colOff>
      <xdr:row>43</xdr:row>
      <xdr:rowOff>28575</xdr:rowOff>
    </xdr:to>
    <xdr:graphicFrame macro="">
      <xdr:nvGraphicFramePr>
        <xdr:cNvPr id="4" name="图表 3">
          <a:extLst>
            <a:ext uri="{FF2B5EF4-FFF2-40B4-BE49-F238E27FC236}">
              <a16:creationId xmlns:a16="http://schemas.microsoft.com/office/drawing/2014/main" id="{84442FD1-4646-448E-8F82-F4C1A30D7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39</xdr:col>
      <xdr:colOff>385762</xdr:colOff>
      <xdr:row>10</xdr:row>
      <xdr:rowOff>19050</xdr:rowOff>
    </xdr:from>
    <xdr:to>
      <xdr:col>46</xdr:col>
      <xdr:colOff>157162</xdr:colOff>
      <xdr:row>25</xdr:row>
      <xdr:rowOff>47625</xdr:rowOff>
    </xdr:to>
    <xdr:graphicFrame macro="">
      <xdr:nvGraphicFramePr>
        <xdr:cNvPr id="2" name="图表 1">
          <a:extLst>
            <a:ext uri="{FF2B5EF4-FFF2-40B4-BE49-F238E27FC236}">
              <a16:creationId xmlns:a16="http://schemas.microsoft.com/office/drawing/2014/main" id="{97EAB01B-B3FC-449B-8C44-3EBF00C49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261937</xdr:colOff>
      <xdr:row>20</xdr:row>
      <xdr:rowOff>142875</xdr:rowOff>
    </xdr:from>
    <xdr:to>
      <xdr:col>18</xdr:col>
      <xdr:colOff>33337</xdr:colOff>
      <xdr:row>35</xdr:row>
      <xdr:rowOff>171450</xdr:rowOff>
    </xdr:to>
    <xdr:graphicFrame macro="">
      <xdr:nvGraphicFramePr>
        <xdr:cNvPr id="2" name="图表 1">
          <a:extLst>
            <a:ext uri="{FF2B5EF4-FFF2-40B4-BE49-F238E27FC236}">
              <a16:creationId xmlns:a16="http://schemas.microsoft.com/office/drawing/2014/main" id="{82D1BB2E-D21A-4290-8022-1A44EC9DF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40</xdr:row>
      <xdr:rowOff>0</xdr:rowOff>
    </xdr:from>
    <xdr:to>
      <xdr:col>23</xdr:col>
      <xdr:colOff>366713</xdr:colOff>
      <xdr:row>63</xdr:row>
      <xdr:rowOff>57150</xdr:rowOff>
    </xdr:to>
    <xdr:graphicFrame macro="">
      <xdr:nvGraphicFramePr>
        <xdr:cNvPr id="3" name="图表 2">
          <a:extLst>
            <a:ext uri="{FF2B5EF4-FFF2-40B4-BE49-F238E27FC236}">
              <a16:creationId xmlns:a16="http://schemas.microsoft.com/office/drawing/2014/main" id="{E7CC8545-5F1E-4B5A-9D5E-08859A16C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Share\EPS\EPS%20Shandong%203.3.1\InputData\bldgs\BDEQ\BAU%20Distribued%20Electricity%20Quantiti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Downloads\wpd_datasets2.csv" TargetMode="External"/><Relationship Id="rId1" Type="http://schemas.openxmlformats.org/officeDocument/2006/relationships/externalLinkPath" Target="file:///C:\Users\admin\Downloads\wpd_datasets2.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Table_21._Residential_Sector_Eq"/>
      <sheetName val="Table_22._Commercial_Sector_Ene"/>
      <sheetName val="RECS HC2.1"/>
      <sheetName val="Calculations"/>
    </sheetNames>
    <sheetDataSet>
      <sheetData sheetId="0">
        <row r="26">
          <cell r="A26">
            <v>0.80118443316412857</v>
          </cell>
        </row>
        <row r="27">
          <cell r="A27">
            <v>0.1988155668358714</v>
          </cell>
        </row>
        <row r="29">
          <cell r="B29">
            <v>1000000</v>
          </cell>
        </row>
        <row r="30">
          <cell r="B30">
            <v>1000</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pd_datasets2"/>
    </sheetNames>
    <sheetDataSet>
      <sheetData sheetId="0">
        <row r="18">
          <cell r="C18" t="str">
            <v>城镇屋顶</v>
          </cell>
          <cell r="D18" t="str">
            <v>农村屋顶</v>
          </cell>
          <cell r="E18" t="str">
            <v>工矿用地</v>
          </cell>
          <cell r="F18" t="str">
            <v>滩涂分布式</v>
          </cell>
        </row>
        <row r="19">
          <cell r="B19" t="str">
            <v>北京</v>
          </cell>
          <cell r="C19">
            <v>610.858400586941</v>
          </cell>
          <cell r="D19">
            <v>415.03220021194909</v>
          </cell>
          <cell r="E19">
            <v>185.79929893208987</v>
          </cell>
          <cell r="F19">
            <v>115.96967473710015</v>
          </cell>
        </row>
        <row r="20">
          <cell r="B20" t="str">
            <v>天津</v>
          </cell>
          <cell r="C20">
            <v>353.87625336267899</v>
          </cell>
          <cell r="D20">
            <v>305.24170538844101</v>
          </cell>
          <cell r="E20">
            <v>246.12374663731998</v>
          </cell>
          <cell r="F20">
            <v>167.0987201434699</v>
          </cell>
        </row>
        <row r="21">
          <cell r="B21" t="str">
            <v>河北</v>
          </cell>
          <cell r="C21">
            <v>1197.21203228173</v>
          </cell>
          <cell r="D21">
            <v>5088.3671639357599</v>
          </cell>
          <cell r="E21">
            <v>1384.9487785658002</v>
          </cell>
          <cell r="F21">
            <v>653.41430939376914</v>
          </cell>
        </row>
        <row r="22">
          <cell r="B22" t="str">
            <v>上海</v>
          </cell>
          <cell r="C22">
            <v>805.10312219776699</v>
          </cell>
          <cell r="D22">
            <v>594.79905437351306</v>
          </cell>
          <cell r="E22">
            <v>183.07654683297005</v>
          </cell>
          <cell r="F22">
            <v>136.64302600472979</v>
          </cell>
        </row>
        <row r="23">
          <cell r="B23" t="str">
            <v>江苏</v>
          </cell>
          <cell r="C23">
            <v>1914.9724192277299</v>
          </cell>
          <cell r="D23">
            <v>5575.2859976631098</v>
          </cell>
          <cell r="E23">
            <v>1286.1172250754098</v>
          </cell>
          <cell r="F23">
            <v>1430.8958995678513</v>
          </cell>
        </row>
        <row r="24">
          <cell r="B24" t="str">
            <v>浙江</v>
          </cell>
          <cell r="C24">
            <v>1399.9021765712801</v>
          </cell>
          <cell r="D24">
            <v>4693.2420314665396</v>
          </cell>
          <cell r="E24">
            <v>554.98491888806984</v>
          </cell>
          <cell r="F24">
            <v>598.41852123583976</v>
          </cell>
        </row>
        <row r="25">
          <cell r="B25" t="str">
            <v>安徽</v>
          </cell>
          <cell r="C25">
            <v>1054.84633569739</v>
          </cell>
          <cell r="D25">
            <v>4227.5372951822101</v>
          </cell>
          <cell r="E25">
            <v>1231.8683110319098</v>
          </cell>
          <cell r="F25">
            <v>619.20747495216074</v>
          </cell>
        </row>
        <row r="26">
          <cell r="B26" t="str">
            <v>福建</v>
          </cell>
          <cell r="C26">
            <v>809.92907801418403</v>
          </cell>
          <cell r="D26">
            <v>2897.0212765957358</v>
          </cell>
          <cell r="E26">
            <v>305.5634357762101</v>
          </cell>
          <cell r="F26">
            <v>506.16233254530971</v>
          </cell>
        </row>
        <row r="27">
          <cell r="B27" t="str">
            <v>江西</v>
          </cell>
          <cell r="C27">
            <v>980.20488573680097</v>
          </cell>
          <cell r="D27">
            <v>4133.2702915681593</v>
          </cell>
          <cell r="E27">
            <v>553.77842993396007</v>
          </cell>
          <cell r="F27">
            <v>529.68886715035933</v>
          </cell>
        </row>
        <row r="28">
          <cell r="B28" t="str">
            <v>山东</v>
          </cell>
          <cell r="C28">
            <v>1823.42001576044</v>
          </cell>
          <cell r="D28">
            <v>6644.0944539550501</v>
          </cell>
          <cell r="E28">
            <v>1693.8008107487094</v>
          </cell>
          <cell r="F28">
            <v>736.87226878710135</v>
          </cell>
        </row>
        <row r="29">
          <cell r="B29" t="str">
            <v>河南</v>
          </cell>
          <cell r="C29">
            <v>1471.20567375886</v>
          </cell>
          <cell r="D29">
            <v>7664.7036765305302</v>
          </cell>
          <cell r="E29">
            <v>1463.2125679814089</v>
          </cell>
          <cell r="F29">
            <v>771.40605651240003</v>
          </cell>
        </row>
        <row r="30">
          <cell r="B30" t="str">
            <v>湖北</v>
          </cell>
          <cell r="C30">
            <v>1118.99133175728</v>
          </cell>
          <cell r="D30">
            <v>4515.8077226162404</v>
          </cell>
          <cell r="E30">
            <v>882.86840031520933</v>
          </cell>
          <cell r="F30">
            <v>835.05122143420067</v>
          </cell>
        </row>
        <row r="31">
          <cell r="B31" t="str">
            <v>湖南</v>
          </cell>
          <cell r="C31">
            <v>1369.7399527186701</v>
          </cell>
          <cell r="D31">
            <v>6153.09366593299</v>
          </cell>
          <cell r="E31">
            <v>800.57063666749036</v>
          </cell>
          <cell r="F31">
            <v>568.79432624112997</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382D-58E2-4F35-92E0-B35F04144480}">
  <dimension ref="A1:AZ67"/>
  <sheetViews>
    <sheetView topLeftCell="A34" workbookViewId="0">
      <selection activeCell="N68" sqref="N68"/>
    </sheetView>
  </sheetViews>
  <sheetFormatPr defaultRowHeight="14.25"/>
  <cols>
    <col min="2" max="14" width="8.125" customWidth="1"/>
    <col min="15" max="18" width="9" customWidth="1"/>
  </cols>
  <sheetData>
    <row r="1" spans="1:30">
      <c r="B1">
        <v>2017</v>
      </c>
      <c r="C1">
        <v>2018</v>
      </c>
      <c r="D1">
        <v>2019</v>
      </c>
      <c r="E1">
        <v>2020</v>
      </c>
      <c r="F1">
        <v>2021</v>
      </c>
      <c r="G1">
        <v>2022</v>
      </c>
      <c r="I1">
        <v>2017</v>
      </c>
      <c r="J1">
        <v>2018</v>
      </c>
      <c r="K1">
        <v>2019</v>
      </c>
      <c r="L1">
        <v>2020</v>
      </c>
      <c r="M1">
        <v>2021</v>
      </c>
      <c r="N1">
        <v>2022</v>
      </c>
      <c r="P1">
        <v>2019</v>
      </c>
      <c r="Q1">
        <v>2020</v>
      </c>
      <c r="R1">
        <v>2021</v>
      </c>
      <c r="S1">
        <v>2022</v>
      </c>
      <c r="AB1" t="s">
        <v>404</v>
      </c>
      <c r="AC1" t="s">
        <v>404</v>
      </c>
      <c r="AD1" t="s">
        <v>404</v>
      </c>
    </row>
    <row r="2" spans="1:30">
      <c r="B2" s="65" t="s">
        <v>443</v>
      </c>
      <c r="C2" s="65"/>
      <c r="D2" s="65"/>
      <c r="E2" s="65"/>
      <c r="F2" s="65"/>
      <c r="G2" s="65"/>
      <c r="I2" s="65" t="s">
        <v>442</v>
      </c>
      <c r="J2" s="65"/>
      <c r="K2" s="65"/>
      <c r="L2" s="65"/>
      <c r="M2" s="65"/>
      <c r="N2" s="65"/>
      <c r="P2" s="65" t="s">
        <v>404</v>
      </c>
      <c r="Q2" s="65"/>
      <c r="R2" s="65"/>
      <c r="S2" s="65"/>
      <c r="AB2">
        <v>201910</v>
      </c>
      <c r="AC2">
        <v>202011</v>
      </c>
      <c r="AD2">
        <v>202112</v>
      </c>
    </row>
    <row r="3" spans="1:30">
      <c r="A3" t="s">
        <v>441</v>
      </c>
      <c r="B3">
        <v>9384</v>
      </c>
      <c r="C3">
        <v>12406</v>
      </c>
      <c r="D3">
        <v>14167</v>
      </c>
      <c r="E3">
        <v>17287.87</v>
      </c>
      <c r="F3">
        <v>19847.939999999999</v>
      </c>
      <c r="G3">
        <v>23442.400000000001</v>
      </c>
      <c r="I3">
        <v>3658</v>
      </c>
      <c r="J3">
        <v>5027</v>
      </c>
      <c r="K3">
        <v>6263</v>
      </c>
      <c r="L3">
        <v>7822.9</v>
      </c>
      <c r="M3">
        <v>10750.8</v>
      </c>
      <c r="N3">
        <v>15761.600000000004</v>
      </c>
      <c r="R3" s="14">
        <f>SUM(R4:R35)</f>
        <v>2159.6201000000005</v>
      </c>
      <c r="S3" s="14">
        <f>SUM(S4:S35)</f>
        <v>2526.6999999999998</v>
      </c>
      <c r="Z3" t="s">
        <v>5</v>
      </c>
      <c r="AA3" t="str">
        <f>VLOOKUP("*"&amp;Z3&amp;"*",A$3:A$35,1,FALSE)</f>
        <v>北京市</v>
      </c>
      <c r="AB3" s="16">
        <v>5.2133295000000004</v>
      </c>
      <c r="AC3" s="16">
        <v>0.9214</v>
      </c>
      <c r="AD3" s="16">
        <v>11.526400000000001</v>
      </c>
    </row>
    <row r="4" spans="1:30">
      <c r="A4" t="s">
        <v>440</v>
      </c>
      <c r="B4">
        <v>3</v>
      </c>
      <c r="C4">
        <v>5</v>
      </c>
      <c r="D4">
        <v>5</v>
      </c>
      <c r="E4">
        <v>5.0999999999999996</v>
      </c>
      <c r="F4">
        <v>5.0999999999999996</v>
      </c>
      <c r="G4">
        <v>5.0999999999999996</v>
      </c>
      <c r="I4">
        <v>22</v>
      </c>
      <c r="J4">
        <v>35</v>
      </c>
      <c r="K4">
        <v>46</v>
      </c>
      <c r="L4">
        <v>56.4</v>
      </c>
      <c r="M4">
        <v>75</v>
      </c>
      <c r="N4">
        <v>90.2</v>
      </c>
      <c r="R4" s="14">
        <f>VLOOKUP(A4,AA$3:AD$36,4,FALSE)</f>
        <v>11.526400000000001</v>
      </c>
      <c r="S4" s="14">
        <v>3.4</v>
      </c>
      <c r="Z4" t="s">
        <v>6</v>
      </c>
      <c r="AA4" t="str">
        <f>VLOOKUP("*"&amp;Z4&amp;"*",A$3:A$35,1,FALSE)</f>
        <v>天津市</v>
      </c>
      <c r="AB4" s="16">
        <v>0.81133849999999996</v>
      </c>
      <c r="AC4" s="16">
        <v>1.2011000000000001</v>
      </c>
      <c r="AD4" s="16">
        <v>2.7858999999999998</v>
      </c>
    </row>
    <row r="5" spans="1:30">
      <c r="A5" t="s">
        <v>439</v>
      </c>
      <c r="B5">
        <v>53</v>
      </c>
      <c r="C5">
        <v>97</v>
      </c>
      <c r="D5">
        <v>104</v>
      </c>
      <c r="E5">
        <v>118.83999999999999</v>
      </c>
      <c r="F5">
        <v>118.85</v>
      </c>
      <c r="G5">
        <v>121.7</v>
      </c>
      <c r="I5">
        <v>15</v>
      </c>
      <c r="J5">
        <v>31</v>
      </c>
      <c r="K5">
        <v>38</v>
      </c>
      <c r="L5">
        <v>44.7</v>
      </c>
      <c r="M5">
        <v>58.9</v>
      </c>
      <c r="N5">
        <v>98.9</v>
      </c>
      <c r="R5" s="14">
        <f>VLOOKUP(A5,AA$3:AD$36,4,FALSE)</f>
        <v>2.7858999999999998</v>
      </c>
      <c r="S5" s="14">
        <v>10.1</v>
      </c>
      <c r="Z5" t="s">
        <v>7</v>
      </c>
      <c r="AA5" t="str">
        <f>VLOOKUP("*"&amp;Z5&amp;"*",A$3:A$35,1,FALSE)</f>
        <v>河北省</v>
      </c>
      <c r="AB5" s="16">
        <v>83.680125000000004</v>
      </c>
      <c r="AC5" s="16">
        <v>215.44749999999999</v>
      </c>
      <c r="AD5" s="16">
        <v>534.07460000000003</v>
      </c>
    </row>
    <row r="6" spans="1:30">
      <c r="A6" t="s">
        <v>438</v>
      </c>
      <c r="B6">
        <v>517</v>
      </c>
      <c r="C6">
        <v>856</v>
      </c>
      <c r="D6">
        <v>962</v>
      </c>
      <c r="E6">
        <v>1445.52</v>
      </c>
      <c r="F6">
        <v>1658.84</v>
      </c>
      <c r="G6">
        <v>1994.1</v>
      </c>
      <c r="I6">
        <v>351</v>
      </c>
      <c r="J6">
        <v>378</v>
      </c>
      <c r="K6">
        <v>512</v>
      </c>
      <c r="L6">
        <v>745.8</v>
      </c>
      <c r="M6">
        <v>1262.5</v>
      </c>
      <c r="N6">
        <v>1861.2</v>
      </c>
      <c r="R6" s="14">
        <f>VLOOKUP(A6,AA$3:AD$36,4,FALSE)</f>
        <v>534.07460000000003</v>
      </c>
      <c r="S6" s="14">
        <v>506.2</v>
      </c>
      <c r="Z6" t="s">
        <v>112</v>
      </c>
      <c r="AA6" t="e">
        <f>VLOOKUP("*"&amp;Z6&amp;"*",A$3:A$35,1,FALSE)</f>
        <v>#N/A</v>
      </c>
      <c r="AB6" s="16">
        <v>70.13471899999999</v>
      </c>
      <c r="AC6" s="16">
        <v>195.6079</v>
      </c>
      <c r="AD6" s="16">
        <v>476.96269999999998</v>
      </c>
    </row>
    <row r="7" spans="1:30">
      <c r="A7" t="s">
        <v>437</v>
      </c>
      <c r="B7">
        <v>530</v>
      </c>
      <c r="C7">
        <v>681</v>
      </c>
      <c r="D7">
        <v>857</v>
      </c>
      <c r="E7">
        <v>1028.32</v>
      </c>
      <c r="F7">
        <v>1101.8399999999999</v>
      </c>
      <c r="G7">
        <v>1257</v>
      </c>
      <c r="I7">
        <v>60</v>
      </c>
      <c r="J7">
        <v>183</v>
      </c>
      <c r="K7">
        <v>231</v>
      </c>
      <c r="L7">
        <v>280.2</v>
      </c>
      <c r="M7">
        <v>355.9</v>
      </c>
      <c r="N7">
        <v>438.7</v>
      </c>
      <c r="R7" s="14">
        <f>VLOOKUP(A7,AA$3:AD$36,4,FALSE)</f>
        <v>74.291499999999999</v>
      </c>
      <c r="S7" s="14">
        <v>76</v>
      </c>
      <c r="Z7" t="s">
        <v>113</v>
      </c>
      <c r="AA7" t="e">
        <f>VLOOKUP("*"&amp;Z7&amp;"*",A$3:A$35,1,FALSE)</f>
        <v>#N/A</v>
      </c>
      <c r="AB7" s="16">
        <v>13.545406</v>
      </c>
      <c r="AC7" s="16">
        <v>19.839600000000001</v>
      </c>
      <c r="AD7" s="16">
        <v>57.111899999999999</v>
      </c>
    </row>
    <row r="8" spans="1:30">
      <c r="A8" t="s">
        <v>436</v>
      </c>
      <c r="B8">
        <v>741</v>
      </c>
      <c r="C8">
        <v>933</v>
      </c>
      <c r="D8">
        <v>1001</v>
      </c>
      <c r="E8">
        <v>1138</v>
      </c>
      <c r="F8">
        <v>1299.5</v>
      </c>
      <c r="G8">
        <v>1429.6</v>
      </c>
      <c r="I8">
        <v>2</v>
      </c>
      <c r="J8">
        <v>13</v>
      </c>
      <c r="K8">
        <v>80</v>
      </c>
      <c r="L8">
        <v>90.1</v>
      </c>
      <c r="M8">
        <v>102.5</v>
      </c>
      <c r="N8">
        <v>121.2</v>
      </c>
      <c r="R8" s="14">
        <f>VLOOKUP(A8,AA$3:AD$36,4,FALSE)</f>
        <v>5.3501000000000003</v>
      </c>
      <c r="S8" s="14">
        <v>6.2</v>
      </c>
      <c r="Z8" t="s">
        <v>8</v>
      </c>
      <c r="AA8" t="str">
        <f>VLOOKUP("*"&amp;Z8&amp;"*",A$3:A$35,1,FALSE)</f>
        <v>山西省</v>
      </c>
      <c r="AB8" s="16">
        <v>27.189404700000001</v>
      </c>
      <c r="AC8" s="16">
        <v>45.805199999999999</v>
      </c>
      <c r="AD8" s="16">
        <v>74.291499999999999</v>
      </c>
    </row>
    <row r="9" spans="1:30">
      <c r="A9" t="s">
        <v>435</v>
      </c>
      <c r="B9">
        <v>185</v>
      </c>
      <c r="C9">
        <v>219</v>
      </c>
      <c r="D9">
        <v>246</v>
      </c>
      <c r="E9">
        <v>281.89</v>
      </c>
      <c r="F9">
        <v>317.5</v>
      </c>
      <c r="G9">
        <v>381.3</v>
      </c>
      <c r="I9">
        <v>38</v>
      </c>
      <c r="J9">
        <v>83</v>
      </c>
      <c r="K9">
        <v>97</v>
      </c>
      <c r="L9">
        <v>117.9</v>
      </c>
      <c r="M9">
        <v>160</v>
      </c>
      <c r="N9">
        <v>219.3</v>
      </c>
      <c r="R9" s="14">
        <f>VLOOKUP(A9,AA$3:AD$36,4,FALSE)</f>
        <v>29.1297</v>
      </c>
      <c r="S9" s="14">
        <v>23</v>
      </c>
      <c r="Z9" t="s">
        <v>9</v>
      </c>
      <c r="AA9" t="str">
        <f>VLOOKUP("*"&amp;Z9&amp;"*",A$3:A$35,1,FALSE)</f>
        <v>内蒙古自治区</v>
      </c>
      <c r="AB9" s="16">
        <v>3.9444119999999998</v>
      </c>
      <c r="AC9" s="16">
        <v>1.9903999999999999</v>
      </c>
      <c r="AD9" s="16">
        <v>5.3501000000000003</v>
      </c>
    </row>
    <row r="10" spans="1:30">
      <c r="A10" t="s">
        <v>434</v>
      </c>
      <c r="B10">
        <v>107</v>
      </c>
      <c r="C10">
        <v>203</v>
      </c>
      <c r="D10">
        <v>205</v>
      </c>
      <c r="E10">
        <v>260.91000000000003</v>
      </c>
      <c r="F10">
        <v>265.79000000000002</v>
      </c>
      <c r="G10">
        <v>294.60000000000002</v>
      </c>
      <c r="I10">
        <v>52</v>
      </c>
      <c r="J10">
        <v>62</v>
      </c>
      <c r="K10">
        <v>69</v>
      </c>
      <c r="L10">
        <v>76</v>
      </c>
      <c r="M10">
        <v>80.099999999999994</v>
      </c>
      <c r="N10">
        <v>92</v>
      </c>
      <c r="R10" s="14">
        <f>VLOOKUP(A10,AA$3:AD$36,4,FALSE)</f>
        <v>4.9920999999999998</v>
      </c>
      <c r="S10" s="14">
        <v>2.4</v>
      </c>
      <c r="Z10" t="s">
        <v>114</v>
      </c>
      <c r="AA10" t="e">
        <f>VLOOKUP("*"&amp;Z10&amp;"*",A$3:A$35,1,FALSE)</f>
        <v>#N/A</v>
      </c>
      <c r="AB10" s="16">
        <v>0.17035400000000001</v>
      </c>
      <c r="AC10" s="16">
        <v>0.75939999999999996</v>
      </c>
      <c r="AD10" s="16">
        <v>1.2771999999999999</v>
      </c>
    </row>
    <row r="11" spans="1:30">
      <c r="A11" t="s">
        <v>433</v>
      </c>
      <c r="B11">
        <v>64</v>
      </c>
      <c r="C11">
        <v>141</v>
      </c>
      <c r="D11">
        <v>195</v>
      </c>
      <c r="E11">
        <v>234.99</v>
      </c>
      <c r="F11">
        <v>329.99</v>
      </c>
      <c r="G11">
        <v>366.9</v>
      </c>
      <c r="I11">
        <v>30</v>
      </c>
      <c r="J11">
        <v>74</v>
      </c>
      <c r="K11">
        <v>80</v>
      </c>
      <c r="L11">
        <v>82.7</v>
      </c>
      <c r="M11">
        <v>89.8</v>
      </c>
      <c r="N11">
        <v>108.4</v>
      </c>
      <c r="R11" s="14">
        <f>VLOOKUP(A11,AA$3:AD$36,4,FALSE)</f>
        <v>2.2025000000000001</v>
      </c>
      <c r="S11" s="14">
        <v>3.9</v>
      </c>
      <c r="Z11" t="s">
        <v>115</v>
      </c>
      <c r="AA11" t="e">
        <f>VLOOKUP("*"&amp;Z11&amp;"*",A$3:A$35,1,FALSE)</f>
        <v>#N/A</v>
      </c>
      <c r="AB11" s="16">
        <v>3.7740580000000001</v>
      </c>
      <c r="AC11" s="16">
        <v>1.2310000000000001</v>
      </c>
      <c r="AD11" s="16">
        <v>4.0728999999999997</v>
      </c>
    </row>
    <row r="12" spans="1:30">
      <c r="A12" t="s">
        <v>432</v>
      </c>
      <c r="B12">
        <v>0</v>
      </c>
      <c r="C12">
        <v>7</v>
      </c>
      <c r="D12">
        <v>6</v>
      </c>
      <c r="E12">
        <v>19.7</v>
      </c>
      <c r="F12">
        <v>24.09</v>
      </c>
      <c r="G12">
        <v>24</v>
      </c>
      <c r="I12">
        <v>59</v>
      </c>
      <c r="J12">
        <v>82</v>
      </c>
      <c r="K12">
        <v>103</v>
      </c>
      <c r="L12">
        <v>116.89999999999999</v>
      </c>
      <c r="M12">
        <v>144.19999999999999</v>
      </c>
      <c r="N12">
        <v>170.9</v>
      </c>
      <c r="R12" s="14">
        <f>VLOOKUP(A12,AA$3:AD$36,4,FALSE)</f>
        <v>1.8567</v>
      </c>
      <c r="S12" s="14">
        <v>1.3</v>
      </c>
      <c r="Z12" t="s">
        <v>10</v>
      </c>
      <c r="AA12" t="str">
        <f>VLOOKUP("*"&amp;Z12&amp;"*",A$3:A$35,1,FALSE)</f>
        <v>辽宁省</v>
      </c>
      <c r="AB12" s="16">
        <v>6.8309050000000004</v>
      </c>
      <c r="AC12" s="16">
        <v>14.667899999999999</v>
      </c>
      <c r="AD12" s="16">
        <v>29.1297</v>
      </c>
    </row>
    <row r="13" spans="1:30">
      <c r="A13" t="s">
        <v>431</v>
      </c>
      <c r="B13">
        <v>580</v>
      </c>
      <c r="C13">
        <v>792</v>
      </c>
      <c r="D13">
        <v>821</v>
      </c>
      <c r="E13">
        <v>895.91000000000008</v>
      </c>
      <c r="F13">
        <v>941.08</v>
      </c>
      <c r="G13">
        <v>953.3</v>
      </c>
      <c r="I13">
        <v>327</v>
      </c>
      <c r="J13">
        <v>540</v>
      </c>
      <c r="K13">
        <v>665</v>
      </c>
      <c r="L13">
        <v>788.09999999999991</v>
      </c>
      <c r="M13">
        <v>974.9</v>
      </c>
      <c r="N13">
        <v>1555.2</v>
      </c>
      <c r="R13" s="14">
        <f>VLOOKUP(A13,AA$3:AD$36,4,FALSE)</f>
        <v>43.974600000000002</v>
      </c>
      <c r="S13" s="14">
        <v>151.4</v>
      </c>
      <c r="Z13" t="s">
        <v>11</v>
      </c>
      <c r="AA13" t="str">
        <f>VLOOKUP("*"&amp;Z13&amp;"*",A$3:A$35,1,FALSE)</f>
        <v>吉林省</v>
      </c>
      <c r="AB13" s="16">
        <v>2.996705</v>
      </c>
      <c r="AC13" s="16">
        <v>6.0682</v>
      </c>
      <c r="AD13" s="16">
        <v>4.9920999999999998</v>
      </c>
    </row>
    <row r="14" spans="1:30">
      <c r="A14" t="s">
        <v>430</v>
      </c>
      <c r="B14">
        <v>315</v>
      </c>
      <c r="C14">
        <v>361</v>
      </c>
      <c r="D14">
        <v>414</v>
      </c>
      <c r="E14">
        <v>412.16999999999996</v>
      </c>
      <c r="F14">
        <v>577.03</v>
      </c>
      <c r="G14">
        <v>613.4</v>
      </c>
      <c r="I14">
        <v>499</v>
      </c>
      <c r="J14">
        <v>777</v>
      </c>
      <c r="K14">
        <v>925</v>
      </c>
      <c r="L14">
        <v>1067.2</v>
      </c>
      <c r="M14">
        <v>1264.8</v>
      </c>
      <c r="N14">
        <v>1925.5</v>
      </c>
      <c r="R14" s="14">
        <f>VLOOKUP(A14,AA$3:AD$36,4,FALSE)</f>
        <v>17.258800000000001</v>
      </c>
      <c r="S14" s="14">
        <v>11.2</v>
      </c>
      <c r="Z14" t="s">
        <v>12</v>
      </c>
      <c r="AA14" t="str">
        <f>VLOOKUP("*"&amp;Z14&amp;"*",A$3:A$35,1,FALSE)</f>
        <v>黑龙江省</v>
      </c>
      <c r="AB14" s="16">
        <v>1.837046</v>
      </c>
      <c r="AC14" s="16">
        <v>1.6807000000000001</v>
      </c>
      <c r="AD14" s="16">
        <v>2.2025000000000001</v>
      </c>
    </row>
    <row r="15" spans="1:30">
      <c r="A15" t="s">
        <v>429</v>
      </c>
      <c r="B15">
        <v>565</v>
      </c>
      <c r="C15">
        <v>677</v>
      </c>
      <c r="D15">
        <v>773</v>
      </c>
      <c r="E15">
        <v>825.56</v>
      </c>
      <c r="F15">
        <v>947.02</v>
      </c>
      <c r="G15">
        <v>1063.8</v>
      </c>
      <c r="I15">
        <v>323</v>
      </c>
      <c r="J15">
        <v>441</v>
      </c>
      <c r="K15">
        <v>480</v>
      </c>
      <c r="L15">
        <v>544.09999999999991</v>
      </c>
      <c r="M15">
        <v>759.8</v>
      </c>
      <c r="N15">
        <v>1090.3</v>
      </c>
      <c r="R15" s="14">
        <f>VLOOKUP(A15,AA$3:AD$36,4,FALSE)</f>
        <v>137.238</v>
      </c>
      <c r="S15" s="14">
        <v>251</v>
      </c>
      <c r="Z15" t="s">
        <v>13</v>
      </c>
      <c r="AA15" t="str">
        <f>VLOOKUP("*"&amp;Z15&amp;"*",A$3:A$35,1,FALSE)</f>
        <v>上海市</v>
      </c>
      <c r="AB15" s="16">
        <v>4.3568000000000007</v>
      </c>
      <c r="AC15" s="16">
        <v>1.2888999999999999</v>
      </c>
      <c r="AD15" s="16">
        <v>1.8567</v>
      </c>
    </row>
    <row r="16" spans="1:30">
      <c r="A16" t="s">
        <v>428</v>
      </c>
      <c r="B16">
        <v>0</v>
      </c>
      <c r="C16">
        <v>37</v>
      </c>
      <c r="D16">
        <v>38</v>
      </c>
      <c r="E16">
        <v>37.799999999999997</v>
      </c>
      <c r="F16">
        <v>39.159999999999997</v>
      </c>
      <c r="G16">
        <v>39.200000000000003</v>
      </c>
      <c r="I16">
        <v>109</v>
      </c>
      <c r="J16">
        <v>111</v>
      </c>
      <c r="K16">
        <v>131</v>
      </c>
      <c r="L16">
        <v>164.3</v>
      </c>
      <c r="M16">
        <v>237.9</v>
      </c>
      <c r="N16">
        <v>425.8</v>
      </c>
      <c r="R16" s="14">
        <f>VLOOKUP(A16,AA$3:AD$36,4,FALSE)</f>
        <v>47.428800000000003</v>
      </c>
      <c r="S16" s="14">
        <v>79.8</v>
      </c>
      <c r="Z16" t="s">
        <v>14</v>
      </c>
      <c r="AA16" t="str">
        <f>VLOOKUP("*"&amp;Z16&amp;"*",A$3:A$35,1,FALSE)</f>
        <v>江苏省</v>
      </c>
      <c r="AB16" s="16">
        <v>21.9778144</v>
      </c>
      <c r="AC16" s="16">
        <v>23.282399999999999</v>
      </c>
      <c r="AD16" s="16">
        <v>43.974600000000002</v>
      </c>
    </row>
    <row r="17" spans="1:30">
      <c r="A17" t="s">
        <v>427</v>
      </c>
      <c r="B17">
        <v>277</v>
      </c>
      <c r="C17">
        <v>294</v>
      </c>
      <c r="D17">
        <v>367</v>
      </c>
      <c r="E17">
        <v>476.66</v>
      </c>
      <c r="F17">
        <v>551.95000000000005</v>
      </c>
      <c r="G17">
        <v>695.1</v>
      </c>
      <c r="I17">
        <v>172</v>
      </c>
      <c r="J17">
        <v>242</v>
      </c>
      <c r="K17">
        <v>263</v>
      </c>
      <c r="L17">
        <v>299.2</v>
      </c>
      <c r="M17">
        <v>359.2</v>
      </c>
      <c r="N17">
        <v>506.7</v>
      </c>
      <c r="R17" s="14">
        <f>VLOOKUP(A17,AA$3:AD$36,4,FALSE)</f>
        <v>49.024099999999997</v>
      </c>
      <c r="S17" s="14">
        <v>96.6</v>
      </c>
      <c r="Z17" t="s">
        <v>15</v>
      </c>
      <c r="AA17" t="str">
        <f>VLOOKUP("*"&amp;Z17&amp;"*",A$3:A$35,1,FALSE)</f>
        <v>浙江省</v>
      </c>
      <c r="AB17" s="16">
        <v>38.947099999999999</v>
      </c>
      <c r="AC17" s="16">
        <v>23.759</v>
      </c>
      <c r="AD17" s="16">
        <v>17.258800000000001</v>
      </c>
    </row>
    <row r="18" spans="1:30">
      <c r="A18" t="s">
        <v>145</v>
      </c>
      <c r="B18">
        <v>578</v>
      </c>
      <c r="C18">
        <v>648</v>
      </c>
      <c r="D18">
        <v>677</v>
      </c>
      <c r="E18">
        <v>805.02</v>
      </c>
      <c r="F18">
        <v>1008.97</v>
      </c>
      <c r="G18">
        <v>1249.7</v>
      </c>
      <c r="I18">
        <v>474</v>
      </c>
      <c r="J18">
        <v>713</v>
      </c>
      <c r="K18">
        <v>943</v>
      </c>
      <c r="L18">
        <v>1467.4</v>
      </c>
      <c r="M18">
        <v>2334.4</v>
      </c>
      <c r="N18">
        <v>3020.2</v>
      </c>
      <c r="R18" s="14">
        <f>VLOOKUP(A18,AA$3:AD$36,4,FALSE)</f>
        <v>763.2183</v>
      </c>
      <c r="S18" s="14">
        <v>426.5</v>
      </c>
      <c r="Z18" t="s">
        <v>16</v>
      </c>
      <c r="AA18" t="str">
        <f>VLOOKUP("*"&amp;Z18&amp;"*",A$3:A$35,1,FALSE)</f>
        <v>安徽省</v>
      </c>
      <c r="AB18" s="16">
        <v>18.276900999999999</v>
      </c>
      <c r="AC18" s="16">
        <v>34.913200000000003</v>
      </c>
      <c r="AD18" s="16">
        <v>137.238</v>
      </c>
    </row>
    <row r="19" spans="1:30">
      <c r="A19" t="s">
        <v>426</v>
      </c>
      <c r="B19">
        <v>492</v>
      </c>
      <c r="C19">
        <v>600</v>
      </c>
      <c r="D19">
        <v>600</v>
      </c>
      <c r="E19">
        <v>603.84999999999991</v>
      </c>
      <c r="F19">
        <v>625.79999999999995</v>
      </c>
      <c r="G19">
        <v>628.79999999999995</v>
      </c>
      <c r="I19">
        <v>211</v>
      </c>
      <c r="J19">
        <v>391</v>
      </c>
      <c r="K19">
        <v>454</v>
      </c>
      <c r="L19">
        <v>570.79999999999995</v>
      </c>
      <c r="M19">
        <v>929.8</v>
      </c>
      <c r="N19">
        <v>1704.2</v>
      </c>
      <c r="R19" s="14">
        <f>VLOOKUP(A19,AA$3:AD$36,4,FALSE)</f>
        <v>343.22719999999998</v>
      </c>
      <c r="S19" s="14">
        <v>691.3</v>
      </c>
      <c r="Z19" t="s">
        <v>17</v>
      </c>
      <c r="AA19" t="str">
        <f>VLOOKUP("*"&amp;Z19&amp;"*",A$3:A$35,1,FALSE)</f>
        <v>福建省</v>
      </c>
      <c r="AB19" s="16">
        <v>10.334</v>
      </c>
      <c r="AC19" s="16">
        <v>19.759699999999999</v>
      </c>
      <c r="AD19" s="16">
        <v>47.428800000000003</v>
      </c>
    </row>
    <row r="20" spans="1:30">
      <c r="A20" t="s">
        <v>425</v>
      </c>
      <c r="B20">
        <v>236</v>
      </c>
      <c r="C20">
        <v>335</v>
      </c>
      <c r="D20">
        <v>420</v>
      </c>
      <c r="E20">
        <v>485.65999999999997</v>
      </c>
      <c r="F20">
        <v>713</v>
      </c>
      <c r="G20">
        <v>975.6</v>
      </c>
      <c r="I20">
        <v>177</v>
      </c>
      <c r="J20">
        <v>175</v>
      </c>
      <c r="K20">
        <v>201</v>
      </c>
      <c r="L20">
        <v>211.9</v>
      </c>
      <c r="M20">
        <v>239.6</v>
      </c>
      <c r="N20">
        <v>340.1</v>
      </c>
      <c r="R20" s="14">
        <f>VLOOKUP(A20,AA$3:AD$36,4,FALSE)</f>
        <v>7.3506</v>
      </c>
      <c r="S20" s="14">
        <v>33.1</v>
      </c>
      <c r="Z20" t="s">
        <v>18</v>
      </c>
      <c r="AA20" t="str">
        <f>VLOOKUP("*"&amp;Z20&amp;"*",A$3:A$35,1,FALSE)</f>
        <v>江西省</v>
      </c>
      <c r="AB20" s="16">
        <v>9.8245000000000005</v>
      </c>
      <c r="AC20" s="16">
        <v>14.832700000000001</v>
      </c>
      <c r="AD20" s="16">
        <v>49.024099999999997</v>
      </c>
    </row>
    <row r="21" spans="1:30">
      <c r="A21" t="s">
        <v>424</v>
      </c>
      <c r="B21">
        <v>86</v>
      </c>
      <c r="C21">
        <v>126</v>
      </c>
      <c r="D21">
        <v>155</v>
      </c>
      <c r="E21">
        <v>190.62</v>
      </c>
      <c r="F21">
        <v>220.15</v>
      </c>
      <c r="G21">
        <v>286.10000000000002</v>
      </c>
      <c r="I21">
        <v>90</v>
      </c>
      <c r="J21">
        <v>166</v>
      </c>
      <c r="K21">
        <v>189</v>
      </c>
      <c r="L21">
        <v>200.1</v>
      </c>
      <c r="M21">
        <v>231</v>
      </c>
      <c r="N21">
        <v>349.8</v>
      </c>
      <c r="R21" s="14">
        <f>VLOOKUP(A21,AA$3:AD$36,4,FALSE)</f>
        <v>19.044799999999999</v>
      </c>
      <c r="S21" s="14">
        <v>66.5</v>
      </c>
      <c r="Z21" t="s">
        <v>19</v>
      </c>
      <c r="AA21" t="str">
        <f>VLOOKUP("*"&amp;Z21&amp;"*",A$3:A$35,1,FALSE)</f>
        <v>山东省</v>
      </c>
      <c r="AB21" s="16">
        <v>189.72681510000001</v>
      </c>
      <c r="AC21" s="16">
        <v>457.54070000000002</v>
      </c>
      <c r="AD21" s="16">
        <v>763.2183</v>
      </c>
    </row>
    <row r="22" spans="1:30">
      <c r="A22" t="s">
        <v>423</v>
      </c>
      <c r="B22">
        <v>210</v>
      </c>
      <c r="C22">
        <v>318</v>
      </c>
      <c r="D22">
        <v>302</v>
      </c>
      <c r="E22">
        <v>408.82</v>
      </c>
      <c r="F22">
        <v>508.2</v>
      </c>
      <c r="G22">
        <v>753.4</v>
      </c>
      <c r="I22">
        <v>122</v>
      </c>
      <c r="J22">
        <v>209</v>
      </c>
      <c r="K22">
        <v>308</v>
      </c>
      <c r="L22">
        <v>384.9</v>
      </c>
      <c r="M22">
        <v>511.9</v>
      </c>
      <c r="N22">
        <v>836.8</v>
      </c>
      <c r="R22" s="14">
        <f>VLOOKUP(A22,AA$3:AD$36,4,FALSE)</f>
        <v>31.155799999999999</v>
      </c>
      <c r="S22" s="14">
        <v>42.1</v>
      </c>
      <c r="Z22" t="s">
        <v>20</v>
      </c>
      <c r="AA22" t="str">
        <f>VLOOKUP("*"&amp;Z22&amp;"*",A$3:A$35,1,FALSE)</f>
        <v>河南省</v>
      </c>
      <c r="AB22" s="16">
        <v>48.279499999999999</v>
      </c>
      <c r="AC22" s="16">
        <v>105.3314</v>
      </c>
      <c r="AD22" s="16">
        <v>343.22719999999998</v>
      </c>
    </row>
    <row r="23" spans="1:30">
      <c r="A23" t="s">
        <v>422</v>
      </c>
      <c r="B23">
        <v>51</v>
      </c>
      <c r="C23">
        <v>95</v>
      </c>
      <c r="D23">
        <v>105</v>
      </c>
      <c r="E23">
        <v>162.46000000000004</v>
      </c>
      <c r="F23">
        <v>259.16000000000003</v>
      </c>
      <c r="G23">
        <v>437.3</v>
      </c>
      <c r="I23">
        <v>27</v>
      </c>
      <c r="J23">
        <v>29</v>
      </c>
      <c r="K23">
        <v>30</v>
      </c>
      <c r="L23">
        <v>42.7</v>
      </c>
      <c r="M23">
        <v>52.6</v>
      </c>
      <c r="N23">
        <v>83</v>
      </c>
      <c r="R23" s="14">
        <f>VLOOKUP(A23,AA$3:AD$36,4,FALSE)</f>
        <v>2.8014000000000001</v>
      </c>
      <c r="S23" s="14">
        <v>2.2000000000000002</v>
      </c>
      <c r="Z23" t="s">
        <v>21</v>
      </c>
      <c r="AA23" t="str">
        <f>VLOOKUP("*"&amp;Z23&amp;"*",A$3:A$35,1,FALSE)</f>
        <v>湖北省</v>
      </c>
      <c r="AB23" s="16">
        <v>5.0883675999999998</v>
      </c>
      <c r="AC23" s="16">
        <v>3.0049999999999999</v>
      </c>
      <c r="AD23" s="16">
        <v>7.3506</v>
      </c>
    </row>
    <row r="24" spans="1:30">
      <c r="A24" t="s">
        <v>421</v>
      </c>
      <c r="B24">
        <v>32</v>
      </c>
      <c r="C24">
        <v>123</v>
      </c>
      <c r="D24">
        <v>127</v>
      </c>
      <c r="E24">
        <v>108.00999999999999</v>
      </c>
      <c r="F24">
        <v>127.1</v>
      </c>
      <c r="G24">
        <v>199.7</v>
      </c>
      <c r="I24">
        <v>11</v>
      </c>
      <c r="J24">
        <v>13</v>
      </c>
      <c r="K24">
        <v>13</v>
      </c>
      <c r="L24">
        <v>12.599999999999998</v>
      </c>
      <c r="M24">
        <v>19.399999999999999</v>
      </c>
      <c r="N24">
        <v>46.1</v>
      </c>
      <c r="R24" s="14">
        <f>VLOOKUP(A24,AA$3:AD$36,4,FALSE)</f>
        <v>1.5194000000000001</v>
      </c>
      <c r="S24" s="14">
        <v>3.7</v>
      </c>
      <c r="Z24" t="s">
        <v>22</v>
      </c>
      <c r="AA24" t="str">
        <f>VLOOKUP("*"&amp;Z24&amp;"*",A$3:A$35,1,FALSE)</f>
        <v>湖南省</v>
      </c>
      <c r="AB24" s="16">
        <v>9.8826625000000003</v>
      </c>
      <c r="AC24" s="16">
        <v>7.2949000000000002</v>
      </c>
      <c r="AD24" s="16">
        <v>19.044799999999999</v>
      </c>
    </row>
    <row r="25" spans="1:30">
      <c r="A25" t="s">
        <v>420</v>
      </c>
      <c r="B25">
        <v>0</v>
      </c>
      <c r="C25">
        <v>0</v>
      </c>
      <c r="D25">
        <v>58</v>
      </c>
      <c r="E25">
        <v>49.17</v>
      </c>
      <c r="F25">
        <v>54.17</v>
      </c>
      <c r="G25">
        <v>54.2</v>
      </c>
      <c r="I25">
        <v>12</v>
      </c>
      <c r="J25">
        <v>43</v>
      </c>
      <c r="K25">
        <v>7</v>
      </c>
      <c r="L25">
        <v>7.3999999999999995</v>
      </c>
      <c r="M25">
        <v>9.1999999999999993</v>
      </c>
      <c r="N25">
        <v>15.1</v>
      </c>
      <c r="R25" s="14">
        <f>VLOOKUP(A25,AA$3:AD$36,4,FALSE)</f>
        <v>0.34589999999999999</v>
      </c>
      <c r="S25" s="14">
        <v>0.8</v>
      </c>
      <c r="Z25" t="s">
        <v>26</v>
      </c>
      <c r="AA25" t="str">
        <f>VLOOKUP("*"&amp;Z25&amp;"*",A$3:A$35,1,FALSE)</f>
        <v>重庆市</v>
      </c>
      <c r="AB25" s="16">
        <v>0.39122900000000005</v>
      </c>
      <c r="AC25" s="16">
        <v>0.17599999999999999</v>
      </c>
      <c r="AD25" s="16">
        <v>0.34589999999999999</v>
      </c>
    </row>
    <row r="26" spans="1:30">
      <c r="A26" t="s">
        <v>419</v>
      </c>
      <c r="B26">
        <v>116</v>
      </c>
      <c r="C26">
        <v>168</v>
      </c>
      <c r="D26">
        <v>169</v>
      </c>
      <c r="E26">
        <v>169.01</v>
      </c>
      <c r="F26">
        <v>169.01</v>
      </c>
      <c r="G26">
        <v>173</v>
      </c>
      <c r="I26">
        <v>19</v>
      </c>
      <c r="J26">
        <v>13</v>
      </c>
      <c r="K26">
        <v>19</v>
      </c>
      <c r="L26">
        <v>22.099999999999998</v>
      </c>
      <c r="M26">
        <v>26.9</v>
      </c>
      <c r="N26">
        <v>33.200000000000003</v>
      </c>
      <c r="R26" s="14">
        <f>VLOOKUP(A26,AA$3:AD$36,4,FALSE)</f>
        <v>3.8123</v>
      </c>
      <c r="S26" s="14">
        <v>2.4</v>
      </c>
      <c r="Z26" t="s">
        <v>27</v>
      </c>
      <c r="AA26" t="str">
        <f>VLOOKUP("*"&amp;Z26&amp;"*",A$3:A$35,1,FALSE)</f>
        <v>四川省</v>
      </c>
      <c r="AB26" s="16">
        <v>1.2946805000000001</v>
      </c>
      <c r="AC26" s="16">
        <v>1.9801</v>
      </c>
      <c r="AD26" s="16">
        <v>3.8123</v>
      </c>
    </row>
    <row r="27" spans="1:30">
      <c r="A27" t="s">
        <v>418</v>
      </c>
      <c r="B27">
        <v>135</v>
      </c>
      <c r="C27">
        <v>161</v>
      </c>
      <c r="D27">
        <v>491</v>
      </c>
      <c r="E27">
        <v>970.66999999999985</v>
      </c>
      <c r="F27">
        <v>1117.5999999999999</v>
      </c>
      <c r="G27">
        <v>1396.6</v>
      </c>
      <c r="J27">
        <v>17</v>
      </c>
      <c r="K27">
        <v>19</v>
      </c>
      <c r="L27">
        <v>19</v>
      </c>
      <c r="M27">
        <v>19.399999999999999</v>
      </c>
      <c r="N27">
        <v>23.7</v>
      </c>
      <c r="R27" s="14">
        <f>VLOOKUP(A27,AA$3:AD$36,4,FALSE)</f>
        <v>0.30399999999999999</v>
      </c>
      <c r="S27" s="14">
        <v>0.4</v>
      </c>
      <c r="Z27" t="s">
        <v>31</v>
      </c>
      <c r="AA27" t="str">
        <f>VLOOKUP("*"&amp;Z27&amp;"*",A$3:A$35,1,FALSE)</f>
        <v>陕西省</v>
      </c>
      <c r="AB27" s="16">
        <v>6.6805494999999997</v>
      </c>
      <c r="AC27" s="16">
        <v>13.501799999999999</v>
      </c>
      <c r="AD27" s="16">
        <v>21.7042</v>
      </c>
    </row>
    <row r="28" spans="1:30">
      <c r="A28" t="s">
        <v>417</v>
      </c>
      <c r="B28">
        <v>237.5</v>
      </c>
      <c r="C28">
        <v>312</v>
      </c>
      <c r="D28">
        <v>350</v>
      </c>
      <c r="E28">
        <v>295.43</v>
      </c>
      <c r="F28">
        <v>349.91</v>
      </c>
      <c r="G28">
        <v>525.20000000000005</v>
      </c>
      <c r="I28">
        <v>0.5</v>
      </c>
      <c r="J28">
        <v>14</v>
      </c>
      <c r="K28">
        <v>25</v>
      </c>
      <c r="L28">
        <v>38.400000000000006</v>
      </c>
      <c r="M28">
        <v>47.2</v>
      </c>
      <c r="N28">
        <v>60.1</v>
      </c>
      <c r="R28" s="14">
        <f>VLOOKUP(A28,AA$3:AD$36,4,FALSE)</f>
        <v>1.7673000000000001</v>
      </c>
      <c r="S28" s="14">
        <v>2.2999999999999998</v>
      </c>
      <c r="Z28" t="s">
        <v>32</v>
      </c>
      <c r="AA28" t="str">
        <f>VLOOKUP("*"&amp;Z28&amp;"*",A$3:A$35,1,FALSE)</f>
        <v>甘肃省</v>
      </c>
      <c r="AB28" s="16">
        <v>3.2518829999999999</v>
      </c>
      <c r="AC28" s="16">
        <v>0.72750000000000004</v>
      </c>
      <c r="AD28" s="16">
        <v>1.0777000000000001</v>
      </c>
    </row>
    <row r="29" spans="1:30">
      <c r="A29" t="s">
        <v>416</v>
      </c>
      <c r="B29">
        <v>79</v>
      </c>
      <c r="C29">
        <v>98</v>
      </c>
      <c r="D29">
        <v>110</v>
      </c>
      <c r="E29">
        <v>136.26</v>
      </c>
      <c r="F29">
        <v>136.51</v>
      </c>
      <c r="G29">
        <v>175.9</v>
      </c>
      <c r="K29">
        <v>0</v>
      </c>
      <c r="L29">
        <v>0</v>
      </c>
      <c r="M29">
        <v>2.2000000000000002</v>
      </c>
      <c r="N29">
        <v>2.2000000000000002</v>
      </c>
      <c r="R29" s="14"/>
      <c r="S29" s="14">
        <v>0</v>
      </c>
      <c r="Z29" t="s">
        <v>33</v>
      </c>
      <c r="AA29" t="str">
        <f>VLOOKUP("*"&amp;Z29&amp;"*",A$3:A$35,1,FALSE)</f>
        <v>青海省</v>
      </c>
      <c r="AB29" s="16">
        <v>0.50779350000000001</v>
      </c>
      <c r="AC29" s="16">
        <v>0.51359999999999995</v>
      </c>
      <c r="AD29" s="16">
        <v>0.35170000000000001</v>
      </c>
    </row>
    <row r="30" spans="1:30">
      <c r="A30" t="s">
        <v>415</v>
      </c>
      <c r="B30">
        <v>484</v>
      </c>
      <c r="C30">
        <v>640</v>
      </c>
      <c r="D30">
        <v>778</v>
      </c>
      <c r="E30">
        <v>893.42</v>
      </c>
      <c r="F30">
        <v>1102.82</v>
      </c>
      <c r="G30">
        <v>1193.7</v>
      </c>
      <c r="I30">
        <v>51</v>
      </c>
      <c r="J30">
        <v>76</v>
      </c>
      <c r="K30">
        <v>162</v>
      </c>
      <c r="L30">
        <v>190.70000000000002</v>
      </c>
      <c r="M30">
        <v>210.9</v>
      </c>
      <c r="N30">
        <v>322.5</v>
      </c>
      <c r="R30" s="14">
        <f>VLOOKUP(A30,AA$3:AD$36,4,FALSE)</f>
        <v>21.7042</v>
      </c>
      <c r="S30" s="14">
        <v>28.9</v>
      </c>
      <c r="Z30" t="s">
        <v>34</v>
      </c>
      <c r="AA30" t="str">
        <f>VLOOKUP("*"&amp;Z30&amp;"*",A$3:A$35,1,FALSE)</f>
        <v>宁夏回族自治区</v>
      </c>
      <c r="AB30" s="16">
        <v>0.80741999999999992</v>
      </c>
      <c r="AC30" s="16">
        <v>0.33250000000000002</v>
      </c>
      <c r="AD30" s="16">
        <v>0.4052</v>
      </c>
    </row>
    <row r="31" spans="1:30">
      <c r="A31" t="s">
        <v>414</v>
      </c>
      <c r="B31">
        <v>768</v>
      </c>
      <c r="C31">
        <v>790</v>
      </c>
      <c r="D31">
        <v>836</v>
      </c>
      <c r="E31">
        <v>891.32</v>
      </c>
      <c r="F31">
        <v>1047.6500000000001</v>
      </c>
      <c r="G31">
        <v>1310.9</v>
      </c>
      <c r="I31">
        <v>18</v>
      </c>
      <c r="J31">
        <v>49</v>
      </c>
      <c r="K31">
        <v>71</v>
      </c>
      <c r="L31">
        <v>74</v>
      </c>
      <c r="M31">
        <v>77.099999999999994</v>
      </c>
      <c r="N31">
        <v>85.5</v>
      </c>
      <c r="R31" s="14">
        <f>VLOOKUP(A31,AA$3:AD$36,4,FALSE)</f>
        <v>1.0777000000000001</v>
      </c>
      <c r="S31" s="14">
        <v>1</v>
      </c>
      <c r="Z31" t="s">
        <v>116</v>
      </c>
      <c r="AA31" t="s">
        <v>110</v>
      </c>
      <c r="AB31" s="16">
        <v>0.18415599999999999</v>
      </c>
      <c r="AC31" s="16">
        <v>0.59740000000000004</v>
      </c>
      <c r="AD31" s="16">
        <v>0.40050000000000002</v>
      </c>
    </row>
    <row r="32" spans="1:30">
      <c r="A32" t="s">
        <v>413</v>
      </c>
      <c r="B32">
        <v>786</v>
      </c>
      <c r="C32">
        <v>952</v>
      </c>
      <c r="D32">
        <v>1086</v>
      </c>
      <c r="E32">
        <v>1532.09</v>
      </c>
      <c r="F32">
        <v>1594.77</v>
      </c>
      <c r="G32">
        <v>1805.5</v>
      </c>
      <c r="I32">
        <v>5</v>
      </c>
      <c r="J32">
        <v>10</v>
      </c>
      <c r="K32">
        <v>15</v>
      </c>
      <c r="L32">
        <v>15.7</v>
      </c>
      <c r="M32">
        <v>16</v>
      </c>
      <c r="N32">
        <v>15.7</v>
      </c>
      <c r="R32" s="14">
        <f>VLOOKUP(A32,AA$3:AD$36,4,FALSE)</f>
        <v>0.35170000000000001</v>
      </c>
      <c r="S32" s="14">
        <v>2.7</v>
      </c>
      <c r="Z32" t="s">
        <v>23</v>
      </c>
      <c r="AA32" t="str">
        <f>VLOOKUP("*"&amp;Z32&amp;"*",A$3:A$35,1,FALSE)</f>
        <v>广东省</v>
      </c>
      <c r="AB32" s="16">
        <v>20.915400000000002</v>
      </c>
      <c r="AC32" s="16">
        <v>12.441800000000001</v>
      </c>
      <c r="AD32" s="16">
        <v>31.155799999999999</v>
      </c>
    </row>
    <row r="33" spans="1:30">
      <c r="A33" t="s">
        <v>412</v>
      </c>
      <c r="B33">
        <v>587</v>
      </c>
      <c r="C33">
        <v>761</v>
      </c>
      <c r="D33">
        <v>844</v>
      </c>
      <c r="E33">
        <v>1121.9599999999998</v>
      </c>
      <c r="F33">
        <v>1303.3599999999999</v>
      </c>
      <c r="G33">
        <v>1491.6</v>
      </c>
      <c r="I33">
        <v>33</v>
      </c>
      <c r="J33">
        <v>55</v>
      </c>
      <c r="K33">
        <v>74</v>
      </c>
      <c r="L33">
        <v>75.199999999999989</v>
      </c>
      <c r="M33">
        <v>80.599999999999994</v>
      </c>
      <c r="N33">
        <v>92.2</v>
      </c>
      <c r="R33" s="14">
        <f>VLOOKUP(A33,AA$3:AD$36,4,FALSE)</f>
        <v>0.4052</v>
      </c>
      <c r="S33" s="14">
        <v>0.3</v>
      </c>
      <c r="Z33" t="s">
        <v>24</v>
      </c>
      <c r="AA33" t="str">
        <f>VLOOKUP("*"&amp;Z33&amp;"*",A$3:A$35,1,FALSE)</f>
        <v>广西壮族自治区</v>
      </c>
      <c r="AB33" s="16">
        <v>3.1503364999999999</v>
      </c>
      <c r="AC33" s="16">
        <v>1.1213</v>
      </c>
      <c r="AD33" s="16">
        <v>2.8014000000000001</v>
      </c>
    </row>
    <row r="34" spans="1:30">
      <c r="A34" t="s">
        <v>411</v>
      </c>
      <c r="B34">
        <v>933</v>
      </c>
      <c r="C34">
        <v>976</v>
      </c>
      <c r="D34">
        <v>1027</v>
      </c>
      <c r="E34">
        <v>1205.48</v>
      </c>
      <c r="F34">
        <v>1254.78</v>
      </c>
      <c r="G34">
        <v>1440.3</v>
      </c>
      <c r="I34">
        <v>1</v>
      </c>
      <c r="J34">
        <v>2</v>
      </c>
      <c r="K34">
        <v>14</v>
      </c>
      <c r="L34">
        <v>16.7</v>
      </c>
      <c r="M34">
        <v>17.2</v>
      </c>
      <c r="N34">
        <v>26.9</v>
      </c>
      <c r="R34" s="14">
        <f>VLOOKUP(A34,AA$3:AD$36,4,FALSE)</f>
        <v>0.40050000000000002</v>
      </c>
      <c r="S34" s="14">
        <v>0</v>
      </c>
      <c r="Z34" t="s">
        <v>29</v>
      </c>
      <c r="AA34" t="str">
        <f>VLOOKUP("*"&amp;Z34&amp;"*",A$3:A$35,1,FALSE)</f>
        <v>云南省</v>
      </c>
      <c r="AB34" s="16">
        <v>1.5759999999999998</v>
      </c>
      <c r="AC34" s="16">
        <v>1.1013999999999999</v>
      </c>
      <c r="AD34" s="16">
        <v>1.7673000000000001</v>
      </c>
    </row>
    <row r="35" spans="1:30">
      <c r="A35" t="s">
        <v>410</v>
      </c>
      <c r="B35">
        <v>0</v>
      </c>
      <c r="C35">
        <v>0</v>
      </c>
      <c r="D35">
        <v>39</v>
      </c>
      <c r="E35">
        <v>77.2</v>
      </c>
      <c r="F35">
        <v>77.2</v>
      </c>
      <c r="G35">
        <v>105.8</v>
      </c>
      <c r="K35">
        <v>0</v>
      </c>
      <c r="L35">
        <v>0</v>
      </c>
      <c r="M35">
        <v>0</v>
      </c>
      <c r="N35">
        <v>0</v>
      </c>
      <c r="R35" s="14"/>
      <c r="S35" s="14">
        <v>0</v>
      </c>
      <c r="Z35" t="s">
        <v>28</v>
      </c>
      <c r="AA35" t="str">
        <f>VLOOKUP("*"&amp;Z35&amp;"*",A$3:A$35,1,FALSE)</f>
        <v>贵州省</v>
      </c>
      <c r="AB35" s="16">
        <v>0.109762</v>
      </c>
      <c r="AC35" s="16">
        <v>9.9500000000000005E-2</v>
      </c>
      <c r="AD35" s="16">
        <v>0.30399999999999999</v>
      </c>
    </row>
    <row r="36" spans="1:30">
      <c r="R36" s="14"/>
      <c r="Z36" t="s">
        <v>25</v>
      </c>
      <c r="AA36" t="str">
        <f>VLOOKUP("*"&amp;Z36&amp;"*",A$3:A$35,1,FALSE)</f>
        <v>海南省</v>
      </c>
      <c r="AB36" s="16">
        <v>1.1039939999999999</v>
      </c>
      <c r="AC36" s="16">
        <v>0.87509999999999999</v>
      </c>
      <c r="AD36" s="16">
        <v>1.5194000000000001</v>
      </c>
    </row>
    <row r="54" spans="1:52">
      <c r="D54" t="s">
        <v>409</v>
      </c>
      <c r="E54">
        <v>2013</v>
      </c>
      <c r="F54">
        <v>2014</v>
      </c>
      <c r="G54">
        <v>2015</v>
      </c>
      <c r="H54">
        <v>2016</v>
      </c>
      <c r="I54">
        <v>2017</v>
      </c>
      <c r="J54">
        <v>2018</v>
      </c>
      <c r="K54">
        <v>2019</v>
      </c>
      <c r="L54">
        <v>2020</v>
      </c>
      <c r="M54">
        <v>2021</v>
      </c>
      <c r="N54">
        <v>2022</v>
      </c>
      <c r="O54">
        <v>2023</v>
      </c>
      <c r="P54">
        <v>2024</v>
      </c>
      <c r="Q54">
        <v>2025</v>
      </c>
      <c r="R54">
        <v>2026</v>
      </c>
      <c r="S54">
        <v>2027</v>
      </c>
      <c r="T54">
        <v>2028</v>
      </c>
      <c r="U54">
        <v>2029</v>
      </c>
      <c r="V54">
        <v>2030</v>
      </c>
      <c r="W54">
        <v>2031</v>
      </c>
      <c r="X54">
        <v>2032</v>
      </c>
      <c r="Y54">
        <v>2033</v>
      </c>
      <c r="Z54">
        <v>2034</v>
      </c>
      <c r="AA54">
        <v>2035</v>
      </c>
      <c r="AB54">
        <v>2036</v>
      </c>
      <c r="AC54">
        <v>2037</v>
      </c>
      <c r="AD54">
        <v>2038</v>
      </c>
      <c r="AE54">
        <v>2039</v>
      </c>
      <c r="AF54">
        <v>2040</v>
      </c>
      <c r="AG54">
        <v>2041</v>
      </c>
      <c r="AH54">
        <v>2042</v>
      </c>
      <c r="AI54">
        <v>2043</v>
      </c>
      <c r="AJ54">
        <v>2044</v>
      </c>
      <c r="AK54">
        <v>2045</v>
      </c>
      <c r="AL54">
        <v>2046</v>
      </c>
      <c r="AM54">
        <v>2047</v>
      </c>
      <c r="AN54">
        <v>2048</v>
      </c>
      <c r="AO54">
        <v>2049</v>
      </c>
      <c r="AP54">
        <v>2050</v>
      </c>
      <c r="AQ54">
        <v>2051</v>
      </c>
      <c r="AR54">
        <v>2052</v>
      </c>
      <c r="AS54">
        <v>2053</v>
      </c>
      <c r="AT54">
        <v>2054</v>
      </c>
      <c r="AU54">
        <v>2055</v>
      </c>
      <c r="AV54">
        <v>2056</v>
      </c>
      <c r="AW54">
        <v>2057</v>
      </c>
      <c r="AX54">
        <v>2058</v>
      </c>
      <c r="AY54">
        <v>2059</v>
      </c>
      <c r="AZ54">
        <v>2060</v>
      </c>
    </row>
    <row r="55" spans="1:52">
      <c r="B55" s="65" t="s">
        <v>408</v>
      </c>
      <c r="C55" t="s">
        <v>38</v>
      </c>
      <c r="E55" s="14">
        <v>11.6374109400137</v>
      </c>
      <c r="F55" s="14">
        <v>7.9701505401057204</v>
      </c>
      <c r="G55" s="14">
        <v>13.231871983452001</v>
      </c>
      <c r="H55" s="14">
        <v>29.814266835210201</v>
      </c>
      <c r="I55" s="14">
        <v>33.162635026430699</v>
      </c>
      <c r="J55" s="14">
        <v>22.798638244081801</v>
      </c>
      <c r="K55" s="14">
        <v>17.377470696391601</v>
      </c>
      <c r="L55" s="14">
        <v>32.205958400367699</v>
      </c>
      <c r="M55" s="14">
        <v>23.590886075040199</v>
      </c>
    </row>
    <row r="56" spans="1:52">
      <c r="B56" s="65"/>
      <c r="C56" t="s">
        <v>405</v>
      </c>
      <c r="E56" s="14">
        <v>12.4147106986899</v>
      </c>
      <c r="F56" s="14">
        <v>10.074839117444199</v>
      </c>
      <c r="G56" s="14">
        <v>14.507440818202699</v>
      </c>
      <c r="H56" s="14">
        <v>33.6409733394621</v>
      </c>
      <c r="I56" s="14">
        <v>49.585583773845002</v>
      </c>
      <c r="J56" s="14">
        <v>41.453832452309797</v>
      </c>
      <c r="K56" s="14">
        <v>24.393099287520101</v>
      </c>
      <c r="L56" s="14">
        <v>37.627125948057902</v>
      </c>
      <c r="M56" s="14">
        <v>30.930389565616998</v>
      </c>
    </row>
    <row r="57" spans="1:52">
      <c r="B57" s="65"/>
      <c r="C57" t="s">
        <v>404</v>
      </c>
      <c r="E57" s="14">
        <v>12.5940875660767</v>
      </c>
      <c r="F57" s="14">
        <v>10.2023960009193</v>
      </c>
      <c r="G57" s="14">
        <v>14.6668869225465</v>
      </c>
      <c r="H57" s="14">
        <v>34.1193116524936</v>
      </c>
      <c r="I57" s="14">
        <v>52.615059756377804</v>
      </c>
      <c r="J57" s="14">
        <v>43.845524017467199</v>
      </c>
      <c r="K57" s="14">
        <v>29.654820730866401</v>
      </c>
      <c r="L57" s="14">
        <v>47.831676626062901</v>
      </c>
      <c r="M57" s="14">
        <v>52.615059756377804</v>
      </c>
    </row>
    <row r="58" spans="1:52">
      <c r="B58" s="65" t="s">
        <v>407</v>
      </c>
      <c r="C58" t="s">
        <v>38</v>
      </c>
      <c r="D58" s="14">
        <v>0</v>
      </c>
      <c r="E58" s="14">
        <f>E55*100</f>
        <v>1163.7410940013699</v>
      </c>
      <c r="F58" s="14">
        <f>F55*100</f>
        <v>797.01505401057204</v>
      </c>
      <c r="G58" s="14">
        <f>G55*100</f>
        <v>1323.1871983452002</v>
      </c>
      <c r="H58" s="14">
        <f>H55*100</f>
        <v>2981.4266835210201</v>
      </c>
      <c r="I58" s="14">
        <f>I55*100</f>
        <v>3316.2635026430698</v>
      </c>
      <c r="J58" s="14">
        <f>C3-B3</f>
        <v>3022</v>
      </c>
      <c r="K58" s="14">
        <f>D3-C3</f>
        <v>1761</v>
      </c>
      <c r="L58" s="14">
        <f>E3-D3</f>
        <v>3120.869999999999</v>
      </c>
      <c r="M58" s="14">
        <f>F3-E3</f>
        <v>2560.0699999999997</v>
      </c>
      <c r="N58" s="14">
        <f>G3-F3</f>
        <v>3594.4600000000028</v>
      </c>
    </row>
    <row r="59" spans="1:52">
      <c r="B59" s="65"/>
      <c r="C59" t="s">
        <v>405</v>
      </c>
      <c r="D59" s="14">
        <f>I3-SUM(E59:I59)</f>
        <v>1217.2787577568424</v>
      </c>
      <c r="E59" s="14">
        <f>(E56-E55)*100</f>
        <v>77.729975867620027</v>
      </c>
      <c r="F59" s="14">
        <f>(F56-F55)*100</f>
        <v>210.46885773384787</v>
      </c>
      <c r="G59" s="14">
        <f>(G56-G55)*100</f>
        <v>127.55688347506987</v>
      </c>
      <c r="H59" s="14">
        <f>(H56-H55)*100</f>
        <v>382.67065042518988</v>
      </c>
      <c r="I59" s="14">
        <f>(I56-I55)*100</f>
        <v>1642.2948747414302</v>
      </c>
      <c r="J59" s="14">
        <f>(J56-J55)*100</f>
        <v>1865.5194208227997</v>
      </c>
      <c r="K59" s="14">
        <f>(K56-K55)*100</f>
        <v>701.56285911284999</v>
      </c>
      <c r="L59" s="14">
        <f>(L56-L55)*100</f>
        <v>542.1167547690203</v>
      </c>
      <c r="M59" s="14">
        <f>(M3-L3)-R3</f>
        <v>768.27989999999909</v>
      </c>
      <c r="N59" s="14">
        <f>(N3-M3)-S3</f>
        <v>2484.1000000000049</v>
      </c>
    </row>
    <row r="60" spans="1:52">
      <c r="B60" s="65"/>
      <c r="C60" t="s">
        <v>404</v>
      </c>
      <c r="D60">
        <v>0</v>
      </c>
      <c r="E60" s="14">
        <f>(E57-E56)*100</f>
        <v>17.937686738680014</v>
      </c>
      <c r="F60" s="14">
        <f>(F57-F56)*100</f>
        <v>12.75568834751013</v>
      </c>
      <c r="G60" s="14">
        <f>(G57-G56)*100</f>
        <v>15.944610434380024</v>
      </c>
      <c r="H60" s="14">
        <f>(H57-H56)*100</f>
        <v>47.833831303150021</v>
      </c>
      <c r="I60" s="14">
        <f>(I57-I56)*100</f>
        <v>302.94759825328015</v>
      </c>
      <c r="J60" s="14">
        <f>(J57-J56)*100</f>
        <v>239.16915651574016</v>
      </c>
      <c r="K60" s="14">
        <f>(K57-K56)*100</f>
        <v>526.17214433462993</v>
      </c>
      <c r="L60" s="14">
        <f>(L57-L56)*100</f>
        <v>1020.4550678004999</v>
      </c>
      <c r="M60" s="14">
        <f>R3</f>
        <v>2159.6201000000005</v>
      </c>
      <c r="N60" s="14">
        <f>S3</f>
        <v>2526.6999999999998</v>
      </c>
    </row>
    <row r="61" spans="1:52">
      <c r="B61" s="65" t="s">
        <v>406</v>
      </c>
      <c r="C61" t="s">
        <v>38</v>
      </c>
      <c r="D61" s="64">
        <f>SUM($D58:D58)</f>
        <v>0</v>
      </c>
      <c r="E61" s="64">
        <f>SUM($D58:E58)</f>
        <v>1163.7410940013699</v>
      </c>
      <c r="F61" s="64">
        <f>SUM($D58:F58)</f>
        <v>1960.7561480119421</v>
      </c>
      <c r="G61" s="64">
        <f>SUM($D58:G58)</f>
        <v>3283.9433463571422</v>
      </c>
      <c r="H61" s="64">
        <f>SUM($D58:H58)</f>
        <v>6265.3700298781623</v>
      </c>
      <c r="I61" s="64">
        <f>SUM($D58:I58)</f>
        <v>9581.6335325212312</v>
      </c>
      <c r="J61" s="64">
        <f>SUM($D58:J58)</f>
        <v>12603.633532521231</v>
      </c>
      <c r="K61" s="64">
        <f>SUM($D58:K58)</f>
        <v>14364.633532521231</v>
      </c>
      <c r="L61" s="64">
        <f>SUM($D58:L58)</f>
        <v>17485.50353252123</v>
      </c>
      <c r="M61" s="64">
        <f>SUM($D58:M58)</f>
        <v>20045.57353252123</v>
      </c>
      <c r="N61" s="64">
        <f>SUM($D58:N58)</f>
        <v>23640.033532521233</v>
      </c>
      <c r="O61" s="64"/>
    </row>
    <row r="62" spans="1:52">
      <c r="B62" s="65"/>
      <c r="C62" t="s">
        <v>405</v>
      </c>
      <c r="D62" s="64">
        <f>SUM($D59:D59)</f>
        <v>1217.2787577568424</v>
      </c>
      <c r="E62" s="64">
        <f>SUM($D59:E59)</f>
        <v>1295.0087336244624</v>
      </c>
      <c r="F62" s="64">
        <f>SUM($D59:F59)</f>
        <v>1505.4775913583103</v>
      </c>
      <c r="G62" s="64">
        <f>SUM($D59:G59)</f>
        <v>1633.03447483338</v>
      </c>
      <c r="H62" s="64">
        <f>SUM($D59:H59)</f>
        <v>2015.70512525857</v>
      </c>
      <c r="I62" s="64">
        <f>SUM($D59:I59)</f>
        <v>3658</v>
      </c>
      <c r="J62" s="64">
        <f>SUM($D59:J59)</f>
        <v>5523.5194208227995</v>
      </c>
      <c r="K62" s="64">
        <f>SUM($D59:K59)</f>
        <v>6225.0822799356492</v>
      </c>
      <c r="L62" s="64">
        <f>SUM($D59:L59)</f>
        <v>6767.1990347046694</v>
      </c>
      <c r="M62" s="64">
        <f>SUM($D59:M59)</f>
        <v>7535.4789347046681</v>
      </c>
      <c r="N62" s="64">
        <f>SUM($D59:N59)</f>
        <v>10019.578934704674</v>
      </c>
      <c r="O62" s="64">
        <f>MIN(_xlfn.FORECAST.LINEAR(O$54,$H62:$N62,$H$54:$N$54),'Capacity Limit'!F54)</f>
        <v>10679.260377394501</v>
      </c>
      <c r="P62" s="64">
        <f>MIN(_xlfn.FORECAST.LINEAR(P$54,$H62:$N62,$H$54:$N$54),'Capacity Limit'!G54)</f>
        <v>11858.198195667006</v>
      </c>
      <c r="Q62" s="64">
        <f>MIN(_xlfn.FORECAST.LINEAR(Q$54,$H62:$N62,$H$54:$N$54),'Capacity Limit'!H54)</f>
        <v>13037.136013939511</v>
      </c>
      <c r="R62" s="64">
        <f>MIN(_xlfn.FORECAST.LINEAR(R$54,$H62:$N62,$H$54:$N$54),'Capacity Limit'!I54)</f>
        <v>13826.075619561629</v>
      </c>
      <c r="S62" s="64">
        <f>MIN(_xlfn.FORECAST.LINEAR(S$54,$H62:$N62,$H$54:$N$54),'Capacity Limit'!J54)</f>
        <v>14109.298398856052</v>
      </c>
      <c r="T62" s="64">
        <f>MIN(_xlfn.FORECAST.LINEAR(T$54,$H62:$N62,$H$54:$N$54),'Capacity Limit'!K54)</f>
        <v>14387.290221037552</v>
      </c>
      <c r="U62" s="64">
        <f>MIN(_xlfn.FORECAST.LINEAR(U$54,$H62:$N62,$H$54:$N$54),'Capacity Limit'!L54)</f>
        <v>14660.032275055748</v>
      </c>
      <c r="V62" s="64">
        <f>MIN(_xlfn.FORECAST.LINEAR(V$54,$H62:$N62,$H$54:$N$54),'Capacity Limit'!M54)</f>
        <v>14927.510929317068</v>
      </c>
      <c r="W62" s="64">
        <f>MIN(_xlfn.FORECAST.LINEAR(W$54,$H62:$N62,$H$54:$N$54),'Capacity Limit'!N54)</f>
        <v>15189.718436208692</v>
      </c>
      <c r="X62" s="64">
        <f>MIN(_xlfn.FORECAST.LINEAR(X$54,$H62:$N62,$H$54:$N$54),'Capacity Limit'!O54)</f>
        <v>15399.470691221853</v>
      </c>
      <c r="Y62" s="64">
        <f>MIN(_xlfn.FORECAST.LINEAR(Y$54,$H62:$N62,$H$54:$N$54),'Capacity Limit'!P54)</f>
        <v>15603.0932710947</v>
      </c>
      <c r="Z62" s="64">
        <f>MIN(_xlfn.FORECAST.LINEAR(Z$54,$H62:$N62,$H$54:$N$54),'Capacity Limit'!Q54)</f>
        <v>15800.669618891327</v>
      </c>
      <c r="AA62" s="64">
        <f>MIN(_xlfn.FORECAST.LINEAR(AA$54,$H62:$N62,$H$54:$N$54),'Capacity Limit'!R54)</f>
        <v>15992.292312684063</v>
      </c>
      <c r="AB62" s="64">
        <f>MIN(_xlfn.FORECAST.LINEAR(AB$54,$H62:$N62,$H$54:$N$54),'Capacity Limit'!S54)</f>
        <v>16178.063141377617</v>
      </c>
      <c r="AC62" s="64">
        <f>MIN(_xlfn.FORECAST.LINEAR(AC$54,$H62:$N62,$H$54:$N$54),'Capacity Limit'!T54)</f>
        <v>16358.094354935782</v>
      </c>
      <c r="AD62" s="64">
        <f>MIN(_xlfn.FORECAST.LINEAR(AD$54,$H62:$N62,$H$54:$N$54),'Capacity Limit'!U54)</f>
        <v>16532.509703888278</v>
      </c>
      <c r="AE62" s="64">
        <f>MIN(_xlfn.FORECAST.LINEAR(AE$54,$H62:$N62,$H$54:$N$54),'Capacity Limit'!V54)</f>
        <v>16701.444697756466</v>
      </c>
      <c r="AF62" s="64">
        <f>MIN(_xlfn.FORECAST.LINEAR(AF$54,$H62:$N62,$H$54:$N$54),'Capacity Limit'!W54)</f>
        <v>16865.048346045984</v>
      </c>
      <c r="AG62" s="64">
        <f>MIN(_xlfn.FORECAST.LINEAR(AG$54,$H62:$N62,$H$54:$N$54),'Capacity Limit'!X54)</f>
        <v>17023.483942553099</v>
      </c>
      <c r="AH62" s="64">
        <f>MIN(_xlfn.FORECAST.LINEAR(AH$54,$H62:$N62,$H$54:$N$54),'Capacity Limit'!Y54)</f>
        <v>17173.072004517864</v>
      </c>
      <c r="AI62" s="64">
        <f>MIN(_xlfn.FORECAST.LINEAR(AI$54,$H62:$N62,$H$54:$N$54),'Capacity Limit'!Z54)</f>
        <v>17317.73062599315</v>
      </c>
      <c r="AJ62" s="64">
        <f>MIN(_xlfn.FORECAST.LINEAR(AJ$54,$H62:$N62,$H$54:$N$54),'Capacity Limit'!AA54)</f>
        <v>17457.673389695192</v>
      </c>
      <c r="AK62" s="64">
        <f>MIN(_xlfn.FORECAST.LINEAR(AK$54,$H62:$N62,$H$54:$N$54),'Capacity Limit'!AB54)</f>
        <v>17593.132691876479</v>
      </c>
      <c r="AL62" s="64">
        <f>MIN(_xlfn.FORECAST.LINEAR(AL$54,$H62:$N62,$H$54:$N$54),'Capacity Limit'!AC54)</f>
        <v>17724.360125784118</v>
      </c>
      <c r="AM62" s="64">
        <f>MIN(_xlfn.FORECAST.LINEAR(AM$54,$H62:$N62,$H$54:$N$54),'Capacity Limit'!AD54)</f>
        <v>17851.627742611916</v>
      </c>
      <c r="AN62" s="64">
        <f>MIN(_xlfn.FORECAST.LINEAR(AN$54,$H62:$N62,$H$54:$N$54),'Capacity Limit'!AE54)</f>
        <v>17975.230656672695</v>
      </c>
      <c r="AO62" s="64">
        <f>MIN(_xlfn.FORECAST.LINEAR(AO$54,$H62:$N62,$H$54:$N$54),'Capacity Limit'!AF54)</f>
        <v>18095.486346632006</v>
      </c>
      <c r="AP62" s="64">
        <f>MIN(_xlfn.FORECAST.LINEAR(AP$54,$H62:$N62,$H$54:$N$54),'Capacity Limit'!AG54)</f>
        <v>18212.737151850357</v>
      </c>
      <c r="AQ62" s="64">
        <f>MIN(_xlfn.FORECAST.LINEAR(AQ$54,$H62:$N62,$H$54:$N$54),'Capacity Limit'!AH54)</f>
        <v>18327.351953002595</v>
      </c>
      <c r="AR62" s="64">
        <f>MIN(_xlfn.FORECAST.LINEAR(AR$54,$H62:$N62,$H$54:$N$54),'Capacity Limit'!AI54)</f>
        <v>18452.798910812533</v>
      </c>
      <c r="AS62" s="64">
        <f>MIN(_xlfn.FORECAST.LINEAR(AS$54,$H62:$N62,$H$54:$N$54),'Capacity Limit'!AJ54)</f>
        <v>18576.402001877639</v>
      </c>
      <c r="AT62" s="64">
        <f>MIN(_xlfn.FORECAST.LINEAR(AT$54,$H62:$N62,$H$54:$N$54),'Capacity Limit'!AK54)</f>
        <v>18698.619469660454</v>
      </c>
      <c r="AU62" s="64">
        <f>MIN(_xlfn.FORECAST.LINEAR(AU$54,$H62:$N62,$H$54:$N$54),'Capacity Limit'!AL54)</f>
        <v>18819.94670735006</v>
      </c>
      <c r="AV62" s="64">
        <f>MIN(_xlfn.FORECAST.LINEAR(AV$54,$H62:$N62,$H$54:$N$54),'Capacity Limit'!AM54)</f>
        <v>18940.917139372523</v>
      </c>
      <c r="AW62" s="64">
        <f>MIN(_xlfn.FORECAST.LINEAR(AW$54,$H62:$N62,$H$54:$N$54),'Capacity Limit'!AN54)</f>
        <v>19062.104387149822</v>
      </c>
      <c r="AX62" s="64">
        <f>MIN(_xlfn.FORECAST.LINEAR(AX$54,$H62:$N62,$H$54:$N$54),'Capacity Limit'!AO54)</f>
        <v>19184.124190745428</v>
      </c>
      <c r="AY62" s="64">
        <f>MIN(_xlfn.FORECAST.LINEAR(AY$54,$H62:$N62,$H$54:$N$54),'Capacity Limit'!AP54)</f>
        <v>19307.636597693625</v>
      </c>
      <c r="AZ62" s="64">
        <f>MIN(_xlfn.FORECAST.LINEAR(AZ$54,$H62:$N62,$H$54:$N$54),'Capacity Limit'!AQ54)</f>
        <v>19433.348277615776</v>
      </c>
    </row>
    <row r="63" spans="1:52">
      <c r="B63" s="65"/>
      <c r="C63" t="s">
        <v>404</v>
      </c>
      <c r="D63" s="64">
        <f>SUM($D60:D60)</f>
        <v>0</v>
      </c>
      <c r="E63" s="64">
        <f>SUM($D60:E60)</f>
        <v>17.937686738680014</v>
      </c>
      <c r="F63" s="64">
        <f>SUM($D60:F60)</f>
        <v>30.693375086190144</v>
      </c>
      <c r="G63" s="64">
        <f>SUM($D60:G60)</f>
        <v>46.637985520570169</v>
      </c>
      <c r="H63" s="64">
        <f>SUM($D60:H60)</f>
        <v>94.471816823720189</v>
      </c>
      <c r="I63" s="64">
        <f>SUM($D60:I60)</f>
        <v>397.41941507700034</v>
      </c>
      <c r="J63" s="64">
        <f>SUM($D60:J60)</f>
        <v>636.58857159274044</v>
      </c>
      <c r="K63" s="64">
        <f>SUM($D60:K60)</f>
        <v>1162.7607159273703</v>
      </c>
      <c r="L63" s="64">
        <f>SUM($D60:L60)</f>
        <v>2183.2157837278701</v>
      </c>
      <c r="M63" s="64">
        <f>SUM($D60:M60)</f>
        <v>4342.8358837278702</v>
      </c>
      <c r="N63" s="64">
        <f>SUM($D60:N60)</f>
        <v>6869.53588372787</v>
      </c>
    </row>
    <row r="64" spans="1:52">
      <c r="A64" t="s">
        <v>403</v>
      </c>
      <c r="B64" s="65"/>
      <c r="C64" t="s">
        <v>402</v>
      </c>
      <c r="D64" s="64"/>
      <c r="E64" s="64">
        <f>E63*$A65</f>
        <v>14.184001497987033</v>
      </c>
      <c r="F64" s="64">
        <f>F63*$A65</f>
        <v>24.270402563225691</v>
      </c>
      <c r="G64" s="64">
        <f>G63*$A65</f>
        <v>36.87840389476797</v>
      </c>
      <c r="H64" s="64">
        <f>H63*$A65</f>
        <v>74.702407889402693</v>
      </c>
      <c r="I64" s="64">
        <f>I63*$A65</f>
        <v>314.25443318875324</v>
      </c>
      <c r="J64" s="64">
        <f>J63*$A65</f>
        <v>503.37445316191889</v>
      </c>
      <c r="K64" s="64">
        <f>K63*$A65</f>
        <v>919.43849710288464</v>
      </c>
      <c r="L64" s="64">
        <f>L63*$A65</f>
        <v>1726.3505823217315</v>
      </c>
      <c r="M64" s="64">
        <f>M63*$A65</f>
        <v>3434.0431727731711</v>
      </c>
      <c r="N64" s="64">
        <f>N63*$A65</f>
        <v>5431.9996042277835</v>
      </c>
      <c r="O64" s="64">
        <f>MIN(_xlfn.FORECAST.LINEAR(O$54,$L64:$N64,$L$54:$N$54),'Capacity Limit'!F55)</f>
        <v>7236.4468083465472</v>
      </c>
      <c r="P64" s="64">
        <f>MIN(_xlfn.FORECAST.LINEAR(P$54,$L64:$N64,$L$54:$N$54),'Capacity Limit'!G55)</f>
        <v>9089.2713192999363</v>
      </c>
      <c r="Q64" s="64">
        <f>MIN(_xlfn.FORECAST.LINEAR(Q$54,$L64:$N64,$L$54:$N$54),'Capacity Limit'!H55)</f>
        <v>10942.09583025286</v>
      </c>
      <c r="R64" s="64">
        <f>MIN(_xlfn.FORECAST.LINEAR(R$54,$L64:$N64,$L$54:$N$54),'Capacity Limit'!I55)</f>
        <v>12794.920341205783</v>
      </c>
      <c r="S64" s="64">
        <f>MIN(_xlfn.FORECAST.LINEAR(S$54,$L64:$N64,$L$54:$N$54),'Capacity Limit'!J55)</f>
        <v>14647.744852158707</v>
      </c>
      <c r="T64" s="64">
        <f>MIN(_xlfn.FORECAST.LINEAR(T$54,$L64:$N64,$L$54:$N$54),'Capacity Limit'!K55)</f>
        <v>16500.569363112096</v>
      </c>
      <c r="U64" s="64">
        <f>MIN(_xlfn.FORECAST.LINEAR(U$54,$L64:$N64,$L$54:$N$54),'Capacity Limit'!L55)</f>
        <v>18353.393874065019</v>
      </c>
      <c r="V64" s="64">
        <f>MIN(_xlfn.FORECAST.LINEAR(V$54,$L64:$N64,$L$54:$N$54),'Capacity Limit'!M55)</f>
        <v>20206.218385017943</v>
      </c>
      <c r="W64" s="64">
        <f>MIN(_xlfn.FORECAST.LINEAR(W$54,$L64:$N64,$L$54:$N$54),'Capacity Limit'!N55)</f>
        <v>22059.042895970866</v>
      </c>
      <c r="X64" s="64">
        <f>MIN(_xlfn.FORECAST.LINEAR(X$54,$L64:$N64,$L$54:$N$54),'Capacity Limit'!O55)</f>
        <v>23911.86740692379</v>
      </c>
      <c r="Y64" s="64">
        <f>MIN(_xlfn.FORECAST.LINEAR(Y$54,$L64:$N64,$L$54:$N$54),'Capacity Limit'!P55)</f>
        <v>25764.691917877179</v>
      </c>
      <c r="Z64" s="64">
        <f>MIN(_xlfn.FORECAST.LINEAR(Z$54,$L64:$N64,$L$54:$N$54),'Capacity Limit'!Q55)</f>
        <v>27617.516428830102</v>
      </c>
      <c r="AA64" s="64">
        <f>MIN(_xlfn.FORECAST.LINEAR(AA$54,$L64:$N64,$L$54:$N$54),'Capacity Limit'!R55)</f>
        <v>29470.340939783026</v>
      </c>
      <c r="AB64" s="64">
        <f>MIN(_xlfn.FORECAST.LINEAR(AB$54,$L64:$N64,$L$54:$N$54),'Capacity Limit'!S55)</f>
        <v>31323.165450735949</v>
      </c>
      <c r="AC64" s="64">
        <f>MIN(_xlfn.FORECAST.LINEAR(AC$54,$L64:$N64,$L$54:$N$54),'Capacity Limit'!T55)</f>
        <v>33175.989961689338</v>
      </c>
      <c r="AD64" s="64">
        <f>MIN(_xlfn.FORECAST.LINEAR(AD$54,$L64:$N64,$L$54:$N$54),'Capacity Limit'!U55)</f>
        <v>35028.814472642262</v>
      </c>
      <c r="AE64" s="64">
        <f>MIN(_xlfn.FORECAST.LINEAR(AE$54,$L64:$N64,$L$54:$N$54),'Capacity Limit'!V55)</f>
        <v>36881.638983595185</v>
      </c>
      <c r="AF64" s="64">
        <f>MIN(_xlfn.FORECAST.LINEAR(AF$54,$L64:$N64,$L$54:$N$54),'Capacity Limit'!W55)</f>
        <v>38734.463494548108</v>
      </c>
      <c r="AG64" s="64">
        <f>MIN(_xlfn.FORECAST.LINEAR(AG$54,$L64:$N64,$L$54:$N$54),'Capacity Limit'!X55)</f>
        <v>40587.288005501032</v>
      </c>
      <c r="AH64" s="64">
        <f>MIN(_xlfn.FORECAST.LINEAR(AH$54,$L64:$N64,$L$54:$N$54),'Capacity Limit'!Y55)</f>
        <v>42440.112516454421</v>
      </c>
      <c r="AI64" s="64">
        <f>MIN(_xlfn.FORECAST.LINEAR(AI$54,$L64:$N64,$L$54:$N$54),'Capacity Limit'!Z55)</f>
        <v>44292.937027407344</v>
      </c>
      <c r="AJ64" s="64">
        <f>MIN(_xlfn.FORECAST.LINEAR(AJ$54,$L64:$N64,$L$54:$N$54),'Capacity Limit'!AA55)</f>
        <v>45937.304100250534</v>
      </c>
      <c r="AK64" s="64">
        <f>MIN(_xlfn.FORECAST.LINEAR(AK$54,$L64:$N64,$L$54:$N$54),'Capacity Limit'!AB55)</f>
        <v>45375.95758614783</v>
      </c>
      <c r="AL64" s="64">
        <f>MIN(_xlfn.FORECAST.LINEAR(AL$54,$L64:$N64,$L$54:$N$54),'Capacity Limit'!AC55)</f>
        <v>44798.746106836807</v>
      </c>
      <c r="AM64" s="64">
        <f>MIN(_xlfn.FORECAST.LINEAR(AM$54,$L64:$N64,$L$54:$N$54),'Capacity Limit'!AD55)</f>
        <v>44207.937237698701</v>
      </c>
      <c r="AN64" s="64">
        <f>MIN(_xlfn.FORECAST.LINEAR(AN$54,$L64:$N64,$L$54:$N$54),'Capacity Limit'!AE55)</f>
        <v>43605.867476893334</v>
      </c>
      <c r="AO64" s="64">
        <f>MIN(_xlfn.FORECAST.LINEAR(AO$54,$L64:$N64,$L$54:$N$54),'Capacity Limit'!AF55)</f>
        <v>42994.937263684929</v>
      </c>
      <c r="AP64" s="64">
        <f>MIN(_xlfn.FORECAST.LINEAR(AP$54,$L64:$N64,$L$54:$N$54),'Capacity Limit'!AG55)</f>
        <v>42377.609998258122</v>
      </c>
      <c r="AQ64" s="64">
        <f>MIN(_xlfn.FORECAST.LINEAR(AQ$54,$L64:$N64,$L$54:$N$54),'Capacity Limit'!AH55)</f>
        <v>41756.410923645424</v>
      </c>
      <c r="AR64" s="64">
        <f>MIN(_xlfn.FORECAST.LINEAR(AR$54,$L64:$N64,$L$54:$N$54),'Capacity Limit'!AI55)</f>
        <v>41165.23679509986</v>
      </c>
      <c r="AS64" s="64">
        <f>MIN(_xlfn.FORECAST.LINEAR(AS$54,$L64:$N64,$L$54:$N$54),'Capacity Limit'!AJ55)</f>
        <v>40575.149150119651</v>
      </c>
      <c r="AT64" s="64">
        <f>MIN(_xlfn.FORECAST.LINEAR(AT$54,$L64:$N64,$L$54:$N$54),'Capacity Limit'!AK55)</f>
        <v>39988.804163120418</v>
      </c>
      <c r="AU64" s="64">
        <f>MIN(_xlfn.FORECAST.LINEAR(AU$54,$L64:$N64,$L$54:$N$54),'Capacity Limit'!AL55)</f>
        <v>39408.904101727327</v>
      </c>
      <c r="AV64" s="64">
        <f>MIN(_xlfn.FORECAST.LINEAR(AV$54,$L64:$N64,$L$54:$N$54),'Capacity Limit'!AM55)</f>
        <v>38838.188804022175</v>
      </c>
      <c r="AW64" s="64">
        <f>MIN(_xlfn.FORECAST.LINEAR(AW$54,$L64:$N64,$L$54:$N$54),'Capacity Limit'!AN55)</f>
        <v>38279.43568348173</v>
      </c>
      <c r="AX64" s="64">
        <f>MIN(_xlfn.FORECAST.LINEAR(AX$54,$L64:$N64,$L$54:$N$54),'Capacity Limit'!AO55)</f>
        <v>37735.455653047378</v>
      </c>
      <c r="AY64" s="64">
        <f>MIN(_xlfn.FORECAST.LINEAR(AY$54,$L64:$N64,$L$54:$N$54),'Capacity Limit'!AP55)</f>
        <v>37209.090578810654</v>
      </c>
      <c r="AZ64" s="64">
        <f>MIN(_xlfn.FORECAST.LINEAR(AZ$54,$L64:$N64,$L$54:$N$54),'Capacity Limit'!AQ55)</f>
        <v>36703.213420659675</v>
      </c>
    </row>
    <row r="65" spans="1:52">
      <c r="A65" s="30">
        <f>'Capacity Limit'!D20</f>
        <v>0.79073749612324851</v>
      </c>
      <c r="B65" s="65"/>
      <c r="C65" t="s">
        <v>401</v>
      </c>
      <c r="D65" s="64"/>
      <c r="E65" s="64">
        <f>E63*$A67</f>
        <v>3.7536852406929793</v>
      </c>
      <c r="F65" s="64">
        <f>F63*$A67</f>
        <v>6.422972522964451</v>
      </c>
      <c r="G65" s="64">
        <f>G63*$A67</f>
        <v>9.759581625802193</v>
      </c>
      <c r="H65" s="64">
        <f>H63*$A67</f>
        <v>19.769408934317497</v>
      </c>
      <c r="I65" s="64">
        <f>I63*$A67</f>
        <v>83.16498188824707</v>
      </c>
      <c r="J65" s="64">
        <f>J63*$A67</f>
        <v>133.21411843082151</v>
      </c>
      <c r="K65" s="64">
        <f>K63*$A67</f>
        <v>243.32221882448559</v>
      </c>
      <c r="L65" s="64">
        <f>L63*$A67</f>
        <v>456.86520140613834</v>
      </c>
      <c r="M65" s="64">
        <f>M63*$A67</f>
        <v>908.79271095469869</v>
      </c>
      <c r="N65" s="64">
        <f>N63*$A67</f>
        <v>1437.5362795000865</v>
      </c>
      <c r="O65" s="64">
        <f>MIN(_xlfn.FORECAST.LINEAR(O$54,$L65:$N65,$L$54:$N$54),'Capacity Limit'!F56)</f>
        <v>1915.0691420475487</v>
      </c>
      <c r="P65" s="64">
        <f>MIN(_xlfn.FORECAST.LINEAR(P$54,$L65:$N65,$L$54:$N$54),'Capacity Limit'!G56)</f>
        <v>2405.4046810944565</v>
      </c>
      <c r="Q65" s="64">
        <f>MIN(_xlfn.FORECAST.LINEAR(Q$54,$L65:$N65,$L$54:$N$54),'Capacity Limit'!H56)</f>
        <v>2895.7402201414807</v>
      </c>
      <c r="R65" s="64">
        <f>MIN(_xlfn.FORECAST.LINEAR(R$54,$L65:$N65,$L$54:$N$54),'Capacity Limit'!I56)</f>
        <v>3386.0757591883885</v>
      </c>
      <c r="S65" s="64">
        <f>MIN(_xlfn.FORECAST.LINEAR(S$54,$L65:$N65,$L$54:$N$54),'Capacity Limit'!J56)</f>
        <v>3876.4112982354127</v>
      </c>
      <c r="T65" s="64">
        <f>MIN(_xlfn.FORECAST.LINEAR(T$54,$L65:$N65,$L$54:$N$54),'Capacity Limit'!K56)</f>
        <v>4366.7468372824369</v>
      </c>
      <c r="U65" s="64">
        <f>MIN(_xlfn.FORECAST.LINEAR(U$54,$L65:$N65,$L$54:$N$54),'Capacity Limit'!L56)</f>
        <v>4857.0823763293447</v>
      </c>
      <c r="V65" s="64">
        <f>MIN(_xlfn.FORECAST.LINEAR(V$54,$L65:$N65,$L$54:$N$54),'Capacity Limit'!M56)</f>
        <v>5347.4179153763689</v>
      </c>
      <c r="W65" s="64">
        <f>MIN(_xlfn.FORECAST.LINEAR(W$54,$L65:$N65,$L$54:$N$54),'Capacity Limit'!N56)</f>
        <v>5837.7534544232767</v>
      </c>
      <c r="X65" s="64">
        <f>MIN(_xlfn.FORECAST.LINEAR(X$54,$L65:$N65,$L$54:$N$54),'Capacity Limit'!O56)</f>
        <v>6328.0889934703009</v>
      </c>
      <c r="Y65" s="64">
        <f>MIN(_xlfn.FORECAST.LINEAR(Y$54,$L65:$N65,$L$54:$N$54),'Capacity Limit'!P56)</f>
        <v>6818.4245325172087</v>
      </c>
      <c r="Z65" s="64">
        <f>MIN(_xlfn.FORECAST.LINEAR(Z$54,$L65:$N65,$L$54:$N$54),'Capacity Limit'!Q56)</f>
        <v>7308.7600715642329</v>
      </c>
      <c r="AA65" s="64">
        <f>MIN(_xlfn.FORECAST.LINEAR(AA$54,$L65:$N65,$L$54:$N$54),'Capacity Limit'!R56)</f>
        <v>7799.0956106112571</v>
      </c>
      <c r="AB65" s="64">
        <f>MIN(_xlfn.FORECAST.LINEAR(AB$54,$L65:$N65,$L$54:$N$54),'Capacity Limit'!S56)</f>
        <v>8289.4311496581649</v>
      </c>
      <c r="AC65" s="64">
        <f>MIN(_xlfn.FORECAST.LINEAR(AC$54,$L65:$N65,$L$54:$N$54),'Capacity Limit'!T56)</f>
        <v>8779.7666887051892</v>
      </c>
      <c r="AD65" s="64">
        <f>MIN(_xlfn.FORECAST.LINEAR(AD$54,$L65:$N65,$L$54:$N$54),'Capacity Limit'!U56)</f>
        <v>9270.102227752097</v>
      </c>
      <c r="AE65" s="64">
        <f>MIN(_xlfn.FORECAST.LINEAR(AE$54,$L65:$N65,$L$54:$N$54),'Capacity Limit'!V56)</f>
        <v>9760.4377667991212</v>
      </c>
      <c r="AF65" s="64">
        <f>MIN(_xlfn.FORECAST.LINEAR(AF$54,$L65:$N65,$L$54:$N$54),'Capacity Limit'!W56)</f>
        <v>10250.773305846029</v>
      </c>
      <c r="AG65" s="64">
        <f>MIN(_xlfn.FORECAST.LINEAR(AG$54,$L65:$N65,$L$54:$N$54),'Capacity Limit'!X56)</f>
        <v>10439.280667448918</v>
      </c>
      <c r="AH65" s="64">
        <f>MIN(_xlfn.FORECAST.LINEAR(AH$54,$L65:$N65,$L$54:$N$54),'Capacity Limit'!Y56)</f>
        <v>10470.522211761403</v>
      </c>
      <c r="AI65" s="64">
        <f>MIN(_xlfn.FORECAST.LINEAR(AI$54,$L65:$N65,$L$54:$N$54),'Capacity Limit'!Z56)</f>
        <v>10498.583755490476</v>
      </c>
      <c r="AJ65" s="64">
        <f>MIN(_xlfn.FORECAST.LINEAR(AJ$54,$L65:$N65,$L$54:$N$54),'Capacity Limit'!AA56)</f>
        <v>10523.656877109062</v>
      </c>
      <c r="AK65" s="64">
        <f>MIN(_xlfn.FORECAST.LINEAR(AK$54,$L65:$N65,$L$54:$N$54),'Capacity Limit'!AB56)</f>
        <v>10545.942626608277</v>
      </c>
      <c r="AL65" s="64">
        <f>MIN(_xlfn.FORECAST.LINEAR(AL$54,$L65:$N65,$L$54:$N$54),'Capacity Limit'!AC56)</f>
        <v>10565.651255169218</v>
      </c>
      <c r="AM65" s="64">
        <f>MIN(_xlfn.FORECAST.LINEAR(AM$54,$L65:$N65,$L$54:$N$54),'Capacity Limit'!AD56)</f>
        <v>10583.002548397182</v>
      </c>
      <c r="AN65" s="64">
        <f>MIN(_xlfn.FORECAST.LINEAR(AN$54,$L65:$N65,$L$54:$N$54),'Capacity Limit'!AE56)</f>
        <v>10598.226879147109</v>
      </c>
      <c r="AO65" s="64">
        <f>MIN(_xlfn.FORECAST.LINEAR(AO$54,$L65:$N65,$L$54:$N$54),'Capacity Limit'!AF56)</f>
        <v>10611.564349393715</v>
      </c>
      <c r="AP65" s="64">
        <f>MIN(_xlfn.FORECAST.LINEAR(AP$54,$L65:$N65,$L$54:$N$54),'Capacity Limit'!AG56)</f>
        <v>10623.265719421153</v>
      </c>
      <c r="AQ65" s="64">
        <f>MIN(_xlfn.FORECAST.LINEAR(AQ$54,$L65:$N65,$L$54:$N$54),'Capacity Limit'!AH56)</f>
        <v>10633.592957826515</v>
      </c>
      <c r="AR65" s="64">
        <f>MIN(_xlfn.FORECAST.LINEAR(AR$54,$L65:$N65,$L$54:$N$54),'Capacity Limit'!AI56)</f>
        <v>10641.795768222784</v>
      </c>
      <c r="AS65" s="64">
        <f>MIN(_xlfn.FORECAST.LINEAR(AS$54,$L65:$N65,$L$54:$N$54),'Capacity Limit'!AJ56)</f>
        <v>10649.18462681565</v>
      </c>
      <c r="AT65" s="64">
        <f>MIN(_xlfn.FORECAST.LINEAR(AT$54,$L65:$N65,$L$54:$N$54),'Capacity Limit'!AK56)</f>
        <v>10656.057668297681</v>
      </c>
      <c r="AU65" s="64">
        <f>MIN(_xlfn.FORECAST.LINEAR(AU$54,$L65:$N65,$L$54:$N$54),'Capacity Limit'!AL56)</f>
        <v>10662.726507295622</v>
      </c>
      <c r="AV65" s="64">
        <f>MIN(_xlfn.FORECAST.LINEAR(AV$54,$L65:$N65,$L$54:$N$54),'Capacity Limit'!AM56)</f>
        <v>10669.516109102926</v>
      </c>
      <c r="AW65" s="64">
        <f>MIN(_xlfn.FORECAST.LINEAR(AW$54,$L65:$N65,$L$54:$N$54),'Capacity Limit'!AN56)</f>
        <v>10676.76533687699</v>
      </c>
      <c r="AX65" s="64">
        <f>MIN(_xlfn.FORECAST.LINEAR(AX$54,$L65:$N65,$L$54:$N$54),'Capacity Limit'!AO56)</f>
        <v>10684.827351817552</v>
      </c>
      <c r="AY65" s="64">
        <f>MIN(_xlfn.FORECAST.LINEAR(AY$54,$L65:$N65,$L$54:$N$54),'Capacity Limit'!AP56)</f>
        <v>10694.070189690803</v>
      </c>
      <c r="AZ65" s="64">
        <f>MIN(_xlfn.FORECAST.LINEAR(AZ$54,$L65:$N65,$L$54:$N$54),'Capacity Limit'!AQ56)</f>
        <v>10704.877350167635</v>
      </c>
    </row>
    <row r="66" spans="1:52">
      <c r="A66" t="s">
        <v>400</v>
      </c>
    </row>
    <row r="67" spans="1:52">
      <c r="A67" s="30">
        <f>'Capacity Limit'!C20</f>
        <v>0.20926250387675144</v>
      </c>
    </row>
  </sheetData>
  <mergeCells count="6">
    <mergeCell ref="P2:S2"/>
    <mergeCell ref="B58:B60"/>
    <mergeCell ref="B61:B65"/>
    <mergeCell ref="B55:B57"/>
    <mergeCell ref="B2:G2"/>
    <mergeCell ref="I2:N2"/>
  </mergeCells>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28CC-1A68-439A-9656-15C00E71A6DA}">
  <dimension ref="A2:AQ56"/>
  <sheetViews>
    <sheetView topLeftCell="T28" workbookViewId="0">
      <selection activeCell="C55" sqref="C55:AQ56"/>
    </sheetView>
  </sheetViews>
  <sheetFormatPr defaultRowHeight="14.25"/>
  <cols>
    <col min="2" max="2" width="17.25" bestFit="1" customWidth="1"/>
    <col min="3" max="3" width="9" customWidth="1"/>
    <col min="4" max="8" width="9.5" bestFit="1" customWidth="1"/>
    <col min="9" max="12" width="9" customWidth="1"/>
    <col min="13" max="43" width="9.5" bestFit="1" customWidth="1"/>
  </cols>
  <sheetData>
    <row r="2" spans="2:14">
      <c r="C2" s="65" t="s">
        <v>479</v>
      </c>
      <c r="D2" s="65"/>
      <c r="E2" s="65"/>
      <c r="F2" s="65"/>
    </row>
    <row r="3" spans="2:14">
      <c r="C3" t="s">
        <v>478</v>
      </c>
      <c r="D3" t="s">
        <v>477</v>
      </c>
      <c r="E3" t="s">
        <v>476</v>
      </c>
      <c r="F3" t="s">
        <v>475</v>
      </c>
      <c r="I3" t="s">
        <v>138</v>
      </c>
      <c r="J3" t="s">
        <v>139</v>
      </c>
      <c r="K3" t="s">
        <v>474</v>
      </c>
      <c r="L3" t="s">
        <v>449</v>
      </c>
      <c r="N3" t="s">
        <v>473</v>
      </c>
    </row>
    <row r="4" spans="2:14">
      <c r="B4" t="s">
        <v>472</v>
      </c>
      <c r="C4" s="14">
        <v>610.858400586941</v>
      </c>
      <c r="D4" s="14">
        <v>415.03220021194909</v>
      </c>
      <c r="E4" s="14">
        <v>185.79929893208987</v>
      </c>
      <c r="F4" s="14">
        <v>115.96967473710015</v>
      </c>
      <c r="H4" t="s">
        <v>472</v>
      </c>
      <c r="I4">
        <f>VLOOKUP("*"&amp;B4&amp;"*",Population!A$34:V$64,22,FALSE)</f>
        <v>1916</v>
      </c>
      <c r="J4">
        <f>VLOOKUP("*"&amp;B4&amp;"*",Population!A$66:V$96,22,FALSE)</f>
        <v>273.00000000000011</v>
      </c>
      <c r="K4" s="28">
        <f>SUMIFS('Building Area Result'!$F$5:$F$738,'Building Area Result'!$C$5:$C$738,"*"&amp;B4&amp;"*")</f>
        <v>1035265616.2211175</v>
      </c>
      <c r="L4" s="28">
        <f>VLOOKUP("*"&amp;B4&amp;"*",'Building Area Result'!$C$739:$F$769,4,FALSE)</f>
        <v>149154881.97233385</v>
      </c>
      <c r="N4" s="66">
        <f>(C4/K4)/(D4/L4)</f>
        <v>0.21205300956196274</v>
      </c>
    </row>
    <row r="5" spans="2:14">
      <c r="B5" t="s">
        <v>471</v>
      </c>
      <c r="C5" s="14">
        <v>353.87625336267899</v>
      </c>
      <c r="D5" s="14">
        <v>305.24170538844101</v>
      </c>
      <c r="E5" s="14">
        <v>246.12374663731998</v>
      </c>
      <c r="F5" s="14">
        <v>167.0987201434699</v>
      </c>
      <c r="H5" t="s">
        <v>471</v>
      </c>
      <c r="I5">
        <f>VLOOKUP("*"&amp;B5&amp;"*",Population!A$34:V$64,22,FALSE)</f>
        <v>1175</v>
      </c>
      <c r="J5">
        <f>VLOOKUP("*"&amp;B5&amp;"*",Population!A$66:V$96,22,FALSE)</f>
        <v>212</v>
      </c>
      <c r="K5" s="28">
        <f>SUMIFS('Building Area Result'!$F$5:$F$738,'Building Area Result'!$C$5:$C$738,"*"&amp;B5&amp;"*")</f>
        <v>586946613.57377994</v>
      </c>
      <c r="L5" s="28">
        <f>VLOOKUP("*"&amp;B5&amp;"*",'Building Area Result'!$C$739:$F$769,4,FALSE)</f>
        <v>69415828.213792384</v>
      </c>
      <c r="N5" s="66">
        <f>(C5/K5)/(D5/L5)</f>
        <v>0.13710947176990301</v>
      </c>
    </row>
    <row r="6" spans="2:14">
      <c r="B6" t="s">
        <v>470</v>
      </c>
      <c r="C6" s="14">
        <v>1197.21203228173</v>
      </c>
      <c r="D6" s="14">
        <v>5088.3671639357599</v>
      </c>
      <c r="E6" s="14">
        <v>1384.9487785658002</v>
      </c>
      <c r="F6" s="14">
        <v>653.41430939376914</v>
      </c>
      <c r="H6" t="s">
        <v>470</v>
      </c>
      <c r="I6">
        <f>VLOOKUP("*"&amp;B6&amp;"*",Population!A$34:V$64,22,FALSE)</f>
        <v>4484</v>
      </c>
      <c r="J6">
        <f>VLOOKUP("*"&amp;B6&amp;"*",Population!A$66:V$96,22,FALSE)</f>
        <v>2980.0000000000005</v>
      </c>
      <c r="K6" s="28">
        <f>SUMIFS('Building Area Result'!$F$5:$F$738,'Building Area Result'!$C$5:$C$738,"*"&amp;B6&amp;"*")</f>
        <v>1877362648.0551805</v>
      </c>
      <c r="L6" s="28">
        <f>VLOOKUP("*"&amp;B6&amp;"*",'Building Area Result'!$C$739:$F$769,4,FALSE)</f>
        <v>1096786574.7787502</v>
      </c>
      <c r="N6" s="66">
        <f>(C6/K6)/(D6/L6)</f>
        <v>0.1374569124237765</v>
      </c>
    </row>
    <row r="7" spans="2:14">
      <c r="B7" t="s">
        <v>469</v>
      </c>
      <c r="C7" s="14">
        <v>805.10312219776699</v>
      </c>
      <c r="D7" s="14">
        <v>594.79905437351306</v>
      </c>
      <c r="E7" s="14">
        <v>183.07654683297005</v>
      </c>
      <c r="F7" s="14">
        <v>136.64302600472979</v>
      </c>
      <c r="H7" t="s">
        <v>469</v>
      </c>
      <c r="I7">
        <f>VLOOKUP("*"&amp;B7&amp;"*",Population!A$34:V$64,22,FALSE)</f>
        <v>2222</v>
      </c>
      <c r="J7">
        <f>VLOOKUP("*"&amp;B7&amp;"*",Population!A$66:V$96,22,FALSE)</f>
        <v>265.99999999999994</v>
      </c>
      <c r="K7" s="28">
        <f>SUMIFS('Building Area Result'!$F$5:$F$738,'Building Area Result'!$C$5:$C$738,"*"&amp;B7&amp;"*")</f>
        <v>1091137185.5813406</v>
      </c>
      <c r="L7" s="28">
        <f>VLOOKUP("*"&amp;B7&amp;"*",'Building Area Result'!$C$739:$F$769,4,FALSE)</f>
        <v>139303328.12929782</v>
      </c>
      <c r="N7" s="66">
        <f>(C7/K7)/(D7/L7)</f>
        <v>0.1728078142938981</v>
      </c>
    </row>
    <row r="8" spans="2:14">
      <c r="B8" t="s">
        <v>468</v>
      </c>
      <c r="C8" s="14">
        <v>1914.9724192277299</v>
      </c>
      <c r="D8" s="14">
        <v>5575.2859976631098</v>
      </c>
      <c r="E8" s="14">
        <v>1286.1172250754098</v>
      </c>
      <c r="F8" s="14">
        <v>1430.8958995678513</v>
      </c>
      <c r="H8" t="s">
        <v>468</v>
      </c>
      <c r="I8">
        <f>VLOOKUP("*"&amp;B8&amp;"*",Population!A$34:V$64,22,FALSE)</f>
        <v>6226</v>
      </c>
      <c r="J8">
        <f>VLOOKUP("*"&amp;B8&amp;"*",Population!A$66:V$96,22,FALSE)</f>
        <v>2250.9999999999995</v>
      </c>
      <c r="K8" s="28">
        <f>SUMIFS('Building Area Result'!$F$5:$F$738,'Building Area Result'!$C$5:$C$738,"*"&amp;B8&amp;"*")</f>
        <v>3494281236.45542</v>
      </c>
      <c r="L8" s="28">
        <f>VLOOKUP("*"&amp;B8&amp;"*",'Building Area Result'!$C$739:$F$769,4,FALSE)</f>
        <v>1017803174.1508938</v>
      </c>
      <c r="N8" s="66">
        <f>(C8/K8)/(D8/L8)</f>
        <v>0.10004636585038844</v>
      </c>
    </row>
    <row r="9" spans="2:14">
      <c r="B9" t="s">
        <v>467</v>
      </c>
      <c r="C9" s="14">
        <v>1399.9021765712801</v>
      </c>
      <c r="D9" s="14">
        <v>4693.2420314665396</v>
      </c>
      <c r="E9" s="14">
        <v>554.98491888806984</v>
      </c>
      <c r="F9" s="14">
        <v>598.41852123583976</v>
      </c>
      <c r="H9" t="s">
        <v>467</v>
      </c>
      <c r="I9">
        <f>VLOOKUP("*"&amp;B9&amp;"*",Population!A$34:V$64,22,FALSE)</f>
        <v>4668</v>
      </c>
      <c r="J9">
        <f>VLOOKUP("*"&amp;B9&amp;"*",Population!A$66:V$96,22,FALSE)</f>
        <v>1799.9999999999998</v>
      </c>
      <c r="K9" s="28">
        <f>SUMIFS('Building Area Result'!$F$5:$F$738,'Building Area Result'!$C$5:$C$738,"*"&amp;B9&amp;"*")</f>
        <v>2697997030.7332873</v>
      </c>
      <c r="L9" s="28">
        <f>VLOOKUP("*"&amp;B9&amp;"*",'Building Area Result'!$C$739:$F$769,4,FALSE)</f>
        <v>1222314765.0984907</v>
      </c>
      <c r="N9" s="66">
        <f>(C9/K9)/(D9/L9)</f>
        <v>0.13513452762512021</v>
      </c>
    </row>
    <row r="10" spans="2:14">
      <c r="B10" t="s">
        <v>466</v>
      </c>
      <c r="C10" s="14">
        <v>1054.84633569739</v>
      </c>
      <c r="D10" s="14">
        <v>4227.5372951822101</v>
      </c>
      <c r="E10" s="14">
        <v>1231.8683110319098</v>
      </c>
      <c r="F10" s="14">
        <v>619.20747495216074</v>
      </c>
      <c r="H10" t="s">
        <v>466</v>
      </c>
      <c r="I10">
        <f>VLOOKUP("*"&amp;B10&amp;"*",Population!A$34:V$64,22,FALSE)</f>
        <v>3561</v>
      </c>
      <c r="J10">
        <f>VLOOKUP("*"&amp;B10&amp;"*",Population!A$66:V$96,22,FALSE)</f>
        <v>2544</v>
      </c>
      <c r="K10" s="28">
        <f>SUMIFS('Building Area Result'!$F$5:$F$738,'Building Area Result'!$C$5:$C$738,"*"&amp;B10&amp;"*")</f>
        <v>1721019461.7468278</v>
      </c>
      <c r="L10" s="28">
        <f>VLOOKUP("*"&amp;B10&amp;"*",'Building Area Result'!$C$739:$F$769,4,FALSE)</f>
        <v>983275217.73203647</v>
      </c>
      <c r="N10" s="66">
        <f>(C10/K10)/(D10/L10)</f>
        <v>0.14255782571767767</v>
      </c>
    </row>
    <row r="11" spans="2:14">
      <c r="B11" t="s">
        <v>465</v>
      </c>
      <c r="C11" s="14">
        <v>809.92907801418403</v>
      </c>
      <c r="D11" s="14">
        <v>2897.0212765957358</v>
      </c>
      <c r="E11" s="14">
        <v>305.5634357762101</v>
      </c>
      <c r="F11" s="14">
        <v>506.16233254530971</v>
      </c>
      <c r="H11" t="s">
        <v>465</v>
      </c>
      <c r="I11">
        <f>VLOOKUP("*"&amp;B11&amp;"*",Population!A$34:V$64,22,FALSE)</f>
        <v>2861</v>
      </c>
      <c r="J11">
        <f>VLOOKUP("*"&amp;B11&amp;"*",Population!A$66:V$96,22,FALSE)</f>
        <v>1300</v>
      </c>
      <c r="K11" s="28">
        <f>SUMIFS('Building Area Result'!$F$5:$F$738,'Building Area Result'!$C$5:$C$738,"*"&amp;B11&amp;"*")</f>
        <v>1585466953.1035225</v>
      </c>
      <c r="L11" s="28">
        <f>VLOOKUP("*"&amp;B11&amp;"*",'Building Area Result'!$C$739:$F$769,4,FALSE)</f>
        <v>689975820.01722836</v>
      </c>
      <c r="N11" s="66">
        <f>(C11/K11)/(D11/L11)</f>
        <v>0.12166677139264633</v>
      </c>
    </row>
    <row r="12" spans="2:14">
      <c r="B12" t="s">
        <v>464</v>
      </c>
      <c r="C12" s="14">
        <v>980.20488573680097</v>
      </c>
      <c r="D12" s="14">
        <v>4133.2702915681593</v>
      </c>
      <c r="E12" s="14">
        <v>553.77842993396007</v>
      </c>
      <c r="F12" s="14">
        <v>529.68886715035933</v>
      </c>
      <c r="H12" t="s">
        <v>464</v>
      </c>
      <c r="I12">
        <f>VLOOKUP("*"&amp;B12&amp;"*",Population!A$34:V$64,22,FALSE)</f>
        <v>2731</v>
      </c>
      <c r="J12">
        <f>VLOOKUP("*"&amp;B12&amp;"*",Population!A$66:V$96,22,FALSE)</f>
        <v>1788</v>
      </c>
      <c r="K12" s="28">
        <f>SUMIFS('Building Area Result'!$F$5:$F$738,'Building Area Result'!$C$5:$C$738,"*"&amp;B12&amp;"*")</f>
        <v>1419480811.8708177</v>
      </c>
      <c r="L12" s="28">
        <f>VLOOKUP("*"&amp;B12&amp;"*",'Building Area Result'!$C$739:$F$769,4,FALSE)</f>
        <v>918289364.37926328</v>
      </c>
      <c r="N12" s="66">
        <f>(C12/K12)/(D12/L12)</f>
        <v>0.15341685813979297</v>
      </c>
    </row>
    <row r="13" spans="2:14">
      <c r="B13" t="s">
        <v>463</v>
      </c>
      <c r="C13" s="14">
        <v>1823.42001576044</v>
      </c>
      <c r="D13" s="14">
        <v>6644.0944539550501</v>
      </c>
      <c r="E13" s="14">
        <v>1693.8008107487094</v>
      </c>
      <c r="F13" s="14">
        <v>736.87226878710135</v>
      </c>
      <c r="H13" t="s">
        <v>463</v>
      </c>
      <c r="I13">
        <f>VLOOKUP("*"&amp;B13&amp;"*",Population!A$34:V$64,22,FALSE)</f>
        <v>6409</v>
      </c>
      <c r="J13">
        <f>VLOOKUP("*"&amp;B13&amp;"*",Population!A$66:V$96,22,FALSE)</f>
        <v>3756.0000000000005</v>
      </c>
      <c r="K13" s="28">
        <f>SUMIFS('Building Area Result'!$F$5:$F$738,'Building Area Result'!$C$5:$C$738,"*"&amp;B13&amp;"*")</f>
        <v>3436147885.645607</v>
      </c>
      <c r="L13" s="28">
        <f>VLOOKUP("*"&amp;B13&amp;"*",'Building Area Result'!$C$739:$F$769,4,FALSE)</f>
        <v>1406222493.8932707</v>
      </c>
      <c r="N13" s="66">
        <f>(C13/K13)/(D13/L13)</f>
        <v>0.11231379803192446</v>
      </c>
    </row>
    <row r="14" spans="2:14">
      <c r="B14" t="s">
        <v>462</v>
      </c>
      <c r="C14" s="14">
        <v>1471.20567375886</v>
      </c>
      <c r="D14" s="14">
        <v>7664.7036765305302</v>
      </c>
      <c r="E14" s="14">
        <v>1463.2125679814089</v>
      </c>
      <c r="F14" s="14">
        <v>771.40605651240003</v>
      </c>
      <c r="H14" t="s">
        <v>462</v>
      </c>
      <c r="I14">
        <f>VLOOKUP("*"&amp;B14&amp;"*",Population!A$34:V$64,22,FALSE)</f>
        <v>5510</v>
      </c>
      <c r="J14">
        <f>VLOOKUP("*"&amp;B14&amp;"*",Population!A$66:V$96,22,FALSE)</f>
        <v>4431</v>
      </c>
      <c r="K14" s="28">
        <f>SUMIFS('Building Area Result'!$F$5:$F$738,'Building Area Result'!$C$5:$C$738,"*"&amp;B14&amp;"*")</f>
        <v>2679858270.4897437</v>
      </c>
      <c r="L14" s="28">
        <f>VLOOKUP("*"&amp;B14&amp;"*",'Building Area Result'!$C$739:$F$769,4,FALSE)</f>
        <v>1763468349.3918755</v>
      </c>
      <c r="N14" s="66">
        <f>(C14/K14)/(D14/L14)</f>
        <v>0.12630887441983546</v>
      </c>
    </row>
    <row r="15" spans="2:14">
      <c r="B15" t="s">
        <v>461</v>
      </c>
      <c r="C15" s="14">
        <v>1118.99133175728</v>
      </c>
      <c r="D15" s="14">
        <v>4515.8077226162404</v>
      </c>
      <c r="E15" s="14">
        <v>882.86840031520933</v>
      </c>
      <c r="F15" s="14">
        <v>835.05122143420067</v>
      </c>
      <c r="H15" t="s">
        <v>461</v>
      </c>
      <c r="I15">
        <f>VLOOKUP("*"&amp;B15&amp;"*",Population!A$34:V$64,22,FALSE)</f>
        <v>3613</v>
      </c>
      <c r="J15">
        <f>VLOOKUP("*"&amp;B15&amp;"*",Population!A$66:V$96,22,FALSE)</f>
        <v>2132</v>
      </c>
      <c r="K15" s="28">
        <f>SUMIFS('Building Area Result'!$F$5:$F$738,'Building Area Result'!$C$5:$C$738,"*"&amp;B15&amp;"*")</f>
        <v>2129533004.47543</v>
      </c>
      <c r="L15" s="28">
        <f>VLOOKUP("*"&amp;B15&amp;"*",'Building Area Result'!$C$739:$F$769,4,FALSE)</f>
        <v>1011998113.9119028</v>
      </c>
      <c r="N15" s="66">
        <f>(C15/K15)/(D15/L15)</f>
        <v>0.11775696614184995</v>
      </c>
    </row>
    <row r="16" spans="2:14">
      <c r="B16" t="s">
        <v>460</v>
      </c>
      <c r="C16" s="14">
        <v>1369.7399527186701</v>
      </c>
      <c r="D16" s="14">
        <v>6153.09366593299</v>
      </c>
      <c r="E16" s="14">
        <v>800.57063666749036</v>
      </c>
      <c r="F16" s="14">
        <v>568.79432624112997</v>
      </c>
      <c r="H16" t="s">
        <v>460</v>
      </c>
      <c r="I16">
        <f>VLOOKUP("*"&amp;B16&amp;"*",Population!A$34:V$64,22,FALSE)</f>
        <v>3905</v>
      </c>
      <c r="J16">
        <f>VLOOKUP("*"&amp;B16&amp;"*",Population!A$66:V$96,22,FALSE)</f>
        <v>2740</v>
      </c>
      <c r="K16" s="28">
        <f>SUMIFS('Building Area Result'!$F$5:$F$738,'Building Area Result'!$C$5:$C$738,"*"&amp;B16&amp;"*")</f>
        <v>2080875500.3905103</v>
      </c>
      <c r="L16" s="28">
        <f>VLOOKUP("*"&amp;B16&amp;"*",'Building Area Result'!$C$739:$F$769,4,FALSE)</f>
        <v>1260158175.6057377</v>
      </c>
      <c r="N16" s="66">
        <f>(C16/K16)/(D16/L16)</f>
        <v>0.13481045102036185</v>
      </c>
    </row>
    <row r="17" spans="1:14">
      <c r="C17" s="66">
        <f>SUM(C4:C16)/SUM($C4:$F16)</f>
        <v>0.17285236988445393</v>
      </c>
      <c r="D17" s="66">
        <f>SUM(D4:D16)/SUM($C4:$F16)</f>
        <v>0.61334846822278899</v>
      </c>
      <c r="E17" s="66">
        <f>SUM(E4:E16)/SUM($C4:$F16)</f>
        <v>0.12488640581577322</v>
      </c>
      <c r="F17" s="66">
        <f>SUM(F4:F16)/SUM($C4:$F16)</f>
        <v>8.8912756076984165E-2</v>
      </c>
      <c r="K17" s="28"/>
      <c r="L17" s="28"/>
    </row>
    <row r="18" spans="1:14">
      <c r="B18" t="s">
        <v>459</v>
      </c>
      <c r="C18" s="14">
        <f>SUM(C4:C16)/(SUM(I4:I16)/I18)</f>
        <v>27237.300324074629</v>
      </c>
      <c r="D18" s="14">
        <f>SUM(D4:D16)/(SUM(J4:J16)/J18)</f>
        <v>101903.83941542485</v>
      </c>
      <c r="H18" t="s">
        <v>458</v>
      </c>
      <c r="I18">
        <f>SUM(Population!V34:V64)</f>
        <v>90024</v>
      </c>
      <c r="J18">
        <f>SUM(Population!V66:V96)</f>
        <v>50989</v>
      </c>
      <c r="K18" s="28">
        <f>'Building Area Result'!F3+'Building Area Result'!F2</f>
        <v>44232607718.656807</v>
      </c>
      <c r="L18" s="28">
        <f>'Building Area Result'!F4</f>
        <v>21382914402.188774</v>
      </c>
      <c r="N18" s="66">
        <f>(C19/K18)/(D19/L18)</f>
        <v>0.12793325150723897</v>
      </c>
    </row>
    <row r="19" spans="1:14">
      <c r="B19" s="69" t="s">
        <v>457</v>
      </c>
      <c r="C19" s="68">
        <f>SUM(C4:C16)/(SUM(K4:K16)/K18)</f>
        <v>25527.782228069889</v>
      </c>
      <c r="D19" s="68">
        <f>SUM(D4:D16)/(SUM(L4:L16)/L18)</f>
        <v>96461.498006791924</v>
      </c>
      <c r="E19" s="67">
        <f>133000-D19-C19</f>
        <v>11010.719765138187</v>
      </c>
      <c r="H19" t="s">
        <v>456</v>
      </c>
      <c r="I19" s="30">
        <f>SUM(I4:I16)/I18</f>
        <v>0.54742068781658226</v>
      </c>
      <c r="J19" s="30">
        <f>SUM(J4:J16)/J18</f>
        <v>0.51919041361862361</v>
      </c>
      <c r="K19" s="30">
        <f>SUM(K4:K16)/K18</f>
        <v>0.58407978979375252</v>
      </c>
      <c r="L19" s="30">
        <f>SUM(L4:L16)/L18</f>
        <v>0.54848304897457612</v>
      </c>
    </row>
    <row r="20" spans="1:14">
      <c r="C20" s="66">
        <f>C19/(C19+D19)</f>
        <v>0.20926250387675144</v>
      </c>
      <c r="D20" s="66">
        <f>D19/(C19+D19)</f>
        <v>0.79073749612324851</v>
      </c>
    </row>
    <row r="22" spans="1:14">
      <c r="A22" t="s">
        <v>455</v>
      </c>
    </row>
    <row r="23" spans="1:14">
      <c r="A23" t="s">
        <v>454</v>
      </c>
    </row>
    <row r="25" spans="1:14">
      <c r="A25" t="s">
        <v>453</v>
      </c>
    </row>
    <row r="26" spans="1:14">
      <c r="A26" t="s">
        <v>452</v>
      </c>
    </row>
    <row r="27" spans="1:14">
      <c r="A27" t="s">
        <v>451</v>
      </c>
    </row>
    <row r="45" spans="2:43">
      <c r="C45">
        <v>2020</v>
      </c>
      <c r="D45">
        <v>2021</v>
      </c>
      <c r="E45">
        <v>2022</v>
      </c>
      <c r="F45">
        <v>2023</v>
      </c>
      <c r="G45">
        <v>2024</v>
      </c>
      <c r="H45">
        <v>2025</v>
      </c>
      <c r="I45">
        <v>2026</v>
      </c>
      <c r="J45">
        <v>2027</v>
      </c>
      <c r="K45">
        <v>2028</v>
      </c>
      <c r="L45">
        <v>2029</v>
      </c>
      <c r="M45">
        <v>2030</v>
      </c>
      <c r="N45">
        <v>2031</v>
      </c>
      <c r="O45">
        <v>2032</v>
      </c>
      <c r="P45">
        <v>2033</v>
      </c>
      <c r="Q45">
        <v>2034</v>
      </c>
      <c r="R45">
        <v>2035</v>
      </c>
      <c r="S45">
        <v>2036</v>
      </c>
      <c r="T45">
        <v>2037</v>
      </c>
      <c r="U45">
        <v>2038</v>
      </c>
      <c r="V45">
        <v>2039</v>
      </c>
      <c r="W45">
        <v>2040</v>
      </c>
      <c r="X45">
        <v>2041</v>
      </c>
      <c r="Y45">
        <v>2042</v>
      </c>
      <c r="Z45">
        <v>2043</v>
      </c>
      <c r="AA45">
        <v>2044</v>
      </c>
      <c r="AB45">
        <v>2045</v>
      </c>
      <c r="AC45">
        <v>2046</v>
      </c>
      <c r="AD45">
        <v>2047</v>
      </c>
      <c r="AE45">
        <v>2048</v>
      </c>
      <c r="AF45">
        <v>2049</v>
      </c>
      <c r="AG45">
        <v>2050</v>
      </c>
      <c r="AH45">
        <v>2051</v>
      </c>
      <c r="AI45">
        <v>2052</v>
      </c>
      <c r="AJ45">
        <v>2053</v>
      </c>
      <c r="AK45">
        <v>2054</v>
      </c>
      <c r="AL45">
        <v>2055</v>
      </c>
      <c r="AM45">
        <v>2056</v>
      </c>
      <c r="AN45">
        <v>2057</v>
      </c>
      <c r="AO45">
        <v>2058</v>
      </c>
      <c r="AP45">
        <v>2059</v>
      </c>
      <c r="AQ45">
        <v>2060</v>
      </c>
    </row>
    <row r="46" spans="2:43">
      <c r="B46" t="s">
        <v>450</v>
      </c>
      <c r="C46">
        <f>'Building Area Result'!E3</f>
        <v>30311726889.054127</v>
      </c>
      <c r="D46">
        <f>'Building Area Result'!F3</f>
        <v>31115403365.209843</v>
      </c>
      <c r="E46">
        <f>'Building Area Result'!G3</f>
        <v>31727836945.447311</v>
      </c>
      <c r="F46">
        <f>'Building Area Result'!H3</f>
        <v>32324379997.874851</v>
      </c>
      <c r="G46">
        <f>'Building Area Result'!I3</f>
        <v>32904917891.790359</v>
      </c>
      <c r="H46">
        <f>'Building Area Result'!J3</f>
        <v>33469354660.019188</v>
      </c>
      <c r="I46">
        <f>'Building Area Result'!K3</f>
        <v>34017617041.483421</v>
      </c>
      <c r="J46">
        <f>'Building Area Result'!L3</f>
        <v>34549652425.427086</v>
      </c>
      <c r="K46">
        <f>'Building Area Result'!M3</f>
        <v>35065434470.164246</v>
      </c>
      <c r="L46">
        <f>'Building Area Result'!N3</f>
        <v>35564960980.835281</v>
      </c>
      <c r="M46">
        <f>'Building Area Result'!O3</f>
        <v>36048257794.826668</v>
      </c>
      <c r="N46">
        <f>'Building Area Result'!P3</f>
        <v>36515379357.87545</v>
      </c>
      <c r="O46">
        <f>'Building Area Result'!Q3</f>
        <v>36821178644.946976</v>
      </c>
      <c r="P46">
        <f>'Building Area Result'!R3</f>
        <v>37110092255.140511</v>
      </c>
      <c r="Q46">
        <f>'Building Area Result'!S3</f>
        <v>37382478182.22052</v>
      </c>
      <c r="R46">
        <f>'Building Area Result'!T3</f>
        <v>37638723644.020416</v>
      </c>
      <c r="S46">
        <f>'Building Area Result'!U3</f>
        <v>37879244293.569969</v>
      </c>
      <c r="T46">
        <f>'Building Area Result'!V3</f>
        <v>38104485971.83416</v>
      </c>
      <c r="U46">
        <f>'Building Area Result'!W3</f>
        <v>38314925808.651558</v>
      </c>
      <c r="V46">
        <f>'Building Area Result'!X3</f>
        <v>38511071725.696129</v>
      </c>
      <c r="W46">
        <f>'Building Area Result'!Y3</f>
        <v>38693465094.768326</v>
      </c>
      <c r="X46">
        <f>'Building Area Result'!Z3</f>
        <v>38862681221.993294</v>
      </c>
      <c r="Y46">
        <f>'Building Area Result'!AA3</f>
        <v>38978985229.537094</v>
      </c>
      <c r="Z46">
        <f>'Building Area Result'!AB3</f>
        <v>39083450935.87072</v>
      </c>
      <c r="AA46">
        <f>'Building Area Result'!AC3</f>
        <v>39176791536.985291</v>
      </c>
      <c r="AB46">
        <f>'Building Area Result'!AD3</f>
        <v>39259755488.829376</v>
      </c>
      <c r="AC46">
        <f>'Building Area Result'!AE3</f>
        <v>39333125500.948586</v>
      </c>
      <c r="AD46">
        <f>'Building Area Result'!AF3</f>
        <v>39397719777.028381</v>
      </c>
      <c r="AE46">
        <f>'Building Area Result'!AG3</f>
        <v>39454395934.284836</v>
      </c>
      <c r="AF46">
        <f>'Building Area Result'!AH3</f>
        <v>39504047808.874039</v>
      </c>
      <c r="AG46">
        <f>'Building Area Result'!AI3</f>
        <v>39547608915.019493</v>
      </c>
      <c r="AH46">
        <f>'Building Area Result'!AJ3</f>
        <v>39586054492.529686</v>
      </c>
      <c r="AI46">
        <f>'Building Area Result'!AK3</f>
        <v>39616591386.374176</v>
      </c>
      <c r="AJ46">
        <f>'Building Area Result'!AL3</f>
        <v>39644098152.906883</v>
      </c>
      <c r="AK46">
        <f>'Building Area Result'!AM3</f>
        <v>39669684668.745529</v>
      </c>
      <c r="AL46">
        <f>'Building Area Result'!AN3</f>
        <v>39694510992.737938</v>
      </c>
      <c r="AM46">
        <f>'Building Area Result'!AO3</f>
        <v>39719786884.733467</v>
      </c>
      <c r="AN46">
        <f>'Building Area Result'!AP3</f>
        <v>39746773842.653618</v>
      </c>
      <c r="AO46">
        <f>'Building Area Result'!AQ3</f>
        <v>39776786592.250336</v>
      </c>
      <c r="AP46">
        <f>'Building Area Result'!AR3</f>
        <v>39811195233.352852</v>
      </c>
      <c r="AQ46">
        <f>'Building Area Result'!AS3</f>
        <v>39851427433.81813</v>
      </c>
    </row>
    <row r="47" spans="2:43">
      <c r="B47" t="s">
        <v>449</v>
      </c>
      <c r="C47">
        <f>'Building Area Result'!E4</f>
        <v>21439578449.473934</v>
      </c>
      <c r="D47">
        <f>'Building Area Result'!F4</f>
        <v>21382914402.188774</v>
      </c>
      <c r="E47">
        <f>'Building Area Result'!G4</f>
        <v>21272869271.091827</v>
      </c>
      <c r="F47">
        <f>'Building Area Result'!H4</f>
        <v>21141153263.211975</v>
      </c>
      <c r="G47">
        <f>'Building Area Result'!I4</f>
        <v>20988052128.522007</v>
      </c>
      <c r="H47">
        <f>'Building Area Result'!J4</f>
        <v>20813932562.587933</v>
      </c>
      <c r="I47">
        <f>'Building Area Result'!K4</f>
        <v>20619237755.309402</v>
      </c>
      <c r="J47">
        <f>'Building Area Result'!L4</f>
        <v>20404481408.617325</v>
      </c>
      <c r="K47">
        <f>'Building Area Result'!M4</f>
        <v>20170244087.680653</v>
      </c>
      <c r="L47">
        <f>'Building Area Result'!N4</f>
        <v>19917165864.293915</v>
      </c>
      <c r="M47">
        <f>'Building Area Result'!O4</f>
        <v>19645941843.290325</v>
      </c>
      <c r="N47">
        <f>'Building Area Result'!P4</f>
        <v>19357316712.939896</v>
      </c>
      <c r="O47">
        <f>'Building Area Result'!Q4</f>
        <v>19235236623.198353</v>
      </c>
      <c r="P47">
        <f>'Building Area Result'!R4</f>
        <v>19098640709.470409</v>
      </c>
      <c r="Q47">
        <f>'Building Area Result'!S4</f>
        <v>18948020919.378403</v>
      </c>
      <c r="R47">
        <f>'Building Area Result'!T4</f>
        <v>18783913071.02887</v>
      </c>
      <c r="S47">
        <f>'Building Area Result'!U4</f>
        <v>18606893800.442532</v>
      </c>
      <c r="T47">
        <f>'Building Area Result'!V4</f>
        <v>18417577195.721947</v>
      </c>
      <c r="U47">
        <f>'Building Area Result'!W4</f>
        <v>18216612961.593643</v>
      </c>
      <c r="V47">
        <f>'Building Area Result'!X4</f>
        <v>18004682514.52911</v>
      </c>
      <c r="W47">
        <f>'Building Area Result'!Y4</f>
        <v>17782497992.265011</v>
      </c>
      <c r="X47">
        <f>'Building Area Result'!Z4</f>
        <v>17550799400.290619</v>
      </c>
      <c r="Y47">
        <f>'Building Area Result'!AA4</f>
        <v>17365751639.683048</v>
      </c>
      <c r="Z47">
        <f>'Building Area Result'!AB4</f>
        <v>17172490030.069983</v>
      </c>
      <c r="AA47">
        <f>'Building Area Result'!AC4</f>
        <v>16971770460.061522</v>
      </c>
      <c r="AB47">
        <f>'Building Area Result'!AD4</f>
        <v>16764378137.579655</v>
      </c>
      <c r="AC47">
        <f>'Building Area Result'!AE4</f>
        <v>16551124423.073454</v>
      </c>
      <c r="AD47">
        <f>'Building Area Result'!AF4</f>
        <v>16332847083.791679</v>
      </c>
      <c r="AE47">
        <f>'Building Area Result'!AG4</f>
        <v>16110409350.853905</v>
      </c>
      <c r="AF47">
        <f>'Building Area Result'!AH4</f>
        <v>15884698078.745689</v>
      </c>
      <c r="AG47">
        <f>'Building Area Result'!AI4</f>
        <v>15656623383.184612</v>
      </c>
      <c r="AH47">
        <f>'Building Area Result'!AJ4</f>
        <v>15427118228.0427</v>
      </c>
      <c r="AI47">
        <f>'Building Area Result'!AK4</f>
        <v>15208705941.816534</v>
      </c>
      <c r="AJ47">
        <f>'Building Area Result'!AL4</f>
        <v>14990695062.465263</v>
      </c>
      <c r="AK47">
        <f>'Building Area Result'!AM4</f>
        <v>14774066927.125811</v>
      </c>
      <c r="AL47">
        <f>'Building Area Result'!AN4</f>
        <v>14559819902.305614</v>
      </c>
      <c r="AM47">
        <f>'Building Area Result'!AO4</f>
        <v>14348966235.108269</v>
      </c>
      <c r="AN47">
        <f>'Building Area Result'!AP4</f>
        <v>14142532055.057993</v>
      </c>
      <c r="AO47">
        <f>'Building Area Result'!AQ4</f>
        <v>13941555868.226454</v>
      </c>
      <c r="AP47">
        <f>'Building Area Result'!AR4</f>
        <v>13747087616.483963</v>
      </c>
      <c r="AQ47">
        <f>'Building Area Result'!AS4</f>
        <v>13560188729.46199</v>
      </c>
    </row>
    <row r="48" spans="2:43">
      <c r="B48" t="s">
        <v>448</v>
      </c>
      <c r="C48">
        <f>'Building Area Result'!E2</f>
        <v>12718182146.302261</v>
      </c>
      <c r="D48">
        <f>'Building Area Result'!F2</f>
        <v>13117204353.446966</v>
      </c>
      <c r="E48">
        <f>'Building Area Result'!G2</f>
        <v>13445852366.413853</v>
      </c>
      <c r="F48">
        <f>'Building Area Result'!H2</f>
        <v>13769083132.681536</v>
      </c>
      <c r="G48">
        <f>'Building Area Result'!I2</f>
        <v>14086864018.754873</v>
      </c>
      <c r="H48">
        <f>'Building Area Result'!J2</f>
        <v>14399162723.93182</v>
      </c>
      <c r="I48">
        <f>'Building Area Result'!K2</f>
        <v>14705949479.823231</v>
      </c>
      <c r="J48">
        <f>'Building Area Result'!L2</f>
        <v>15007196196.421976</v>
      </c>
      <c r="K48">
        <f>'Building Area Result'!M2</f>
        <v>15302879064.452953</v>
      </c>
      <c r="L48">
        <f>'Building Area Result'!N2</f>
        <v>15592978075.754467</v>
      </c>
      <c r="M48">
        <f>'Building Area Result'!O2</f>
        <v>15877478731.23568</v>
      </c>
      <c r="N48">
        <f>'Building Area Result'!P2</f>
        <v>16156372790.235544</v>
      </c>
      <c r="O48">
        <f>'Building Area Result'!Q2</f>
        <v>16379473411.870966</v>
      </c>
      <c r="P48">
        <f>'Building Area Result'!R2</f>
        <v>16596054273.639484</v>
      </c>
      <c r="Q48">
        <f>'Building Area Result'!S2</f>
        <v>16806204128.815619</v>
      </c>
      <c r="R48">
        <f>'Building Area Result'!T2</f>
        <v>17010021447.02243</v>
      </c>
      <c r="S48">
        <f>'Building Area Result'!U2</f>
        <v>17207614494.881004</v>
      </c>
      <c r="T48">
        <f>'Building Area Result'!V2</f>
        <v>17399102665.800003</v>
      </c>
      <c r="U48">
        <f>'Building Area Result'!W2</f>
        <v>17584617585.635403</v>
      </c>
      <c r="V48">
        <f>'Building Area Result'!X2</f>
        <v>17764303387.56208</v>
      </c>
      <c r="W48">
        <f>'Building Area Result'!Y2</f>
        <v>17938318563.861015</v>
      </c>
      <c r="X48">
        <f>'Building Area Result'!Z2</f>
        <v>18106836800.137897</v>
      </c>
      <c r="Y48">
        <f>'Building Area Result'!AA2</f>
        <v>18265944456.03167</v>
      </c>
      <c r="Z48">
        <f>'Building Area Result'!AB2</f>
        <v>18419808968.115387</v>
      </c>
      <c r="AA48">
        <f>'Building Area Result'!AC2</f>
        <v>18568657511.237583</v>
      </c>
      <c r="AB48">
        <f>'Building Area Result'!AD2</f>
        <v>18712737271.052555</v>
      </c>
      <c r="AC48">
        <f>'Building Area Result'!AE2</f>
        <v>18852315851.881538</v>
      </c>
      <c r="AD48">
        <f>'Building Area Result'!AF2</f>
        <v>18987682617.910152</v>
      </c>
      <c r="AE48">
        <f>'Building Area Result'!AG2</f>
        <v>19119151464.150585</v>
      </c>
      <c r="AF48">
        <f>'Building Area Result'!AH2</f>
        <v>19247060073.206707</v>
      </c>
      <c r="AG48">
        <f>'Building Area Result'!AI2</f>
        <v>19371772570.480343</v>
      </c>
      <c r="AH48">
        <f>'Building Area Result'!AJ2</f>
        <v>19493681311.743126</v>
      </c>
      <c r="AI48">
        <f>'Building Area Result'!AK2</f>
        <v>19627111554.33057</v>
      </c>
      <c r="AJ48">
        <f>'Building Area Result'!AL2</f>
        <v>19758580588.839661</v>
      </c>
      <c r="AK48">
        <f>'Building Area Result'!AM2</f>
        <v>19888575820.763828</v>
      </c>
      <c r="AL48">
        <f>'Building Area Result'!AN2</f>
        <v>20017624169.484375</v>
      </c>
      <c r="AM48">
        <f>'Building Area Result'!AO2</f>
        <v>20146293005.87912</v>
      </c>
      <c r="AN48">
        <f>'Building Area Result'!AP2</f>
        <v>20275192455.907463</v>
      </c>
      <c r="AO48">
        <f>'Building Area Result'!AQ2</f>
        <v>20404977444.547054</v>
      </c>
      <c r="AP48">
        <f>'Building Area Result'!AR2</f>
        <v>20536350023.917419</v>
      </c>
      <c r="AQ48">
        <f>'Building Area Result'!AS2</f>
        <v>20670061835.195469</v>
      </c>
    </row>
    <row r="50" spans="1:43">
      <c r="B50" t="s">
        <v>834</v>
      </c>
      <c r="J50" t="s">
        <v>447</v>
      </c>
      <c r="M50" s="29">
        <f>(C46/1.68)/(C46/1.68+C48/0.8)</f>
        <v>0.53159900129597459</v>
      </c>
      <c r="N50" s="29">
        <f>(C48/0.8)/(C46/1.68+C48/0.8)</f>
        <v>0.46840099870402535</v>
      </c>
    </row>
    <row r="51" spans="1:43">
      <c r="A51" s="65" t="s">
        <v>832</v>
      </c>
      <c r="B51" t="s">
        <v>446</v>
      </c>
      <c r="C51" s="14">
        <f>$C$19*$N$50*C48/$C48</f>
        <v>11957.238690326805</v>
      </c>
      <c r="D51" s="14">
        <f>$C$19*$N$50*D48/$C48</f>
        <v>12332.38694018557</v>
      </c>
      <c r="E51" s="14">
        <f>$C$19*$N$50*E48/$C48</f>
        <v>12641.371564791625</v>
      </c>
      <c r="F51" s="14">
        <f>$C$19*$N$50*F48/$C48</f>
        <v>12945.263062795029</v>
      </c>
      <c r="G51" s="14">
        <f>$C$19*$N$50*G48/$C48</f>
        <v>13244.030753200155</v>
      </c>
      <c r="H51" s="14">
        <f>$C$19*$N$50*H48/$C48</f>
        <v>13537.644267893091</v>
      </c>
      <c r="I51" s="14">
        <f>$C$19*$N$50*I48/$C48</f>
        <v>13826.075619561629</v>
      </c>
      <c r="J51" s="14">
        <f>$C$19*$N$50*J48/$C48</f>
        <v>14109.298398856052</v>
      </c>
      <c r="K51" s="14">
        <f>$C$19*$N$50*K48/$C48</f>
        <v>14387.290221037552</v>
      </c>
      <c r="L51" s="14">
        <f>$C$19*$N$50*L48/$C48</f>
        <v>14660.032275055748</v>
      </c>
      <c r="M51" s="14">
        <f>$C$19*$N$50*M48/$C48</f>
        <v>14927.510929317068</v>
      </c>
      <c r="N51" s="14">
        <f>$C$19*$N$50*N48/$C48</f>
        <v>15189.718436208692</v>
      </c>
      <c r="O51" s="14">
        <f>$C$19*$N$50*O48/$C48</f>
        <v>15399.470691221853</v>
      </c>
      <c r="P51" s="14">
        <f>$C$19*$N$50*P48/$C48</f>
        <v>15603.0932710947</v>
      </c>
      <c r="Q51" s="14">
        <f>$C$19*$N$50*Q48/$C48</f>
        <v>15800.669618891327</v>
      </c>
      <c r="R51" s="14">
        <f>$C$19*$N$50*R48/$C48</f>
        <v>15992.292312684063</v>
      </c>
      <c r="S51" s="14">
        <f>$C$19*$N$50*S48/$C48</f>
        <v>16178.063141377617</v>
      </c>
      <c r="T51" s="14">
        <f>$C$19*$N$50*T48/$C48</f>
        <v>16358.094354935782</v>
      </c>
      <c r="U51" s="14">
        <f>$C$19*$N$50*U48/$C48</f>
        <v>16532.509703888278</v>
      </c>
      <c r="V51" s="14">
        <f>$C$19*$N$50*V48/$C48</f>
        <v>16701.444697756466</v>
      </c>
      <c r="W51" s="14">
        <f>$C$19*$N$50*W48/$C48</f>
        <v>16865.048346045984</v>
      </c>
      <c r="X51" s="14">
        <f>$C$19*$N$50*X48/$C48</f>
        <v>17023.483942553099</v>
      </c>
      <c r="Y51" s="14">
        <f>$C$19*$N$50*Y48/$C48</f>
        <v>17173.072004517864</v>
      </c>
      <c r="Z51" s="14">
        <f>$C$19*$N$50*Z48/$C48</f>
        <v>17317.73062599315</v>
      </c>
      <c r="AA51" s="14">
        <f>$C$19*$N$50*AA48/$C48</f>
        <v>17457.673389695192</v>
      </c>
      <c r="AB51" s="14">
        <f>$C$19*$N$50*AB48/$C48</f>
        <v>17593.132691876479</v>
      </c>
      <c r="AC51" s="14">
        <f>$C$19*$N$50*AC48/$C48</f>
        <v>17724.360125784118</v>
      </c>
      <c r="AD51" s="14">
        <f>$C$19*$N$50*AD48/$C48</f>
        <v>17851.627742611916</v>
      </c>
      <c r="AE51" s="14">
        <f>$C$19*$N$50*AE48/$C48</f>
        <v>17975.230656672695</v>
      </c>
      <c r="AF51" s="14">
        <f>$C$19*$N$50*AF48/$C48</f>
        <v>18095.486346632006</v>
      </c>
      <c r="AG51" s="14">
        <f>$C$19*$N$50*AG48/$C48</f>
        <v>18212.737151850357</v>
      </c>
      <c r="AH51" s="14">
        <f>$C$19*$N$50*AH48/$C48</f>
        <v>18327.351953002595</v>
      </c>
      <c r="AI51" s="14">
        <f>$C$19*$N$50*AI48/$C48</f>
        <v>18452.798910812533</v>
      </c>
      <c r="AJ51" s="14">
        <f>$C$19*$N$50*AJ48/$C48</f>
        <v>18576.402001877639</v>
      </c>
      <c r="AK51" s="14">
        <f>$C$19*$N$50*AK48/$C48</f>
        <v>18698.619469660454</v>
      </c>
      <c r="AL51" s="14">
        <f>$C$19*$N$50*AL48/$C48</f>
        <v>18819.94670735006</v>
      </c>
      <c r="AM51" s="14">
        <f>$C$19*$N$50*AM48/$C48</f>
        <v>18940.917139372523</v>
      </c>
      <c r="AN51" s="14">
        <f>$C$19*$N$50*AN48/$C48</f>
        <v>19062.104387149822</v>
      </c>
      <c r="AO51" s="14">
        <f>$C$19*$N$50*AO48/$C48</f>
        <v>19184.124190745428</v>
      </c>
      <c r="AP51" s="14">
        <f>$C$19*$N$50*AP48/$C48</f>
        <v>19307.636597693625</v>
      </c>
      <c r="AQ51" s="14">
        <f>$C$19*$N$50*AQ48/$C48</f>
        <v>19433.348277615776</v>
      </c>
    </row>
    <row r="52" spans="1:43">
      <c r="A52" s="65"/>
      <c r="B52" t="s">
        <v>445</v>
      </c>
      <c r="C52" s="14">
        <f>$D$19*(C47/$L$18)</f>
        <v>96717.117927512125</v>
      </c>
      <c r="D52" s="14">
        <f>$D$19*(D47/$L$18)</f>
        <v>96461.498006791924</v>
      </c>
      <c r="E52" s="14">
        <f>$D$19*(E47/$L$18)</f>
        <v>95965.068100451434</v>
      </c>
      <c r="F52" s="14">
        <f>$D$19*(F47/$L$18)</f>
        <v>95370.877655099219</v>
      </c>
      <c r="G52" s="14">
        <f>$D$19*(G47/$L$18)</f>
        <v>94680.215731239936</v>
      </c>
      <c r="H52" s="14">
        <f>$D$19*(H47/$L$18)</f>
        <v>93894.736546953718</v>
      </c>
      <c r="I52" s="14">
        <f>$D$19*(I47/$L$18)</f>
        <v>93016.43939760403</v>
      </c>
      <c r="J52" s="14">
        <f>$D$19*(J47/$L$18)</f>
        <v>92047.641668784476</v>
      </c>
      <c r="K52" s="14">
        <f>$D$19*(K47/$L$18)</f>
        <v>90990.962376071388</v>
      </c>
      <c r="L52" s="14">
        <f>$D$19*(L47/$L$18)</f>
        <v>89849.288978254146</v>
      </c>
      <c r="M52" s="14">
        <f>$D$19*(M47/$L$18)</f>
        <v>88625.757196321094</v>
      </c>
      <c r="N52" s="14">
        <f>$D$19*(N47/$L$18)</f>
        <v>87323.726429497372</v>
      </c>
      <c r="O52" s="14">
        <f>$D$19*(O47/$L$18)</f>
        <v>86773.005039897296</v>
      </c>
      <c r="P52" s="14">
        <f>$D$19*(P47/$L$18)</f>
        <v>86156.800615562359</v>
      </c>
      <c r="Q52" s="14">
        <f>$D$19*(Q47/$L$18)</f>
        <v>85477.332405173962</v>
      </c>
      <c r="R52" s="14">
        <f>$D$19*(R47/$L$18)</f>
        <v>84737.017563673828</v>
      </c>
      <c r="S52" s="14">
        <f>$D$19*(S47/$L$18)</f>
        <v>83938.457381667948</v>
      </c>
      <c r="T52" s="14">
        <f>$D$19*(T47/$L$18)</f>
        <v>83084.42210165775</v>
      </c>
      <c r="U52" s="14">
        <f>$D$19*(U47/$L$18)</f>
        <v>82177.842638017406</v>
      </c>
      <c r="V52" s="14">
        <f>$D$19*(V47/$L$18)</f>
        <v>81221.792961505518</v>
      </c>
      <c r="W52" s="14">
        <f>$D$19*(W47/$L$18)</f>
        <v>80219.485631063944</v>
      </c>
      <c r="X52" s="14">
        <f>$D$19*(X47/$L$18)</f>
        <v>79174.258921199435</v>
      </c>
      <c r="Y52" s="14">
        <f>$D$19*(Y47/$L$18)</f>
        <v>78339.481030063078</v>
      </c>
      <c r="Z52" s="14">
        <f>$D$19*(Z47/$L$18)</f>
        <v>77467.649247929017</v>
      </c>
      <c r="AA52" s="14">
        <f>$D$19*(AA47/$L$18)</f>
        <v>76562.173500417557</v>
      </c>
      <c r="AB52" s="14">
        <f>$D$19*(AB47/$L$18)</f>
        <v>75626.595976913057</v>
      </c>
      <c r="AC52" s="14">
        <f>$D$19*(AC47/$L$18)</f>
        <v>74664.576844728013</v>
      </c>
      <c r="AD52" s="14">
        <f>$D$19*(AD47/$L$18)</f>
        <v>73679.895396164502</v>
      </c>
      <c r="AE52" s="14">
        <f>$D$19*(AE47/$L$18)</f>
        <v>72676.445794822226</v>
      </c>
      <c r="AF52" s="14">
        <f>$D$19*(AF47/$L$18)</f>
        <v>71658.228772808216</v>
      </c>
      <c r="AG52" s="14">
        <f>$D$19*(AG47/$L$18)</f>
        <v>70629.34999709687</v>
      </c>
      <c r="AH52" s="14">
        <f>$D$19*(AH47/$L$18)</f>
        <v>69594.018206075707</v>
      </c>
      <c r="AI52" s="14">
        <f>$D$19*(AI47/$L$18)</f>
        <v>68608.727991833104</v>
      </c>
      <c r="AJ52" s="14">
        <f>$D$19*(AJ47/$L$18)</f>
        <v>67625.248583532753</v>
      </c>
      <c r="AK52" s="14">
        <f>$D$19*(AK47/$L$18)</f>
        <v>66648.006938534032</v>
      </c>
      <c r="AL52" s="14">
        <f>$D$19*(AL47/$L$18)</f>
        <v>65681.506836212211</v>
      </c>
      <c r="AM52" s="14">
        <f>$D$19*(AM47/$L$18)</f>
        <v>64730.314673370296</v>
      </c>
      <c r="AN52" s="14">
        <f>$D$19*(AN47/$L$18)</f>
        <v>63799.059472469555</v>
      </c>
      <c r="AO52" s="14">
        <f>$D$19*(AO47/$L$18)</f>
        <v>62892.4260884123</v>
      </c>
      <c r="AP52" s="14">
        <f>$D$19*(AP47/$L$18)</f>
        <v>62015.150964684428</v>
      </c>
      <c r="AQ52" s="14">
        <f>$D$19*(AQ47/$L$18)</f>
        <v>61172.022367766127</v>
      </c>
    </row>
    <row r="53" spans="1:43">
      <c r="A53" s="65"/>
      <c r="B53" t="s">
        <v>444</v>
      </c>
      <c r="C53" s="14">
        <f>$C$19*$M$50*C46/$C46</f>
        <v>13570.543537743082</v>
      </c>
      <c r="D53" s="14">
        <f>$C$19*$M$50*D46/$C46</f>
        <v>13930.349056242574</v>
      </c>
      <c r="E53" s="14">
        <f>$C$19*$M$50*E46/$C46</f>
        <v>14204.535234912244</v>
      </c>
      <c r="F53" s="14">
        <f>$C$19*$M$50*F46/$C46</f>
        <v>14471.607232978755</v>
      </c>
      <c r="G53" s="14">
        <f>$C$19*$M$50*G46/$C46</f>
        <v>14731.513730339517</v>
      </c>
      <c r="H53" s="14">
        <f>$C$19*$M$50*H46/$C46</f>
        <v>14984.211762542964</v>
      </c>
      <c r="I53" s="14">
        <f>$C$19*$M$50*I46/$C46</f>
        <v>15229.668530644614</v>
      </c>
      <c r="J53" s="14">
        <f>$C$19*$M$50*J46/$C46</f>
        <v>15467.86048083781</v>
      </c>
      <c r="K53" s="14">
        <f>$C$19*$M$50*K46/$C46</f>
        <v>15698.775819964179</v>
      </c>
      <c r="L53" s="14">
        <f>$C$19*$M$50*L46/$C46</f>
        <v>15922.413565386269</v>
      </c>
      <c r="M53" s="14">
        <f>$C$19*$M$50*M46/$C46</f>
        <v>16138.785284487862</v>
      </c>
      <c r="N53" s="14">
        <f>$C$19*$M$50*N46/$C46</f>
        <v>16347.915352595634</v>
      </c>
      <c r="O53" s="14">
        <f>$C$19*$M$50*O46/$C46</f>
        <v>16484.821526044743</v>
      </c>
      <c r="P53" s="14">
        <f>$C$19*$M$50*P46/$C46</f>
        <v>16614.167991197599</v>
      </c>
      <c r="Q53" s="14">
        <f>$C$19*$M$50*Q46/$C46</f>
        <v>16736.11502166661</v>
      </c>
      <c r="R53" s="14">
        <f>$C$19*$M$50*R46/$C46</f>
        <v>16850.835974663856</v>
      </c>
      <c r="S53" s="14">
        <f>$C$19*$M$50*S46/$C46</f>
        <v>16958.516937823268</v>
      </c>
      <c r="T53" s="14">
        <f>$C$19*$M$50*T46/$C46</f>
        <v>17059.35751390085</v>
      </c>
      <c r="U53" s="14">
        <f>$C$19*$M$50*U46/$C46</f>
        <v>17153.571313664179</v>
      </c>
      <c r="V53" s="14">
        <f>$C$19*$M$50*V46/$C46</f>
        <v>17241.38573336869</v>
      </c>
      <c r="W53" s="14">
        <f>$C$19*$M$50*W46/$C46</f>
        <v>17323.043144873136</v>
      </c>
      <c r="X53" s="14">
        <f>$C$19*$M$50*X46/$C46</f>
        <v>17398.801112414865</v>
      </c>
      <c r="Y53" s="14">
        <f>$C$19*$M$50*Y46/$C46</f>
        <v>17450.870352935672</v>
      </c>
      <c r="Z53" s="14">
        <f>$C$19*$M$50*Z46/$C46</f>
        <v>17497.639592484127</v>
      </c>
      <c r="AA53" s="14">
        <f>$C$19*$M$50*AA46/$C46</f>
        <v>17539.428128515105</v>
      </c>
      <c r="AB53" s="14">
        <f>$C$19*$M$50*AB46/$C46</f>
        <v>17576.571044347129</v>
      </c>
      <c r="AC53" s="14">
        <f>$C$19*$M$50*AC46/$C46</f>
        <v>17609.418758615364</v>
      </c>
      <c r="AD53" s="14">
        <f>$C$19*$M$50*AD46/$C46</f>
        <v>17638.33758066197</v>
      </c>
      <c r="AE53" s="14">
        <f>$C$19*$M$50*AE46/$C46</f>
        <v>17663.711465245182</v>
      </c>
      <c r="AF53" s="14">
        <f>$C$19*$M$50*AF46/$C46</f>
        <v>17685.940582322859</v>
      </c>
      <c r="AG53" s="14">
        <f>$C$19*$M$50*AG46/$C46</f>
        <v>17705.442865701923</v>
      </c>
      <c r="AH53" s="14">
        <f>$C$19*$M$50*AH46/$C46</f>
        <v>17722.654929710858</v>
      </c>
      <c r="AI53" s="14">
        <f>$C$19*$M$50*AI46/$C46</f>
        <v>17736.326280371308</v>
      </c>
      <c r="AJ53" s="14">
        <f>$C$19*$M$50*AJ46/$C46</f>
        <v>17748.641044692751</v>
      </c>
      <c r="AK53" s="14">
        <f>$C$19*$M$50*AK46/$C46</f>
        <v>17760.09611382947</v>
      </c>
      <c r="AL53" s="14">
        <f>$C$19*$M$50*AL46/$C46</f>
        <v>17771.210845492704</v>
      </c>
      <c r="AM53" s="14">
        <f>$C$19*$M$50*AM46/$C46</f>
        <v>17782.526848504876</v>
      </c>
      <c r="AN53" s="14">
        <f>$C$19*$M$50*AN46/$C46</f>
        <v>17794.608894794983</v>
      </c>
      <c r="AO53" s="14">
        <f>$C$19*$M$50*AO46/$C46</f>
        <v>17808.045586362587</v>
      </c>
      <c r="AP53" s="14">
        <f>$C$19*$M$50*AP46/$C46</f>
        <v>17823.450316151338</v>
      </c>
      <c r="AQ53" s="14">
        <f>$C$19*$M$50*AQ46/$C46</f>
        <v>17841.462250279394</v>
      </c>
    </row>
    <row r="54" spans="1:43">
      <c r="A54" s="65" t="s">
        <v>833</v>
      </c>
      <c r="B54" t="s">
        <v>446</v>
      </c>
      <c r="C54" s="14">
        <f>C51</f>
        <v>11957.238690326805</v>
      </c>
      <c r="D54" s="14">
        <f t="shared" ref="D54:AQ54" si="0">D51</f>
        <v>12332.38694018557</v>
      </c>
      <c r="E54" s="14">
        <f t="shared" si="0"/>
        <v>12641.371564791625</v>
      </c>
      <c r="F54" s="14">
        <f t="shared" si="0"/>
        <v>12945.263062795029</v>
      </c>
      <c r="G54" s="14">
        <f t="shared" si="0"/>
        <v>13244.030753200155</v>
      </c>
      <c r="H54" s="14">
        <f t="shared" si="0"/>
        <v>13537.644267893091</v>
      </c>
      <c r="I54" s="14">
        <f t="shared" si="0"/>
        <v>13826.075619561629</v>
      </c>
      <c r="J54" s="14">
        <f t="shared" si="0"/>
        <v>14109.298398856052</v>
      </c>
      <c r="K54" s="14">
        <f t="shared" si="0"/>
        <v>14387.290221037552</v>
      </c>
      <c r="L54" s="14">
        <f t="shared" si="0"/>
        <v>14660.032275055748</v>
      </c>
      <c r="M54" s="14">
        <f t="shared" si="0"/>
        <v>14927.510929317068</v>
      </c>
      <c r="N54" s="14">
        <f t="shared" si="0"/>
        <v>15189.718436208692</v>
      </c>
      <c r="O54" s="14">
        <f t="shared" si="0"/>
        <v>15399.470691221853</v>
      </c>
      <c r="P54" s="14">
        <f t="shared" si="0"/>
        <v>15603.0932710947</v>
      </c>
      <c r="Q54" s="14">
        <f t="shared" si="0"/>
        <v>15800.669618891327</v>
      </c>
      <c r="R54" s="14">
        <f t="shared" si="0"/>
        <v>15992.292312684063</v>
      </c>
      <c r="S54" s="14">
        <f t="shared" si="0"/>
        <v>16178.063141377617</v>
      </c>
      <c r="T54" s="14">
        <f t="shared" si="0"/>
        <v>16358.094354935782</v>
      </c>
      <c r="U54" s="14">
        <f t="shared" si="0"/>
        <v>16532.509703888278</v>
      </c>
      <c r="V54" s="14">
        <f t="shared" si="0"/>
        <v>16701.444697756466</v>
      </c>
      <c r="W54" s="14">
        <f t="shared" si="0"/>
        <v>16865.048346045984</v>
      </c>
      <c r="X54" s="14">
        <f t="shared" si="0"/>
        <v>17023.483942553099</v>
      </c>
      <c r="Y54" s="14">
        <f t="shared" si="0"/>
        <v>17173.072004517864</v>
      </c>
      <c r="Z54" s="14">
        <f t="shared" si="0"/>
        <v>17317.73062599315</v>
      </c>
      <c r="AA54" s="14">
        <f t="shared" si="0"/>
        <v>17457.673389695192</v>
      </c>
      <c r="AB54" s="14">
        <f t="shared" si="0"/>
        <v>17593.132691876479</v>
      </c>
      <c r="AC54" s="14">
        <f t="shared" si="0"/>
        <v>17724.360125784118</v>
      </c>
      <c r="AD54" s="14">
        <f t="shared" si="0"/>
        <v>17851.627742611916</v>
      </c>
      <c r="AE54" s="14">
        <f t="shared" si="0"/>
        <v>17975.230656672695</v>
      </c>
      <c r="AF54" s="14">
        <f t="shared" si="0"/>
        <v>18095.486346632006</v>
      </c>
      <c r="AG54" s="14">
        <f t="shared" si="0"/>
        <v>18212.737151850357</v>
      </c>
      <c r="AH54" s="14">
        <f t="shared" si="0"/>
        <v>18327.351953002595</v>
      </c>
      <c r="AI54" s="14">
        <f t="shared" si="0"/>
        <v>18452.798910812533</v>
      </c>
      <c r="AJ54" s="14">
        <f t="shared" si="0"/>
        <v>18576.402001877639</v>
      </c>
      <c r="AK54" s="14">
        <f t="shared" si="0"/>
        <v>18698.619469660454</v>
      </c>
      <c r="AL54" s="14">
        <f t="shared" si="0"/>
        <v>18819.94670735006</v>
      </c>
      <c r="AM54" s="14">
        <f t="shared" si="0"/>
        <v>18940.917139372523</v>
      </c>
      <c r="AN54" s="14">
        <f t="shared" si="0"/>
        <v>19062.104387149822</v>
      </c>
      <c r="AO54" s="14">
        <f t="shared" si="0"/>
        <v>19184.124190745428</v>
      </c>
      <c r="AP54" s="14">
        <f t="shared" si="0"/>
        <v>19307.636597693625</v>
      </c>
      <c r="AQ54" s="14">
        <f t="shared" si="0"/>
        <v>19433.348277615776</v>
      </c>
    </row>
    <row r="55" spans="1:43">
      <c r="A55" s="65"/>
      <c r="B55" t="s">
        <v>445</v>
      </c>
      <c r="C55" s="14">
        <f>C52*0.6</f>
        <v>58030.270756507271</v>
      </c>
      <c r="D55" s="14">
        <f t="shared" ref="D55:Q55" si="1">D52*0.6</f>
        <v>57876.89880407515</v>
      </c>
      <c r="E55" s="14">
        <f t="shared" si="1"/>
        <v>57579.040860270856</v>
      </c>
      <c r="F55" s="14">
        <f t="shared" si="1"/>
        <v>57222.526593059527</v>
      </c>
      <c r="G55" s="14">
        <f t="shared" si="1"/>
        <v>56808.129438743963</v>
      </c>
      <c r="H55" s="14">
        <f t="shared" si="1"/>
        <v>56336.841928172231</v>
      </c>
      <c r="I55" s="14">
        <f t="shared" si="1"/>
        <v>55809.86363856242</v>
      </c>
      <c r="J55" s="14">
        <f t="shared" si="1"/>
        <v>55228.585001270687</v>
      </c>
      <c r="K55" s="14">
        <f t="shared" si="1"/>
        <v>54594.577425642834</v>
      </c>
      <c r="L55" s="14">
        <f t="shared" si="1"/>
        <v>53909.573386952485</v>
      </c>
      <c r="M55" s="14">
        <f t="shared" si="1"/>
        <v>53175.454317792653</v>
      </c>
      <c r="N55" s="14">
        <f t="shared" si="1"/>
        <v>52394.235857698419</v>
      </c>
      <c r="O55" s="14">
        <f t="shared" si="1"/>
        <v>52063.803023938373</v>
      </c>
      <c r="P55" s="14">
        <f t="shared" si="1"/>
        <v>51694.080369337411</v>
      </c>
      <c r="Q55" s="14">
        <f t="shared" si="1"/>
        <v>51286.399443104376</v>
      </c>
      <c r="R55" s="14">
        <f t="shared" ref="R55:AQ55" si="2">R52*0.6</f>
        <v>50842.210538204294</v>
      </c>
      <c r="S55" s="14">
        <f t="shared" si="2"/>
        <v>50363.074429000764</v>
      </c>
      <c r="T55" s="14">
        <f t="shared" si="2"/>
        <v>49850.653260994652</v>
      </c>
      <c r="U55" s="14">
        <f t="shared" si="2"/>
        <v>49306.705582810442</v>
      </c>
      <c r="V55" s="14">
        <f t="shared" si="2"/>
        <v>48733.075776903308</v>
      </c>
      <c r="W55" s="14">
        <f t="shared" si="2"/>
        <v>48131.691378638367</v>
      </c>
      <c r="X55" s="14">
        <f t="shared" si="2"/>
        <v>47504.555352719661</v>
      </c>
      <c r="Y55" s="14">
        <f t="shared" si="2"/>
        <v>47003.688618037842</v>
      </c>
      <c r="Z55" s="14">
        <f t="shared" si="2"/>
        <v>46480.589548757409</v>
      </c>
      <c r="AA55" s="14">
        <f t="shared" si="2"/>
        <v>45937.304100250534</v>
      </c>
      <c r="AB55" s="14">
        <f t="shared" si="2"/>
        <v>45375.95758614783</v>
      </c>
      <c r="AC55" s="14">
        <f t="shared" si="2"/>
        <v>44798.746106836807</v>
      </c>
      <c r="AD55" s="14">
        <f t="shared" si="2"/>
        <v>44207.937237698701</v>
      </c>
      <c r="AE55" s="14">
        <f t="shared" si="2"/>
        <v>43605.867476893334</v>
      </c>
      <c r="AF55" s="14">
        <f t="shared" si="2"/>
        <v>42994.937263684929</v>
      </c>
      <c r="AG55" s="14">
        <f t="shared" si="2"/>
        <v>42377.609998258122</v>
      </c>
      <c r="AH55" s="14">
        <f t="shared" si="2"/>
        <v>41756.410923645424</v>
      </c>
      <c r="AI55" s="14">
        <f t="shared" si="2"/>
        <v>41165.23679509986</v>
      </c>
      <c r="AJ55" s="14">
        <f t="shared" si="2"/>
        <v>40575.149150119651</v>
      </c>
      <c r="AK55" s="14">
        <f t="shared" si="2"/>
        <v>39988.804163120418</v>
      </c>
      <c r="AL55" s="14">
        <f t="shared" si="2"/>
        <v>39408.904101727327</v>
      </c>
      <c r="AM55" s="14">
        <f t="shared" si="2"/>
        <v>38838.188804022175</v>
      </c>
      <c r="AN55" s="14">
        <f t="shared" si="2"/>
        <v>38279.43568348173</v>
      </c>
      <c r="AO55" s="14">
        <f t="shared" si="2"/>
        <v>37735.455653047378</v>
      </c>
      <c r="AP55" s="14">
        <f t="shared" si="2"/>
        <v>37209.090578810654</v>
      </c>
      <c r="AQ55" s="14">
        <f t="shared" si="2"/>
        <v>36703.213420659675</v>
      </c>
    </row>
    <row r="56" spans="1:43">
      <c r="A56" s="65"/>
      <c r="B56" t="s">
        <v>444</v>
      </c>
      <c r="C56" s="14">
        <f>C53*0.6</f>
        <v>8142.326122645849</v>
      </c>
      <c r="D56" s="14">
        <f t="shared" ref="D56:Q56" si="3">D53*0.6</f>
        <v>8358.2094337455437</v>
      </c>
      <c r="E56" s="14">
        <f t="shared" si="3"/>
        <v>8522.7211409473457</v>
      </c>
      <c r="F56" s="14">
        <f t="shared" si="3"/>
        <v>8682.9643397872533</v>
      </c>
      <c r="G56" s="14">
        <f t="shared" si="3"/>
        <v>8838.9082382037104</v>
      </c>
      <c r="H56" s="14">
        <f t="shared" si="3"/>
        <v>8990.5270575257782</v>
      </c>
      <c r="I56" s="14">
        <f t="shared" si="3"/>
        <v>9137.8011183867675</v>
      </c>
      <c r="J56" s="14">
        <f t="shared" si="3"/>
        <v>9280.7162885026846</v>
      </c>
      <c r="K56" s="14">
        <f t="shared" si="3"/>
        <v>9419.2654919785073</v>
      </c>
      <c r="L56" s="14">
        <f t="shared" si="3"/>
        <v>9553.4481392317612</v>
      </c>
      <c r="M56" s="14">
        <f t="shared" si="3"/>
        <v>9683.2711706927166</v>
      </c>
      <c r="N56" s="14">
        <f t="shared" si="3"/>
        <v>9808.7492115573805</v>
      </c>
      <c r="O56" s="14">
        <f t="shared" si="3"/>
        <v>9890.8929156268459</v>
      </c>
      <c r="P56" s="14">
        <f t="shared" si="3"/>
        <v>9968.5007947185586</v>
      </c>
      <c r="Q56" s="14">
        <f t="shared" si="3"/>
        <v>10041.669012999966</v>
      </c>
      <c r="R56" s="14">
        <f t="shared" ref="R56:AQ56" si="4">R53*0.6</f>
        <v>10110.501584798314</v>
      </c>
      <c r="S56" s="14">
        <f t="shared" si="4"/>
        <v>10175.11016269396</v>
      </c>
      <c r="T56" s="14">
        <f t="shared" si="4"/>
        <v>10235.61450834051</v>
      </c>
      <c r="U56" s="14">
        <f t="shared" si="4"/>
        <v>10292.142788198507</v>
      </c>
      <c r="V56" s="14">
        <f t="shared" si="4"/>
        <v>10344.831440021213</v>
      </c>
      <c r="W56" s="14">
        <f t="shared" si="4"/>
        <v>10393.825886923882</v>
      </c>
      <c r="X56" s="14">
        <f t="shared" si="4"/>
        <v>10439.280667448918</v>
      </c>
      <c r="Y56" s="14">
        <f t="shared" si="4"/>
        <v>10470.522211761403</v>
      </c>
      <c r="Z56" s="14">
        <f t="shared" si="4"/>
        <v>10498.583755490476</v>
      </c>
      <c r="AA56" s="14">
        <f t="shared" si="4"/>
        <v>10523.656877109062</v>
      </c>
      <c r="AB56" s="14">
        <f t="shared" si="4"/>
        <v>10545.942626608277</v>
      </c>
      <c r="AC56" s="14">
        <f t="shared" si="4"/>
        <v>10565.651255169218</v>
      </c>
      <c r="AD56" s="14">
        <f t="shared" si="4"/>
        <v>10583.002548397182</v>
      </c>
      <c r="AE56" s="14">
        <f t="shared" si="4"/>
        <v>10598.226879147109</v>
      </c>
      <c r="AF56" s="14">
        <f t="shared" si="4"/>
        <v>10611.564349393715</v>
      </c>
      <c r="AG56" s="14">
        <f t="shared" si="4"/>
        <v>10623.265719421153</v>
      </c>
      <c r="AH56" s="14">
        <f t="shared" si="4"/>
        <v>10633.592957826515</v>
      </c>
      <c r="AI56" s="14">
        <f t="shared" si="4"/>
        <v>10641.795768222784</v>
      </c>
      <c r="AJ56" s="14">
        <f t="shared" si="4"/>
        <v>10649.18462681565</v>
      </c>
      <c r="AK56" s="14">
        <f t="shared" si="4"/>
        <v>10656.057668297681</v>
      </c>
      <c r="AL56" s="14">
        <f t="shared" si="4"/>
        <v>10662.726507295622</v>
      </c>
      <c r="AM56" s="14">
        <f t="shared" si="4"/>
        <v>10669.516109102926</v>
      </c>
      <c r="AN56" s="14">
        <f t="shared" si="4"/>
        <v>10676.76533687699</v>
      </c>
      <c r="AO56" s="14">
        <f t="shared" si="4"/>
        <v>10684.827351817552</v>
      </c>
      <c r="AP56" s="14">
        <f t="shared" si="4"/>
        <v>10694.070189690803</v>
      </c>
      <c r="AQ56" s="14">
        <f t="shared" si="4"/>
        <v>10704.877350167635</v>
      </c>
    </row>
  </sheetData>
  <mergeCells count="3">
    <mergeCell ref="C2:F2"/>
    <mergeCell ref="A51:A53"/>
    <mergeCell ref="A54:A56"/>
  </mergeCells>
  <phoneticPr fontId="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FB9E-19B6-4EAB-880F-655C7B60A41B}">
  <dimension ref="A1:BO96"/>
  <sheetViews>
    <sheetView topLeftCell="A21" workbookViewId="0">
      <selection activeCell="M28" sqref="M28"/>
    </sheetView>
  </sheetViews>
  <sheetFormatPr defaultColWidth="6.75" defaultRowHeight="12"/>
  <cols>
    <col min="1" max="1" width="16.125" style="70" customWidth="1"/>
    <col min="2" max="10" width="6.875" style="70" bestFit="1" customWidth="1"/>
    <col min="11" max="62" width="7" style="70" bestFit="1" customWidth="1"/>
    <col min="63" max="16384" width="6.75" style="70"/>
  </cols>
  <sheetData>
    <row r="1" spans="1:67" ht="14.25">
      <c r="A1" s="72" t="s">
        <v>480</v>
      </c>
      <c r="B1" s="77">
        <v>2000</v>
      </c>
      <c r="C1" s="77">
        <v>2001</v>
      </c>
      <c r="D1" s="77">
        <v>2002</v>
      </c>
      <c r="E1" s="77">
        <v>2003</v>
      </c>
      <c r="F1" s="77">
        <v>2004</v>
      </c>
      <c r="G1" s="77">
        <v>2005</v>
      </c>
      <c r="H1" s="77">
        <v>2006</v>
      </c>
      <c r="I1" s="77">
        <v>2007</v>
      </c>
      <c r="J1" s="77">
        <v>2008</v>
      </c>
      <c r="K1" s="77">
        <v>2009</v>
      </c>
      <c r="L1" s="77">
        <v>2010</v>
      </c>
      <c r="M1" s="77">
        <v>2011</v>
      </c>
      <c r="N1" s="77">
        <v>2012</v>
      </c>
      <c r="O1" s="77">
        <v>2013</v>
      </c>
      <c r="P1" s="77">
        <v>2014</v>
      </c>
      <c r="Q1" s="77">
        <v>2015</v>
      </c>
      <c r="R1" s="77">
        <v>2016</v>
      </c>
      <c r="S1" s="77">
        <v>2017</v>
      </c>
      <c r="T1" s="77">
        <v>2018</v>
      </c>
      <c r="U1" s="77">
        <v>2019</v>
      </c>
      <c r="V1" s="77">
        <v>2020</v>
      </c>
      <c r="W1" s="77">
        <v>2021</v>
      </c>
      <c r="X1" s="77">
        <v>2022</v>
      </c>
      <c r="Y1" s="77">
        <v>2023</v>
      </c>
      <c r="Z1" s="77">
        <v>2024</v>
      </c>
      <c r="AA1" s="77">
        <v>2025</v>
      </c>
      <c r="AB1" s="77">
        <v>2026</v>
      </c>
      <c r="AC1" s="77">
        <v>2027</v>
      </c>
      <c r="AD1" s="77">
        <v>2028</v>
      </c>
      <c r="AE1" s="77">
        <v>2029</v>
      </c>
      <c r="AF1" s="77">
        <v>2030</v>
      </c>
      <c r="AG1" s="77">
        <v>2031</v>
      </c>
      <c r="AH1" s="77">
        <v>2032</v>
      </c>
      <c r="AI1" s="77">
        <v>2033</v>
      </c>
      <c r="AJ1" s="77">
        <v>2034</v>
      </c>
      <c r="AK1" s="77">
        <v>2035</v>
      </c>
      <c r="AL1" s="77">
        <v>2036</v>
      </c>
      <c r="AM1" s="77">
        <v>2037</v>
      </c>
      <c r="AN1" s="77">
        <v>2038</v>
      </c>
      <c r="AO1" s="77">
        <v>2039</v>
      </c>
      <c r="AP1" s="77">
        <v>2040</v>
      </c>
      <c r="AQ1" s="77">
        <v>2041</v>
      </c>
      <c r="AR1" s="77">
        <v>2042</v>
      </c>
      <c r="AS1" s="77">
        <v>2043</v>
      </c>
      <c r="AT1" s="77">
        <v>2044</v>
      </c>
      <c r="AU1" s="77">
        <v>2045</v>
      </c>
      <c r="AV1" s="77">
        <v>2046</v>
      </c>
      <c r="AW1" s="77">
        <v>2047</v>
      </c>
      <c r="AX1" s="77">
        <v>2048</v>
      </c>
      <c r="AY1" s="77">
        <v>2049</v>
      </c>
      <c r="AZ1" s="77">
        <v>2050</v>
      </c>
      <c r="BA1" s="77">
        <v>2051</v>
      </c>
      <c r="BB1" s="77">
        <v>2052</v>
      </c>
      <c r="BC1" s="77">
        <v>2053</v>
      </c>
      <c r="BD1" s="77">
        <v>2054</v>
      </c>
      <c r="BE1" s="77">
        <v>2055</v>
      </c>
      <c r="BF1" s="77">
        <v>2056</v>
      </c>
      <c r="BG1" s="77">
        <v>2057</v>
      </c>
      <c r="BH1" s="77">
        <v>2058</v>
      </c>
      <c r="BI1" s="77">
        <v>2059</v>
      </c>
      <c r="BJ1" s="77">
        <v>2060</v>
      </c>
    </row>
    <row r="2" spans="1:67" ht="14.25">
      <c r="A2" s="72" t="s">
        <v>440</v>
      </c>
      <c r="B2" s="75">
        <v>1364</v>
      </c>
      <c r="C2" s="75">
        <v>1385</v>
      </c>
      <c r="D2" s="75">
        <v>1423</v>
      </c>
      <c r="E2" s="75">
        <v>1456</v>
      </c>
      <c r="F2" s="75">
        <v>1493</v>
      </c>
      <c r="G2" s="75">
        <v>1538</v>
      </c>
      <c r="H2" s="75">
        <v>1601</v>
      </c>
      <c r="I2" s="75">
        <v>1676</v>
      </c>
      <c r="J2" s="75">
        <v>1771</v>
      </c>
      <c r="K2" s="75">
        <v>1860</v>
      </c>
      <c r="L2" s="75">
        <v>1962</v>
      </c>
      <c r="M2" s="75">
        <v>2024</v>
      </c>
      <c r="N2" s="75">
        <v>2078</v>
      </c>
      <c r="O2" s="75">
        <v>2125</v>
      </c>
      <c r="P2" s="75">
        <v>2171</v>
      </c>
      <c r="Q2" s="75">
        <v>2188</v>
      </c>
      <c r="R2" s="75">
        <v>2195</v>
      </c>
      <c r="S2" s="75">
        <v>2194</v>
      </c>
      <c r="T2" s="75">
        <v>2192</v>
      </c>
      <c r="U2" s="75">
        <v>2190</v>
      </c>
      <c r="V2" s="74">
        <v>2189</v>
      </c>
      <c r="W2" s="74">
        <v>2209.2348999999999</v>
      </c>
      <c r="X2" s="74">
        <v>2224.9167000000002</v>
      </c>
      <c r="Y2" s="74">
        <v>2236.5918999999999</v>
      </c>
      <c r="Z2" s="74">
        <v>2244.6671000000001</v>
      </c>
      <c r="AA2" s="74">
        <v>2249.5286999999998</v>
      </c>
      <c r="AB2" s="74">
        <v>2251.5425</v>
      </c>
      <c r="AC2" s="74">
        <v>2251.0538999999999</v>
      </c>
      <c r="AD2" s="74">
        <v>2248.3879000000002</v>
      </c>
      <c r="AE2" s="74">
        <v>2243.8490000000002</v>
      </c>
      <c r="AF2" s="74">
        <v>2237.7211000000002</v>
      </c>
      <c r="AG2" s="74">
        <v>2230.2680999999998</v>
      </c>
      <c r="AH2" s="74">
        <v>2221.7329</v>
      </c>
      <c r="AI2" s="74">
        <v>2212.3384999999998</v>
      </c>
      <c r="AJ2" s="74">
        <v>2202.2869999999998</v>
      </c>
      <c r="AK2" s="74">
        <v>2191.7602999999999</v>
      </c>
      <c r="AL2" s="74">
        <v>2180.9198999999999</v>
      </c>
      <c r="AM2" s="74">
        <v>2169.9065999999998</v>
      </c>
      <c r="AN2" s="74">
        <v>2158.8409999999999</v>
      </c>
      <c r="AO2" s="74">
        <v>2147.8231999999998</v>
      </c>
      <c r="AP2" s="74">
        <v>2136.9328</v>
      </c>
      <c r="AQ2" s="74">
        <v>2126.2289999999998</v>
      </c>
      <c r="AR2" s="74">
        <v>2115.7505000000001</v>
      </c>
      <c r="AS2" s="74">
        <v>2105.5156000000002</v>
      </c>
      <c r="AT2" s="74">
        <v>2095.5221999999999</v>
      </c>
      <c r="AU2" s="74">
        <v>2085.7476999999999</v>
      </c>
      <c r="AV2" s="74">
        <v>2076.1489999999999</v>
      </c>
      <c r="AW2" s="74">
        <v>2066.6628000000001</v>
      </c>
      <c r="AX2" s="74">
        <v>2057.2049000000002</v>
      </c>
      <c r="AY2" s="74">
        <v>2047.6712</v>
      </c>
      <c r="AZ2" s="74">
        <v>2037.9367999999999</v>
      </c>
      <c r="BA2" s="74">
        <v>2027.8563999999999</v>
      </c>
      <c r="BB2" s="74">
        <v>2017.2643</v>
      </c>
      <c r="BC2" s="74">
        <v>2005.9744000000001</v>
      </c>
      <c r="BD2" s="74">
        <v>1993.7801999999999</v>
      </c>
      <c r="BE2" s="74">
        <v>1980.4545000000001</v>
      </c>
      <c r="BF2" s="74">
        <v>1965.75</v>
      </c>
      <c r="BG2" s="74">
        <v>1949.3987</v>
      </c>
      <c r="BH2" s="74">
        <v>1931.1122</v>
      </c>
      <c r="BI2" s="74">
        <v>1910.5817</v>
      </c>
      <c r="BJ2" s="74">
        <v>1887.4781</v>
      </c>
      <c r="BK2" s="76"/>
      <c r="BL2" s="76"/>
      <c r="BM2" s="76"/>
      <c r="BN2" s="76"/>
      <c r="BO2" s="76" t="e">
        <v>#REF!</v>
      </c>
    </row>
    <row r="3" spans="1:67" ht="14.25">
      <c r="A3" s="72" t="s">
        <v>439</v>
      </c>
      <c r="B3" s="75">
        <v>1001</v>
      </c>
      <c r="C3" s="75">
        <v>1004</v>
      </c>
      <c r="D3" s="75">
        <v>1007</v>
      </c>
      <c r="E3" s="75">
        <v>1011</v>
      </c>
      <c r="F3" s="75">
        <v>1024</v>
      </c>
      <c r="G3" s="75">
        <v>1043</v>
      </c>
      <c r="H3" s="75">
        <v>1075</v>
      </c>
      <c r="I3" s="75">
        <v>1115</v>
      </c>
      <c r="J3" s="75">
        <v>1176</v>
      </c>
      <c r="K3" s="75">
        <v>1228</v>
      </c>
      <c r="L3" s="75">
        <v>1299</v>
      </c>
      <c r="M3" s="75">
        <v>1341</v>
      </c>
      <c r="N3" s="75">
        <v>1378</v>
      </c>
      <c r="O3" s="75">
        <v>1410</v>
      </c>
      <c r="P3" s="75">
        <v>1429</v>
      </c>
      <c r="Q3" s="75">
        <v>1439</v>
      </c>
      <c r="R3" s="75">
        <v>1443</v>
      </c>
      <c r="S3" s="75">
        <v>1410</v>
      </c>
      <c r="T3" s="75">
        <v>1383</v>
      </c>
      <c r="U3" s="75">
        <v>1385</v>
      </c>
      <c r="V3" s="74">
        <v>1387</v>
      </c>
      <c r="W3" s="74">
        <v>1396.5579</v>
      </c>
      <c r="X3" s="74">
        <v>1404.3199</v>
      </c>
      <c r="Y3" s="74">
        <v>1409.9770000000001</v>
      </c>
      <c r="Z3" s="74">
        <v>1413.7179000000001</v>
      </c>
      <c r="AA3" s="74">
        <v>1415.7227</v>
      </c>
      <c r="AB3" s="74">
        <v>1416.1631</v>
      </c>
      <c r="AC3" s="74">
        <v>1415.2018</v>
      </c>
      <c r="AD3" s="74">
        <v>1412.9931999999999</v>
      </c>
      <c r="AE3" s="74">
        <v>1409.6828</v>
      </c>
      <c r="AF3" s="74">
        <v>1405.4075</v>
      </c>
      <c r="AG3" s="74">
        <v>1400.2955999999999</v>
      </c>
      <c r="AH3" s="74">
        <v>1394.4667999999999</v>
      </c>
      <c r="AI3" s="74">
        <v>1388.0322000000001</v>
      </c>
      <c r="AJ3" s="74">
        <v>1381.0939000000001</v>
      </c>
      <c r="AK3" s="74">
        <v>1373.7457999999999</v>
      </c>
      <c r="AL3" s="74">
        <v>1366.0728999999999</v>
      </c>
      <c r="AM3" s="74">
        <v>1358.1516999999999</v>
      </c>
      <c r="AN3" s="74">
        <v>1350.0498</v>
      </c>
      <c r="AO3" s="74">
        <v>1341.8264999999999</v>
      </c>
      <c r="AP3" s="74">
        <v>1333.5323000000001</v>
      </c>
      <c r="AQ3" s="74">
        <v>1325.2088000000001</v>
      </c>
      <c r="AR3" s="74">
        <v>1316.8894</v>
      </c>
      <c r="AS3" s="74">
        <v>1308.5986</v>
      </c>
      <c r="AT3" s="74">
        <v>1300.3523</v>
      </c>
      <c r="AU3" s="74">
        <v>1292.1577</v>
      </c>
      <c r="AV3" s="74">
        <v>1284.0135</v>
      </c>
      <c r="AW3" s="74">
        <v>1275.9095</v>
      </c>
      <c r="AX3" s="74">
        <v>1267.8271999999999</v>
      </c>
      <c r="AY3" s="74">
        <v>1259.7391</v>
      </c>
      <c r="AZ3" s="74">
        <v>1251.6094000000001</v>
      </c>
      <c r="BA3" s="74">
        <v>1243.3933</v>
      </c>
      <c r="BB3" s="74">
        <v>1235.0377000000001</v>
      </c>
      <c r="BC3" s="74">
        <v>1226.4804999999999</v>
      </c>
      <c r="BD3" s="74">
        <v>1217.6513</v>
      </c>
      <c r="BE3" s="74">
        <v>1208.4708000000001</v>
      </c>
      <c r="BF3" s="74">
        <v>1198.8512000000001</v>
      </c>
      <c r="BG3" s="74">
        <v>1188.6959999999999</v>
      </c>
      <c r="BH3" s="74">
        <v>1177.9000000000001</v>
      </c>
      <c r="BI3" s="74">
        <v>1166.3494000000001</v>
      </c>
      <c r="BJ3" s="74">
        <v>1153.9219000000001</v>
      </c>
    </row>
    <row r="4" spans="1:67" ht="14.25">
      <c r="A4" s="72" t="s">
        <v>438</v>
      </c>
      <c r="B4" s="75">
        <v>6674</v>
      </c>
      <c r="C4" s="75">
        <v>6699</v>
      </c>
      <c r="D4" s="75">
        <v>6735</v>
      </c>
      <c r="E4" s="75">
        <v>6769</v>
      </c>
      <c r="F4" s="75">
        <v>6809</v>
      </c>
      <c r="G4" s="75">
        <v>6851</v>
      </c>
      <c r="H4" s="75">
        <v>6898</v>
      </c>
      <c r="I4" s="75">
        <v>6943</v>
      </c>
      <c r="J4" s="75">
        <v>6989</v>
      </c>
      <c r="K4" s="75">
        <v>7034</v>
      </c>
      <c r="L4" s="75">
        <v>7194</v>
      </c>
      <c r="M4" s="75">
        <v>7232</v>
      </c>
      <c r="N4" s="75">
        <v>7262</v>
      </c>
      <c r="O4" s="75">
        <v>7288</v>
      </c>
      <c r="P4" s="75">
        <v>7323</v>
      </c>
      <c r="Q4" s="75">
        <v>7345</v>
      </c>
      <c r="R4" s="75">
        <v>7375</v>
      </c>
      <c r="S4" s="75">
        <v>7409</v>
      </c>
      <c r="T4" s="75">
        <v>7426</v>
      </c>
      <c r="U4" s="75">
        <v>7447</v>
      </c>
      <c r="V4" s="74">
        <v>7464</v>
      </c>
      <c r="W4" s="74">
        <v>7502.1027999999997</v>
      </c>
      <c r="X4" s="74">
        <v>7540.4429</v>
      </c>
      <c r="Y4" s="74">
        <v>7575.3541999999998</v>
      </c>
      <c r="Z4" s="74">
        <v>7606.8135000000002</v>
      </c>
      <c r="AA4" s="74">
        <v>7634.8074999999999</v>
      </c>
      <c r="AB4" s="74">
        <v>7659.3316999999997</v>
      </c>
      <c r="AC4" s="74">
        <v>7680.3919999999998</v>
      </c>
      <c r="AD4" s="74">
        <v>7698.0034999999998</v>
      </c>
      <c r="AE4" s="74">
        <v>7712.1908000000003</v>
      </c>
      <c r="AF4" s="74">
        <v>7722.9876999999997</v>
      </c>
      <c r="AG4" s="74">
        <v>7730.4390000000003</v>
      </c>
      <c r="AH4" s="74">
        <v>7734.5974999999999</v>
      </c>
      <c r="AI4" s="74">
        <v>7735.5261</v>
      </c>
      <c r="AJ4" s="74">
        <v>7733.2974000000004</v>
      </c>
      <c r="AK4" s="74">
        <v>7727.9937</v>
      </c>
      <c r="AL4" s="74">
        <v>7719.7067999999999</v>
      </c>
      <c r="AM4" s="74">
        <v>7708.5375999999997</v>
      </c>
      <c r="AN4" s="74">
        <v>7694.5972000000002</v>
      </c>
      <c r="AO4" s="74">
        <v>7678.0056999999997</v>
      </c>
      <c r="AP4" s="74">
        <v>7658.8935000000001</v>
      </c>
      <c r="AQ4" s="74">
        <v>7637.3996999999999</v>
      </c>
      <c r="AR4" s="74">
        <v>7613.6738999999998</v>
      </c>
      <c r="AS4" s="74">
        <v>7587.8744999999999</v>
      </c>
      <c r="AT4" s="74">
        <v>7560.1697000000004</v>
      </c>
      <c r="AU4" s="74">
        <v>7530.7376999999997</v>
      </c>
      <c r="AV4" s="74">
        <v>7499.7653</v>
      </c>
      <c r="AW4" s="74">
        <v>7467.4501</v>
      </c>
      <c r="AX4" s="74">
        <v>7433.9985999999999</v>
      </c>
      <c r="AY4" s="74">
        <v>7399.6266999999998</v>
      </c>
      <c r="AZ4" s="74">
        <v>7364.56</v>
      </c>
      <c r="BA4" s="74">
        <v>7329.0339999999997</v>
      </c>
      <c r="BB4" s="74">
        <v>7293.2936</v>
      </c>
      <c r="BC4" s="74">
        <v>7257.5928999999996</v>
      </c>
      <c r="BD4" s="74">
        <v>7222.1963999999998</v>
      </c>
      <c r="BE4" s="74">
        <v>7187.3771999999999</v>
      </c>
      <c r="BF4" s="74">
        <v>7153.4184999999998</v>
      </c>
      <c r="BG4" s="74">
        <v>7120.6131999999998</v>
      </c>
      <c r="BH4" s="74">
        <v>7089.2632999999996</v>
      </c>
      <c r="BI4" s="74">
        <v>7059.6813000000002</v>
      </c>
      <c r="BJ4" s="74">
        <v>7032.1877000000004</v>
      </c>
    </row>
    <row r="5" spans="1:67" ht="14.25">
      <c r="A5" s="72" t="s">
        <v>437</v>
      </c>
      <c r="B5" s="75">
        <v>3247</v>
      </c>
      <c r="C5" s="75">
        <v>3272</v>
      </c>
      <c r="D5" s="75">
        <v>3294</v>
      </c>
      <c r="E5" s="75">
        <v>3314</v>
      </c>
      <c r="F5" s="75">
        <v>3335</v>
      </c>
      <c r="G5" s="75">
        <v>3355</v>
      </c>
      <c r="H5" s="75">
        <v>3375</v>
      </c>
      <c r="I5" s="75">
        <v>3393</v>
      </c>
      <c r="J5" s="75">
        <v>3411</v>
      </c>
      <c r="K5" s="75">
        <v>3427</v>
      </c>
      <c r="L5" s="75">
        <v>3574</v>
      </c>
      <c r="M5" s="75">
        <v>3562</v>
      </c>
      <c r="N5" s="75">
        <v>3548</v>
      </c>
      <c r="O5" s="75">
        <v>3535</v>
      </c>
      <c r="P5" s="75">
        <v>3528</v>
      </c>
      <c r="Q5" s="75">
        <v>3519</v>
      </c>
      <c r="R5" s="75">
        <v>3514</v>
      </c>
      <c r="S5" s="75">
        <v>3510</v>
      </c>
      <c r="T5" s="75">
        <v>3502</v>
      </c>
      <c r="U5" s="75">
        <v>3497</v>
      </c>
      <c r="V5" s="74">
        <v>3490</v>
      </c>
      <c r="W5" s="74">
        <v>3522.7820999999999</v>
      </c>
      <c r="X5" s="74">
        <v>3551.6125999999999</v>
      </c>
      <c r="Y5" s="74">
        <v>3577.8317000000002</v>
      </c>
      <c r="Z5" s="74">
        <v>3601.4690999999998</v>
      </c>
      <c r="AA5" s="74">
        <v>3622.5610000000001</v>
      </c>
      <c r="AB5" s="74">
        <v>3641.1466999999998</v>
      </c>
      <c r="AC5" s="74">
        <v>3657.2716999999998</v>
      </c>
      <c r="AD5" s="74">
        <v>3670.9850000000001</v>
      </c>
      <c r="AE5" s="74">
        <v>3682.3409000000001</v>
      </c>
      <c r="AF5" s="74">
        <v>3691.3984</v>
      </c>
      <c r="AG5" s="74">
        <v>3698.2208000000001</v>
      </c>
      <c r="AH5" s="74">
        <v>3702.8764000000001</v>
      </c>
      <c r="AI5" s="74">
        <v>3705.4382000000001</v>
      </c>
      <c r="AJ5" s="74">
        <v>3705.9837000000002</v>
      </c>
      <c r="AK5" s="74">
        <v>3704.5953</v>
      </c>
      <c r="AL5" s="74">
        <v>3701.3604</v>
      </c>
      <c r="AM5" s="74">
        <v>3696.37</v>
      </c>
      <c r="AN5" s="74">
        <v>3689.7211000000002</v>
      </c>
      <c r="AO5" s="74">
        <v>3681.5147000000002</v>
      </c>
      <c r="AP5" s="74">
        <v>3671.8560000000002</v>
      </c>
      <c r="AQ5" s="74">
        <v>3660.8562999999999</v>
      </c>
      <c r="AR5" s="74">
        <v>3648.6302999999998</v>
      </c>
      <c r="AS5" s="74">
        <v>3635.2981</v>
      </c>
      <c r="AT5" s="74">
        <v>3620.9843000000001</v>
      </c>
      <c r="AU5" s="74">
        <v>3605.8181</v>
      </c>
      <c r="AV5" s="74">
        <v>3589.9333999999999</v>
      </c>
      <c r="AW5" s="74">
        <v>3573.4688999999998</v>
      </c>
      <c r="AX5" s="74">
        <v>3556.5681</v>
      </c>
      <c r="AY5" s="74">
        <v>3539.3788</v>
      </c>
      <c r="AZ5" s="74">
        <v>3522.0538999999999</v>
      </c>
      <c r="BA5" s="74">
        <v>3504.7509</v>
      </c>
      <c r="BB5" s="74">
        <v>3487.6316999999999</v>
      </c>
      <c r="BC5" s="74">
        <v>3470.8634999999999</v>
      </c>
      <c r="BD5" s="74">
        <v>3454.6174999999998</v>
      </c>
      <c r="BE5" s="74">
        <v>3439.0699</v>
      </c>
      <c r="BF5" s="74">
        <v>3424.4018000000001</v>
      </c>
      <c r="BG5" s="74">
        <v>3410.7988999999998</v>
      </c>
      <c r="BH5" s="74">
        <v>3398.4511000000002</v>
      </c>
      <c r="BI5" s="74">
        <v>3387.5540000000001</v>
      </c>
      <c r="BJ5" s="74">
        <v>3378.3067000000001</v>
      </c>
    </row>
    <row r="6" spans="1:67" ht="14.25">
      <c r="A6" s="72" t="s">
        <v>436</v>
      </c>
      <c r="B6" s="75">
        <v>2372</v>
      </c>
      <c r="C6" s="75">
        <v>2381</v>
      </c>
      <c r="D6" s="75">
        <v>2384</v>
      </c>
      <c r="E6" s="75">
        <v>2386</v>
      </c>
      <c r="F6" s="75">
        <v>2393</v>
      </c>
      <c r="G6" s="75">
        <v>2403</v>
      </c>
      <c r="H6" s="75">
        <v>2415</v>
      </c>
      <c r="I6" s="75">
        <v>2429</v>
      </c>
      <c r="J6" s="75">
        <v>2444</v>
      </c>
      <c r="K6" s="75">
        <v>2458</v>
      </c>
      <c r="L6" s="75">
        <v>2472</v>
      </c>
      <c r="M6" s="75">
        <v>2470</v>
      </c>
      <c r="N6" s="75">
        <v>2464</v>
      </c>
      <c r="O6" s="75">
        <v>2455</v>
      </c>
      <c r="P6" s="75">
        <v>2449</v>
      </c>
      <c r="Q6" s="75">
        <v>2440</v>
      </c>
      <c r="R6" s="75">
        <v>2436</v>
      </c>
      <c r="S6" s="75">
        <v>2433</v>
      </c>
      <c r="T6" s="75">
        <v>2422</v>
      </c>
      <c r="U6" s="75">
        <v>2415</v>
      </c>
      <c r="V6" s="74">
        <v>2403</v>
      </c>
      <c r="W6" s="74">
        <v>2420.8609999999999</v>
      </c>
      <c r="X6" s="74">
        <v>2434.6588000000002</v>
      </c>
      <c r="Y6" s="74">
        <v>2446.2962000000002</v>
      </c>
      <c r="Z6" s="74">
        <v>2455.8714</v>
      </c>
      <c r="AA6" s="74">
        <v>2463.4818</v>
      </c>
      <c r="AB6" s="74">
        <v>2469.2215000000001</v>
      </c>
      <c r="AC6" s="74">
        <v>2473.1835999999998</v>
      </c>
      <c r="AD6" s="74">
        <v>2475.4584</v>
      </c>
      <c r="AE6" s="74">
        <v>2476.1343000000002</v>
      </c>
      <c r="AF6" s="74">
        <v>2475.2977999999998</v>
      </c>
      <c r="AG6" s="74">
        <v>2473.0338999999999</v>
      </c>
      <c r="AH6" s="74">
        <v>2469.4245999999998</v>
      </c>
      <c r="AI6" s="74">
        <v>2464.5497999999998</v>
      </c>
      <c r="AJ6" s="74">
        <v>2458.4888999999998</v>
      </c>
      <c r="AK6" s="74">
        <v>2451.317</v>
      </c>
      <c r="AL6" s="74">
        <v>2443.1089000000002</v>
      </c>
      <c r="AM6" s="74">
        <v>2433.9367000000002</v>
      </c>
      <c r="AN6" s="74">
        <v>2423.8703999999998</v>
      </c>
      <c r="AO6" s="74">
        <v>2412.9784</v>
      </c>
      <c r="AP6" s="74">
        <v>2401.326</v>
      </c>
      <c r="AQ6" s="74">
        <v>2388.9778999999999</v>
      </c>
      <c r="AR6" s="74">
        <v>2375.9956000000002</v>
      </c>
      <c r="AS6" s="74">
        <v>2362.4393</v>
      </c>
      <c r="AT6" s="74">
        <v>2348.3667</v>
      </c>
      <c r="AU6" s="74">
        <v>2333.8332</v>
      </c>
      <c r="AV6" s="74">
        <v>2318.8930999999998</v>
      </c>
      <c r="AW6" s="74">
        <v>2303.5978</v>
      </c>
      <c r="AX6" s="74">
        <v>2287.9971999999998</v>
      </c>
      <c r="AY6" s="74">
        <v>2272.1383999999998</v>
      </c>
      <c r="AZ6" s="74">
        <v>2256.0673999999999</v>
      </c>
      <c r="BA6" s="74">
        <v>2239.8276000000001</v>
      </c>
      <c r="BB6" s="74">
        <v>2223.4600999999998</v>
      </c>
      <c r="BC6" s="74">
        <v>2207.0048000000002</v>
      </c>
      <c r="BD6" s="74">
        <v>2190.4989999999998</v>
      </c>
      <c r="BE6" s="74">
        <v>2173.9776999999999</v>
      </c>
      <c r="BF6" s="74">
        <v>2157.4746</v>
      </c>
      <c r="BG6" s="74">
        <v>2141.02</v>
      </c>
      <c r="BH6" s="74">
        <v>2124.6444000000001</v>
      </c>
      <c r="BI6" s="74">
        <v>2108.3744000000002</v>
      </c>
      <c r="BJ6" s="74">
        <v>2092.2347</v>
      </c>
    </row>
    <row r="7" spans="1:67" ht="14.25">
      <c r="A7" s="72" t="s">
        <v>435</v>
      </c>
      <c r="B7" s="75">
        <v>4184</v>
      </c>
      <c r="C7" s="75">
        <v>4194</v>
      </c>
      <c r="D7" s="75">
        <v>4203</v>
      </c>
      <c r="E7" s="75">
        <v>4210</v>
      </c>
      <c r="F7" s="75">
        <v>4217</v>
      </c>
      <c r="G7" s="75">
        <v>4221</v>
      </c>
      <c r="H7" s="75">
        <v>4271</v>
      </c>
      <c r="I7" s="75">
        <v>4298</v>
      </c>
      <c r="J7" s="75">
        <v>4315</v>
      </c>
      <c r="K7" s="75">
        <v>4341</v>
      </c>
      <c r="L7" s="75">
        <v>4375</v>
      </c>
      <c r="M7" s="75">
        <v>4379</v>
      </c>
      <c r="N7" s="75">
        <v>4375</v>
      </c>
      <c r="O7" s="75">
        <v>4365</v>
      </c>
      <c r="P7" s="75">
        <v>4358</v>
      </c>
      <c r="Q7" s="75">
        <v>4338</v>
      </c>
      <c r="R7" s="75">
        <v>4327</v>
      </c>
      <c r="S7" s="75">
        <v>4312</v>
      </c>
      <c r="T7" s="75">
        <v>4291</v>
      </c>
      <c r="U7" s="75">
        <v>4277</v>
      </c>
      <c r="V7" s="74">
        <v>4255</v>
      </c>
      <c r="W7" s="74">
        <v>4259.7640000000001</v>
      </c>
      <c r="X7" s="74">
        <v>4272.8545999999997</v>
      </c>
      <c r="Y7" s="74">
        <v>4281.1621999999998</v>
      </c>
      <c r="Z7" s="74">
        <v>4285.0087000000003</v>
      </c>
      <c r="AA7" s="74">
        <v>4284.7044999999998</v>
      </c>
      <c r="AB7" s="74">
        <v>4280.5505000000003</v>
      </c>
      <c r="AC7" s="74">
        <v>4272.8369000000002</v>
      </c>
      <c r="AD7" s="74">
        <v>4261.8441000000003</v>
      </c>
      <c r="AE7" s="74">
        <v>4247.8422</v>
      </c>
      <c r="AF7" s="74">
        <v>4231.0901999999996</v>
      </c>
      <c r="AG7" s="74">
        <v>4211.8375999999998</v>
      </c>
      <c r="AH7" s="74">
        <v>4190.3239999999996</v>
      </c>
      <c r="AI7" s="74">
        <v>4166.7775000000001</v>
      </c>
      <c r="AJ7" s="74">
        <v>4141.4171999999999</v>
      </c>
      <c r="AK7" s="74">
        <v>4114.451</v>
      </c>
      <c r="AL7" s="74">
        <v>4086.0774999999999</v>
      </c>
      <c r="AM7" s="74">
        <v>4056.4839000000002</v>
      </c>
      <c r="AN7" s="74">
        <v>4025.8481000000002</v>
      </c>
      <c r="AO7" s="74">
        <v>3994.3371000000002</v>
      </c>
      <c r="AP7" s="74">
        <v>3962.1079</v>
      </c>
      <c r="AQ7" s="74">
        <v>3929.3074000000001</v>
      </c>
      <c r="AR7" s="74">
        <v>3896.0722000000001</v>
      </c>
      <c r="AS7" s="74">
        <v>3862.5279999999998</v>
      </c>
      <c r="AT7" s="74">
        <v>3828.7910999999999</v>
      </c>
      <c r="AU7" s="74">
        <v>3794.9672</v>
      </c>
      <c r="AV7" s="74">
        <v>3761.1513</v>
      </c>
      <c r="AW7" s="74">
        <v>3727.4292</v>
      </c>
      <c r="AX7" s="74">
        <v>3693.8751999999999</v>
      </c>
      <c r="AY7" s="74">
        <v>3660.5540000000001</v>
      </c>
      <c r="AZ7" s="74">
        <v>3627.5207</v>
      </c>
      <c r="BA7" s="74">
        <v>3594.8184000000001</v>
      </c>
      <c r="BB7" s="74">
        <v>3562.4814000000001</v>
      </c>
      <c r="BC7" s="74">
        <v>3530.5333999999998</v>
      </c>
      <c r="BD7" s="74">
        <v>3498.9872999999998</v>
      </c>
      <c r="BE7" s="74">
        <v>3467.8467999999998</v>
      </c>
      <c r="BF7" s="74">
        <v>3437.1042000000002</v>
      </c>
      <c r="BG7" s="74">
        <v>3406.7424000000001</v>
      </c>
      <c r="BH7" s="74">
        <v>3376.7325000000001</v>
      </c>
      <c r="BI7" s="74">
        <v>3347.038</v>
      </c>
      <c r="BJ7" s="74">
        <v>3317.6102000000001</v>
      </c>
    </row>
    <row r="8" spans="1:67" ht="14.25">
      <c r="A8" s="72" t="s">
        <v>434</v>
      </c>
      <c r="B8" s="75">
        <v>2682</v>
      </c>
      <c r="C8" s="75">
        <v>2691</v>
      </c>
      <c r="D8" s="75">
        <v>2699</v>
      </c>
      <c r="E8" s="75">
        <v>2704</v>
      </c>
      <c r="F8" s="75">
        <v>2709</v>
      </c>
      <c r="G8" s="75">
        <v>2716</v>
      </c>
      <c r="H8" s="75">
        <v>2723</v>
      </c>
      <c r="I8" s="75">
        <v>2730</v>
      </c>
      <c r="J8" s="75">
        <v>2734</v>
      </c>
      <c r="K8" s="75">
        <v>2740</v>
      </c>
      <c r="L8" s="75">
        <v>2747</v>
      </c>
      <c r="M8" s="75">
        <v>2725</v>
      </c>
      <c r="N8" s="75">
        <v>2698</v>
      </c>
      <c r="O8" s="75">
        <v>2668</v>
      </c>
      <c r="P8" s="75">
        <v>2642</v>
      </c>
      <c r="Q8" s="75">
        <v>2613</v>
      </c>
      <c r="R8" s="75">
        <v>2567</v>
      </c>
      <c r="S8" s="75">
        <v>2526</v>
      </c>
      <c r="T8" s="75">
        <v>2484</v>
      </c>
      <c r="U8" s="75">
        <v>2448</v>
      </c>
      <c r="V8" s="74">
        <v>2399</v>
      </c>
      <c r="W8" s="74">
        <v>2415.1768999999999</v>
      </c>
      <c r="X8" s="74">
        <v>2426.4198000000001</v>
      </c>
      <c r="Y8" s="74">
        <v>2434.9951999999998</v>
      </c>
      <c r="Z8" s="74">
        <v>2441.0711999999999</v>
      </c>
      <c r="AA8" s="74">
        <v>2444.8121000000001</v>
      </c>
      <c r="AB8" s="74">
        <v>2446.3755999999998</v>
      </c>
      <c r="AC8" s="74">
        <v>2445.9142000000002</v>
      </c>
      <c r="AD8" s="74">
        <v>2443.5754000000002</v>
      </c>
      <c r="AE8" s="74">
        <v>2439.5007999999998</v>
      </c>
      <c r="AF8" s="74">
        <v>2433.8267999999998</v>
      </c>
      <c r="AG8" s="74">
        <v>2426.6833999999999</v>
      </c>
      <c r="AH8" s="74">
        <v>2418.1968000000002</v>
      </c>
      <c r="AI8" s="74">
        <v>2408.4863</v>
      </c>
      <c r="AJ8" s="74">
        <v>2397.6664000000001</v>
      </c>
      <c r="AK8" s="74">
        <v>2385.846</v>
      </c>
      <c r="AL8" s="74">
        <v>2373.1284999999998</v>
      </c>
      <c r="AM8" s="74">
        <v>2359.6118999999999</v>
      </c>
      <c r="AN8" s="74">
        <v>2345.3886000000002</v>
      </c>
      <c r="AO8" s="74">
        <v>2330.5455999999999</v>
      </c>
      <c r="AP8" s="74">
        <v>2315.1644999999999</v>
      </c>
      <c r="AQ8" s="74">
        <v>2299.3213999999998</v>
      </c>
      <c r="AR8" s="74">
        <v>2283.0871999999999</v>
      </c>
      <c r="AS8" s="74">
        <v>2266.5264999999999</v>
      </c>
      <c r="AT8" s="74">
        <v>2249.6992</v>
      </c>
      <c r="AU8" s="74">
        <v>2232.6599000000001</v>
      </c>
      <c r="AV8" s="74">
        <v>2215.4567999999999</v>
      </c>
      <c r="AW8" s="74">
        <v>2198.1334000000002</v>
      </c>
      <c r="AX8" s="74">
        <v>2180.7278999999999</v>
      </c>
      <c r="AY8" s="74">
        <v>2163.2721000000001</v>
      </c>
      <c r="AZ8" s="74">
        <v>2145.7930000000001</v>
      </c>
      <c r="BA8" s="74">
        <v>2128.3125</v>
      </c>
      <c r="BB8" s="74">
        <v>2110.8458999999998</v>
      </c>
      <c r="BC8" s="74">
        <v>2093.404</v>
      </c>
      <c r="BD8" s="74">
        <v>2075.9919</v>
      </c>
      <c r="BE8" s="74">
        <v>2058.6091999999999</v>
      </c>
      <c r="BF8" s="74">
        <v>2041.2498000000001</v>
      </c>
      <c r="BG8" s="74">
        <v>2023.9022</v>
      </c>
      <c r="BH8" s="74">
        <v>2006.55</v>
      </c>
      <c r="BI8" s="74">
        <v>1989.1704999999999</v>
      </c>
      <c r="BJ8" s="74">
        <v>1971.7361000000001</v>
      </c>
    </row>
    <row r="9" spans="1:67" ht="14.25">
      <c r="A9" s="72" t="s">
        <v>433</v>
      </c>
      <c r="B9" s="75">
        <v>3807</v>
      </c>
      <c r="C9" s="75">
        <v>3811</v>
      </c>
      <c r="D9" s="75">
        <v>3813</v>
      </c>
      <c r="E9" s="75">
        <v>3815</v>
      </c>
      <c r="F9" s="75">
        <v>3817</v>
      </c>
      <c r="G9" s="75">
        <v>3820</v>
      </c>
      <c r="H9" s="75">
        <v>3823</v>
      </c>
      <c r="I9" s="75">
        <v>3824</v>
      </c>
      <c r="J9" s="75">
        <v>3825</v>
      </c>
      <c r="K9" s="75">
        <v>3826</v>
      </c>
      <c r="L9" s="75">
        <v>3833</v>
      </c>
      <c r="M9" s="75">
        <v>3782</v>
      </c>
      <c r="N9" s="75">
        <v>3724</v>
      </c>
      <c r="O9" s="75">
        <v>3666</v>
      </c>
      <c r="P9" s="75">
        <v>3608</v>
      </c>
      <c r="Q9" s="75">
        <v>3529</v>
      </c>
      <c r="R9" s="75">
        <v>3463</v>
      </c>
      <c r="S9" s="75">
        <v>3399</v>
      </c>
      <c r="T9" s="75">
        <v>3327</v>
      </c>
      <c r="U9" s="75">
        <v>3255</v>
      </c>
      <c r="V9" s="74">
        <v>3171</v>
      </c>
      <c r="W9" s="74">
        <v>3204.1673000000001</v>
      </c>
      <c r="X9" s="74">
        <v>3219.5412999999999</v>
      </c>
      <c r="Y9" s="74">
        <v>3231.2062999999998</v>
      </c>
      <c r="Z9" s="74">
        <v>3239.4056999999998</v>
      </c>
      <c r="AA9" s="74">
        <v>3244.3746999999998</v>
      </c>
      <c r="AB9" s="74">
        <v>3246.3407000000002</v>
      </c>
      <c r="AC9" s="74">
        <v>3245.5219999999999</v>
      </c>
      <c r="AD9" s="74">
        <v>3242.1293999999998</v>
      </c>
      <c r="AE9" s="74">
        <v>3236.3645999999999</v>
      </c>
      <c r="AF9" s="74">
        <v>3228.4216000000001</v>
      </c>
      <c r="AG9" s="74">
        <v>3218.4856</v>
      </c>
      <c r="AH9" s="74">
        <v>3206.7338</v>
      </c>
      <c r="AI9" s="74">
        <v>3193.335</v>
      </c>
      <c r="AJ9" s="74">
        <v>3178.4493000000002</v>
      </c>
      <c r="AK9" s="74">
        <v>3162.2289000000001</v>
      </c>
      <c r="AL9" s="74">
        <v>3144.8177000000001</v>
      </c>
      <c r="AM9" s="74">
        <v>3126.3508999999999</v>
      </c>
      <c r="AN9" s="74">
        <v>3106.9558999999999</v>
      </c>
      <c r="AO9" s="74">
        <v>3086.7512000000002</v>
      </c>
      <c r="AP9" s="74">
        <v>3065.8472999999999</v>
      </c>
      <c r="AQ9" s="74">
        <v>3044.3463999999999</v>
      </c>
      <c r="AR9" s="74">
        <v>3022.3422999999998</v>
      </c>
      <c r="AS9" s="74">
        <v>2999.9200999999998</v>
      </c>
      <c r="AT9" s="74">
        <v>2977.1572000000001</v>
      </c>
      <c r="AU9" s="74">
        <v>2954.1226999999999</v>
      </c>
      <c r="AV9" s="74">
        <v>2930.8764999999999</v>
      </c>
      <c r="AW9" s="74">
        <v>2907.4711000000002</v>
      </c>
      <c r="AX9" s="74">
        <v>2883.9503</v>
      </c>
      <c r="AY9" s="74">
        <v>2860.3490999999999</v>
      </c>
      <c r="AZ9" s="74">
        <v>2836.6952999999999</v>
      </c>
      <c r="BA9" s="74">
        <v>2813.0073000000002</v>
      </c>
      <c r="BB9" s="74">
        <v>2789.2962000000002</v>
      </c>
      <c r="BC9" s="74">
        <v>2765.5632000000001</v>
      </c>
      <c r="BD9" s="74">
        <v>2741.8031000000001</v>
      </c>
      <c r="BE9" s="74">
        <v>2718.0010000000002</v>
      </c>
      <c r="BF9" s="74">
        <v>2694.1338000000001</v>
      </c>
      <c r="BG9" s="74">
        <v>2670.1707999999999</v>
      </c>
      <c r="BH9" s="74">
        <v>2646.0720999999999</v>
      </c>
      <c r="BI9" s="74">
        <v>2621.7901999999999</v>
      </c>
      <c r="BJ9" s="74">
        <v>2597.2691</v>
      </c>
    </row>
    <row r="10" spans="1:67" ht="14.25">
      <c r="A10" s="72" t="s">
        <v>432</v>
      </c>
      <c r="B10" s="75">
        <v>1609</v>
      </c>
      <c r="C10" s="75">
        <v>1668</v>
      </c>
      <c r="D10" s="75">
        <v>1713</v>
      </c>
      <c r="E10" s="75">
        <v>1766</v>
      </c>
      <c r="F10" s="75">
        <v>1835</v>
      </c>
      <c r="G10" s="75">
        <v>1890</v>
      </c>
      <c r="H10" s="75">
        <v>1964</v>
      </c>
      <c r="I10" s="75">
        <v>2064</v>
      </c>
      <c r="J10" s="75">
        <v>2141</v>
      </c>
      <c r="K10" s="75">
        <v>2210</v>
      </c>
      <c r="L10" s="75">
        <v>2303</v>
      </c>
      <c r="M10" s="75">
        <v>2356</v>
      </c>
      <c r="N10" s="75">
        <v>2399</v>
      </c>
      <c r="O10" s="75">
        <v>2448</v>
      </c>
      <c r="P10" s="75">
        <v>2467</v>
      </c>
      <c r="Q10" s="75">
        <v>2458</v>
      </c>
      <c r="R10" s="75">
        <v>2467</v>
      </c>
      <c r="S10" s="75">
        <v>2466</v>
      </c>
      <c r="T10" s="75">
        <v>2475</v>
      </c>
      <c r="U10" s="75">
        <v>2481</v>
      </c>
      <c r="V10" s="74">
        <v>2488</v>
      </c>
      <c r="W10" s="74">
        <v>2502.0844000000002</v>
      </c>
      <c r="X10" s="74">
        <v>2513.1396</v>
      </c>
      <c r="Y10" s="74">
        <v>2520.2667999999999</v>
      </c>
      <c r="Z10" s="74">
        <v>2523.8548999999998</v>
      </c>
      <c r="AA10" s="74">
        <v>2524.2739999999999</v>
      </c>
      <c r="AB10" s="74">
        <v>2521.8753000000002</v>
      </c>
      <c r="AC10" s="74">
        <v>2516.9908999999998</v>
      </c>
      <c r="AD10" s="74">
        <v>2509.9342000000001</v>
      </c>
      <c r="AE10" s="74">
        <v>2500.9994999999999</v>
      </c>
      <c r="AF10" s="74">
        <v>2490.4621999999999</v>
      </c>
      <c r="AG10" s="74">
        <v>2478.5789</v>
      </c>
      <c r="AH10" s="74">
        <v>2465.5873000000001</v>
      </c>
      <c r="AI10" s="74">
        <v>2451.7058999999999</v>
      </c>
      <c r="AJ10" s="74">
        <v>2437.1345000000001</v>
      </c>
      <c r="AK10" s="74">
        <v>2422.0540000000001</v>
      </c>
      <c r="AL10" s="74">
        <v>2406.6262999999999</v>
      </c>
      <c r="AM10" s="74">
        <v>2390.9944999999998</v>
      </c>
      <c r="AN10" s="74">
        <v>2375.2824000000001</v>
      </c>
      <c r="AO10" s="74">
        <v>2359.5954000000002</v>
      </c>
      <c r="AP10" s="74">
        <v>2344.0196000000001</v>
      </c>
      <c r="AQ10" s="74">
        <v>2328.6223</v>
      </c>
      <c r="AR10" s="74">
        <v>2313.4520000000002</v>
      </c>
      <c r="AS10" s="74">
        <v>2298.5381000000002</v>
      </c>
      <c r="AT10" s="74">
        <v>2283.8910000000001</v>
      </c>
      <c r="AU10" s="74">
        <v>2269.5025000000001</v>
      </c>
      <c r="AV10" s="74">
        <v>2255.3453</v>
      </c>
      <c r="AW10" s="74">
        <v>2241.3730999999998</v>
      </c>
      <c r="AX10" s="74">
        <v>2227.5207</v>
      </c>
      <c r="AY10" s="74">
        <v>2213.7040999999999</v>
      </c>
      <c r="AZ10" s="74">
        <v>2199.8202999999999</v>
      </c>
      <c r="BA10" s="74">
        <v>2185.7473</v>
      </c>
      <c r="BB10" s="74">
        <v>2171.3444</v>
      </c>
      <c r="BC10" s="74">
        <v>2156.4517999999998</v>
      </c>
      <c r="BD10" s="74">
        <v>2140.8908000000001</v>
      </c>
      <c r="BE10" s="74">
        <v>2124.4638</v>
      </c>
      <c r="BF10" s="74">
        <v>2106.9542000000001</v>
      </c>
      <c r="BG10" s="74">
        <v>2088.1266000000001</v>
      </c>
      <c r="BH10" s="74">
        <v>2067.7267000000002</v>
      </c>
      <c r="BI10" s="74">
        <v>2045.4811</v>
      </c>
      <c r="BJ10" s="74">
        <v>2021.0977</v>
      </c>
    </row>
    <row r="11" spans="1:67" ht="14.25">
      <c r="A11" s="72" t="s">
        <v>431</v>
      </c>
      <c r="B11" s="75">
        <v>7327</v>
      </c>
      <c r="C11" s="75">
        <v>7359</v>
      </c>
      <c r="D11" s="75">
        <v>7406</v>
      </c>
      <c r="E11" s="75">
        <v>7458</v>
      </c>
      <c r="F11" s="75">
        <v>7523</v>
      </c>
      <c r="G11" s="75">
        <v>7588</v>
      </c>
      <c r="H11" s="75">
        <v>7656</v>
      </c>
      <c r="I11" s="75">
        <v>7723</v>
      </c>
      <c r="J11" s="75">
        <v>7762</v>
      </c>
      <c r="K11" s="75">
        <v>7810</v>
      </c>
      <c r="L11" s="75">
        <v>7869</v>
      </c>
      <c r="M11" s="75">
        <v>8023</v>
      </c>
      <c r="N11" s="75">
        <v>8120</v>
      </c>
      <c r="O11" s="75">
        <v>8192</v>
      </c>
      <c r="P11" s="75">
        <v>8281</v>
      </c>
      <c r="Q11" s="75">
        <v>8315</v>
      </c>
      <c r="R11" s="75">
        <v>8381</v>
      </c>
      <c r="S11" s="75">
        <v>8423</v>
      </c>
      <c r="T11" s="75">
        <v>8446</v>
      </c>
      <c r="U11" s="75">
        <v>8469</v>
      </c>
      <c r="V11" s="74">
        <v>8477</v>
      </c>
      <c r="W11" s="74">
        <v>8521.1324999999997</v>
      </c>
      <c r="X11" s="74">
        <v>8559.9624000000003</v>
      </c>
      <c r="Y11" s="74">
        <v>8590.6422000000002</v>
      </c>
      <c r="Z11" s="74">
        <v>8613.6597999999994</v>
      </c>
      <c r="AA11" s="74">
        <v>8629.4899000000005</v>
      </c>
      <c r="AB11" s="74">
        <v>8638.5920999999998</v>
      </c>
      <c r="AC11" s="74">
        <v>8641.4123</v>
      </c>
      <c r="AD11" s="74">
        <v>8638.3824000000004</v>
      </c>
      <c r="AE11" s="74">
        <v>8629.9195</v>
      </c>
      <c r="AF11" s="74">
        <v>8616.4274000000005</v>
      </c>
      <c r="AG11" s="74">
        <v>8598.2949000000008</v>
      </c>
      <c r="AH11" s="74">
        <v>8575.8979999999992</v>
      </c>
      <c r="AI11" s="74">
        <v>8549.5961000000007</v>
      </c>
      <c r="AJ11" s="74">
        <v>8519.7369999999992</v>
      </c>
      <c r="AK11" s="74">
        <v>8486.6532000000007</v>
      </c>
      <c r="AL11" s="74">
        <v>8450.6630999999998</v>
      </c>
      <c r="AM11" s="74">
        <v>8412.0709000000006</v>
      </c>
      <c r="AN11" s="74">
        <v>8371.1664999999994</v>
      </c>
      <c r="AO11" s="74">
        <v>8328.2260000000006</v>
      </c>
      <c r="AP11" s="74">
        <v>8283.5113999999994</v>
      </c>
      <c r="AQ11" s="74">
        <v>8237.2703999999994</v>
      </c>
      <c r="AR11" s="74">
        <v>8189.7362000000003</v>
      </c>
      <c r="AS11" s="74">
        <v>8141.1284999999998</v>
      </c>
      <c r="AT11" s="74">
        <v>8091.652</v>
      </c>
      <c r="AU11" s="74">
        <v>8041.4985999999999</v>
      </c>
      <c r="AV11" s="74">
        <v>7990.8442999999997</v>
      </c>
      <c r="AW11" s="74">
        <v>7939.8522000000003</v>
      </c>
      <c r="AX11" s="74">
        <v>7888.6710000000003</v>
      </c>
      <c r="AY11" s="74">
        <v>7837.4345999999996</v>
      </c>
      <c r="AZ11" s="74">
        <v>7786.2638999999999</v>
      </c>
      <c r="BA11" s="74">
        <v>7735.2646000000004</v>
      </c>
      <c r="BB11" s="74">
        <v>7684.5288</v>
      </c>
      <c r="BC11" s="74">
        <v>7634.1343999999999</v>
      </c>
      <c r="BD11" s="74">
        <v>7584.1450000000004</v>
      </c>
      <c r="BE11" s="74">
        <v>7534.6097</v>
      </c>
      <c r="BF11" s="74">
        <v>7485.5641999999998</v>
      </c>
      <c r="BG11" s="74">
        <v>7437.0297</v>
      </c>
      <c r="BH11" s="74">
        <v>7389.0132999999996</v>
      </c>
      <c r="BI11" s="74">
        <v>7341.5074999999997</v>
      </c>
      <c r="BJ11" s="74">
        <v>7294.4912999999997</v>
      </c>
    </row>
    <row r="12" spans="1:67" ht="14.25">
      <c r="A12" s="72" t="s">
        <v>430</v>
      </c>
      <c r="B12" s="75">
        <v>4680</v>
      </c>
      <c r="C12" s="75">
        <v>4729</v>
      </c>
      <c r="D12" s="75">
        <v>4776</v>
      </c>
      <c r="E12" s="75">
        <v>4857</v>
      </c>
      <c r="F12" s="75">
        <v>4925</v>
      </c>
      <c r="G12" s="75">
        <v>4991</v>
      </c>
      <c r="H12" s="75">
        <v>5072</v>
      </c>
      <c r="I12" s="75">
        <v>5155</v>
      </c>
      <c r="J12" s="75">
        <v>5212</v>
      </c>
      <c r="K12" s="75">
        <v>5276</v>
      </c>
      <c r="L12" s="75">
        <v>5447</v>
      </c>
      <c r="M12" s="75">
        <v>5570</v>
      </c>
      <c r="N12" s="75">
        <v>5685</v>
      </c>
      <c r="O12" s="75">
        <v>5784</v>
      </c>
      <c r="P12" s="75">
        <v>5890</v>
      </c>
      <c r="Q12" s="75">
        <v>5985</v>
      </c>
      <c r="R12" s="75">
        <v>6072</v>
      </c>
      <c r="S12" s="75">
        <v>6170</v>
      </c>
      <c r="T12" s="75">
        <v>6273</v>
      </c>
      <c r="U12" s="75">
        <v>6375</v>
      </c>
      <c r="V12" s="74">
        <v>6468</v>
      </c>
      <c r="W12" s="74">
        <v>6493.3163999999997</v>
      </c>
      <c r="X12" s="74">
        <v>6524.4278000000004</v>
      </c>
      <c r="Y12" s="74">
        <v>6549.6840000000002</v>
      </c>
      <c r="Z12" s="74">
        <v>6569.4179999999997</v>
      </c>
      <c r="AA12" s="74">
        <v>6583.9530000000004</v>
      </c>
      <c r="AB12" s="74">
        <v>6593.6010999999999</v>
      </c>
      <c r="AC12" s="74">
        <v>6598.6648999999998</v>
      </c>
      <c r="AD12" s="74">
        <v>6599.4362000000001</v>
      </c>
      <c r="AE12" s="74">
        <v>6596.1967000000004</v>
      </c>
      <c r="AF12" s="74">
        <v>6589.2173000000003</v>
      </c>
      <c r="AG12" s="74">
        <v>6578.7591000000002</v>
      </c>
      <c r="AH12" s="74">
        <v>6565.0725000000002</v>
      </c>
      <c r="AI12" s="74">
        <v>6548.3973999999998</v>
      </c>
      <c r="AJ12" s="74">
        <v>6528.9637000000002</v>
      </c>
      <c r="AK12" s="74">
        <v>6506.991</v>
      </c>
      <c r="AL12" s="74">
        <v>6482.6881000000003</v>
      </c>
      <c r="AM12" s="74">
        <v>6456.2538000000004</v>
      </c>
      <c r="AN12" s="74">
        <v>6427.8765000000003</v>
      </c>
      <c r="AO12" s="74">
        <v>6397.7340999999997</v>
      </c>
      <c r="AP12" s="74">
        <v>6365.9942000000001</v>
      </c>
      <c r="AQ12" s="74">
        <v>6332.8143</v>
      </c>
      <c r="AR12" s="74">
        <v>6298.3415000000005</v>
      </c>
      <c r="AS12" s="74">
        <v>6262.7116999999998</v>
      </c>
      <c r="AT12" s="74">
        <v>6226.0518000000002</v>
      </c>
      <c r="AU12" s="74">
        <v>6188.4772000000003</v>
      </c>
      <c r="AV12" s="74">
        <v>6150.0937999999996</v>
      </c>
      <c r="AW12" s="74">
        <v>6110.9967999999999</v>
      </c>
      <c r="AX12" s="74">
        <v>6071.2707</v>
      </c>
      <c r="AY12" s="74">
        <v>6030.9901</v>
      </c>
      <c r="AZ12" s="74">
        <v>5990.2191999999995</v>
      </c>
      <c r="BA12" s="74">
        <v>5949.0118000000002</v>
      </c>
      <c r="BB12" s="74">
        <v>5907.4110000000001</v>
      </c>
      <c r="BC12" s="74">
        <v>5865.4502000000002</v>
      </c>
      <c r="BD12" s="74">
        <v>5823.1517999999996</v>
      </c>
      <c r="BE12" s="74">
        <v>5780.5286999999998</v>
      </c>
      <c r="BF12" s="74">
        <v>5737.5820999999996</v>
      </c>
      <c r="BG12" s="74">
        <v>5694.3041999999996</v>
      </c>
      <c r="BH12" s="74">
        <v>5650.6761999999999</v>
      </c>
      <c r="BI12" s="74">
        <v>5606.6689999999999</v>
      </c>
      <c r="BJ12" s="74">
        <v>5562.2429000000002</v>
      </c>
    </row>
    <row r="13" spans="1:67" ht="14.25">
      <c r="A13" s="72" t="s">
        <v>429</v>
      </c>
      <c r="B13" s="75">
        <v>6093</v>
      </c>
      <c r="C13" s="75">
        <v>6128</v>
      </c>
      <c r="D13" s="75">
        <v>6144</v>
      </c>
      <c r="E13" s="75">
        <v>6163</v>
      </c>
      <c r="F13" s="75">
        <v>6228</v>
      </c>
      <c r="G13" s="75">
        <v>6120</v>
      </c>
      <c r="H13" s="75">
        <v>6110</v>
      </c>
      <c r="I13" s="75">
        <v>6118</v>
      </c>
      <c r="J13" s="75">
        <v>6135</v>
      </c>
      <c r="K13" s="75">
        <v>6131</v>
      </c>
      <c r="L13" s="75">
        <v>5957</v>
      </c>
      <c r="M13" s="75">
        <v>5972</v>
      </c>
      <c r="N13" s="75">
        <v>5978</v>
      </c>
      <c r="O13" s="75">
        <v>5988</v>
      </c>
      <c r="P13" s="75">
        <v>5997</v>
      </c>
      <c r="Q13" s="75">
        <v>6011</v>
      </c>
      <c r="R13" s="75">
        <v>6033</v>
      </c>
      <c r="S13" s="75">
        <v>6057</v>
      </c>
      <c r="T13" s="75">
        <v>6076</v>
      </c>
      <c r="U13" s="75">
        <v>6092</v>
      </c>
      <c r="V13" s="74">
        <v>6105</v>
      </c>
      <c r="W13" s="74">
        <v>6135.4009999999998</v>
      </c>
      <c r="X13" s="74">
        <v>6167.1437999999998</v>
      </c>
      <c r="Y13" s="74">
        <v>6196.9674999999997</v>
      </c>
      <c r="Z13" s="74">
        <v>6224.6592000000001</v>
      </c>
      <c r="AA13" s="74">
        <v>6250.027</v>
      </c>
      <c r="AB13" s="74">
        <v>6272.8990999999996</v>
      </c>
      <c r="AC13" s="74">
        <v>6293.1243999999997</v>
      </c>
      <c r="AD13" s="74">
        <v>6310.5730000000003</v>
      </c>
      <c r="AE13" s="74">
        <v>6325.1349</v>
      </c>
      <c r="AF13" s="74">
        <v>6336.7213000000002</v>
      </c>
      <c r="AG13" s="74">
        <v>6345.2637999999997</v>
      </c>
      <c r="AH13" s="74">
        <v>6350.7146000000002</v>
      </c>
      <c r="AI13" s="74">
        <v>6353.0472</v>
      </c>
      <c r="AJ13" s="74">
        <v>6352.2551000000003</v>
      </c>
      <c r="AK13" s="74">
        <v>6348.3522999999996</v>
      </c>
      <c r="AL13" s="74">
        <v>6341.3741</v>
      </c>
      <c r="AM13" s="74">
        <v>6331.3762999999999</v>
      </c>
      <c r="AN13" s="74">
        <v>6318.4354000000003</v>
      </c>
      <c r="AO13" s="74">
        <v>6302.6477000000004</v>
      </c>
      <c r="AP13" s="74">
        <v>6284.1313</v>
      </c>
      <c r="AQ13" s="74">
        <v>6263.0249999999996</v>
      </c>
      <c r="AR13" s="74">
        <v>6239.4871000000003</v>
      </c>
      <c r="AS13" s="74">
        <v>6213.6975000000002</v>
      </c>
      <c r="AT13" s="74">
        <v>6185.8564999999999</v>
      </c>
      <c r="AU13" s="74">
        <v>6156.1850000000004</v>
      </c>
      <c r="AV13" s="74">
        <v>6124.9250000000002</v>
      </c>
      <c r="AW13" s="74">
        <v>6092.3386</v>
      </c>
      <c r="AX13" s="74">
        <v>6058.7088999999996</v>
      </c>
      <c r="AY13" s="74">
        <v>6024.3395</v>
      </c>
      <c r="AZ13" s="74">
        <v>5989.5541999999996</v>
      </c>
      <c r="BA13" s="74">
        <v>5954.6992</v>
      </c>
      <c r="BB13" s="74">
        <v>5920.1391999999996</v>
      </c>
      <c r="BC13" s="74">
        <v>5886.2602999999999</v>
      </c>
      <c r="BD13" s="74">
        <v>5853.47</v>
      </c>
      <c r="BE13" s="74">
        <v>5822.1958999999997</v>
      </c>
      <c r="BF13" s="74">
        <v>5792.8864999999996</v>
      </c>
      <c r="BG13" s="74">
        <v>5766.0101000000004</v>
      </c>
      <c r="BH13" s="74">
        <v>5742.0568999999996</v>
      </c>
      <c r="BI13" s="74">
        <v>5721.5369000000001</v>
      </c>
      <c r="BJ13" s="74">
        <v>5704.9811</v>
      </c>
    </row>
    <row r="14" spans="1:67" ht="14.25">
      <c r="A14" s="72" t="s">
        <v>428</v>
      </c>
      <c r="B14" s="75">
        <v>3410</v>
      </c>
      <c r="C14" s="75">
        <v>3445</v>
      </c>
      <c r="D14" s="75">
        <v>3476</v>
      </c>
      <c r="E14" s="75">
        <v>3502</v>
      </c>
      <c r="F14" s="75">
        <v>3529</v>
      </c>
      <c r="G14" s="75">
        <v>3557</v>
      </c>
      <c r="H14" s="75">
        <v>3585</v>
      </c>
      <c r="I14" s="75">
        <v>3612</v>
      </c>
      <c r="J14" s="75">
        <v>3639</v>
      </c>
      <c r="K14" s="75">
        <v>3666</v>
      </c>
      <c r="L14" s="75">
        <v>3693</v>
      </c>
      <c r="M14" s="75">
        <v>3784</v>
      </c>
      <c r="N14" s="75">
        <v>3841</v>
      </c>
      <c r="O14" s="75">
        <v>3885</v>
      </c>
      <c r="P14" s="75">
        <v>3945</v>
      </c>
      <c r="Q14" s="75">
        <v>3984</v>
      </c>
      <c r="R14" s="75">
        <v>4016</v>
      </c>
      <c r="S14" s="75">
        <v>4065</v>
      </c>
      <c r="T14" s="75">
        <v>4104</v>
      </c>
      <c r="U14" s="75">
        <v>4137</v>
      </c>
      <c r="V14" s="74">
        <v>4161</v>
      </c>
      <c r="W14" s="74">
        <v>4186.8981000000003</v>
      </c>
      <c r="X14" s="74">
        <v>4216.8714</v>
      </c>
      <c r="Y14" s="74">
        <v>4243.6412</v>
      </c>
      <c r="Z14" s="74">
        <v>4267.3379000000004</v>
      </c>
      <c r="AA14" s="74">
        <v>4288.0883000000003</v>
      </c>
      <c r="AB14" s="74">
        <v>4306.0174999999999</v>
      </c>
      <c r="AC14" s="74">
        <v>4321.2469000000001</v>
      </c>
      <c r="AD14" s="74">
        <v>4333.8959999999997</v>
      </c>
      <c r="AE14" s="74">
        <v>4344.0812999999998</v>
      </c>
      <c r="AF14" s="74">
        <v>4351.9165999999996</v>
      </c>
      <c r="AG14" s="74">
        <v>4357.5129999999999</v>
      </c>
      <c r="AH14" s="74">
        <v>4360.9787999999999</v>
      </c>
      <c r="AI14" s="74">
        <v>4362.4201000000003</v>
      </c>
      <c r="AJ14" s="74">
        <v>4361.9395999999997</v>
      </c>
      <c r="AK14" s="74">
        <v>4359.6378999999997</v>
      </c>
      <c r="AL14" s="74">
        <v>4355.6122999999998</v>
      </c>
      <c r="AM14" s="74">
        <v>4349.9579999999996</v>
      </c>
      <c r="AN14" s="74">
        <v>4342.7672000000002</v>
      </c>
      <c r="AO14" s="74">
        <v>4334.1297000000004</v>
      </c>
      <c r="AP14" s="74">
        <v>4324.1319000000003</v>
      </c>
      <c r="AQ14" s="74">
        <v>4312.8585000000003</v>
      </c>
      <c r="AR14" s="74">
        <v>4300.3905000000004</v>
      </c>
      <c r="AS14" s="74">
        <v>4286.8068999999996</v>
      </c>
      <c r="AT14" s="74">
        <v>4272.1839</v>
      </c>
      <c r="AU14" s="74">
        <v>4256.5949000000001</v>
      </c>
      <c r="AV14" s="74">
        <v>4240.1107000000002</v>
      </c>
      <c r="AW14" s="74">
        <v>4222.7987999999996</v>
      </c>
      <c r="AX14" s="74">
        <v>4204.7250000000004</v>
      </c>
      <c r="AY14" s="74">
        <v>4185.9515000000001</v>
      </c>
      <c r="AZ14" s="74">
        <v>4166.5388000000003</v>
      </c>
      <c r="BA14" s="74">
        <v>4146.5438000000004</v>
      </c>
      <c r="BB14" s="74">
        <v>4126.0209000000004</v>
      </c>
      <c r="BC14" s="74">
        <v>4105.0222999999996</v>
      </c>
      <c r="BD14" s="74">
        <v>4083.5965999999999</v>
      </c>
      <c r="BE14" s="74">
        <v>4061.7910999999999</v>
      </c>
      <c r="BF14" s="74">
        <v>4039.6489000000001</v>
      </c>
      <c r="BG14" s="74">
        <v>4017.2111</v>
      </c>
      <c r="BH14" s="74">
        <v>3994.5164</v>
      </c>
      <c r="BI14" s="74">
        <v>3971.6001000000001</v>
      </c>
      <c r="BJ14" s="74">
        <v>3948.4955</v>
      </c>
    </row>
    <row r="15" spans="1:67" ht="14.25">
      <c r="A15" s="72" t="s">
        <v>427</v>
      </c>
      <c r="B15" s="75">
        <v>4149</v>
      </c>
      <c r="C15" s="75">
        <v>4186</v>
      </c>
      <c r="D15" s="75">
        <v>4222</v>
      </c>
      <c r="E15" s="75">
        <v>4254</v>
      </c>
      <c r="F15" s="75">
        <v>4284</v>
      </c>
      <c r="G15" s="75">
        <v>4311</v>
      </c>
      <c r="H15" s="75">
        <v>4339</v>
      </c>
      <c r="I15" s="75">
        <v>4368</v>
      </c>
      <c r="J15" s="75">
        <v>4400</v>
      </c>
      <c r="K15" s="75">
        <v>4432</v>
      </c>
      <c r="L15" s="75">
        <v>4462</v>
      </c>
      <c r="M15" s="75">
        <v>4474</v>
      </c>
      <c r="N15" s="75">
        <v>4475</v>
      </c>
      <c r="O15" s="75">
        <v>4476</v>
      </c>
      <c r="P15" s="75">
        <v>4480</v>
      </c>
      <c r="Q15" s="75">
        <v>4485</v>
      </c>
      <c r="R15" s="75">
        <v>4496</v>
      </c>
      <c r="S15" s="75">
        <v>4511</v>
      </c>
      <c r="T15" s="75">
        <v>4513</v>
      </c>
      <c r="U15" s="75">
        <v>4516</v>
      </c>
      <c r="V15" s="74">
        <v>4519</v>
      </c>
      <c r="W15" s="74">
        <v>4545.1985000000004</v>
      </c>
      <c r="X15" s="74">
        <v>4572.7708000000002</v>
      </c>
      <c r="Y15" s="74">
        <v>4600.8136000000004</v>
      </c>
      <c r="Z15" s="74">
        <v>4628.9314000000004</v>
      </c>
      <c r="AA15" s="74">
        <v>4656.7547999999997</v>
      </c>
      <c r="AB15" s="74">
        <v>4683.9417999999996</v>
      </c>
      <c r="AC15" s="74">
        <v>4710.1774999999998</v>
      </c>
      <c r="AD15" s="74">
        <v>4735.1728999999996</v>
      </c>
      <c r="AE15" s="74">
        <v>4758.6668</v>
      </c>
      <c r="AF15" s="74">
        <v>4780.424</v>
      </c>
      <c r="AG15" s="74">
        <v>4800.2362000000003</v>
      </c>
      <c r="AH15" s="74">
        <v>4817.9225999999999</v>
      </c>
      <c r="AI15" s="74">
        <v>4833.3288000000002</v>
      </c>
      <c r="AJ15" s="74">
        <v>4846.3269</v>
      </c>
      <c r="AK15" s="74">
        <v>4856.8161</v>
      </c>
      <c r="AL15" s="74">
        <v>4864.7226000000001</v>
      </c>
      <c r="AM15" s="74">
        <v>4869.9993000000004</v>
      </c>
      <c r="AN15" s="74">
        <v>4872.6253999999999</v>
      </c>
      <c r="AO15" s="74">
        <v>4872.6076999999996</v>
      </c>
      <c r="AP15" s="74">
        <v>4869.9795999999997</v>
      </c>
      <c r="AQ15" s="74">
        <v>4864.8006999999998</v>
      </c>
      <c r="AR15" s="74">
        <v>4857.1583000000001</v>
      </c>
      <c r="AS15" s="74">
        <v>4847.1657999999998</v>
      </c>
      <c r="AT15" s="74">
        <v>4834.9639999999999</v>
      </c>
      <c r="AU15" s="74">
        <v>4820.7201999999997</v>
      </c>
      <c r="AV15" s="74">
        <v>4804.6283000000003</v>
      </c>
      <c r="AW15" s="74">
        <v>4786.9092000000001</v>
      </c>
      <c r="AX15" s="74">
        <v>4767.8110999999999</v>
      </c>
      <c r="AY15" s="74">
        <v>4747.6084000000001</v>
      </c>
      <c r="AZ15" s="74">
        <v>4726.6019999999999</v>
      </c>
      <c r="BA15" s="74">
        <v>4705.1210000000001</v>
      </c>
      <c r="BB15" s="74">
        <v>4683.5195999999996</v>
      </c>
      <c r="BC15" s="74">
        <v>4662.1803</v>
      </c>
      <c r="BD15" s="74">
        <v>4641.5110999999997</v>
      </c>
      <c r="BE15" s="74">
        <v>4621.9476999999997</v>
      </c>
      <c r="BF15" s="74">
        <v>4603.9528</v>
      </c>
      <c r="BG15" s="74">
        <v>4588.0150000000003</v>
      </c>
      <c r="BH15" s="74">
        <v>4574.6500999999998</v>
      </c>
      <c r="BI15" s="74">
        <v>4564.4013999999997</v>
      </c>
      <c r="BJ15" s="74">
        <v>4557.8378000000002</v>
      </c>
    </row>
    <row r="16" spans="1:67" ht="14.25">
      <c r="A16" s="72" t="s">
        <v>145</v>
      </c>
      <c r="B16" s="75">
        <v>8998</v>
      </c>
      <c r="C16" s="75">
        <v>9041</v>
      </c>
      <c r="D16" s="75">
        <v>9082</v>
      </c>
      <c r="E16" s="75">
        <v>9125</v>
      </c>
      <c r="F16" s="75">
        <v>9180</v>
      </c>
      <c r="G16" s="75">
        <v>9248</v>
      </c>
      <c r="H16" s="75">
        <v>9309</v>
      </c>
      <c r="I16" s="75">
        <v>9367</v>
      </c>
      <c r="J16" s="75">
        <v>9417</v>
      </c>
      <c r="K16" s="75">
        <v>9470</v>
      </c>
      <c r="L16" s="75">
        <v>9588</v>
      </c>
      <c r="M16" s="75">
        <v>9665</v>
      </c>
      <c r="N16" s="75">
        <v>9708</v>
      </c>
      <c r="O16" s="75">
        <v>9746</v>
      </c>
      <c r="P16" s="75">
        <v>9808</v>
      </c>
      <c r="Q16" s="75">
        <v>9866</v>
      </c>
      <c r="R16" s="75">
        <v>9973</v>
      </c>
      <c r="S16" s="75">
        <v>10033</v>
      </c>
      <c r="T16" s="75">
        <v>10077</v>
      </c>
      <c r="U16" s="75">
        <v>10106</v>
      </c>
      <c r="V16" s="74">
        <v>10165</v>
      </c>
      <c r="W16" s="74">
        <v>10194.210800000001</v>
      </c>
      <c r="X16" s="74">
        <v>10230.9238</v>
      </c>
      <c r="Y16" s="74">
        <v>10261.823399999999</v>
      </c>
      <c r="Z16" s="74">
        <v>10287.0422</v>
      </c>
      <c r="AA16" s="74">
        <v>10306.7183</v>
      </c>
      <c r="AB16" s="74">
        <v>10320.994500000001</v>
      </c>
      <c r="AC16" s="74">
        <v>10330.0167</v>
      </c>
      <c r="AD16" s="74">
        <v>10333.936100000001</v>
      </c>
      <c r="AE16" s="74">
        <v>10332.908100000001</v>
      </c>
      <c r="AF16" s="74">
        <v>10327.0934</v>
      </c>
      <c r="AG16" s="74">
        <v>10316.6556</v>
      </c>
      <c r="AH16" s="74">
        <v>10301.763499999999</v>
      </c>
      <c r="AI16" s="74">
        <v>10282.5906</v>
      </c>
      <c r="AJ16" s="74">
        <v>10259.3143</v>
      </c>
      <c r="AK16" s="74">
        <v>10232.1167</v>
      </c>
      <c r="AL16" s="74">
        <v>10201.184300000001</v>
      </c>
      <c r="AM16" s="74">
        <v>10166.707899999999</v>
      </c>
      <c r="AN16" s="74">
        <v>10128.8827</v>
      </c>
      <c r="AO16" s="74">
        <v>10087.908600000001</v>
      </c>
      <c r="AP16" s="74">
        <v>10043.9899</v>
      </c>
      <c r="AQ16" s="74">
        <v>9997.3348000000005</v>
      </c>
      <c r="AR16" s="74">
        <v>9948.1563000000006</v>
      </c>
      <c r="AS16" s="74">
        <v>9896.6723000000002</v>
      </c>
      <c r="AT16" s="74">
        <v>9843.1043000000009</v>
      </c>
      <c r="AU16" s="74">
        <v>9787.6787999999997</v>
      </c>
      <c r="AV16" s="74">
        <v>9730.6257999999998</v>
      </c>
      <c r="AW16" s="74">
        <v>9672.1812000000009</v>
      </c>
      <c r="AX16" s="74">
        <v>9612.5841</v>
      </c>
      <c r="AY16" s="74">
        <v>9552.0786000000007</v>
      </c>
      <c r="AZ16" s="74">
        <v>9490.9132000000009</v>
      </c>
      <c r="BA16" s="74">
        <v>9429.3402999999998</v>
      </c>
      <c r="BB16" s="74">
        <v>9367.6178999999993</v>
      </c>
      <c r="BC16" s="74">
        <v>9306.0069999999996</v>
      </c>
      <c r="BD16" s="74">
        <v>9244.7736000000004</v>
      </c>
      <c r="BE16" s="74">
        <v>9184.1885999999995</v>
      </c>
      <c r="BF16" s="74">
        <v>9124.5267999999996</v>
      </c>
      <c r="BG16" s="74">
        <v>9066.0676000000003</v>
      </c>
      <c r="BH16" s="74">
        <v>9009.0943000000007</v>
      </c>
      <c r="BI16" s="74">
        <v>8953.8956999999991</v>
      </c>
      <c r="BJ16" s="74">
        <v>8900.7641999999996</v>
      </c>
    </row>
    <row r="17" spans="1:62" ht="14.25">
      <c r="A17" s="72" t="s">
        <v>426</v>
      </c>
      <c r="B17" s="75">
        <v>9488</v>
      </c>
      <c r="C17" s="75">
        <v>9555</v>
      </c>
      <c r="D17" s="75">
        <v>9613</v>
      </c>
      <c r="E17" s="75">
        <v>9667</v>
      </c>
      <c r="F17" s="75">
        <v>9717</v>
      </c>
      <c r="G17" s="75">
        <v>9380</v>
      </c>
      <c r="H17" s="75">
        <v>9392</v>
      </c>
      <c r="I17" s="75">
        <v>9360</v>
      </c>
      <c r="J17" s="75">
        <v>9429</v>
      </c>
      <c r="K17" s="75">
        <v>9487</v>
      </c>
      <c r="L17" s="75">
        <v>9405</v>
      </c>
      <c r="M17" s="75">
        <v>9461</v>
      </c>
      <c r="N17" s="75">
        <v>9532</v>
      </c>
      <c r="O17" s="75">
        <v>9573</v>
      </c>
      <c r="P17" s="75">
        <v>9645</v>
      </c>
      <c r="Q17" s="75">
        <v>9701</v>
      </c>
      <c r="R17" s="75">
        <v>9778</v>
      </c>
      <c r="S17" s="75">
        <v>9829</v>
      </c>
      <c r="T17" s="75">
        <v>9864</v>
      </c>
      <c r="U17" s="75">
        <v>9901</v>
      </c>
      <c r="V17" s="74">
        <v>9941</v>
      </c>
      <c r="W17" s="74">
        <v>9997.4565999999995</v>
      </c>
      <c r="X17" s="74">
        <v>10059.2559</v>
      </c>
      <c r="Y17" s="74">
        <v>10120.360500000001</v>
      </c>
      <c r="Z17" s="74">
        <v>10180.132900000001</v>
      </c>
      <c r="AA17" s="74">
        <v>10237.984700000001</v>
      </c>
      <c r="AB17" s="74">
        <v>10293.373299999999</v>
      </c>
      <c r="AC17" s="74">
        <v>10345.805200000001</v>
      </c>
      <c r="AD17" s="74">
        <v>10394.833500000001</v>
      </c>
      <c r="AE17" s="74">
        <v>10440.059499999999</v>
      </c>
      <c r="AF17" s="74">
        <v>10481.131600000001</v>
      </c>
      <c r="AG17" s="74">
        <v>10517.745800000001</v>
      </c>
      <c r="AH17" s="74">
        <v>10549.6469</v>
      </c>
      <c r="AI17" s="74">
        <v>10576.625400000001</v>
      </c>
      <c r="AJ17" s="74">
        <v>10598.520399999999</v>
      </c>
      <c r="AK17" s="74">
        <v>10615.2197</v>
      </c>
      <c r="AL17" s="74">
        <v>10626.6566</v>
      </c>
      <c r="AM17" s="74">
        <v>10632.8135</v>
      </c>
      <c r="AN17" s="74">
        <v>10633.7196</v>
      </c>
      <c r="AO17" s="74">
        <v>10629.451800000001</v>
      </c>
      <c r="AP17" s="74">
        <v>10620.135200000001</v>
      </c>
      <c r="AQ17" s="74">
        <v>10605.942300000001</v>
      </c>
      <c r="AR17" s="74">
        <v>10587.0928</v>
      </c>
      <c r="AS17" s="74">
        <v>10563.8542</v>
      </c>
      <c r="AT17" s="74">
        <v>10536.541499999999</v>
      </c>
      <c r="AU17" s="74">
        <v>10505.517900000001</v>
      </c>
      <c r="AV17" s="74">
        <v>10471.1934</v>
      </c>
      <c r="AW17" s="74">
        <v>10434.0262</v>
      </c>
      <c r="AX17" s="74">
        <v>10394.5218</v>
      </c>
      <c r="AY17" s="74">
        <v>10353.233399999999</v>
      </c>
      <c r="AZ17" s="74">
        <v>10310.7621</v>
      </c>
      <c r="BA17" s="74">
        <v>10267.755300000001</v>
      </c>
      <c r="BB17" s="74">
        <v>10224.909900000001</v>
      </c>
      <c r="BC17" s="74">
        <v>10182.969499999999</v>
      </c>
      <c r="BD17" s="74">
        <v>10142.725</v>
      </c>
      <c r="BE17" s="74">
        <v>10105.0154</v>
      </c>
      <c r="BF17" s="74">
        <v>10070.7268</v>
      </c>
      <c r="BG17" s="74">
        <v>10040.793799999999</v>
      </c>
      <c r="BH17" s="74">
        <v>10016.197399999999</v>
      </c>
      <c r="BI17" s="74">
        <v>9997.9673000000003</v>
      </c>
      <c r="BJ17" s="74">
        <v>9987.1807000000008</v>
      </c>
    </row>
    <row r="18" spans="1:62" ht="14.25">
      <c r="A18" s="72" t="s">
        <v>425</v>
      </c>
      <c r="B18" s="75">
        <v>5646</v>
      </c>
      <c r="C18" s="75">
        <v>5658</v>
      </c>
      <c r="D18" s="75">
        <v>5672</v>
      </c>
      <c r="E18" s="75">
        <v>5685</v>
      </c>
      <c r="F18" s="75">
        <v>5698</v>
      </c>
      <c r="G18" s="75">
        <v>5710</v>
      </c>
      <c r="H18" s="75">
        <v>5693</v>
      </c>
      <c r="I18" s="75">
        <v>5699</v>
      </c>
      <c r="J18" s="75">
        <v>5711</v>
      </c>
      <c r="K18" s="75">
        <v>5720</v>
      </c>
      <c r="L18" s="75">
        <v>5728</v>
      </c>
      <c r="M18" s="75">
        <v>5760</v>
      </c>
      <c r="N18" s="75">
        <v>5781</v>
      </c>
      <c r="O18" s="75">
        <v>5798</v>
      </c>
      <c r="P18" s="75">
        <v>5816</v>
      </c>
      <c r="Q18" s="75">
        <v>5850</v>
      </c>
      <c r="R18" s="75">
        <v>5885</v>
      </c>
      <c r="S18" s="75">
        <v>5904</v>
      </c>
      <c r="T18" s="75">
        <v>5917</v>
      </c>
      <c r="U18" s="75">
        <v>5927</v>
      </c>
      <c r="V18" s="74">
        <v>5745</v>
      </c>
      <c r="W18" s="74">
        <v>5815.7218000000003</v>
      </c>
      <c r="X18" s="74">
        <v>5851.0135</v>
      </c>
      <c r="Y18" s="74">
        <v>5880.8810999999996</v>
      </c>
      <c r="Z18" s="74">
        <v>5905.5685999999996</v>
      </c>
      <c r="AA18" s="74">
        <v>5925.3149999999996</v>
      </c>
      <c r="AB18" s="74">
        <v>5940.3572999999997</v>
      </c>
      <c r="AC18" s="74">
        <v>5950.9291999999996</v>
      </c>
      <c r="AD18" s="74">
        <v>5957.2604000000001</v>
      </c>
      <c r="AE18" s="74">
        <v>5959.5784999999996</v>
      </c>
      <c r="AF18" s="74">
        <v>5958.1077999999998</v>
      </c>
      <c r="AG18" s="74">
        <v>5953.0688</v>
      </c>
      <c r="AH18" s="74">
        <v>5944.6796000000004</v>
      </c>
      <c r="AI18" s="74">
        <v>5933.1549999999997</v>
      </c>
      <c r="AJ18" s="74">
        <v>5918.7057000000004</v>
      </c>
      <c r="AK18" s="74">
        <v>5901.5406999999996</v>
      </c>
      <c r="AL18" s="74">
        <v>5881.8648000000003</v>
      </c>
      <c r="AM18" s="74">
        <v>5859.8801999999996</v>
      </c>
      <c r="AN18" s="74">
        <v>5835.7860000000001</v>
      </c>
      <c r="AO18" s="74">
        <v>5809.7775000000001</v>
      </c>
      <c r="AP18" s="74">
        <v>5782.0474999999997</v>
      </c>
      <c r="AQ18" s="74">
        <v>5752.7853999999998</v>
      </c>
      <c r="AR18" s="74">
        <v>5722.1776</v>
      </c>
      <c r="AS18" s="74">
        <v>5690.4071000000004</v>
      </c>
      <c r="AT18" s="74">
        <v>5657.6540999999997</v>
      </c>
      <c r="AU18" s="74">
        <v>5624.0947999999999</v>
      </c>
      <c r="AV18" s="74">
        <v>5589.9035000000003</v>
      </c>
      <c r="AW18" s="74">
        <v>5555.2509</v>
      </c>
      <c r="AX18" s="74">
        <v>5520.3040000000001</v>
      </c>
      <c r="AY18" s="74">
        <v>5485.2271000000001</v>
      </c>
      <c r="AZ18" s="74">
        <v>5450.1814000000004</v>
      </c>
      <c r="BA18" s="74">
        <v>5415.3249999999998</v>
      </c>
      <c r="BB18" s="74">
        <v>5380.8125</v>
      </c>
      <c r="BC18" s="74">
        <v>5346.7951999999996</v>
      </c>
      <c r="BD18" s="74">
        <v>5313.4228999999996</v>
      </c>
      <c r="BE18" s="74">
        <v>5280.8392000000003</v>
      </c>
      <c r="BF18" s="74">
        <v>5249.1876000000002</v>
      </c>
      <c r="BG18" s="74">
        <v>5218.6067999999996</v>
      </c>
      <c r="BH18" s="74">
        <v>5189.2325000000001</v>
      </c>
      <c r="BI18" s="74">
        <v>5161.1976000000004</v>
      </c>
      <c r="BJ18" s="74">
        <v>5134.6319000000003</v>
      </c>
    </row>
    <row r="19" spans="1:62" ht="14.25">
      <c r="A19" s="72" t="s">
        <v>424</v>
      </c>
      <c r="B19" s="75">
        <v>6562</v>
      </c>
      <c r="C19" s="75">
        <v>6596</v>
      </c>
      <c r="D19" s="75">
        <v>6629</v>
      </c>
      <c r="E19" s="75">
        <v>6663</v>
      </c>
      <c r="F19" s="75">
        <v>6698</v>
      </c>
      <c r="G19" s="75">
        <v>6326</v>
      </c>
      <c r="H19" s="75">
        <v>6342</v>
      </c>
      <c r="I19" s="75">
        <v>6355</v>
      </c>
      <c r="J19" s="75">
        <v>6380</v>
      </c>
      <c r="K19" s="75">
        <v>6406</v>
      </c>
      <c r="L19" s="75">
        <v>6570</v>
      </c>
      <c r="M19" s="75">
        <v>6581</v>
      </c>
      <c r="N19" s="75">
        <v>6590</v>
      </c>
      <c r="O19" s="75">
        <v>6600</v>
      </c>
      <c r="P19" s="75">
        <v>6611</v>
      </c>
      <c r="Q19" s="75">
        <v>6615</v>
      </c>
      <c r="R19" s="75">
        <v>6625</v>
      </c>
      <c r="S19" s="75">
        <v>6633</v>
      </c>
      <c r="T19" s="75">
        <v>6635</v>
      </c>
      <c r="U19" s="75">
        <v>6640</v>
      </c>
      <c r="V19" s="74">
        <v>6645</v>
      </c>
      <c r="W19" s="74">
        <v>6670.4358000000002</v>
      </c>
      <c r="X19" s="74">
        <v>6695.3913000000002</v>
      </c>
      <c r="Y19" s="74">
        <v>6718.4943999999996</v>
      </c>
      <c r="Z19" s="74">
        <v>6739.5906000000004</v>
      </c>
      <c r="AA19" s="74">
        <v>6758.5387000000001</v>
      </c>
      <c r="AB19" s="74">
        <v>6775.2134999999998</v>
      </c>
      <c r="AC19" s="74">
        <v>6789.5047000000004</v>
      </c>
      <c r="AD19" s="74">
        <v>6801.3167000000003</v>
      </c>
      <c r="AE19" s="74">
        <v>6810.5690000000004</v>
      </c>
      <c r="AF19" s="74">
        <v>6817.1966000000002</v>
      </c>
      <c r="AG19" s="74">
        <v>6821.1481000000003</v>
      </c>
      <c r="AH19" s="74">
        <v>6822.3887999999997</v>
      </c>
      <c r="AI19" s="74">
        <v>6820.8977999999997</v>
      </c>
      <c r="AJ19" s="74">
        <v>6816.6693999999998</v>
      </c>
      <c r="AK19" s="74">
        <v>6809.7132000000001</v>
      </c>
      <c r="AL19" s="74">
        <v>6800.0537999999997</v>
      </c>
      <c r="AM19" s="74">
        <v>6787.7304999999997</v>
      </c>
      <c r="AN19" s="74">
        <v>6772.7972</v>
      </c>
      <c r="AO19" s="74">
        <v>6755.3238000000001</v>
      </c>
      <c r="AP19" s="74">
        <v>6735.3946999999998</v>
      </c>
      <c r="AQ19" s="74">
        <v>6713.1086999999998</v>
      </c>
      <c r="AR19" s="74">
        <v>6688.5803999999998</v>
      </c>
      <c r="AS19" s="74">
        <v>6661.9391999999998</v>
      </c>
      <c r="AT19" s="74">
        <v>6633.3292000000001</v>
      </c>
      <c r="AU19" s="74">
        <v>6602.9098999999997</v>
      </c>
      <c r="AV19" s="74">
        <v>6570.8548000000001</v>
      </c>
      <c r="AW19" s="74">
        <v>6537.3543</v>
      </c>
      <c r="AX19" s="74">
        <v>6502.6117999999997</v>
      </c>
      <c r="AY19" s="74">
        <v>6466.8464999999997</v>
      </c>
      <c r="AZ19" s="74">
        <v>6430.2928000000002</v>
      </c>
      <c r="BA19" s="74">
        <v>6393.1998000000003</v>
      </c>
      <c r="BB19" s="74">
        <v>6355.8316000000004</v>
      </c>
      <c r="BC19" s="74">
        <v>6318.4672</v>
      </c>
      <c r="BD19" s="74">
        <v>6281.4008000000003</v>
      </c>
      <c r="BE19" s="74">
        <v>6244.9414999999999</v>
      </c>
      <c r="BF19" s="74">
        <v>6209.4133000000002</v>
      </c>
      <c r="BG19" s="74">
        <v>6175.1553999999996</v>
      </c>
      <c r="BH19" s="74">
        <v>6142.5218999999997</v>
      </c>
      <c r="BI19" s="74">
        <v>6111.8814000000002</v>
      </c>
      <c r="BJ19" s="74">
        <v>6083.6180999999997</v>
      </c>
    </row>
    <row r="20" spans="1:62" ht="14.25">
      <c r="A20" s="72" t="s">
        <v>423</v>
      </c>
      <c r="B20" s="75">
        <v>8650</v>
      </c>
      <c r="C20" s="75">
        <v>8733</v>
      </c>
      <c r="D20" s="75">
        <v>8842</v>
      </c>
      <c r="E20" s="75">
        <v>8963</v>
      </c>
      <c r="F20" s="75">
        <v>9111</v>
      </c>
      <c r="G20" s="75">
        <v>9194</v>
      </c>
      <c r="H20" s="75">
        <v>9442</v>
      </c>
      <c r="I20" s="75">
        <v>9660</v>
      </c>
      <c r="J20" s="75">
        <v>9893</v>
      </c>
      <c r="K20" s="75">
        <v>10130</v>
      </c>
      <c r="L20" s="75">
        <v>10441</v>
      </c>
      <c r="M20" s="75">
        <v>10756</v>
      </c>
      <c r="N20" s="75">
        <v>11041</v>
      </c>
      <c r="O20" s="75">
        <v>11270</v>
      </c>
      <c r="P20" s="75">
        <v>11489</v>
      </c>
      <c r="Q20" s="75">
        <v>11678</v>
      </c>
      <c r="R20" s="75">
        <v>11908</v>
      </c>
      <c r="S20" s="75">
        <v>12141</v>
      </c>
      <c r="T20" s="75">
        <v>12348</v>
      </c>
      <c r="U20" s="75">
        <v>12489</v>
      </c>
      <c r="V20" s="74">
        <v>12624</v>
      </c>
      <c r="W20" s="74">
        <v>12755.8986</v>
      </c>
      <c r="X20" s="74">
        <v>12897.0285</v>
      </c>
      <c r="Y20" s="74">
        <v>13024.356900000001</v>
      </c>
      <c r="Z20" s="74">
        <v>13138.643700000001</v>
      </c>
      <c r="AA20" s="74">
        <v>13240.6266</v>
      </c>
      <c r="AB20" s="74">
        <v>13331.0165</v>
      </c>
      <c r="AC20" s="74">
        <v>13410.500599999999</v>
      </c>
      <c r="AD20" s="74">
        <v>13479.740299999999</v>
      </c>
      <c r="AE20" s="74">
        <v>13539.372499999999</v>
      </c>
      <c r="AF20" s="74">
        <v>13590.0087</v>
      </c>
      <c r="AG20" s="74">
        <v>13632.2363</v>
      </c>
      <c r="AH20" s="74">
        <v>13666.6168</v>
      </c>
      <c r="AI20" s="74">
        <v>13693.6875</v>
      </c>
      <c r="AJ20" s="74">
        <v>13713.9606</v>
      </c>
      <c r="AK20" s="74">
        <v>13727.922699999999</v>
      </c>
      <c r="AL20" s="74">
        <v>13736.036</v>
      </c>
      <c r="AM20" s="74">
        <v>13738.738300000001</v>
      </c>
      <c r="AN20" s="74">
        <v>13736.441800000001</v>
      </c>
      <c r="AO20" s="74">
        <v>13729.532999999999</v>
      </c>
      <c r="AP20" s="74">
        <v>13718.375099999999</v>
      </c>
      <c r="AQ20" s="74">
        <v>13703.305</v>
      </c>
      <c r="AR20" s="74">
        <v>13684.635700000001</v>
      </c>
      <c r="AS20" s="74">
        <v>13662.6541</v>
      </c>
      <c r="AT20" s="74">
        <v>13637.623299999999</v>
      </c>
      <c r="AU20" s="74">
        <v>13609.780699999999</v>
      </c>
      <c r="AV20" s="74">
        <v>13579.339</v>
      </c>
      <c r="AW20" s="74">
        <v>13546.486199999999</v>
      </c>
      <c r="AX20" s="74">
        <v>13511.384700000001</v>
      </c>
      <c r="AY20" s="74">
        <v>13474.1726</v>
      </c>
      <c r="AZ20" s="74">
        <v>13434.963100000001</v>
      </c>
      <c r="BA20" s="74">
        <v>13393.8433</v>
      </c>
      <c r="BB20" s="74">
        <v>13350.877399999999</v>
      </c>
      <c r="BC20" s="74">
        <v>13306.102500000001</v>
      </c>
      <c r="BD20" s="74">
        <v>13259.5321</v>
      </c>
      <c r="BE20" s="74">
        <v>13211.154399999999</v>
      </c>
      <c r="BF20" s="74">
        <v>13160.932500000001</v>
      </c>
      <c r="BG20" s="74">
        <v>13108.804700000001</v>
      </c>
      <c r="BH20" s="74">
        <v>13054.684800000001</v>
      </c>
      <c r="BI20" s="74">
        <v>12998.460300000001</v>
      </c>
      <c r="BJ20" s="74">
        <v>12939.9954</v>
      </c>
    </row>
    <row r="21" spans="1:62" ht="14.25">
      <c r="A21" s="72" t="s">
        <v>422</v>
      </c>
      <c r="B21" s="75">
        <v>4751</v>
      </c>
      <c r="C21" s="75">
        <v>4788</v>
      </c>
      <c r="D21" s="75">
        <v>4822</v>
      </c>
      <c r="E21" s="75">
        <v>4857</v>
      </c>
      <c r="F21" s="75">
        <v>4889</v>
      </c>
      <c r="G21" s="75">
        <v>4660</v>
      </c>
      <c r="H21" s="75">
        <v>4719</v>
      </c>
      <c r="I21" s="75">
        <v>4768</v>
      </c>
      <c r="J21" s="75">
        <v>4816</v>
      </c>
      <c r="K21" s="75">
        <v>4856</v>
      </c>
      <c r="L21" s="75">
        <v>4610</v>
      </c>
      <c r="M21" s="75">
        <v>4655</v>
      </c>
      <c r="N21" s="75">
        <v>4694</v>
      </c>
      <c r="O21" s="75">
        <v>4731</v>
      </c>
      <c r="P21" s="75">
        <v>4770</v>
      </c>
      <c r="Q21" s="75">
        <v>4811</v>
      </c>
      <c r="R21" s="75">
        <v>4857</v>
      </c>
      <c r="S21" s="75">
        <v>4907</v>
      </c>
      <c r="T21" s="75">
        <v>4947</v>
      </c>
      <c r="U21" s="75">
        <v>4982</v>
      </c>
      <c r="V21" s="74">
        <v>5019</v>
      </c>
      <c r="W21" s="74">
        <v>5033.5938999999998</v>
      </c>
      <c r="X21" s="74">
        <v>5056.5213000000003</v>
      </c>
      <c r="Y21" s="74">
        <v>5080.4340000000002</v>
      </c>
      <c r="Z21" s="74">
        <v>5104.8980000000001</v>
      </c>
      <c r="AA21" s="74">
        <v>5129.5070999999998</v>
      </c>
      <c r="AB21" s="74">
        <v>5153.8823000000002</v>
      </c>
      <c r="AC21" s="74">
        <v>5177.6732000000002</v>
      </c>
      <c r="AD21" s="74">
        <v>5200.5571</v>
      </c>
      <c r="AE21" s="74">
        <v>5222.2385999999997</v>
      </c>
      <c r="AF21" s="74">
        <v>5242.4508999999998</v>
      </c>
      <c r="AG21" s="74">
        <v>5260.9547000000002</v>
      </c>
      <c r="AH21" s="74">
        <v>5277.5383000000002</v>
      </c>
      <c r="AI21" s="74">
        <v>5292.0185000000001</v>
      </c>
      <c r="AJ21" s="74">
        <v>5304.2390999999998</v>
      </c>
      <c r="AK21" s="74">
        <v>5314.0718999999999</v>
      </c>
      <c r="AL21" s="74">
        <v>5321.4174999999996</v>
      </c>
      <c r="AM21" s="74">
        <v>5326.2028</v>
      </c>
      <c r="AN21" s="74">
        <v>5328.384</v>
      </c>
      <c r="AO21" s="74">
        <v>5327.9441999999999</v>
      </c>
      <c r="AP21" s="74">
        <v>5324.8944000000001</v>
      </c>
      <c r="AQ21" s="74">
        <v>5319.2740999999996</v>
      </c>
      <c r="AR21" s="74">
        <v>5311.15</v>
      </c>
      <c r="AS21" s="74">
        <v>5300.6163999999999</v>
      </c>
      <c r="AT21" s="74">
        <v>5287.7969000000003</v>
      </c>
      <c r="AU21" s="74">
        <v>5272.8406999999997</v>
      </c>
      <c r="AV21" s="74">
        <v>5255.9268000000002</v>
      </c>
      <c r="AW21" s="74">
        <v>5237.2610999999997</v>
      </c>
      <c r="AX21" s="74">
        <v>5217.0774000000001</v>
      </c>
      <c r="AY21" s="74">
        <v>5195.6376</v>
      </c>
      <c r="AZ21" s="74">
        <v>5173.2313999999997</v>
      </c>
      <c r="BA21" s="74">
        <v>5150.1755000000003</v>
      </c>
      <c r="BB21" s="74">
        <v>5126.8163999999997</v>
      </c>
      <c r="BC21" s="74">
        <v>5103.5257000000001</v>
      </c>
      <c r="BD21" s="74">
        <v>5080.7056000000002</v>
      </c>
      <c r="BE21" s="74">
        <v>5058.7837</v>
      </c>
      <c r="BF21" s="74">
        <v>5038.2178000000004</v>
      </c>
      <c r="BG21" s="74">
        <v>5019.4919</v>
      </c>
      <c r="BH21" s="74">
        <v>5003.1178</v>
      </c>
      <c r="BI21" s="74">
        <v>4989.6363000000001</v>
      </c>
      <c r="BJ21" s="74">
        <v>4979.6148000000003</v>
      </c>
    </row>
    <row r="22" spans="1:62" ht="14.25">
      <c r="A22" s="72" t="s">
        <v>421</v>
      </c>
      <c r="B22" s="75">
        <v>789</v>
      </c>
      <c r="C22" s="75">
        <v>796</v>
      </c>
      <c r="D22" s="75">
        <v>803</v>
      </c>
      <c r="E22" s="75">
        <v>811</v>
      </c>
      <c r="F22" s="75">
        <v>818</v>
      </c>
      <c r="G22" s="75">
        <v>828</v>
      </c>
      <c r="H22" s="75">
        <v>836</v>
      </c>
      <c r="I22" s="75">
        <v>845</v>
      </c>
      <c r="J22" s="75">
        <v>854</v>
      </c>
      <c r="K22" s="75">
        <v>864</v>
      </c>
      <c r="L22" s="75">
        <v>869</v>
      </c>
      <c r="M22" s="75">
        <v>890</v>
      </c>
      <c r="N22" s="75">
        <v>910</v>
      </c>
      <c r="O22" s="75">
        <v>920</v>
      </c>
      <c r="P22" s="75">
        <v>936</v>
      </c>
      <c r="Q22" s="75">
        <v>945</v>
      </c>
      <c r="R22" s="75">
        <v>957</v>
      </c>
      <c r="S22" s="75">
        <v>972</v>
      </c>
      <c r="T22" s="75">
        <v>982</v>
      </c>
      <c r="U22" s="75">
        <v>995</v>
      </c>
      <c r="V22" s="74">
        <v>1012</v>
      </c>
      <c r="W22" s="74">
        <v>1018.5203</v>
      </c>
      <c r="X22" s="74">
        <v>1028.287</v>
      </c>
      <c r="Y22" s="74">
        <v>1037.3471999999999</v>
      </c>
      <c r="Z22" s="74">
        <v>1045.712</v>
      </c>
      <c r="AA22" s="74">
        <v>1053.393</v>
      </c>
      <c r="AB22" s="74">
        <v>1060.402</v>
      </c>
      <c r="AC22" s="74">
        <v>1066.7525000000001</v>
      </c>
      <c r="AD22" s="74">
        <v>1072.4577999999999</v>
      </c>
      <c r="AE22" s="74">
        <v>1077.5320999999999</v>
      </c>
      <c r="AF22" s="74">
        <v>1081.9906000000001</v>
      </c>
      <c r="AG22" s="74">
        <v>1085.8480999999999</v>
      </c>
      <c r="AH22" s="74">
        <v>1089.1219000000001</v>
      </c>
      <c r="AI22" s="74">
        <v>1091.8280999999999</v>
      </c>
      <c r="AJ22" s="74">
        <v>1093.9848999999999</v>
      </c>
      <c r="AK22" s="74">
        <v>1095.6101000000001</v>
      </c>
      <c r="AL22" s="74">
        <v>1096.7222999999999</v>
      </c>
      <c r="AM22" s="74">
        <v>1097.3418999999999</v>
      </c>
      <c r="AN22" s="74">
        <v>1097.4880000000001</v>
      </c>
      <c r="AO22" s="74">
        <v>1097.1823999999999</v>
      </c>
      <c r="AP22" s="74">
        <v>1096.4467</v>
      </c>
      <c r="AQ22" s="74">
        <v>1095.3027999999999</v>
      </c>
      <c r="AR22" s="74">
        <v>1093.7731000000001</v>
      </c>
      <c r="AS22" s="74">
        <v>1091.8820000000001</v>
      </c>
      <c r="AT22" s="74">
        <v>1089.6532999999999</v>
      </c>
      <c r="AU22" s="74">
        <v>1087.1120000000001</v>
      </c>
      <c r="AV22" s="74">
        <v>1084.2833000000001</v>
      </c>
      <c r="AW22" s="74">
        <v>1081.1939</v>
      </c>
      <c r="AX22" s="74">
        <v>1077.8703</v>
      </c>
      <c r="AY22" s="74">
        <v>1074.3405</v>
      </c>
      <c r="AZ22" s="74">
        <v>1070.6321</v>
      </c>
      <c r="BA22" s="74">
        <v>1066.7741000000001</v>
      </c>
      <c r="BB22" s="74">
        <v>1062.7968000000001</v>
      </c>
      <c r="BC22" s="74">
        <v>1058.7291</v>
      </c>
      <c r="BD22" s="74">
        <v>1054.6025</v>
      </c>
      <c r="BE22" s="74">
        <v>1050.4491</v>
      </c>
      <c r="BF22" s="74">
        <v>1046.3005000000001</v>
      </c>
      <c r="BG22" s="74">
        <v>1042.1894</v>
      </c>
      <c r="BH22" s="74">
        <v>1038.1491000000001</v>
      </c>
      <c r="BI22" s="74">
        <v>1034.2147</v>
      </c>
      <c r="BJ22" s="74">
        <v>1030.4206999999999</v>
      </c>
    </row>
    <row r="23" spans="1:62" ht="14.25">
      <c r="A23" s="72" t="s">
        <v>420</v>
      </c>
      <c r="B23" s="75">
        <v>2849</v>
      </c>
      <c r="C23" s="75">
        <v>2829</v>
      </c>
      <c r="D23" s="75">
        <v>2814</v>
      </c>
      <c r="E23" s="75">
        <v>2803</v>
      </c>
      <c r="F23" s="75">
        <v>2793</v>
      </c>
      <c r="G23" s="75">
        <v>2798</v>
      </c>
      <c r="H23" s="75">
        <v>2808</v>
      </c>
      <c r="I23" s="75">
        <v>2816</v>
      </c>
      <c r="J23" s="75">
        <v>2839</v>
      </c>
      <c r="K23" s="75">
        <v>2859</v>
      </c>
      <c r="L23" s="75">
        <v>2885</v>
      </c>
      <c r="M23" s="75">
        <v>2944</v>
      </c>
      <c r="N23" s="75">
        <v>2975</v>
      </c>
      <c r="O23" s="75">
        <v>3011</v>
      </c>
      <c r="P23" s="75">
        <v>3043</v>
      </c>
      <c r="Q23" s="75">
        <v>3070</v>
      </c>
      <c r="R23" s="75">
        <v>3110</v>
      </c>
      <c r="S23" s="75">
        <v>3144</v>
      </c>
      <c r="T23" s="75">
        <v>3163</v>
      </c>
      <c r="U23" s="75">
        <v>3188</v>
      </c>
      <c r="V23" s="74">
        <v>3209</v>
      </c>
      <c r="W23" s="74">
        <v>3217.5886999999998</v>
      </c>
      <c r="X23" s="74">
        <v>3229.0061000000001</v>
      </c>
      <c r="Y23" s="74">
        <v>3239.1939000000002</v>
      </c>
      <c r="Z23" s="74">
        <v>3248.0819999999999</v>
      </c>
      <c r="AA23" s="74">
        <v>3255.6098000000002</v>
      </c>
      <c r="AB23" s="74">
        <v>3261.7255</v>
      </c>
      <c r="AC23" s="74">
        <v>3266.3869</v>
      </c>
      <c r="AD23" s="74">
        <v>3269.5608000000002</v>
      </c>
      <c r="AE23" s="74">
        <v>3271.2231000000002</v>
      </c>
      <c r="AF23" s="74">
        <v>3271.3591999999999</v>
      </c>
      <c r="AG23" s="74">
        <v>3269.9636</v>
      </c>
      <c r="AH23" s="74">
        <v>3267.0396999999998</v>
      </c>
      <c r="AI23" s="74">
        <v>3262.6007</v>
      </c>
      <c r="AJ23" s="74">
        <v>3256.6684</v>
      </c>
      <c r="AK23" s="74">
        <v>3249.2741999999998</v>
      </c>
      <c r="AL23" s="74">
        <v>3240.4585999999999</v>
      </c>
      <c r="AM23" s="74">
        <v>3230.2712999999999</v>
      </c>
      <c r="AN23" s="74">
        <v>3218.7712000000001</v>
      </c>
      <c r="AO23" s="74">
        <v>3206.0263</v>
      </c>
      <c r="AP23" s="74">
        <v>3192.1140999999998</v>
      </c>
      <c r="AQ23" s="74">
        <v>3177.1210000000001</v>
      </c>
      <c r="AR23" s="74">
        <v>3161.1428000000001</v>
      </c>
      <c r="AS23" s="74">
        <v>3144.2842999999998</v>
      </c>
      <c r="AT23" s="74">
        <v>3126.6599000000001</v>
      </c>
      <c r="AU23" s="74">
        <v>3108.3926999999999</v>
      </c>
      <c r="AV23" s="74">
        <v>3089.6154000000001</v>
      </c>
      <c r="AW23" s="74">
        <v>3070.4697000000001</v>
      </c>
      <c r="AX23" s="74">
        <v>3051.1066000000001</v>
      </c>
      <c r="AY23" s="74">
        <v>3031.6864</v>
      </c>
      <c r="AZ23" s="74">
        <v>3012.3782000000001</v>
      </c>
      <c r="BA23" s="74">
        <v>2993.3609000000001</v>
      </c>
      <c r="BB23" s="74">
        <v>2974.8220999999999</v>
      </c>
      <c r="BC23" s="74">
        <v>2956.9589999999998</v>
      </c>
      <c r="BD23" s="74">
        <v>2939.9776000000002</v>
      </c>
      <c r="BE23" s="74">
        <v>2924.0934000000002</v>
      </c>
      <c r="BF23" s="74">
        <v>2909.5311000000002</v>
      </c>
      <c r="BG23" s="74">
        <v>2896.5245</v>
      </c>
      <c r="BH23" s="74">
        <v>2885.3166000000001</v>
      </c>
      <c r="BI23" s="74">
        <v>2876.1597000000002</v>
      </c>
      <c r="BJ23" s="74">
        <v>2869.3153000000002</v>
      </c>
    </row>
    <row r="24" spans="1:62" ht="14.25">
      <c r="A24" s="72" t="s">
        <v>419</v>
      </c>
      <c r="B24" s="75">
        <v>8329</v>
      </c>
      <c r="C24" s="75">
        <v>8143</v>
      </c>
      <c r="D24" s="75">
        <v>8110</v>
      </c>
      <c r="E24" s="75">
        <v>8176</v>
      </c>
      <c r="F24" s="75">
        <v>8090</v>
      </c>
      <c r="G24" s="75">
        <v>8212</v>
      </c>
      <c r="H24" s="75">
        <v>8169</v>
      </c>
      <c r="I24" s="75">
        <v>8127</v>
      </c>
      <c r="J24" s="75">
        <v>8138</v>
      </c>
      <c r="K24" s="75">
        <v>8185</v>
      </c>
      <c r="L24" s="75">
        <v>8045</v>
      </c>
      <c r="M24" s="75">
        <v>8064</v>
      </c>
      <c r="N24" s="75">
        <v>8085</v>
      </c>
      <c r="O24" s="75">
        <v>8109</v>
      </c>
      <c r="P24" s="75">
        <v>8139</v>
      </c>
      <c r="Q24" s="75">
        <v>8196</v>
      </c>
      <c r="R24" s="75">
        <v>8251</v>
      </c>
      <c r="S24" s="75">
        <v>8289</v>
      </c>
      <c r="T24" s="75">
        <v>8321</v>
      </c>
      <c r="U24" s="75">
        <v>8351</v>
      </c>
      <c r="V24" s="74">
        <v>8371</v>
      </c>
      <c r="W24" s="74">
        <v>8407.9724999999999</v>
      </c>
      <c r="X24" s="74">
        <v>8445.1381000000001</v>
      </c>
      <c r="Y24" s="74">
        <v>8478.0143000000007</v>
      </c>
      <c r="Z24" s="74">
        <v>8506.5578000000005</v>
      </c>
      <c r="AA24" s="74">
        <v>8530.7399000000005</v>
      </c>
      <c r="AB24" s="74">
        <v>8550.5475999999999</v>
      </c>
      <c r="AC24" s="74">
        <v>8565.9835000000003</v>
      </c>
      <c r="AD24" s="74">
        <v>8577.0650999999998</v>
      </c>
      <c r="AE24" s="74">
        <v>8583.8255000000008</v>
      </c>
      <c r="AF24" s="74">
        <v>8586.3133999999991</v>
      </c>
      <c r="AG24" s="74">
        <v>8584.5931</v>
      </c>
      <c r="AH24" s="74">
        <v>8578.7440000000006</v>
      </c>
      <c r="AI24" s="74">
        <v>8568.8608000000004</v>
      </c>
      <c r="AJ24" s="74">
        <v>8555.0545000000002</v>
      </c>
      <c r="AK24" s="74">
        <v>8537.4503000000004</v>
      </c>
      <c r="AL24" s="74">
        <v>8516.1897000000008</v>
      </c>
      <c r="AM24" s="74">
        <v>8491.4292000000005</v>
      </c>
      <c r="AN24" s="74">
        <v>8463.3410999999996</v>
      </c>
      <c r="AO24" s="74">
        <v>8432.1131999999998</v>
      </c>
      <c r="AP24" s="74">
        <v>8397.9477999999999</v>
      </c>
      <c r="AQ24" s="74">
        <v>8361.0635999999995</v>
      </c>
      <c r="AR24" s="74">
        <v>8321.6947999999993</v>
      </c>
      <c r="AS24" s="74">
        <v>8280.09</v>
      </c>
      <c r="AT24" s="74">
        <v>8236.5143000000007</v>
      </c>
      <c r="AU24" s="74">
        <v>8191.2479000000003</v>
      </c>
      <c r="AV24" s="74">
        <v>8144.5860000000002</v>
      </c>
      <c r="AW24" s="74">
        <v>8096.8398999999999</v>
      </c>
      <c r="AX24" s="74">
        <v>8048.3359</v>
      </c>
      <c r="AY24" s="74">
        <v>7999.4156999999996</v>
      </c>
      <c r="AZ24" s="74">
        <v>7950.4368000000004</v>
      </c>
      <c r="BA24" s="74">
        <v>7901.7721000000001</v>
      </c>
      <c r="BB24" s="74">
        <v>7853.8094000000001</v>
      </c>
      <c r="BC24" s="74">
        <v>7806.9522999999999</v>
      </c>
      <c r="BD24" s="74">
        <v>7761.6198999999997</v>
      </c>
      <c r="BE24" s="74">
        <v>7718.2465000000002</v>
      </c>
      <c r="BF24" s="74">
        <v>7677.2822999999999</v>
      </c>
      <c r="BG24" s="74">
        <v>7639.1922999999997</v>
      </c>
      <c r="BH24" s="74">
        <v>7604.4574000000002</v>
      </c>
      <c r="BI24" s="74">
        <v>7573.5735999999997</v>
      </c>
      <c r="BJ24" s="74">
        <v>7547.0528999999997</v>
      </c>
    </row>
    <row r="25" spans="1:62" ht="14.25">
      <c r="A25" s="72" t="s">
        <v>418</v>
      </c>
      <c r="B25" s="75">
        <v>3756</v>
      </c>
      <c r="C25" s="75">
        <v>3799</v>
      </c>
      <c r="D25" s="75">
        <v>3837</v>
      </c>
      <c r="E25" s="75">
        <v>3870</v>
      </c>
      <c r="F25" s="75">
        <v>3904</v>
      </c>
      <c r="G25" s="75">
        <v>3730</v>
      </c>
      <c r="H25" s="75">
        <v>3690</v>
      </c>
      <c r="I25" s="75">
        <v>3632</v>
      </c>
      <c r="J25" s="75">
        <v>3596</v>
      </c>
      <c r="K25" s="75">
        <v>3537</v>
      </c>
      <c r="L25" s="75">
        <v>3479</v>
      </c>
      <c r="M25" s="75">
        <v>3530</v>
      </c>
      <c r="N25" s="75">
        <v>3587</v>
      </c>
      <c r="O25" s="75">
        <v>3632</v>
      </c>
      <c r="P25" s="75">
        <v>3677</v>
      </c>
      <c r="Q25" s="75">
        <v>3708</v>
      </c>
      <c r="R25" s="75">
        <v>3758</v>
      </c>
      <c r="S25" s="75">
        <v>3803</v>
      </c>
      <c r="T25" s="75">
        <v>3822</v>
      </c>
      <c r="U25" s="75">
        <v>3848</v>
      </c>
      <c r="V25" s="74">
        <v>3858</v>
      </c>
      <c r="W25" s="74">
        <v>3879.8854999999999</v>
      </c>
      <c r="X25" s="74">
        <v>3905.4866000000002</v>
      </c>
      <c r="Y25" s="74">
        <v>3932.2404999999999</v>
      </c>
      <c r="Z25" s="74">
        <v>3959.6696999999999</v>
      </c>
      <c r="AA25" s="74">
        <v>3987.3292000000001</v>
      </c>
      <c r="AB25" s="74">
        <v>4014.8054999999999</v>
      </c>
      <c r="AC25" s="74">
        <v>4041.7184000000002</v>
      </c>
      <c r="AD25" s="74">
        <v>4067.7184999999999</v>
      </c>
      <c r="AE25" s="74">
        <v>4092.4895000000001</v>
      </c>
      <c r="AF25" s="74">
        <v>4115.7466999999997</v>
      </c>
      <c r="AG25" s="74">
        <v>4137.2374</v>
      </c>
      <c r="AH25" s="74">
        <v>4156.7416999999996</v>
      </c>
      <c r="AI25" s="74">
        <v>4174.0712000000003</v>
      </c>
      <c r="AJ25" s="74">
        <v>4189.0702000000001</v>
      </c>
      <c r="AK25" s="74">
        <v>4201.6143000000002</v>
      </c>
      <c r="AL25" s="74">
        <v>4211.6120000000001</v>
      </c>
      <c r="AM25" s="74">
        <v>4219.0037000000002</v>
      </c>
      <c r="AN25" s="74">
        <v>4223.7615999999998</v>
      </c>
      <c r="AO25" s="74">
        <v>4225.8905000000004</v>
      </c>
      <c r="AP25" s="74">
        <v>4225.4272000000001</v>
      </c>
      <c r="AQ25" s="74">
        <v>4222.4403000000002</v>
      </c>
      <c r="AR25" s="74">
        <v>4217.0312000000004</v>
      </c>
      <c r="AS25" s="74">
        <v>4209.3325999999997</v>
      </c>
      <c r="AT25" s="74">
        <v>4199.51</v>
      </c>
      <c r="AU25" s="74">
        <v>4187.7605999999996</v>
      </c>
      <c r="AV25" s="74">
        <v>4174.3140999999996</v>
      </c>
      <c r="AW25" s="74">
        <v>4159.4318000000003</v>
      </c>
      <c r="AX25" s="74">
        <v>4143.4079000000002</v>
      </c>
      <c r="AY25" s="74">
        <v>4126.5676000000003</v>
      </c>
      <c r="AZ25" s="74">
        <v>4109.2698</v>
      </c>
      <c r="BA25" s="74">
        <v>4091.904</v>
      </c>
      <c r="BB25" s="74">
        <v>4074.8926000000001</v>
      </c>
      <c r="BC25" s="74">
        <v>4058.6903000000002</v>
      </c>
      <c r="BD25" s="74">
        <v>4043.7829999999999</v>
      </c>
      <c r="BE25" s="74">
        <v>4030.69</v>
      </c>
      <c r="BF25" s="74">
        <v>4019.9616999999998</v>
      </c>
      <c r="BG25" s="74">
        <v>4012.1810999999998</v>
      </c>
      <c r="BH25" s="74">
        <v>4007.9632000000001</v>
      </c>
      <c r="BI25" s="74">
        <v>4007.9555</v>
      </c>
      <c r="BJ25" s="74">
        <v>4012.8364999999999</v>
      </c>
    </row>
    <row r="26" spans="1:62" ht="14.25">
      <c r="A26" s="72" t="s">
        <v>417</v>
      </c>
      <c r="B26" s="75">
        <v>4241</v>
      </c>
      <c r="C26" s="75">
        <v>4287</v>
      </c>
      <c r="D26" s="75">
        <v>4333</v>
      </c>
      <c r="E26" s="75">
        <v>4376</v>
      </c>
      <c r="F26" s="75">
        <v>4415</v>
      </c>
      <c r="G26" s="75">
        <v>4450</v>
      </c>
      <c r="H26" s="75">
        <v>4483</v>
      </c>
      <c r="I26" s="75">
        <v>4514</v>
      </c>
      <c r="J26" s="75">
        <v>4543</v>
      </c>
      <c r="K26" s="75">
        <v>4571</v>
      </c>
      <c r="L26" s="75">
        <v>4602</v>
      </c>
      <c r="M26" s="75">
        <v>4620</v>
      </c>
      <c r="N26" s="75">
        <v>4631</v>
      </c>
      <c r="O26" s="75">
        <v>4641</v>
      </c>
      <c r="P26" s="75">
        <v>4653</v>
      </c>
      <c r="Q26" s="75">
        <v>4663</v>
      </c>
      <c r="R26" s="75">
        <v>4677</v>
      </c>
      <c r="S26" s="75">
        <v>4693</v>
      </c>
      <c r="T26" s="75">
        <v>4703</v>
      </c>
      <c r="U26" s="75">
        <v>4714</v>
      </c>
      <c r="V26" s="74">
        <v>4722</v>
      </c>
      <c r="W26" s="74">
        <v>4754.1783999999998</v>
      </c>
      <c r="X26" s="74">
        <v>4787.1869999999999</v>
      </c>
      <c r="Y26" s="74">
        <v>4819.3606</v>
      </c>
      <c r="Z26" s="74">
        <v>4850.4652999999998</v>
      </c>
      <c r="AA26" s="74">
        <v>4880.2865000000002</v>
      </c>
      <c r="AB26" s="74">
        <v>4908.6255000000001</v>
      </c>
      <c r="AC26" s="74">
        <v>4935.3026</v>
      </c>
      <c r="AD26" s="74">
        <v>4960.1543000000001</v>
      </c>
      <c r="AE26" s="74">
        <v>4983.0357999999997</v>
      </c>
      <c r="AF26" s="74">
        <v>5003.8191999999999</v>
      </c>
      <c r="AG26" s="74">
        <v>5022.3945999999996</v>
      </c>
      <c r="AH26" s="74">
        <v>5038.6689999999999</v>
      </c>
      <c r="AI26" s="74">
        <v>5052.5676999999996</v>
      </c>
      <c r="AJ26" s="74">
        <v>5064.0333000000001</v>
      </c>
      <c r="AK26" s="74">
        <v>5073.0257000000001</v>
      </c>
      <c r="AL26" s="74">
        <v>5079.5225</v>
      </c>
      <c r="AM26" s="74">
        <v>5083.5192999999999</v>
      </c>
      <c r="AN26" s="74">
        <v>5085.0285999999996</v>
      </c>
      <c r="AO26" s="74">
        <v>5084.0808999999999</v>
      </c>
      <c r="AP26" s="74">
        <v>5080.7237999999998</v>
      </c>
      <c r="AQ26" s="74">
        <v>5075.0234</v>
      </c>
      <c r="AR26" s="74">
        <v>5067.0622000000003</v>
      </c>
      <c r="AS26" s="74">
        <v>5056.9407000000001</v>
      </c>
      <c r="AT26" s="74">
        <v>5044.7775000000001</v>
      </c>
      <c r="AU26" s="74">
        <v>5030.7082</v>
      </c>
      <c r="AV26" s="74">
        <v>5014.8855999999996</v>
      </c>
      <c r="AW26" s="74">
        <v>4997.4811</v>
      </c>
      <c r="AX26" s="74">
        <v>4978.6832000000004</v>
      </c>
      <c r="AY26" s="74">
        <v>4958.6971999999996</v>
      </c>
      <c r="AZ26" s="74">
        <v>4937.7474000000002</v>
      </c>
      <c r="BA26" s="74">
        <v>4916.0740999999998</v>
      </c>
      <c r="BB26" s="74">
        <v>4893.9363999999996</v>
      </c>
      <c r="BC26" s="74">
        <v>4871.6103000000003</v>
      </c>
      <c r="BD26" s="74">
        <v>4849.3899000000001</v>
      </c>
      <c r="BE26" s="74">
        <v>4827.5862999999999</v>
      </c>
      <c r="BF26" s="74">
        <v>4806.5284000000001</v>
      </c>
      <c r="BG26" s="74">
        <v>4786.5625</v>
      </c>
      <c r="BH26" s="74">
        <v>4768.0526</v>
      </c>
      <c r="BI26" s="74">
        <v>4751.3806999999997</v>
      </c>
      <c r="BJ26" s="74">
        <v>4736.9454999999998</v>
      </c>
    </row>
    <row r="27" spans="1:62" ht="14.25">
      <c r="A27" s="72" t="s">
        <v>416</v>
      </c>
      <c r="B27" s="75">
        <v>258</v>
      </c>
      <c r="C27" s="75">
        <v>264</v>
      </c>
      <c r="D27" s="75">
        <v>268</v>
      </c>
      <c r="E27" s="75">
        <v>272</v>
      </c>
      <c r="F27" s="75">
        <v>276</v>
      </c>
      <c r="G27" s="75">
        <v>280</v>
      </c>
      <c r="H27" s="75">
        <v>285</v>
      </c>
      <c r="I27" s="75">
        <v>289</v>
      </c>
      <c r="J27" s="75">
        <v>292</v>
      </c>
      <c r="K27" s="75">
        <v>296</v>
      </c>
      <c r="L27" s="75">
        <v>300</v>
      </c>
      <c r="M27" s="75">
        <v>309</v>
      </c>
      <c r="N27" s="75">
        <v>315</v>
      </c>
      <c r="O27" s="75">
        <v>317</v>
      </c>
      <c r="P27" s="75">
        <v>325</v>
      </c>
      <c r="Q27" s="75">
        <v>330</v>
      </c>
      <c r="R27" s="75">
        <v>340</v>
      </c>
      <c r="S27" s="75">
        <v>349</v>
      </c>
      <c r="T27" s="75">
        <v>354</v>
      </c>
      <c r="U27" s="75">
        <v>361</v>
      </c>
      <c r="V27" s="74">
        <v>366</v>
      </c>
      <c r="W27" s="74">
        <v>368.40019999999998</v>
      </c>
      <c r="X27" s="74">
        <v>372.0163</v>
      </c>
      <c r="Y27" s="74">
        <v>375.62130000000002</v>
      </c>
      <c r="Z27" s="74">
        <v>379.1927</v>
      </c>
      <c r="AA27" s="74">
        <v>382.70859999999999</v>
      </c>
      <c r="AB27" s="74">
        <v>386.14909999999998</v>
      </c>
      <c r="AC27" s="74">
        <v>389.49529999999999</v>
      </c>
      <c r="AD27" s="74">
        <v>392.72989999999999</v>
      </c>
      <c r="AE27" s="74">
        <v>395.83760000000001</v>
      </c>
      <c r="AF27" s="74">
        <v>398.80369999999999</v>
      </c>
      <c r="AG27" s="74">
        <v>401.61579999999998</v>
      </c>
      <c r="AH27" s="74">
        <v>404.262</v>
      </c>
      <c r="AI27" s="74">
        <v>406.7328</v>
      </c>
      <c r="AJ27" s="74">
        <v>409.0197</v>
      </c>
      <c r="AK27" s="74">
        <v>411.11579999999998</v>
      </c>
      <c r="AL27" s="74">
        <v>413.01549999999997</v>
      </c>
      <c r="AM27" s="74">
        <v>414.71510000000001</v>
      </c>
      <c r="AN27" s="74">
        <v>416.21159999999998</v>
      </c>
      <c r="AO27" s="74">
        <v>417.5043</v>
      </c>
      <c r="AP27" s="74">
        <v>418.59339999999997</v>
      </c>
      <c r="AQ27" s="74">
        <v>419.48079999999999</v>
      </c>
      <c r="AR27" s="74">
        <v>420.16980000000001</v>
      </c>
      <c r="AS27" s="74">
        <v>420.6653</v>
      </c>
      <c r="AT27" s="74">
        <v>420.97340000000003</v>
      </c>
      <c r="AU27" s="74">
        <v>421.10180000000003</v>
      </c>
      <c r="AV27" s="74">
        <v>421.06009999999998</v>
      </c>
      <c r="AW27" s="74">
        <v>420.85840000000002</v>
      </c>
      <c r="AX27" s="74">
        <v>420.50909999999999</v>
      </c>
      <c r="AY27" s="74">
        <v>420.02589999999998</v>
      </c>
      <c r="AZ27" s="74">
        <v>419.42380000000003</v>
      </c>
      <c r="BA27" s="74">
        <v>418.71899999999999</v>
      </c>
      <c r="BB27" s="74">
        <v>417.92970000000003</v>
      </c>
      <c r="BC27" s="74">
        <v>417.07549999999998</v>
      </c>
      <c r="BD27" s="74">
        <v>416.1773</v>
      </c>
      <c r="BE27" s="74">
        <v>415.25720000000001</v>
      </c>
      <c r="BF27" s="74">
        <v>414.33929999999998</v>
      </c>
      <c r="BG27" s="74">
        <v>413.44900000000001</v>
      </c>
      <c r="BH27" s="74">
        <v>412.61279999999999</v>
      </c>
      <c r="BI27" s="74">
        <v>411.85939999999999</v>
      </c>
      <c r="BJ27" s="74">
        <v>411.21800000000002</v>
      </c>
    </row>
    <row r="28" spans="1:62" ht="14.25">
      <c r="A28" s="72" t="s">
        <v>415</v>
      </c>
      <c r="B28" s="75">
        <v>3644</v>
      </c>
      <c r="C28" s="75">
        <v>3653</v>
      </c>
      <c r="D28" s="75">
        <v>3662</v>
      </c>
      <c r="E28" s="75">
        <v>3672</v>
      </c>
      <c r="F28" s="75">
        <v>3681</v>
      </c>
      <c r="G28" s="75">
        <v>3690</v>
      </c>
      <c r="H28" s="75">
        <v>3699</v>
      </c>
      <c r="I28" s="75">
        <v>3708</v>
      </c>
      <c r="J28" s="75">
        <v>3718</v>
      </c>
      <c r="K28" s="75">
        <v>3727</v>
      </c>
      <c r="L28" s="75">
        <v>3735</v>
      </c>
      <c r="M28" s="75">
        <v>3765</v>
      </c>
      <c r="N28" s="75">
        <v>3787</v>
      </c>
      <c r="O28" s="75">
        <v>3804</v>
      </c>
      <c r="P28" s="75">
        <v>3827</v>
      </c>
      <c r="Q28" s="75">
        <v>3846</v>
      </c>
      <c r="R28" s="75">
        <v>3874</v>
      </c>
      <c r="S28" s="75">
        <v>3904</v>
      </c>
      <c r="T28" s="75">
        <v>3931</v>
      </c>
      <c r="U28" s="75">
        <v>3944</v>
      </c>
      <c r="V28" s="74">
        <v>3955</v>
      </c>
      <c r="W28" s="74">
        <v>3987.7165</v>
      </c>
      <c r="X28" s="74">
        <v>4018.3026</v>
      </c>
      <c r="Y28" s="74">
        <v>4044.6523999999999</v>
      </c>
      <c r="Z28" s="74">
        <v>4066.9931999999999</v>
      </c>
      <c r="AA28" s="74">
        <v>4085.5466000000001</v>
      </c>
      <c r="AB28" s="74">
        <v>4100.5289000000002</v>
      </c>
      <c r="AC28" s="74">
        <v>4112.1514999999999</v>
      </c>
      <c r="AD28" s="74">
        <v>4120.6189999999997</v>
      </c>
      <c r="AE28" s="74">
        <v>4126.1324000000004</v>
      </c>
      <c r="AF28" s="74">
        <v>4128.8858</v>
      </c>
      <c r="AG28" s="74">
        <v>4129.0680000000002</v>
      </c>
      <c r="AH28" s="74">
        <v>4126.8633</v>
      </c>
      <c r="AI28" s="74">
        <v>4122.4503000000004</v>
      </c>
      <c r="AJ28" s="74">
        <v>4116.0011999999997</v>
      </c>
      <c r="AK28" s="74">
        <v>4107.6840000000002</v>
      </c>
      <c r="AL28" s="74">
        <v>4097.6602999999996</v>
      </c>
      <c r="AM28" s="74">
        <v>4086.0871000000002</v>
      </c>
      <c r="AN28" s="74">
        <v>4073.1152999999999</v>
      </c>
      <c r="AO28" s="74">
        <v>4058.8910000000001</v>
      </c>
      <c r="AP28" s="74">
        <v>4043.5540999999998</v>
      </c>
      <c r="AQ28" s="74">
        <v>4027.2401</v>
      </c>
      <c r="AR28" s="74">
        <v>4010.0776999999998</v>
      </c>
      <c r="AS28" s="74">
        <v>3992.1916999999999</v>
      </c>
      <c r="AT28" s="74">
        <v>3973.7004000000002</v>
      </c>
      <c r="AU28" s="74">
        <v>3954.7166000000002</v>
      </c>
      <c r="AV28" s="74">
        <v>3935.3487</v>
      </c>
      <c r="AW28" s="74">
        <v>3915.6986000000002</v>
      </c>
      <c r="AX28" s="74">
        <v>3895.8633</v>
      </c>
      <c r="AY28" s="74">
        <v>3875.9346</v>
      </c>
      <c r="AZ28" s="74">
        <v>3855.9983000000002</v>
      </c>
      <c r="BA28" s="74">
        <v>3836.1349</v>
      </c>
      <c r="BB28" s="74">
        <v>3816.4198000000001</v>
      </c>
      <c r="BC28" s="74">
        <v>3796.9225999999999</v>
      </c>
      <c r="BD28" s="74">
        <v>3777.7076999999999</v>
      </c>
      <c r="BE28" s="74">
        <v>3758.8341</v>
      </c>
      <c r="BF28" s="74">
        <v>3740.3552</v>
      </c>
      <c r="BG28" s="74">
        <v>3722.3189000000002</v>
      </c>
      <c r="BH28" s="74">
        <v>3704.7682</v>
      </c>
      <c r="BI28" s="74">
        <v>3687.7399</v>
      </c>
      <c r="BJ28" s="74">
        <v>3671.2658999999999</v>
      </c>
    </row>
    <row r="29" spans="1:62" ht="14.25">
      <c r="A29" s="72" t="s">
        <v>414</v>
      </c>
      <c r="B29" s="75">
        <v>2515</v>
      </c>
      <c r="C29" s="75">
        <v>2523</v>
      </c>
      <c r="D29" s="75">
        <v>2531</v>
      </c>
      <c r="E29" s="75">
        <v>2537</v>
      </c>
      <c r="F29" s="75">
        <v>2541</v>
      </c>
      <c r="G29" s="75">
        <v>2545</v>
      </c>
      <c r="H29" s="75">
        <v>2547</v>
      </c>
      <c r="I29" s="75">
        <v>2548</v>
      </c>
      <c r="J29" s="75">
        <v>2551</v>
      </c>
      <c r="K29" s="75">
        <v>2555</v>
      </c>
      <c r="L29" s="75">
        <v>2560</v>
      </c>
      <c r="M29" s="75">
        <v>2552</v>
      </c>
      <c r="N29" s="75">
        <v>2550</v>
      </c>
      <c r="O29" s="75">
        <v>2537</v>
      </c>
      <c r="P29" s="75">
        <v>2531</v>
      </c>
      <c r="Q29" s="75">
        <v>2523</v>
      </c>
      <c r="R29" s="75">
        <v>2520</v>
      </c>
      <c r="S29" s="75">
        <v>2522</v>
      </c>
      <c r="T29" s="75">
        <v>2515</v>
      </c>
      <c r="U29" s="75">
        <v>2509</v>
      </c>
      <c r="V29" s="74">
        <v>2501</v>
      </c>
      <c r="W29" s="74">
        <v>2524.1109000000001</v>
      </c>
      <c r="X29" s="74">
        <v>2544.8152</v>
      </c>
      <c r="Y29" s="74">
        <v>2563.9506999999999</v>
      </c>
      <c r="Z29" s="74">
        <v>2581.4962</v>
      </c>
      <c r="AA29" s="74">
        <v>2597.4360000000001</v>
      </c>
      <c r="AB29" s="74">
        <v>2611.7606000000001</v>
      </c>
      <c r="AC29" s="74">
        <v>2624.4659999999999</v>
      </c>
      <c r="AD29" s="74">
        <v>2635.5545000000002</v>
      </c>
      <c r="AE29" s="74">
        <v>2645.0331999999999</v>
      </c>
      <c r="AF29" s="74">
        <v>2652.9158000000002</v>
      </c>
      <c r="AG29" s="74">
        <v>2659.2215000000001</v>
      </c>
      <c r="AH29" s="74">
        <v>2663.9755</v>
      </c>
      <c r="AI29" s="74">
        <v>2667.2080999999998</v>
      </c>
      <c r="AJ29" s="74">
        <v>2668.9564</v>
      </c>
      <c r="AK29" s="74">
        <v>2669.2624000000001</v>
      </c>
      <c r="AL29" s="74">
        <v>2668.1745000000001</v>
      </c>
      <c r="AM29" s="74">
        <v>2665.7465999999999</v>
      </c>
      <c r="AN29" s="74">
        <v>2662.0383000000002</v>
      </c>
      <c r="AO29" s="74">
        <v>2657.1149</v>
      </c>
      <c r="AP29" s="74">
        <v>2651.0477999999998</v>
      </c>
      <c r="AQ29" s="74">
        <v>2643.9144999999999</v>
      </c>
      <c r="AR29" s="74">
        <v>2635.7975000000001</v>
      </c>
      <c r="AS29" s="74">
        <v>2626.7853</v>
      </c>
      <c r="AT29" s="74">
        <v>2616.9724000000001</v>
      </c>
      <c r="AU29" s="74">
        <v>2606.4594000000002</v>
      </c>
      <c r="AV29" s="74">
        <v>2595.3515000000002</v>
      </c>
      <c r="AW29" s="74">
        <v>2583.761</v>
      </c>
      <c r="AX29" s="74">
        <v>2571.8051999999998</v>
      </c>
      <c r="AY29" s="74">
        <v>2559.6079</v>
      </c>
      <c r="AZ29" s="74">
        <v>2547.2975000000001</v>
      </c>
      <c r="BA29" s="74">
        <v>2535.0093000000002</v>
      </c>
      <c r="BB29" s="74">
        <v>2522.8843000000002</v>
      </c>
      <c r="BC29" s="74">
        <v>2511.0681</v>
      </c>
      <c r="BD29" s="74">
        <v>2499.7136999999998</v>
      </c>
      <c r="BE29" s="74">
        <v>2488.9791</v>
      </c>
      <c r="BF29" s="74">
        <v>2479.0275999999999</v>
      </c>
      <c r="BG29" s="74">
        <v>2470.0288</v>
      </c>
      <c r="BH29" s="74">
        <v>2462.1586000000002</v>
      </c>
      <c r="BI29" s="74">
        <v>2455.5978</v>
      </c>
      <c r="BJ29" s="74">
        <v>2450.5337</v>
      </c>
    </row>
    <row r="30" spans="1:62" ht="14.25">
      <c r="A30" s="72" t="s">
        <v>413</v>
      </c>
      <c r="B30" s="75">
        <v>517</v>
      </c>
      <c r="C30" s="75">
        <v>523</v>
      </c>
      <c r="D30" s="75">
        <v>529</v>
      </c>
      <c r="E30" s="75">
        <v>534</v>
      </c>
      <c r="F30" s="75">
        <v>539</v>
      </c>
      <c r="G30" s="75">
        <v>543</v>
      </c>
      <c r="H30" s="75">
        <v>548</v>
      </c>
      <c r="I30" s="75">
        <v>552</v>
      </c>
      <c r="J30" s="75">
        <v>554</v>
      </c>
      <c r="K30" s="75">
        <v>557</v>
      </c>
      <c r="L30" s="75">
        <v>563</v>
      </c>
      <c r="M30" s="75">
        <v>568</v>
      </c>
      <c r="N30" s="75">
        <v>571</v>
      </c>
      <c r="O30" s="75">
        <v>571</v>
      </c>
      <c r="P30" s="75">
        <v>576</v>
      </c>
      <c r="Q30" s="75">
        <v>577</v>
      </c>
      <c r="R30" s="75">
        <v>582</v>
      </c>
      <c r="S30" s="75">
        <v>586</v>
      </c>
      <c r="T30" s="75">
        <v>587</v>
      </c>
      <c r="U30" s="75">
        <v>590</v>
      </c>
      <c r="V30" s="74">
        <v>593</v>
      </c>
      <c r="W30" s="74">
        <v>597.07259999999997</v>
      </c>
      <c r="X30" s="74">
        <v>601.73289999999997</v>
      </c>
      <c r="Y30" s="74">
        <v>606.31870000000004</v>
      </c>
      <c r="Z30" s="74">
        <v>610.79309999999998</v>
      </c>
      <c r="AA30" s="74">
        <v>615.12279999999998</v>
      </c>
      <c r="AB30" s="74">
        <v>619.27599999999995</v>
      </c>
      <c r="AC30" s="74">
        <v>623.22450000000003</v>
      </c>
      <c r="AD30" s="74">
        <v>626.94240000000002</v>
      </c>
      <c r="AE30" s="74">
        <v>630.40610000000004</v>
      </c>
      <c r="AF30" s="74">
        <v>633.59490000000005</v>
      </c>
      <c r="AG30" s="74">
        <v>636.49069999999995</v>
      </c>
      <c r="AH30" s="74">
        <v>639.0779</v>
      </c>
      <c r="AI30" s="74">
        <v>641.34349999999995</v>
      </c>
      <c r="AJ30" s="74">
        <v>643.27729999999997</v>
      </c>
      <c r="AK30" s="74">
        <v>644.87170000000003</v>
      </c>
      <c r="AL30" s="74">
        <v>646.12099999999998</v>
      </c>
      <c r="AM30" s="74">
        <v>647.02319999999997</v>
      </c>
      <c r="AN30" s="74">
        <v>647.57839999999999</v>
      </c>
      <c r="AO30" s="74">
        <v>647.78880000000004</v>
      </c>
      <c r="AP30" s="74">
        <v>647.66030000000001</v>
      </c>
      <c r="AQ30" s="74">
        <v>647.20050000000003</v>
      </c>
      <c r="AR30" s="74">
        <v>646.41980000000001</v>
      </c>
      <c r="AS30" s="74">
        <v>645.33150000000001</v>
      </c>
      <c r="AT30" s="74">
        <v>643.95140000000004</v>
      </c>
      <c r="AU30" s="74">
        <v>642.29780000000005</v>
      </c>
      <c r="AV30" s="74">
        <v>640.39139999999998</v>
      </c>
      <c r="AW30" s="74">
        <v>638.25609999999995</v>
      </c>
      <c r="AX30" s="74">
        <v>635.91750000000002</v>
      </c>
      <c r="AY30" s="74">
        <v>633.40520000000004</v>
      </c>
      <c r="AZ30" s="74">
        <v>630.74990000000003</v>
      </c>
      <c r="BA30" s="74">
        <v>627.98559999999998</v>
      </c>
      <c r="BB30" s="74">
        <v>625.14909999999998</v>
      </c>
      <c r="BC30" s="74">
        <v>622.27980000000002</v>
      </c>
      <c r="BD30" s="74">
        <v>619.41890000000001</v>
      </c>
      <c r="BE30" s="74">
        <v>616.61130000000003</v>
      </c>
      <c r="BF30" s="74">
        <v>613.90390000000002</v>
      </c>
      <c r="BG30" s="74">
        <v>611.34609999999998</v>
      </c>
      <c r="BH30" s="74">
        <v>608.99030000000005</v>
      </c>
      <c r="BI30" s="74">
        <v>606.8913</v>
      </c>
      <c r="BJ30" s="74">
        <v>605.10670000000005</v>
      </c>
    </row>
    <row r="31" spans="1:62" ht="14.25">
      <c r="A31" s="72" t="s">
        <v>412</v>
      </c>
      <c r="B31" s="75">
        <v>554</v>
      </c>
      <c r="C31" s="75">
        <v>563</v>
      </c>
      <c r="D31" s="75">
        <v>572</v>
      </c>
      <c r="E31" s="75">
        <v>580</v>
      </c>
      <c r="F31" s="75">
        <v>588</v>
      </c>
      <c r="G31" s="75">
        <v>596</v>
      </c>
      <c r="H31" s="75">
        <v>604</v>
      </c>
      <c r="I31" s="75">
        <v>610</v>
      </c>
      <c r="J31" s="75">
        <v>618</v>
      </c>
      <c r="K31" s="75">
        <v>625</v>
      </c>
      <c r="L31" s="75">
        <v>633</v>
      </c>
      <c r="M31" s="75">
        <v>648</v>
      </c>
      <c r="N31" s="75">
        <v>659</v>
      </c>
      <c r="O31" s="75">
        <v>666</v>
      </c>
      <c r="P31" s="75">
        <v>678</v>
      </c>
      <c r="Q31" s="75">
        <v>684</v>
      </c>
      <c r="R31" s="75">
        <v>695</v>
      </c>
      <c r="S31" s="75">
        <v>705</v>
      </c>
      <c r="T31" s="75">
        <v>710</v>
      </c>
      <c r="U31" s="75">
        <v>717</v>
      </c>
      <c r="V31" s="74">
        <v>721</v>
      </c>
      <c r="W31" s="74">
        <v>726.48800000000006</v>
      </c>
      <c r="X31" s="74">
        <v>732.6123</v>
      </c>
      <c r="Y31" s="74">
        <v>738.56849999999997</v>
      </c>
      <c r="Z31" s="74">
        <v>744.32100000000003</v>
      </c>
      <c r="AA31" s="74">
        <v>749.83669999999995</v>
      </c>
      <c r="AB31" s="74">
        <v>755.08569999999997</v>
      </c>
      <c r="AC31" s="74">
        <v>760.04020000000003</v>
      </c>
      <c r="AD31" s="74">
        <v>764.67589999999996</v>
      </c>
      <c r="AE31" s="74">
        <v>768.97090000000003</v>
      </c>
      <c r="AF31" s="74">
        <v>772.90660000000003</v>
      </c>
      <c r="AG31" s="74">
        <v>776.46680000000003</v>
      </c>
      <c r="AH31" s="74">
        <v>779.63819999999998</v>
      </c>
      <c r="AI31" s="74">
        <v>782.41030000000001</v>
      </c>
      <c r="AJ31" s="74">
        <v>784.77549999999997</v>
      </c>
      <c r="AK31" s="74">
        <v>786.72919999999999</v>
      </c>
      <c r="AL31" s="74">
        <v>788.26900000000001</v>
      </c>
      <c r="AM31" s="74">
        <v>789.39589999999998</v>
      </c>
      <c r="AN31" s="74">
        <v>790.11369999999999</v>
      </c>
      <c r="AO31" s="74">
        <v>790.42870000000005</v>
      </c>
      <c r="AP31" s="74">
        <v>790.35029999999995</v>
      </c>
      <c r="AQ31" s="74">
        <v>789.8904</v>
      </c>
      <c r="AR31" s="74">
        <v>789.06410000000005</v>
      </c>
      <c r="AS31" s="74">
        <v>787.88900000000001</v>
      </c>
      <c r="AT31" s="74">
        <v>786.38570000000004</v>
      </c>
      <c r="AU31" s="74">
        <v>784.57749999999999</v>
      </c>
      <c r="AV31" s="74">
        <v>782.49080000000004</v>
      </c>
      <c r="AW31" s="74">
        <v>780.15449999999998</v>
      </c>
      <c r="AX31" s="74">
        <v>777.60029999999995</v>
      </c>
      <c r="AY31" s="74">
        <v>774.86270000000002</v>
      </c>
      <c r="AZ31" s="74">
        <v>771.97969999999998</v>
      </c>
      <c r="BA31" s="74">
        <v>768.99099999999999</v>
      </c>
      <c r="BB31" s="74">
        <v>765.94</v>
      </c>
      <c r="BC31" s="74">
        <v>762.87260000000003</v>
      </c>
      <c r="BD31" s="74">
        <v>759.83730000000003</v>
      </c>
      <c r="BE31" s="74">
        <v>756.88589999999999</v>
      </c>
      <c r="BF31" s="74">
        <v>754.07259999999997</v>
      </c>
      <c r="BG31" s="74">
        <v>751.45479999999998</v>
      </c>
      <c r="BH31" s="74">
        <v>749.0924</v>
      </c>
      <c r="BI31" s="74">
        <v>747.04790000000003</v>
      </c>
      <c r="BJ31" s="74">
        <v>745.38750000000005</v>
      </c>
    </row>
    <row r="32" spans="1:62" ht="14.25">
      <c r="A32" s="72" t="s">
        <v>411</v>
      </c>
      <c r="B32" s="75">
        <v>1849</v>
      </c>
      <c r="C32" s="75">
        <v>1876</v>
      </c>
      <c r="D32" s="75">
        <v>1905</v>
      </c>
      <c r="E32" s="75">
        <v>1934</v>
      </c>
      <c r="F32" s="75">
        <v>1963</v>
      </c>
      <c r="G32" s="75">
        <v>2010</v>
      </c>
      <c r="H32" s="75">
        <v>2050</v>
      </c>
      <c r="I32" s="75">
        <v>2095</v>
      </c>
      <c r="J32" s="75">
        <v>2131</v>
      </c>
      <c r="K32" s="75">
        <v>2159</v>
      </c>
      <c r="L32" s="75">
        <v>2185</v>
      </c>
      <c r="M32" s="75">
        <v>2225</v>
      </c>
      <c r="N32" s="75">
        <v>2253</v>
      </c>
      <c r="O32" s="75">
        <v>2285</v>
      </c>
      <c r="P32" s="75">
        <v>2325</v>
      </c>
      <c r="Q32" s="75">
        <v>2385</v>
      </c>
      <c r="R32" s="75">
        <v>2428</v>
      </c>
      <c r="S32" s="75">
        <v>2480</v>
      </c>
      <c r="T32" s="75">
        <v>2520</v>
      </c>
      <c r="U32" s="75">
        <v>2559</v>
      </c>
      <c r="V32" s="74">
        <v>2590</v>
      </c>
      <c r="W32" s="74">
        <v>2762.6777000000002</v>
      </c>
      <c r="X32" s="74">
        <v>2783.2948999999999</v>
      </c>
      <c r="Y32" s="74">
        <v>2803.2613999999999</v>
      </c>
      <c r="Z32" s="74">
        <v>2822.4702000000002</v>
      </c>
      <c r="AA32" s="74">
        <v>2840.8220000000001</v>
      </c>
      <c r="AB32" s="74">
        <v>2858.2258999999999</v>
      </c>
      <c r="AC32" s="74">
        <v>2874.5988000000002</v>
      </c>
      <c r="AD32" s="74">
        <v>2889.8663999999999</v>
      </c>
      <c r="AE32" s="74">
        <v>2903.962</v>
      </c>
      <c r="AF32" s="74">
        <v>2916.8276999999998</v>
      </c>
      <c r="AG32" s="74">
        <v>2928.4132</v>
      </c>
      <c r="AH32" s="74">
        <v>2938.6763999999998</v>
      </c>
      <c r="AI32" s="74">
        <v>2947.5839999999998</v>
      </c>
      <c r="AJ32" s="74">
        <v>2955.1107000000002</v>
      </c>
      <c r="AK32" s="74">
        <v>2961.2390999999998</v>
      </c>
      <c r="AL32" s="74">
        <v>2965.9596999999999</v>
      </c>
      <c r="AM32" s="74">
        <v>2969.2727</v>
      </c>
      <c r="AN32" s="74">
        <v>2971.1844999999998</v>
      </c>
      <c r="AO32" s="74">
        <v>2971.7109</v>
      </c>
      <c r="AP32" s="74">
        <v>2970.8760000000002</v>
      </c>
      <c r="AQ32" s="74">
        <v>2968.7114999999999</v>
      </c>
      <c r="AR32" s="74">
        <v>2965.2573000000002</v>
      </c>
      <c r="AS32" s="74">
        <v>2960.5621000000001</v>
      </c>
      <c r="AT32" s="74">
        <v>2954.6826999999998</v>
      </c>
      <c r="AU32" s="74">
        <v>2947.6833999999999</v>
      </c>
      <c r="AV32" s="74">
        <v>2939.6372000000001</v>
      </c>
      <c r="AW32" s="74">
        <v>2930.6253999999999</v>
      </c>
      <c r="AX32" s="74">
        <v>2920.7372</v>
      </c>
      <c r="AY32" s="74">
        <v>2910.0706</v>
      </c>
      <c r="AZ32" s="74">
        <v>2898.7309</v>
      </c>
      <c r="BA32" s="74">
        <v>2886.8321999999998</v>
      </c>
      <c r="BB32" s="74">
        <v>2874.4969000000001</v>
      </c>
      <c r="BC32" s="74">
        <v>2861.8548000000001</v>
      </c>
      <c r="BD32" s="74">
        <v>2849.0446000000002</v>
      </c>
      <c r="BE32" s="74">
        <v>2836.2136</v>
      </c>
      <c r="BF32" s="74">
        <v>2823.5160999999998</v>
      </c>
      <c r="BG32" s="74">
        <v>2811.1156000000001</v>
      </c>
      <c r="BH32" s="74">
        <v>2799.1833999999999</v>
      </c>
      <c r="BI32" s="74">
        <v>2787.8991999999998</v>
      </c>
      <c r="BJ32" s="74">
        <v>2777.4503</v>
      </c>
    </row>
    <row r="34" spans="1:62" ht="14.25">
      <c r="A34" s="72" t="s">
        <v>440</v>
      </c>
      <c r="B34" s="73"/>
      <c r="C34" s="73"/>
      <c r="D34" s="73"/>
      <c r="E34" s="73"/>
      <c r="F34" s="73"/>
      <c r="G34" s="73">
        <v>1286</v>
      </c>
      <c r="H34" s="73">
        <v>1350</v>
      </c>
      <c r="I34" s="73">
        <v>1416</v>
      </c>
      <c r="J34" s="73">
        <v>1504</v>
      </c>
      <c r="K34" s="73">
        <v>1581</v>
      </c>
      <c r="L34" s="73">
        <v>1686</v>
      </c>
      <c r="M34" s="73">
        <v>1745</v>
      </c>
      <c r="N34" s="73">
        <v>1793</v>
      </c>
      <c r="O34" s="73">
        <v>1836</v>
      </c>
      <c r="P34" s="73">
        <v>1878</v>
      </c>
      <c r="Q34" s="73">
        <v>1897</v>
      </c>
      <c r="R34" s="73">
        <v>1904</v>
      </c>
      <c r="S34" s="73">
        <v>1907</v>
      </c>
      <c r="T34" s="73">
        <v>1909</v>
      </c>
      <c r="U34" s="73">
        <v>1912.9999999999998</v>
      </c>
      <c r="V34" s="73">
        <v>1916</v>
      </c>
      <c r="W34" s="73">
        <v>1932.7020710370032</v>
      </c>
      <c r="X34" s="73">
        <v>1960.2733952150472</v>
      </c>
      <c r="Y34" s="73">
        <v>1984.5841148408631</v>
      </c>
      <c r="Z34" s="73">
        <v>2005.924475242542</v>
      </c>
      <c r="AA34" s="73">
        <v>2024.57583</v>
      </c>
      <c r="AB34" s="73">
        <v>2028.6286133757521</v>
      </c>
      <c r="AC34" s="73">
        <v>2030.4307407989477</v>
      </c>
      <c r="AD34" s="73">
        <v>2030.2682064385931</v>
      </c>
      <c r="AE34" s="73">
        <v>2028.4097540348223</v>
      </c>
      <c r="AF34" s="73">
        <v>2025.106687514138</v>
      </c>
      <c r="AG34" s="73">
        <v>2020.593314863135</v>
      </c>
      <c r="AH34" s="73">
        <v>2015.0859440923389</v>
      </c>
      <c r="AI34" s="73">
        <v>2008.7837796395661</v>
      </c>
      <c r="AJ34" s="73">
        <v>2001.8679161664977</v>
      </c>
      <c r="AK34" s="73">
        <v>1994.5018729999999</v>
      </c>
      <c r="AL34" s="73">
        <v>1994.5602945449998</v>
      </c>
      <c r="AM34" s="73">
        <v>1994.4105214351496</v>
      </c>
      <c r="AN34" s="73">
        <v>1994.1610761164134</v>
      </c>
      <c r="AO34" s="73">
        <v>1993.9036505879296</v>
      </c>
      <c r="AP34" s="73">
        <v>1993.7126582560388</v>
      </c>
      <c r="AQ34" s="73">
        <v>1991.2118907473011</v>
      </c>
      <c r="AR34" s="73">
        <v>1988.875649753177</v>
      </c>
      <c r="AS34" s="73">
        <v>1986.7232792900363</v>
      </c>
      <c r="AT34" s="73">
        <v>1984.7550786794363</v>
      </c>
      <c r="AU34" s="73">
        <v>1982.9518454860049</v>
      </c>
      <c r="AV34" s="73">
        <v>1981.2745076252429</v>
      </c>
      <c r="AW34" s="73">
        <v>1979.6640386781271</v>
      </c>
      <c r="AX34" s="73">
        <v>1978.0404139927089</v>
      </c>
      <c r="AY34" s="73">
        <v>1976.3031881196889</v>
      </c>
      <c r="AZ34" s="73">
        <v>1974.3302490444244</v>
      </c>
      <c r="BA34" s="73">
        <v>1967.0207079999998</v>
      </c>
      <c r="BB34" s="73">
        <v>1956.746371</v>
      </c>
      <c r="BC34" s="73">
        <v>1945.7951680000001</v>
      </c>
      <c r="BD34" s="73">
        <v>1933.9667939999999</v>
      </c>
      <c r="BE34" s="73">
        <v>1921.0408649999999</v>
      </c>
      <c r="BF34" s="73">
        <v>1906.7774999999999</v>
      </c>
      <c r="BG34" s="73">
        <v>1890.916739</v>
      </c>
      <c r="BH34" s="73">
        <v>1873.1788340000001</v>
      </c>
      <c r="BI34" s="73">
        <v>1853.2642489999998</v>
      </c>
      <c r="BJ34" s="73">
        <v>1830.8537570000001</v>
      </c>
    </row>
    <row r="35" spans="1:62" ht="14.25">
      <c r="A35" s="72" t="s">
        <v>439</v>
      </c>
      <c r="B35" s="73"/>
      <c r="C35" s="73"/>
      <c r="D35" s="73"/>
      <c r="E35" s="73"/>
      <c r="F35" s="73"/>
      <c r="G35" s="73">
        <v>783</v>
      </c>
      <c r="H35" s="73">
        <v>814</v>
      </c>
      <c r="I35" s="73">
        <v>851</v>
      </c>
      <c r="J35" s="73">
        <v>908</v>
      </c>
      <c r="K35" s="73">
        <v>958</v>
      </c>
      <c r="L35" s="73">
        <v>1034</v>
      </c>
      <c r="M35" s="73">
        <v>1079</v>
      </c>
      <c r="N35" s="73">
        <v>1124</v>
      </c>
      <c r="O35" s="73">
        <v>1160</v>
      </c>
      <c r="P35" s="73">
        <v>1180</v>
      </c>
      <c r="Q35" s="73">
        <v>1193</v>
      </c>
      <c r="R35" s="73">
        <v>1202</v>
      </c>
      <c r="S35" s="73">
        <v>1178</v>
      </c>
      <c r="T35" s="73">
        <v>1161</v>
      </c>
      <c r="U35" s="73">
        <v>1168</v>
      </c>
      <c r="V35" s="73">
        <v>1175</v>
      </c>
      <c r="W35" s="73">
        <v>1184.9890411507647</v>
      </c>
      <c r="X35" s="73">
        <v>1195.5898075120867</v>
      </c>
      <c r="Y35" s="73">
        <v>1204.4504772491355</v>
      </c>
      <c r="Z35" s="73">
        <v>1211.7148835501005</v>
      </c>
      <c r="AA35" s="73">
        <v>1217.521522</v>
      </c>
      <c r="AB35" s="73">
        <v>1222.0835010350615</v>
      </c>
      <c r="AC35" s="73">
        <v>1225.448697652118</v>
      </c>
      <c r="AD35" s="73">
        <v>1227.7388245876491</v>
      </c>
      <c r="AE35" s="73">
        <v>1229.0695923939923</v>
      </c>
      <c r="AF35" s="73">
        <v>1229.5508539724797</v>
      </c>
      <c r="AG35" s="73">
        <v>1229.2864898856435</v>
      </c>
      <c r="AH35" s="73">
        <v>1228.3742924384896</v>
      </c>
      <c r="AI35" s="73">
        <v>1226.9058485187745</v>
      </c>
      <c r="AJ35" s="73">
        <v>1224.9660664047544</v>
      </c>
      <c r="AK35" s="73">
        <v>1222.6337619999999</v>
      </c>
      <c r="AL35" s="73">
        <v>1221.883905405</v>
      </c>
      <c r="AM35" s="73">
        <v>1220.8727820053248</v>
      </c>
      <c r="AN35" s="73">
        <v>1219.6577528471901</v>
      </c>
      <c r="AO35" s="73">
        <v>1218.289828396933</v>
      </c>
      <c r="AP35" s="73">
        <v>1216.8130388790289</v>
      </c>
      <c r="AQ35" s="73">
        <v>1213.7810846410266</v>
      </c>
      <c r="AR35" s="73">
        <v>1210.7126906574367</v>
      </c>
      <c r="AS35" s="73">
        <v>1207.6302489513535</v>
      </c>
      <c r="AT35" s="73">
        <v>1204.5485253557224</v>
      </c>
      <c r="AU35" s="73">
        <v>1201.4744194389593</v>
      </c>
      <c r="AV35" s="73">
        <v>1198.40700064675</v>
      </c>
      <c r="AW35" s="73">
        <v>1195.3369848476623</v>
      </c>
      <c r="AX35" s="73">
        <v>1192.247141093143</v>
      </c>
      <c r="AY35" s="73">
        <v>1189.1114822551172</v>
      </c>
      <c r="AZ35" s="73">
        <v>1185.8957655214074</v>
      </c>
      <c r="BA35" s="73">
        <v>1182.5566745737499</v>
      </c>
      <c r="BB35" s="73">
        <v>1179.0423215102278</v>
      </c>
      <c r="BC35" s="73">
        <v>1175.2914204643589</v>
      </c>
      <c r="BD35" s="73">
        <v>1171.23379092972</v>
      </c>
      <c r="BE35" s="73">
        <v>1166.7896192704607</v>
      </c>
      <c r="BF35" s="73">
        <v>1161.8696744985648</v>
      </c>
      <c r="BG35" s="73">
        <v>1153.0351199999998</v>
      </c>
      <c r="BH35" s="73">
        <v>1142.5630000000001</v>
      </c>
      <c r="BI35" s="73">
        <v>1131.3589180000001</v>
      </c>
      <c r="BJ35" s="73">
        <v>1119.304243</v>
      </c>
    </row>
    <row r="36" spans="1:62" ht="14.25">
      <c r="A36" s="72" t="s">
        <v>438</v>
      </c>
      <c r="B36" s="73"/>
      <c r="C36" s="73"/>
      <c r="D36" s="73"/>
      <c r="E36" s="73"/>
      <c r="F36" s="73"/>
      <c r="G36" s="73">
        <v>2582</v>
      </c>
      <c r="H36" s="73">
        <v>2674</v>
      </c>
      <c r="I36" s="73">
        <v>2795</v>
      </c>
      <c r="J36" s="73">
        <v>2928</v>
      </c>
      <c r="K36" s="73">
        <v>3077</v>
      </c>
      <c r="L36" s="73">
        <v>3201</v>
      </c>
      <c r="M36" s="73">
        <v>3297</v>
      </c>
      <c r="N36" s="73">
        <v>3384</v>
      </c>
      <c r="O36" s="73">
        <v>3500</v>
      </c>
      <c r="P36" s="73">
        <v>3615</v>
      </c>
      <c r="Q36" s="73">
        <v>3795</v>
      </c>
      <c r="R36" s="73">
        <v>3973</v>
      </c>
      <c r="S36" s="73">
        <v>4130</v>
      </c>
      <c r="T36" s="73">
        <v>4257</v>
      </c>
      <c r="U36" s="73">
        <v>4377</v>
      </c>
      <c r="V36" s="73">
        <v>4484</v>
      </c>
      <c r="W36" s="73">
        <v>4587.0805788399566</v>
      </c>
      <c r="X36" s="73">
        <v>4681.5559006175772</v>
      </c>
      <c r="Y36" s="73">
        <v>4775.6919057601808</v>
      </c>
      <c r="Z36" s="73">
        <v>4869.4075595093536</v>
      </c>
      <c r="AA36" s="73">
        <v>4962.6248750000004</v>
      </c>
      <c r="AB36" s="73">
        <v>5015.5977946625244</v>
      </c>
      <c r="AC36" s="73">
        <v>5066.7990435636402</v>
      </c>
      <c r="AD36" s="73">
        <v>5116.1923721850335</v>
      </c>
      <c r="AE36" s="73">
        <v>5163.747473410257</v>
      </c>
      <c r="AF36" s="73">
        <v>5209.440013238449</v>
      </c>
      <c r="AG36" s="73">
        <v>5253.2530847904491</v>
      </c>
      <c r="AH36" s="73">
        <v>5295.1754359661327</v>
      </c>
      <c r="AI36" s="73">
        <v>5335.2031292053034</v>
      </c>
      <c r="AJ36" s="73">
        <v>5373.339533503502</v>
      </c>
      <c r="AK36" s="73">
        <v>5409.5955899999999</v>
      </c>
      <c r="AL36" s="73">
        <v>5430.8137337999988</v>
      </c>
      <c r="AM36" s="73">
        <v>5450.0709826079983</v>
      </c>
      <c r="AN36" s="73">
        <v>5467.4159502302537</v>
      </c>
      <c r="AO36" s="73">
        <v>5482.9049510596205</v>
      </c>
      <c r="AP36" s="73">
        <v>5496.6031109148935</v>
      </c>
      <c r="AQ36" s="73">
        <v>5501.8609136102068</v>
      </c>
      <c r="AR36" s="73">
        <v>5505.4661635965776</v>
      </c>
      <c r="AS36" s="73">
        <v>5507.515195394144</v>
      </c>
      <c r="AT36" s="73">
        <v>5508.1130787988686</v>
      </c>
      <c r="AU36" s="73">
        <v>5507.3739153538345</v>
      </c>
      <c r="AV36" s="73">
        <v>5505.4199652494126</v>
      </c>
      <c r="AW36" s="73">
        <v>5502.3834053004839</v>
      </c>
      <c r="AX36" s="73">
        <v>5498.405092629554</v>
      </c>
      <c r="AY36" s="73">
        <v>5493.6350801848876</v>
      </c>
      <c r="AZ36" s="73">
        <v>5488.2329931778231</v>
      </c>
      <c r="BA36" s="73">
        <v>5482.3683374301345</v>
      </c>
      <c r="BB36" s="73">
        <v>5476.2202872223825</v>
      </c>
      <c r="BC36" s="73">
        <v>5469.977692509502</v>
      </c>
      <c r="BD36" s="73">
        <v>5463.8401435668693</v>
      </c>
      <c r="BE36" s="73">
        <v>5458.0167797008107</v>
      </c>
      <c r="BF36" s="73">
        <v>5452.7275843374682</v>
      </c>
      <c r="BG36" s="73">
        <v>5448.2032538598678</v>
      </c>
      <c r="BH36" s="73">
        <v>5444.6849077797815</v>
      </c>
      <c r="BI36" s="73">
        <v>5442.4253321278929</v>
      </c>
      <c r="BJ36" s="73">
        <v>5441.6872310956796</v>
      </c>
    </row>
    <row r="37" spans="1:62" ht="14.25">
      <c r="A37" s="72" t="s">
        <v>437</v>
      </c>
      <c r="B37" s="73"/>
      <c r="C37" s="73"/>
      <c r="D37" s="73"/>
      <c r="E37" s="73"/>
      <c r="F37" s="73"/>
      <c r="G37" s="73">
        <v>1413</v>
      </c>
      <c r="H37" s="73">
        <v>1451</v>
      </c>
      <c r="I37" s="73">
        <v>1494</v>
      </c>
      <c r="J37" s="73">
        <v>1539</v>
      </c>
      <c r="K37" s="73">
        <v>1576</v>
      </c>
      <c r="L37" s="73">
        <v>1717</v>
      </c>
      <c r="M37" s="73">
        <v>1774</v>
      </c>
      <c r="N37" s="73">
        <v>1821</v>
      </c>
      <c r="O37" s="73">
        <v>1869</v>
      </c>
      <c r="P37" s="73">
        <v>1916</v>
      </c>
      <c r="Q37" s="73">
        <v>1966</v>
      </c>
      <c r="R37" s="73">
        <v>2011.9999999999998</v>
      </c>
      <c r="S37" s="73">
        <v>2057</v>
      </c>
      <c r="T37" s="73">
        <v>2096</v>
      </c>
      <c r="U37" s="73">
        <v>2143</v>
      </c>
      <c r="V37" s="73">
        <v>2182</v>
      </c>
      <c r="W37" s="73">
        <v>2234.1322111206896</v>
      </c>
      <c r="X37" s="73">
        <v>2292.0291313383336</v>
      </c>
      <c r="Y37" s="73">
        <v>2349.5565844100465</v>
      </c>
      <c r="Z37" s="73">
        <v>2406.6733549915043</v>
      </c>
      <c r="AA37" s="73">
        <v>2463.3414800000005</v>
      </c>
      <c r="AB37" s="73">
        <v>2493.6097321026509</v>
      </c>
      <c r="AC37" s="73">
        <v>2522.486947143665</v>
      </c>
      <c r="AD37" s="73">
        <v>2549.9737331861361</v>
      </c>
      <c r="AE37" s="73">
        <v>2576.0748838918194</v>
      </c>
      <c r="AF37" s="73">
        <v>2600.7990991289967</v>
      </c>
      <c r="AG37" s="73">
        <v>2624.1588324365616</v>
      </c>
      <c r="AH37" s="73">
        <v>2646.1709151801451</v>
      </c>
      <c r="AI37" s="73">
        <v>2666.8564849237596</v>
      </c>
      <c r="AJ37" s="73">
        <v>2686.2409800413875</v>
      </c>
      <c r="AK37" s="73">
        <v>2704.3545690000001</v>
      </c>
      <c r="AL37" s="73">
        <v>2715.5030574599996</v>
      </c>
      <c r="AM37" s="73">
        <v>2725.4010597524993</v>
      </c>
      <c r="AN37" s="73">
        <v>2734.1011979622745</v>
      </c>
      <c r="AO37" s="73">
        <v>2741.6603169122059</v>
      </c>
      <c r="AP37" s="73">
        <v>2748.1397246733968</v>
      </c>
      <c r="AQ37" s="73">
        <v>2750.2463018998069</v>
      </c>
      <c r="AR37" s="73">
        <v>2751.4049017011648</v>
      </c>
      <c r="AS37" s="73">
        <v>2751.6957583618337</v>
      </c>
      <c r="AT37" s="73">
        <v>2751.2038171950057</v>
      </c>
      <c r="AU37" s="73">
        <v>2750.0188877604965</v>
      </c>
      <c r="AV37" s="73">
        <v>2748.2357996344349</v>
      </c>
      <c r="AW37" s="73">
        <v>2745.9545607607229</v>
      </c>
      <c r="AX37" s="73">
        <v>2743.2804412816054</v>
      </c>
      <c r="AY37" s="73">
        <v>2740.3236711449167</v>
      </c>
      <c r="AZ37" s="73">
        <v>2737.2001401583789</v>
      </c>
      <c r="BA37" s="73">
        <v>2734.0310988285041</v>
      </c>
      <c r="BB37" s="73">
        <v>2730.9430862478362</v>
      </c>
      <c r="BC37" s="73">
        <v>2728.0687199203435</v>
      </c>
      <c r="BD37" s="73">
        <v>2725.545766764465</v>
      </c>
      <c r="BE37" s="73">
        <v>2723.5180133696676</v>
      </c>
      <c r="BF37" s="73">
        <v>2722.1352805838542</v>
      </c>
      <c r="BG37" s="73">
        <v>2721.553277708163</v>
      </c>
      <c r="BH37" s="73">
        <v>2721.9333721617845</v>
      </c>
      <c r="BI37" s="73">
        <v>2723.4438803495796</v>
      </c>
      <c r="BJ37" s="73">
        <v>2726.2584008517488</v>
      </c>
    </row>
    <row r="38" spans="1:62" ht="14.25">
      <c r="A38" s="72" t="s">
        <v>436</v>
      </c>
      <c r="B38" s="73"/>
      <c r="C38" s="73"/>
      <c r="D38" s="73"/>
      <c r="E38" s="73"/>
      <c r="F38" s="73"/>
      <c r="G38" s="73">
        <v>1134</v>
      </c>
      <c r="H38" s="73">
        <v>1175</v>
      </c>
      <c r="I38" s="73">
        <v>1218</v>
      </c>
      <c r="J38" s="73">
        <v>1264.0000000000002</v>
      </c>
      <c r="K38" s="73">
        <v>1313</v>
      </c>
      <c r="L38" s="73">
        <v>1372</v>
      </c>
      <c r="M38" s="73">
        <v>1409</v>
      </c>
      <c r="N38" s="73">
        <v>1439</v>
      </c>
      <c r="O38" s="73">
        <v>1468.9999999999998</v>
      </c>
      <c r="P38" s="73">
        <v>1493</v>
      </c>
      <c r="Q38" s="73">
        <v>1515.0000000000002</v>
      </c>
      <c r="R38" s="73">
        <v>1544</v>
      </c>
      <c r="S38" s="73">
        <v>1572</v>
      </c>
      <c r="T38" s="73">
        <v>1587</v>
      </c>
      <c r="U38" s="73">
        <v>1605</v>
      </c>
      <c r="V38" s="73">
        <v>1621.9999999999998</v>
      </c>
      <c r="W38" s="73">
        <v>1651.2289404166668</v>
      </c>
      <c r="X38" s="73">
        <v>1665.4379534364532</v>
      </c>
      <c r="Y38" s="73">
        <v>1678.233186679744</v>
      </c>
      <c r="Z38" s="73">
        <v>1689.6696332914025</v>
      </c>
      <c r="AA38" s="73">
        <v>1699.8024419999999</v>
      </c>
      <c r="AB38" s="73">
        <v>1711.0294361505712</v>
      </c>
      <c r="AC38" s="73">
        <v>1721.0842482106559</v>
      </c>
      <c r="AD38" s="73">
        <v>1730.0145068328168</v>
      </c>
      <c r="AE38" s="73">
        <v>1737.8674505680324</v>
      </c>
      <c r="AF38" s="73">
        <v>1744.6899099572472</v>
      </c>
      <c r="AG38" s="73">
        <v>1750.5285724895177</v>
      </c>
      <c r="AH38" s="73">
        <v>1755.4289038862034</v>
      </c>
      <c r="AI38" s="73">
        <v>1759.4357552515496</v>
      </c>
      <c r="AJ38" s="73">
        <v>1762.5944880309039</v>
      </c>
      <c r="AK38" s="73">
        <v>1764.9482399999999</v>
      </c>
      <c r="AL38" s="73">
        <v>1767.83360004</v>
      </c>
      <c r="AM38" s="73">
        <v>1770.0025791005996</v>
      </c>
      <c r="AN38" s="73">
        <v>1771.4955954699351</v>
      </c>
      <c r="AO38" s="73">
        <v>1772.3528083852632</v>
      </c>
      <c r="AP38" s="73">
        <v>1772.6129932817853</v>
      </c>
      <c r="AQ38" s="73">
        <v>1770.1524726821401</v>
      </c>
      <c r="AR38" s="73">
        <v>1767.1764470409203</v>
      </c>
      <c r="AS38" s="73">
        <v>1763.7242243569633</v>
      </c>
      <c r="AT38" s="73">
        <v>1759.8338756378764</v>
      </c>
      <c r="AU38" s="73">
        <v>1755.5423561333309</v>
      </c>
      <c r="AV38" s="73">
        <v>1750.8863846738834</v>
      </c>
      <c r="AW38" s="73">
        <v>1745.901069494128</v>
      </c>
      <c r="AX38" s="73">
        <v>1740.6209374722455</v>
      </c>
      <c r="AY38" s="73">
        <v>1735.0789252494344</v>
      </c>
      <c r="AZ38" s="73">
        <v>1729.307647212614</v>
      </c>
      <c r="BA38" s="73">
        <v>1723.3382304622428</v>
      </c>
      <c r="BB38" s="73">
        <v>1717.2005136655644</v>
      </c>
      <c r="BC38" s="73">
        <v>1710.923870945106</v>
      </c>
      <c r="BD38" s="73">
        <v>1704.5361093560753</v>
      </c>
      <c r="BE38" s="73">
        <v>1698.0636693795154</v>
      </c>
      <c r="BF38" s="73">
        <v>1691.5323791450717</v>
      </c>
      <c r="BG38" s="73">
        <v>1684.9657863769605</v>
      </c>
      <c r="BH38" s="73">
        <v>1678.3879555151186</v>
      </c>
      <c r="BI38" s="73">
        <v>1671.8202230222407</v>
      </c>
      <c r="BJ38" s="73">
        <v>1665.282734345471</v>
      </c>
    </row>
    <row r="39" spans="1:62" ht="14.25">
      <c r="A39" s="72" t="s">
        <v>435</v>
      </c>
      <c r="B39" s="73"/>
      <c r="C39" s="73"/>
      <c r="D39" s="73"/>
      <c r="E39" s="73"/>
      <c r="F39" s="73"/>
      <c r="G39" s="73">
        <v>2478</v>
      </c>
      <c r="H39" s="73">
        <v>2519</v>
      </c>
      <c r="I39" s="73">
        <v>2544</v>
      </c>
      <c r="J39" s="73">
        <v>2591</v>
      </c>
      <c r="K39" s="73">
        <v>2620</v>
      </c>
      <c r="L39" s="73">
        <v>2716.9999999999995</v>
      </c>
      <c r="M39" s="73">
        <v>2805</v>
      </c>
      <c r="N39" s="73">
        <v>2872</v>
      </c>
      <c r="O39" s="73">
        <v>2901</v>
      </c>
      <c r="P39" s="73">
        <v>2922</v>
      </c>
      <c r="Q39" s="73">
        <v>2952</v>
      </c>
      <c r="R39" s="73">
        <v>2980</v>
      </c>
      <c r="S39" s="73">
        <v>2996</v>
      </c>
      <c r="T39" s="73">
        <v>3015</v>
      </c>
      <c r="U39" s="73">
        <v>3046</v>
      </c>
      <c r="V39" s="73">
        <v>3070</v>
      </c>
      <c r="W39" s="73">
        <v>3101.3982870655004</v>
      </c>
      <c r="X39" s="73">
        <v>3069.4417079048162</v>
      </c>
      <c r="Y39" s="73">
        <v>3034.3958062404245</v>
      </c>
      <c r="Z39" s="73">
        <v>2996.6189875037689</v>
      </c>
      <c r="AA39" s="73">
        <v>2956.4461049999995</v>
      </c>
      <c r="AB39" s="73">
        <v>2966.1769543271212</v>
      </c>
      <c r="AC39" s="73">
        <v>2973.4599096335792</v>
      </c>
      <c r="AD39" s="73">
        <v>2978.4593103482775</v>
      </c>
      <c r="AE39" s="73">
        <v>2981.3353397387618</v>
      </c>
      <c r="AF39" s="73">
        <v>2982.2433406028927</v>
      </c>
      <c r="AG39" s="73">
        <v>2981.3348136819623</v>
      </c>
      <c r="AH39" s="73">
        <v>2978.7570214729581</v>
      </c>
      <c r="AI39" s="73">
        <v>2974.6517265253333</v>
      </c>
      <c r="AJ39" s="73">
        <v>2969.156838314942</v>
      </c>
      <c r="AK39" s="73">
        <v>2962.40472</v>
      </c>
      <c r="AL39" s="73">
        <v>2956.6856789999997</v>
      </c>
      <c r="AM39" s="73">
        <v>2949.9481087901995</v>
      </c>
      <c r="AN39" s="73">
        <v>2942.3075496037277</v>
      </c>
      <c r="AO39" s="73">
        <v>2933.873994405606</v>
      </c>
      <c r="AP39" s="73">
        <v>2924.7523844427656</v>
      </c>
      <c r="AQ39" s="73">
        <v>2911.4849534766445</v>
      </c>
      <c r="AR39" s="73">
        <v>2897.7524317851858</v>
      </c>
      <c r="AS39" s="73">
        <v>2883.6441219281496</v>
      </c>
      <c r="AT39" s="73">
        <v>2869.2436664686174</v>
      </c>
      <c r="AU39" s="73">
        <v>2854.628025574711</v>
      </c>
      <c r="AV39" s="73">
        <v>2839.867263337183</v>
      </c>
      <c r="AW39" s="73">
        <v>2825.0255434102437</v>
      </c>
      <c r="AX39" s="73">
        <v>2810.1592578563814</v>
      </c>
      <c r="AY39" s="73">
        <v>2795.3183222190682</v>
      </c>
      <c r="AZ39" s="73">
        <v>2780.5460452697712</v>
      </c>
      <c r="BA39" s="73">
        <v>2765.8771506740568</v>
      </c>
      <c r="BB39" s="73">
        <v>2751.3400802667966</v>
      </c>
      <c r="BC39" s="73">
        <v>2736.9554752345739</v>
      </c>
      <c r="BD39" s="73">
        <v>2722.7358693285496</v>
      </c>
      <c r="BE39" s="73">
        <v>2708.6867827825513</v>
      </c>
      <c r="BF39" s="73">
        <v>2694.8048634248203</v>
      </c>
      <c r="BG39" s="73">
        <v>2681.0792925800479</v>
      </c>
      <c r="BH39" s="73">
        <v>2667.4897488711313</v>
      </c>
      <c r="BI39" s="73">
        <v>2654.0095609318319</v>
      </c>
      <c r="BJ39" s="73">
        <v>2640.6019292904498</v>
      </c>
    </row>
    <row r="40" spans="1:62" ht="14.25">
      <c r="A40" s="72" t="s">
        <v>434</v>
      </c>
      <c r="B40" s="73"/>
      <c r="C40" s="73"/>
      <c r="D40" s="73"/>
      <c r="E40" s="73"/>
      <c r="F40" s="73"/>
      <c r="G40" s="73">
        <v>1426</v>
      </c>
      <c r="H40" s="73">
        <v>1442</v>
      </c>
      <c r="I40" s="73">
        <v>1451</v>
      </c>
      <c r="J40" s="73">
        <v>1455</v>
      </c>
      <c r="K40" s="73">
        <v>1461.0000000000002</v>
      </c>
      <c r="L40" s="73">
        <v>1465</v>
      </c>
      <c r="M40" s="73">
        <v>1455</v>
      </c>
      <c r="N40" s="73">
        <v>1471</v>
      </c>
      <c r="O40" s="73">
        <v>1487</v>
      </c>
      <c r="P40" s="73">
        <v>1500.9999999999998</v>
      </c>
      <c r="Q40" s="73">
        <v>1506</v>
      </c>
      <c r="R40" s="73">
        <v>1507.9999999999998</v>
      </c>
      <c r="S40" s="73">
        <v>1508</v>
      </c>
      <c r="T40" s="73">
        <v>1512</v>
      </c>
      <c r="U40" s="73">
        <v>1509</v>
      </c>
      <c r="V40" s="73">
        <v>1503</v>
      </c>
      <c r="W40" s="73">
        <v>1530.4594671578946</v>
      </c>
      <c r="X40" s="73">
        <v>1547.3870034043371</v>
      </c>
      <c r="Y40" s="73">
        <v>1562.7562006310368</v>
      </c>
      <c r="Z40" s="73">
        <v>1576.6441577546409</v>
      </c>
      <c r="AA40" s="73">
        <v>1589.1278650000002</v>
      </c>
      <c r="AB40" s="73">
        <v>1601.9721491205571</v>
      </c>
      <c r="AC40" s="73">
        <v>1613.5837505688155</v>
      </c>
      <c r="AD40" s="73">
        <v>1624.0317145009083</v>
      </c>
      <c r="AE40" s="73">
        <v>1633.3836155068027</v>
      </c>
      <c r="AF40" s="73">
        <v>1641.705931658041</v>
      </c>
      <c r="AG40" s="73">
        <v>1649.0631459429114</v>
      </c>
      <c r="AH40" s="73">
        <v>1655.5194106340905</v>
      </c>
      <c r="AI40" s="73">
        <v>1661.1363568934378</v>
      </c>
      <c r="AJ40" s="73">
        <v>1665.9744205974828</v>
      </c>
      <c r="AK40" s="73">
        <v>1670.0921999999998</v>
      </c>
      <c r="AL40" s="73">
        <v>1669.4958997499996</v>
      </c>
      <c r="AM40" s="73">
        <v>1668.2869065082496</v>
      </c>
      <c r="AN40" s="73">
        <v>1666.5219384230022</v>
      </c>
      <c r="AO40" s="73">
        <v>1664.2550823985732</v>
      </c>
      <c r="AP40" s="73">
        <v>1661.5377133759234</v>
      </c>
      <c r="AQ40" s="73">
        <v>1656.3944582457166</v>
      </c>
      <c r="AR40" s="73">
        <v>1650.9059217968941</v>
      </c>
      <c r="AS40" s="73">
        <v>1645.1153929224192</v>
      </c>
      <c r="AT40" s="73">
        <v>1639.0634177012391</v>
      </c>
      <c r="AU40" s="73">
        <v>1632.7873025130727</v>
      </c>
      <c r="AV40" s="73">
        <v>1626.3202394970378</v>
      </c>
      <c r="AW40" s="73">
        <v>1619.6924761233731</v>
      </c>
      <c r="AX40" s="73">
        <v>1612.930811017284</v>
      </c>
      <c r="AY40" s="73">
        <v>1606.0577078226434</v>
      </c>
      <c r="AZ40" s="73">
        <v>1599.0924018719409</v>
      </c>
      <c r="BA40" s="73">
        <v>1592.0506116026713</v>
      </c>
      <c r="BB40" s="73">
        <v>1584.9433431255513</v>
      </c>
      <c r="BC40" s="73">
        <v>1577.7783817841535</v>
      </c>
      <c r="BD40" s="73">
        <v>1570.5593219452821</v>
      </c>
      <c r="BE40" s="73">
        <v>1563.2856386675326</v>
      </c>
      <c r="BF40" s="73">
        <v>1555.9524569942805</v>
      </c>
      <c r="BG40" s="73">
        <v>1548.5506994726443</v>
      </c>
      <c r="BH40" s="73">
        <v>1541.0673915448338</v>
      </c>
      <c r="BI40" s="73">
        <v>1533.4845100049356</v>
      </c>
      <c r="BJ40" s="73">
        <v>1525.7799729180142</v>
      </c>
    </row>
    <row r="41" spans="1:62" ht="14.25">
      <c r="A41" s="72" t="s">
        <v>433</v>
      </c>
      <c r="B41" s="73"/>
      <c r="C41" s="73"/>
      <c r="D41" s="73"/>
      <c r="E41" s="73"/>
      <c r="F41" s="73"/>
      <c r="G41" s="73">
        <v>2028</v>
      </c>
      <c r="H41" s="73">
        <v>2045</v>
      </c>
      <c r="I41" s="73">
        <v>2061</v>
      </c>
      <c r="J41" s="73">
        <v>2119</v>
      </c>
      <c r="K41" s="73">
        <v>2123</v>
      </c>
      <c r="L41" s="73">
        <v>2134</v>
      </c>
      <c r="M41" s="73">
        <v>2136</v>
      </c>
      <c r="N41" s="73">
        <v>2118</v>
      </c>
      <c r="O41" s="73">
        <v>2128</v>
      </c>
      <c r="P41" s="73">
        <v>2137</v>
      </c>
      <c r="Q41" s="73">
        <v>2134</v>
      </c>
      <c r="R41" s="73">
        <v>2116</v>
      </c>
      <c r="S41" s="73">
        <v>2104</v>
      </c>
      <c r="T41" s="73">
        <v>2111</v>
      </c>
      <c r="U41" s="73">
        <v>2103</v>
      </c>
      <c r="V41" s="73">
        <v>2080</v>
      </c>
      <c r="W41" s="73">
        <v>2105.0097494080001</v>
      </c>
      <c r="X41" s="73">
        <v>2109.4854561523184</v>
      </c>
      <c r="Y41" s="73">
        <v>2111.498752085557</v>
      </c>
      <c r="Z41" s="73">
        <v>2111.2277782745982</v>
      </c>
      <c r="AA41" s="73">
        <v>2108.8435549999999</v>
      </c>
      <c r="AB41" s="73">
        <v>2125.8172244509528</v>
      </c>
      <c r="AC41" s="73">
        <v>2141.0896430110274</v>
      </c>
      <c r="AD41" s="73">
        <v>2154.7609982142562</v>
      </c>
      <c r="AE41" s="73">
        <v>2166.9289517946572</v>
      </c>
      <c r="AF41" s="73">
        <v>2177.6894274534834</v>
      </c>
      <c r="AG41" s="73">
        <v>2187.1357378997027</v>
      </c>
      <c r="AH41" s="73">
        <v>2195.3589760090726</v>
      </c>
      <c r="AI41" s="73">
        <v>2202.4475988259956</v>
      </c>
      <c r="AJ41" s="73">
        <v>2208.4870651588458</v>
      </c>
      <c r="AK41" s="73">
        <v>2213.56023</v>
      </c>
      <c r="AL41" s="73">
        <v>2212.3792519499998</v>
      </c>
      <c r="AM41" s="73">
        <v>2210.3847974407495</v>
      </c>
      <c r="AN41" s="73">
        <v>2207.6555539933906</v>
      </c>
      <c r="AO41" s="73">
        <v>2204.2655473893733</v>
      </c>
      <c r="AP41" s="73">
        <v>2200.2846503571341</v>
      </c>
      <c r="AQ41" s="73">
        <v>2193.0985837561893</v>
      </c>
      <c r="AR41" s="73">
        <v>2185.463087335098</v>
      </c>
      <c r="AS41" s="73">
        <v>2177.4352667164326</v>
      </c>
      <c r="AT41" s="73">
        <v>2169.0675158998374</v>
      </c>
      <c r="AU41" s="73">
        <v>2160.4069812091107</v>
      </c>
      <c r="AV41" s="73">
        <v>2151.4947939477943</v>
      </c>
      <c r="AW41" s="73">
        <v>2142.367276351903</v>
      </c>
      <c r="AX41" s="73">
        <v>2133.0548833316343</v>
      </c>
      <c r="AY41" s="73">
        <v>2123.5820122297887</v>
      </c>
      <c r="AZ41" s="73">
        <v>2113.968076443462</v>
      </c>
      <c r="BA41" s="73">
        <v>2104.2257621508966</v>
      </c>
      <c r="BB41" s="73">
        <v>2094.3624753447884</v>
      </c>
      <c r="BC41" s="73">
        <v>2084.3782807417037</v>
      </c>
      <c r="BD41" s="73">
        <v>2074.2684100277429</v>
      </c>
      <c r="BE41" s="73">
        <v>2064.0206646234715</v>
      </c>
      <c r="BF41" s="73">
        <v>2053.6164195001206</v>
      </c>
      <c r="BG41" s="73">
        <v>2043.0309626875401</v>
      </c>
      <c r="BH41" s="73">
        <v>2032.2321541883134</v>
      </c>
      <c r="BI41" s="73">
        <v>2021.1815227416362</v>
      </c>
      <c r="BJ41" s="73">
        <v>2009.833454415525</v>
      </c>
    </row>
    <row r="42" spans="1:62" ht="14.25">
      <c r="A42" s="72" t="s">
        <v>432</v>
      </c>
      <c r="B42" s="73"/>
      <c r="C42" s="73"/>
      <c r="D42" s="73"/>
      <c r="E42" s="73"/>
      <c r="F42" s="73"/>
      <c r="G42" s="73">
        <v>1684</v>
      </c>
      <c r="H42" s="73">
        <v>1742</v>
      </c>
      <c r="I42" s="73">
        <v>1830</v>
      </c>
      <c r="J42" s="73">
        <v>1897</v>
      </c>
      <c r="K42" s="73">
        <v>1958</v>
      </c>
      <c r="L42" s="73">
        <v>2056</v>
      </c>
      <c r="M42" s="73">
        <v>2104</v>
      </c>
      <c r="N42" s="73">
        <v>2142</v>
      </c>
      <c r="O42" s="73">
        <v>2193</v>
      </c>
      <c r="P42" s="73">
        <v>2203</v>
      </c>
      <c r="Q42" s="73">
        <v>2176</v>
      </c>
      <c r="R42" s="73">
        <v>2196</v>
      </c>
      <c r="S42" s="73">
        <v>2197</v>
      </c>
      <c r="T42" s="73">
        <v>2206</v>
      </c>
      <c r="U42" s="73">
        <v>2214</v>
      </c>
      <c r="V42" s="73">
        <v>2222</v>
      </c>
      <c r="W42" s="73">
        <v>2234.6860671755726</v>
      </c>
      <c r="X42" s="73">
        <v>2248.8638608122342</v>
      </c>
      <c r="Y42" s="73">
        <v>2259.5661298338428</v>
      </c>
      <c r="Z42" s="73">
        <v>2267.1220802003591</v>
      </c>
      <c r="AA42" s="73">
        <v>2271.8465999999999</v>
      </c>
      <c r="AB42" s="73">
        <v>2274.6817817132469</v>
      </c>
      <c r="AC42" s="73">
        <v>2275.2714555768503</v>
      </c>
      <c r="AD42" s="73">
        <v>2273.8847081440122</v>
      </c>
      <c r="AE42" s="73">
        <v>2270.7757177630237</v>
      </c>
      <c r="AF42" s="73">
        <v>2266.1837592862316</v>
      </c>
      <c r="AG42" s="73">
        <v>2260.3331187871972</v>
      </c>
      <c r="AH42" s="73">
        <v>2253.4328254983639</v>
      </c>
      <c r="AI42" s="73">
        <v>2245.6761981569193</v>
      </c>
      <c r="AJ42" s="73">
        <v>2237.2411209019797</v>
      </c>
      <c r="AK42" s="73">
        <v>2228.2896800000003</v>
      </c>
      <c r="AL42" s="73">
        <v>2225.1666769799999</v>
      </c>
      <c r="AM42" s="73">
        <v>2221.7670822734995</v>
      </c>
      <c r="AN42" s="73">
        <v>2218.2028727630754</v>
      </c>
      <c r="AO42" s="73">
        <v>2214.571034295851</v>
      </c>
      <c r="AP42" s="73">
        <v>2210.9523096763346</v>
      </c>
      <c r="AQ42" s="73">
        <v>2204.7173863819148</v>
      </c>
      <c r="AR42" s="73">
        <v>2198.6196572940103</v>
      </c>
      <c r="AS42" s="73">
        <v>2192.6891067936267</v>
      </c>
      <c r="AT42" s="73">
        <v>2186.9379649051575</v>
      </c>
      <c r="AU42" s="73">
        <v>2181.3607525905636</v>
      </c>
      <c r="AV42" s="73">
        <v>2175.9334635824848</v>
      </c>
      <c r="AW42" s="73">
        <v>2170.6133125463211</v>
      </c>
      <c r="AX42" s="73">
        <v>2160.6950790000001</v>
      </c>
      <c r="AY42" s="73">
        <v>2147.2929770000001</v>
      </c>
      <c r="AZ42" s="73">
        <v>2133.825691</v>
      </c>
      <c r="BA42" s="73">
        <v>2120.1748809999999</v>
      </c>
      <c r="BB42" s="73">
        <v>2106.204068</v>
      </c>
      <c r="BC42" s="73">
        <v>2091.7582459999999</v>
      </c>
      <c r="BD42" s="73">
        <v>2076.664076</v>
      </c>
      <c r="BE42" s="73">
        <v>2060.7298860000001</v>
      </c>
      <c r="BF42" s="73">
        <v>2043.745574</v>
      </c>
      <c r="BG42" s="73">
        <v>2025.482802</v>
      </c>
      <c r="BH42" s="73">
        <v>2005.6948990000001</v>
      </c>
      <c r="BI42" s="73">
        <v>1984.116667</v>
      </c>
      <c r="BJ42" s="73">
        <v>1960.4647689999999</v>
      </c>
    </row>
    <row r="43" spans="1:62" ht="14.25">
      <c r="A43" s="72" t="s">
        <v>431</v>
      </c>
      <c r="B43" s="73"/>
      <c r="C43" s="73"/>
      <c r="D43" s="73"/>
      <c r="E43" s="73"/>
      <c r="F43" s="73"/>
      <c r="G43" s="73">
        <v>3832</v>
      </c>
      <c r="H43" s="73">
        <v>3973</v>
      </c>
      <c r="I43" s="73">
        <v>4109</v>
      </c>
      <c r="J43" s="73">
        <v>4215</v>
      </c>
      <c r="K43" s="73">
        <v>4343</v>
      </c>
      <c r="L43" s="73">
        <v>4767</v>
      </c>
      <c r="M43" s="73">
        <v>4975</v>
      </c>
      <c r="N43" s="73">
        <v>5116</v>
      </c>
      <c r="O43" s="73">
        <v>5275</v>
      </c>
      <c r="P43" s="73">
        <v>5441</v>
      </c>
      <c r="Q43" s="73">
        <v>5612</v>
      </c>
      <c r="R43" s="73">
        <v>5777</v>
      </c>
      <c r="S43" s="73">
        <v>5911</v>
      </c>
      <c r="T43" s="73">
        <v>6013</v>
      </c>
      <c r="U43" s="73">
        <v>6137</v>
      </c>
      <c r="V43" s="73">
        <v>6226</v>
      </c>
      <c r="W43" s="73">
        <v>6300.9291349206342</v>
      </c>
      <c r="X43" s="73">
        <v>6352.1044458292836</v>
      </c>
      <c r="Y43" s="73">
        <v>6397.4942047066843</v>
      </c>
      <c r="Z43" s="73">
        <v>6437.3997953275175</v>
      </c>
      <c r="AA43" s="73">
        <v>6472.1174250000004</v>
      </c>
      <c r="AB43" s="73">
        <v>6520.8934438177776</v>
      </c>
      <c r="AC43" s="73">
        <v>6565.2570518750581</v>
      </c>
      <c r="AD43" s="73">
        <v>6605.4484219386441</v>
      </c>
      <c r="AE43" s="73">
        <v>6641.7037081490607</v>
      </c>
      <c r="AF43" s="73">
        <v>6674.255964801052</v>
      </c>
      <c r="AG43" s="73">
        <v>6703.3336100088927</v>
      </c>
      <c r="AH43" s="73">
        <v>6729.1618932044639</v>
      </c>
      <c r="AI43" s="73">
        <v>6751.9596854905885</v>
      </c>
      <c r="AJ43" s="73">
        <v>6771.9431433482832</v>
      </c>
      <c r="AK43" s="73">
        <v>6789.3225600000005</v>
      </c>
      <c r="AL43" s="73">
        <v>6794.3331323999992</v>
      </c>
      <c r="AM43" s="73">
        <v>6797.1215286179995</v>
      </c>
      <c r="AN43" s="73">
        <v>6797.8903051066472</v>
      </c>
      <c r="AO43" s="73">
        <v>6796.8351385745109</v>
      </c>
      <c r="AP43" s="73">
        <v>6794.144354520884</v>
      </c>
      <c r="AQ43" s="73">
        <v>6781.7122249977019</v>
      </c>
      <c r="AR43" s="73">
        <v>6768.0208199966592</v>
      </c>
      <c r="AS43" s="73">
        <v>6753.2390257499565</v>
      </c>
      <c r="AT43" s="73">
        <v>6737.5258914456854</v>
      </c>
      <c r="AU43" s="73">
        <v>6721.0322576641929</v>
      </c>
      <c r="AV43" s="73">
        <v>6703.897977549389</v>
      </c>
      <c r="AW43" s="73">
        <v>6686.2542138819672</v>
      </c>
      <c r="AX43" s="73">
        <v>6668.2219868636003</v>
      </c>
      <c r="AY43" s="73">
        <v>6649.9116243587641</v>
      </c>
      <c r="AZ43" s="73">
        <v>6631.4240756999025</v>
      </c>
      <c r="BA43" s="73">
        <v>6612.8488380689205</v>
      </c>
      <c r="BB43" s="73">
        <v>6594.2650989168869</v>
      </c>
      <c r="BC43" s="73">
        <v>6575.7410118119242</v>
      </c>
      <c r="BD43" s="73">
        <v>6557.3333904955161</v>
      </c>
      <c r="BE43" s="73">
        <v>6539.0873116665834</v>
      </c>
      <c r="BF43" s="73">
        <v>6521.0368437602283</v>
      </c>
      <c r="BG43" s="73">
        <v>6503.2038710361894</v>
      </c>
      <c r="BH43" s="73">
        <v>6485.5982100455758</v>
      </c>
      <c r="BI43" s="73">
        <v>6468.2169384302542</v>
      </c>
      <c r="BJ43" s="73">
        <v>6451.0451261213402</v>
      </c>
    </row>
    <row r="44" spans="1:62" ht="14.25">
      <c r="A44" s="72" t="s">
        <v>430</v>
      </c>
      <c r="B44" s="73"/>
      <c r="C44" s="73"/>
      <c r="D44" s="73"/>
      <c r="E44" s="73"/>
      <c r="F44" s="73"/>
      <c r="G44" s="73">
        <v>2796</v>
      </c>
      <c r="H44" s="73">
        <v>2866</v>
      </c>
      <c r="I44" s="73">
        <v>2949</v>
      </c>
      <c r="J44" s="73">
        <v>3002</v>
      </c>
      <c r="K44" s="73">
        <v>3055</v>
      </c>
      <c r="L44" s="73">
        <v>3356</v>
      </c>
      <c r="M44" s="73">
        <v>3470.0000000000005</v>
      </c>
      <c r="N44" s="73">
        <v>3576.0000000000005</v>
      </c>
      <c r="O44" s="73">
        <v>3697.9999999999995</v>
      </c>
      <c r="P44" s="73">
        <v>3826.0000000000005</v>
      </c>
      <c r="Q44" s="73">
        <v>3968.9999999999995</v>
      </c>
      <c r="R44" s="73">
        <v>4112</v>
      </c>
      <c r="S44" s="73">
        <v>4252</v>
      </c>
      <c r="T44" s="73">
        <v>4392</v>
      </c>
      <c r="U44" s="73">
        <v>4563</v>
      </c>
      <c r="V44" s="73">
        <v>4668</v>
      </c>
      <c r="W44" s="73">
        <v>4718.0794392660555</v>
      </c>
      <c r="X44" s="73">
        <v>4778.3918182938223</v>
      </c>
      <c r="Y44" s="73">
        <v>4835.0427772378298</v>
      </c>
      <c r="Z44" s="73">
        <v>4888.1836555693208</v>
      </c>
      <c r="AA44" s="73">
        <v>4937.9647500000001</v>
      </c>
      <c r="AB44" s="73">
        <v>4977.2196309789515</v>
      </c>
      <c r="AC44" s="73">
        <v>5013.2929391281823</v>
      </c>
      <c r="AD44" s="73">
        <v>5046.3424069967959</v>
      </c>
      <c r="AE44" s="73">
        <v>5076.5229133447419</v>
      </c>
      <c r="AF44" s="73">
        <v>5103.9857734883581</v>
      </c>
      <c r="AG44" s="73">
        <v>5128.8793301543838</v>
      </c>
      <c r="AH44" s="73">
        <v>5151.3480795975611</v>
      </c>
      <c r="AI44" s="73">
        <v>5171.532635251785</v>
      </c>
      <c r="AJ44" s="73">
        <v>5189.5699317226399</v>
      </c>
      <c r="AK44" s="73">
        <v>5205.5928000000004</v>
      </c>
      <c r="AL44" s="73">
        <v>5212.0812323999999</v>
      </c>
      <c r="AM44" s="73">
        <v>5216.7821954759993</v>
      </c>
      <c r="AN44" s="73">
        <v>5219.8220333776489</v>
      </c>
      <c r="AO44" s="73">
        <v>5221.3213159845045</v>
      </c>
      <c r="AP44" s="73">
        <v>5221.3948247650978</v>
      </c>
      <c r="AQ44" s="73">
        <v>5213.7810307829968</v>
      </c>
      <c r="AR44" s="73">
        <v>5204.9669687100532</v>
      </c>
      <c r="AS44" s="73">
        <v>5195.0523885553284</v>
      </c>
      <c r="AT44" s="73">
        <v>5184.1311519553756</v>
      </c>
      <c r="AU44" s="73">
        <v>5172.2890167535925</v>
      </c>
      <c r="AV44" s="73">
        <v>5159.6051480516317</v>
      </c>
      <c r="AW44" s="73">
        <v>5146.1509705456756</v>
      </c>
      <c r="AX44" s="73">
        <v>5131.9900107306739</v>
      </c>
      <c r="AY44" s="73">
        <v>5117.1784160575489</v>
      </c>
      <c r="AZ44" s="73">
        <v>5101.7643804238141</v>
      </c>
      <c r="BA44" s="73">
        <v>5085.7879857514245</v>
      </c>
      <c r="BB44" s="73">
        <v>5069.2807843023129</v>
      </c>
      <c r="BC44" s="73">
        <v>5052.2664930919282</v>
      </c>
      <c r="BD44" s="73">
        <v>5034.7597172870592</v>
      </c>
      <c r="BE44" s="73">
        <v>5016.7670764544746</v>
      </c>
      <c r="BF44" s="73">
        <v>4998.2851350335332</v>
      </c>
      <c r="BG44" s="73">
        <v>4979.3025724097388</v>
      </c>
      <c r="BH44" s="73">
        <v>4959.7982789213729</v>
      </c>
      <c r="BI44" s="73">
        <v>4939.7417892676422</v>
      </c>
      <c r="BJ44" s="73">
        <v>4919.0928434376274</v>
      </c>
    </row>
    <row r="45" spans="1:62" ht="14.25">
      <c r="A45" s="72" t="s">
        <v>429</v>
      </c>
      <c r="B45" s="73"/>
      <c r="C45" s="73"/>
      <c r="D45" s="73"/>
      <c r="E45" s="73"/>
      <c r="F45" s="73"/>
      <c r="G45" s="73">
        <v>2173</v>
      </c>
      <c r="H45" s="73">
        <v>2267</v>
      </c>
      <c r="I45" s="73">
        <v>2368</v>
      </c>
      <c r="J45" s="73">
        <v>2485</v>
      </c>
      <c r="K45" s="73">
        <v>2581</v>
      </c>
      <c r="L45" s="73">
        <v>2562</v>
      </c>
      <c r="M45" s="73">
        <v>2675</v>
      </c>
      <c r="N45" s="73">
        <v>2768</v>
      </c>
      <c r="O45" s="73">
        <v>2866</v>
      </c>
      <c r="P45" s="73">
        <v>2957</v>
      </c>
      <c r="Q45" s="73">
        <v>3064</v>
      </c>
      <c r="R45" s="73">
        <v>3175</v>
      </c>
      <c r="S45" s="73">
        <v>3287.9999999999995</v>
      </c>
      <c r="T45" s="73">
        <v>3380.9999999999995</v>
      </c>
      <c r="U45" s="73">
        <v>3474</v>
      </c>
      <c r="V45" s="73">
        <v>3561</v>
      </c>
      <c r="W45" s="73">
        <v>3644.3057469327659</v>
      </c>
      <c r="X45" s="73">
        <v>3746.6342941628086</v>
      </c>
      <c r="Y45" s="73">
        <v>3850.5416323797485</v>
      </c>
      <c r="Z45" s="73">
        <v>3955.88410427191</v>
      </c>
      <c r="AA45" s="73">
        <v>4062.51755</v>
      </c>
      <c r="AB45" s="73">
        <v>4124.9872348917479</v>
      </c>
      <c r="AC45" s="73">
        <v>4186.6010124263948</v>
      </c>
      <c r="AD45" s="73">
        <v>4247.2223983785543</v>
      </c>
      <c r="AE45" s="73">
        <v>4306.7231066425575</v>
      </c>
      <c r="AF45" s="73">
        <v>4364.9845907715508</v>
      </c>
      <c r="AG45" s="73">
        <v>4421.8982092528549</v>
      </c>
      <c r="AH45" s="73">
        <v>4477.3660837288262</v>
      </c>
      <c r="AI45" s="73">
        <v>4531.3023503163977</v>
      </c>
      <c r="AJ45" s="73">
        <v>4583.6330303777349</v>
      </c>
      <c r="AK45" s="73">
        <v>4634.2971789999992</v>
      </c>
      <c r="AL45" s="73">
        <v>4652.3491084649995</v>
      </c>
      <c r="AM45" s="73">
        <v>4668.2392936074739</v>
      </c>
      <c r="AN45" s="73">
        <v>4681.9912205253786</v>
      </c>
      <c r="AO45" s="73">
        <v>4693.6439206851419</v>
      </c>
      <c r="AP45" s="73">
        <v>4703.2538478070692</v>
      </c>
      <c r="AQ45" s="73">
        <v>4705.1454450577694</v>
      </c>
      <c r="AR45" s="73">
        <v>4705.1506947802272</v>
      </c>
      <c r="AS45" s="73">
        <v>4703.3845874960107</v>
      </c>
      <c r="AT45" s="73">
        <v>4699.9795098312188</v>
      </c>
      <c r="AU45" s="73">
        <v>4695.0857078863328</v>
      </c>
      <c r="AV45" s="73">
        <v>4688.8719871727826</v>
      </c>
      <c r="AW45" s="73">
        <v>4681.525272087466</v>
      </c>
      <c r="AX45" s="73">
        <v>4673.2516171386651</v>
      </c>
      <c r="AY45" s="73">
        <v>4664.276153449111</v>
      </c>
      <c r="AZ45" s="73">
        <v>4654.8431855986664</v>
      </c>
      <c r="BA45" s="73">
        <v>4645.2182370419578</v>
      </c>
      <c r="BB45" s="73">
        <v>4635.6853614631373</v>
      </c>
      <c r="BC45" s="73">
        <v>4626.5497337302186</v>
      </c>
      <c r="BD45" s="73">
        <v>4618.1380078641978</v>
      </c>
      <c r="BE45" s="73">
        <v>4610.7976493926526</v>
      </c>
      <c r="BF45" s="73">
        <v>4604.8979176648954</v>
      </c>
      <c r="BG45" s="73">
        <v>4600.8293502596634</v>
      </c>
      <c r="BH45" s="73">
        <v>4599.0057944225946</v>
      </c>
      <c r="BI45" s="73">
        <v>4599.8631037318683</v>
      </c>
      <c r="BJ45" s="73">
        <v>4603.8604637570206</v>
      </c>
    </row>
    <row r="46" spans="1:62" ht="14.25">
      <c r="A46" s="72" t="s">
        <v>428</v>
      </c>
      <c r="B46" s="73"/>
      <c r="C46" s="73"/>
      <c r="D46" s="73"/>
      <c r="E46" s="73"/>
      <c r="F46" s="73"/>
      <c r="G46" s="73">
        <v>1757</v>
      </c>
      <c r="H46" s="73">
        <v>1807</v>
      </c>
      <c r="I46" s="73">
        <v>1857</v>
      </c>
      <c r="J46" s="73">
        <v>1929</v>
      </c>
      <c r="K46" s="73">
        <v>2020</v>
      </c>
      <c r="L46" s="73">
        <v>2109</v>
      </c>
      <c r="M46" s="73">
        <v>2199</v>
      </c>
      <c r="N46" s="73">
        <v>2278</v>
      </c>
      <c r="O46" s="73">
        <v>2362</v>
      </c>
      <c r="P46" s="73">
        <v>2446</v>
      </c>
      <c r="Q46" s="73">
        <v>2519</v>
      </c>
      <c r="R46" s="73">
        <v>2586</v>
      </c>
      <c r="S46" s="73">
        <v>2674</v>
      </c>
      <c r="T46" s="73">
        <v>2749</v>
      </c>
      <c r="U46" s="73">
        <v>2808</v>
      </c>
      <c r="V46" s="73">
        <v>2861</v>
      </c>
      <c r="W46" s="73">
        <v>2917.9289839503226</v>
      </c>
      <c r="X46" s="73">
        <v>2957.6965325279957</v>
      </c>
      <c r="Y46" s="73">
        <v>2995.593236806671</v>
      </c>
      <c r="Z46" s="73">
        <v>3031.6715338423719</v>
      </c>
      <c r="AA46" s="73">
        <v>3065.9831345000002</v>
      </c>
      <c r="AB46" s="73">
        <v>3105.7084836354747</v>
      </c>
      <c r="AC46" s="73">
        <v>3143.9297619735844</v>
      </c>
      <c r="AD46" s="73">
        <v>3180.6881836343841</v>
      </c>
      <c r="AE46" s="73">
        <v>3216.0249598495079</v>
      </c>
      <c r="AF46" s="73">
        <v>3249.9814803571394</v>
      </c>
      <c r="AG46" s="73">
        <v>3282.5992790083637</v>
      </c>
      <c r="AH46" s="73">
        <v>3313.919922063717</v>
      </c>
      <c r="AI46" s="73">
        <v>3343.9854277347868</v>
      </c>
      <c r="AJ46" s="73">
        <v>3372.8373165351481</v>
      </c>
      <c r="AK46" s="73">
        <v>3400.517562</v>
      </c>
      <c r="AL46" s="73">
        <v>3414.3644819699994</v>
      </c>
      <c r="AM46" s="73">
        <v>3426.981736580999</v>
      </c>
      <c r="AN46" s="73">
        <v>3438.4232675410012</v>
      </c>
      <c r="AO46" s="73">
        <v>3448.7423749183699</v>
      </c>
      <c r="AP46" s="73">
        <v>3457.9908863497126</v>
      </c>
      <c r="AQ46" s="73">
        <v>3461.9904044647942</v>
      </c>
      <c r="AR46" s="73">
        <v>3465.0083267838286</v>
      </c>
      <c r="AS46" s="73">
        <v>3467.097449894181</v>
      </c>
      <c r="AT46" s="73">
        <v>3468.3091781858293</v>
      </c>
      <c r="AU46" s="73">
        <v>3468.6934895370337</v>
      </c>
      <c r="AV46" s="73">
        <v>3468.2990641749388</v>
      </c>
      <c r="AW46" s="73">
        <v>3467.1726778621678</v>
      </c>
      <c r="AX46" s="73">
        <v>3465.3604772428944</v>
      </c>
      <c r="AY46" s="73">
        <v>3462.9063890856214</v>
      </c>
      <c r="AZ46" s="73">
        <v>3459.8536491797236</v>
      </c>
      <c r="BA46" s="73">
        <v>3456.2431989832767</v>
      </c>
      <c r="BB46" s="73">
        <v>3452.1145561735498</v>
      </c>
      <c r="BC46" s="73">
        <v>3447.5060335851176</v>
      </c>
      <c r="BD46" s="73">
        <v>3442.453530362568</v>
      </c>
      <c r="BE46" s="73">
        <v>3436.9924268982381</v>
      </c>
      <c r="BF46" s="73">
        <v>3431.1551065097542</v>
      </c>
      <c r="BG46" s="73">
        <v>3424.9727692874912</v>
      </c>
      <c r="BH46" s="73">
        <v>3418.4750626300488</v>
      </c>
      <c r="BI46" s="73">
        <v>3411.6891882905547</v>
      </c>
      <c r="BJ46" s="73">
        <v>3404.6410590026171</v>
      </c>
    </row>
    <row r="47" spans="1:62" ht="14.25">
      <c r="A47" s="72" t="s">
        <v>427</v>
      </c>
      <c r="B47" s="73"/>
      <c r="C47" s="73"/>
      <c r="D47" s="73"/>
      <c r="E47" s="73"/>
      <c r="F47" s="73"/>
      <c r="G47" s="73">
        <v>1595</v>
      </c>
      <c r="H47" s="73">
        <v>1678</v>
      </c>
      <c r="I47" s="73">
        <v>1738.9999999999998</v>
      </c>
      <c r="J47" s="73">
        <v>1820</v>
      </c>
      <c r="K47" s="73">
        <v>1914</v>
      </c>
      <c r="L47" s="73">
        <v>1966</v>
      </c>
      <c r="M47" s="73">
        <v>2047</v>
      </c>
      <c r="N47" s="73">
        <v>2121</v>
      </c>
      <c r="O47" s="73">
        <v>2195</v>
      </c>
      <c r="P47" s="73">
        <v>2265</v>
      </c>
      <c r="Q47" s="73">
        <v>2346</v>
      </c>
      <c r="R47" s="73">
        <v>2427</v>
      </c>
      <c r="S47" s="73">
        <v>2513</v>
      </c>
      <c r="T47" s="73">
        <v>2588</v>
      </c>
      <c r="U47" s="73">
        <v>2667.9999999999995</v>
      </c>
      <c r="V47" s="73">
        <v>2731</v>
      </c>
      <c r="W47" s="73">
        <v>2793.3298729245075</v>
      </c>
      <c r="X47" s="73">
        <v>2838.9088964750185</v>
      </c>
      <c r="Y47" s="73">
        <v>2885.4218153309193</v>
      </c>
      <c r="Z47" s="73">
        <v>2932.6353682042463</v>
      </c>
      <c r="AA47" s="73">
        <v>2980.3230719999997</v>
      </c>
      <c r="AB47" s="73">
        <v>3037.4263259194754</v>
      </c>
      <c r="AC47" s="73">
        <v>3094.8943257710939</v>
      </c>
      <c r="AD47" s="73">
        <v>3152.5260307228541</v>
      </c>
      <c r="AE47" s="73">
        <v>3210.1285576942851</v>
      </c>
      <c r="AF47" s="73">
        <v>3267.5168448164663</v>
      </c>
      <c r="AG47" s="73">
        <v>3324.5151272438916</v>
      </c>
      <c r="AH47" s="73">
        <v>3380.9582902276052</v>
      </c>
      <c r="AI47" s="73">
        <v>3436.6920880202656</v>
      </c>
      <c r="AJ47" s="73">
        <v>3491.5742087585013</v>
      </c>
      <c r="AK47" s="73">
        <v>3545.4757529999997</v>
      </c>
      <c r="AL47" s="73">
        <v>3569.0037354899996</v>
      </c>
      <c r="AM47" s="73">
        <v>3590.7393613772247</v>
      </c>
      <c r="AN47" s="73">
        <v>3610.6390109977165</v>
      </c>
      <c r="AO47" s="73">
        <v>3628.679024688086</v>
      </c>
      <c r="AP47" s="73">
        <v>3644.8554619541337</v>
      </c>
      <c r="AQ47" s="73">
        <v>3654.7187428948228</v>
      </c>
      <c r="AR47" s="73">
        <v>3662.7468546096593</v>
      </c>
      <c r="AS47" s="73">
        <v>3669.0046331926792</v>
      </c>
      <c r="AT47" s="73">
        <v>3673.5788699223122</v>
      </c>
      <c r="AU47" s="73">
        <v>3676.578028882976</v>
      </c>
      <c r="AV47" s="73">
        <v>3678.132719118616</v>
      </c>
      <c r="AW47" s="73">
        <v>3678.3964034743562</v>
      </c>
      <c r="AX47" s="73">
        <v>3677.5460417460686</v>
      </c>
      <c r="AY47" s="73">
        <v>3675.7816597213173</v>
      </c>
      <c r="AZ47" s="73">
        <v>3673.3269916377126</v>
      </c>
      <c r="BA47" s="73">
        <v>3670.4312245846259</v>
      </c>
      <c r="BB47" s="73">
        <v>3667.3670189791633</v>
      </c>
      <c r="BC47" s="73">
        <v>3664.4334307756103</v>
      </c>
      <c r="BD47" s="73">
        <v>3661.9541613493461</v>
      </c>
      <c r="BE47" s="73">
        <v>3660.2797220848884</v>
      </c>
      <c r="BF47" s="73">
        <v>3659.7873377542378</v>
      </c>
      <c r="BG47" s="73">
        <v>3660.8805231596093</v>
      </c>
      <c r="BH47" s="73">
        <v>3663.9905671007723</v>
      </c>
      <c r="BI47" s="73">
        <v>3669.5772407728564</v>
      </c>
      <c r="BJ47" s="73">
        <v>3678.1277413236789</v>
      </c>
    </row>
    <row r="48" spans="1:62" ht="14.25">
      <c r="A48" s="72" t="s">
        <v>145</v>
      </c>
      <c r="B48" s="73"/>
      <c r="C48" s="73"/>
      <c r="D48" s="73"/>
      <c r="E48" s="73"/>
      <c r="F48" s="73"/>
      <c r="G48" s="73">
        <v>4162</v>
      </c>
      <c r="H48" s="73">
        <v>4291</v>
      </c>
      <c r="I48" s="73">
        <v>4379</v>
      </c>
      <c r="J48" s="73">
        <v>4483</v>
      </c>
      <c r="K48" s="73">
        <v>4576</v>
      </c>
      <c r="L48" s="73">
        <v>4765</v>
      </c>
      <c r="M48" s="73">
        <v>4916</v>
      </c>
      <c r="N48" s="73">
        <v>5051</v>
      </c>
      <c r="O48" s="73">
        <v>5210</v>
      </c>
      <c r="P48" s="73">
        <v>5372</v>
      </c>
      <c r="Q48" s="73">
        <v>5621</v>
      </c>
      <c r="R48" s="73">
        <v>5896.9999999999991</v>
      </c>
      <c r="S48" s="73">
        <v>6099</v>
      </c>
      <c r="T48" s="73">
        <v>6193</v>
      </c>
      <c r="U48" s="73">
        <v>6252.0000000000009</v>
      </c>
      <c r="V48" s="73">
        <v>6409</v>
      </c>
      <c r="W48" s="73">
        <v>6518.481104464111</v>
      </c>
      <c r="X48" s="73">
        <v>6643.3430477345364</v>
      </c>
      <c r="Y48" s="73">
        <v>6766.6761730166027</v>
      </c>
      <c r="Z48" s="73">
        <v>6888.4324861465175</v>
      </c>
      <c r="AA48" s="73">
        <v>7008.5684440000005</v>
      </c>
      <c r="AB48" s="73">
        <v>7087.3796032483806</v>
      </c>
      <c r="AC48" s="73">
        <v>7163.4198572844216</v>
      </c>
      <c r="AD48" s="73">
        <v>7236.6970089723864</v>
      </c>
      <c r="AE48" s="73">
        <v>7307.2239854913796</v>
      </c>
      <c r="AF48" s="73">
        <v>7375.0198390977266</v>
      </c>
      <c r="AG48" s="73">
        <v>7440.1082760241698</v>
      </c>
      <c r="AH48" s="73">
        <v>7502.5195131292421</v>
      </c>
      <c r="AI48" s="73">
        <v>7562.2901790012029</v>
      </c>
      <c r="AJ48" s="73">
        <v>7619.4629778155977</v>
      </c>
      <c r="AK48" s="73">
        <v>7674.0875250000008</v>
      </c>
      <c r="AL48" s="73">
        <v>7689.1426661249998</v>
      </c>
      <c r="AM48" s="73">
        <v>7701.4718600231226</v>
      </c>
      <c r="AN48" s="73">
        <v>7711.1826546096254</v>
      </c>
      <c r="AO48" s="73">
        <v>7718.3887564119286</v>
      </c>
      <c r="AP48" s="73">
        <v>7723.2099235359192</v>
      </c>
      <c r="AQ48" s="73">
        <v>7716.3434083267775</v>
      </c>
      <c r="AR48" s="73">
        <v>7707.3600855476416</v>
      </c>
      <c r="AS48" s="73">
        <v>7696.4061556490506</v>
      </c>
      <c r="AT48" s="73">
        <v>7683.6330138591857</v>
      </c>
      <c r="AU48" s="73">
        <v>7669.1984232332579</v>
      </c>
      <c r="AV48" s="73">
        <v>7653.2654324278401</v>
      </c>
      <c r="AW48" s="73">
        <v>7636.0043467571504</v>
      </c>
      <c r="AX48" s="73">
        <v>7617.5907013752048</v>
      </c>
      <c r="AY48" s="73">
        <v>7598.2067667263946</v>
      </c>
      <c r="AZ48" s="73">
        <v>7578.0411708662223</v>
      </c>
      <c r="BA48" s="73">
        <v>7557.2885921314491</v>
      </c>
      <c r="BB48" s="73">
        <v>7536.1512135703961</v>
      </c>
      <c r="BC48" s="73">
        <v>7514.8367368574291</v>
      </c>
      <c r="BD48" s="73">
        <v>7493.5600784825756</v>
      </c>
      <c r="BE48" s="73">
        <v>7472.543394759331</v>
      </c>
      <c r="BF48" s="73">
        <v>7452.0153710504919</v>
      </c>
      <c r="BG48" s="73">
        <v>7432.2118872180326</v>
      </c>
      <c r="BH48" s="73">
        <v>7413.3755449558585</v>
      </c>
      <c r="BI48" s="73">
        <v>7395.7570828876733</v>
      </c>
      <c r="BJ48" s="73">
        <v>7379.6139206742891</v>
      </c>
    </row>
    <row r="49" spans="1:62" ht="14.25">
      <c r="A49" s="72" t="s">
        <v>426</v>
      </c>
      <c r="B49" s="73"/>
      <c r="C49" s="73"/>
      <c r="D49" s="73"/>
      <c r="E49" s="73"/>
      <c r="F49" s="73"/>
      <c r="G49" s="73">
        <v>2875</v>
      </c>
      <c r="H49" s="73">
        <v>3050</v>
      </c>
      <c r="I49" s="73">
        <v>3214</v>
      </c>
      <c r="J49" s="73">
        <v>3397</v>
      </c>
      <c r="K49" s="73">
        <v>3577</v>
      </c>
      <c r="L49" s="73">
        <v>3621</v>
      </c>
      <c r="M49" s="73">
        <v>3829</v>
      </c>
      <c r="N49" s="73">
        <v>4002</v>
      </c>
      <c r="O49" s="73">
        <v>4174</v>
      </c>
      <c r="P49" s="73">
        <v>4345</v>
      </c>
      <c r="Q49" s="73">
        <v>4561</v>
      </c>
      <c r="R49" s="73">
        <v>4770</v>
      </c>
      <c r="S49" s="73">
        <v>4970</v>
      </c>
      <c r="T49" s="73">
        <v>5153</v>
      </c>
      <c r="U49" s="73">
        <v>5348.0000000000009</v>
      </c>
      <c r="V49" s="73">
        <v>5510</v>
      </c>
      <c r="W49" s="73">
        <v>5643.6112892239189</v>
      </c>
      <c r="X49" s="73">
        <v>5836.4889592520085</v>
      </c>
      <c r="Y49" s="73">
        <v>6035.3163698804801</v>
      </c>
      <c r="Z49" s="73">
        <v>6239.8730100261273</v>
      </c>
      <c r="AA49" s="73">
        <v>6449.9303610000006</v>
      </c>
      <c r="AB49" s="73">
        <v>6571.9986773445216</v>
      </c>
      <c r="AC49" s="73">
        <v>6694.2701686681821</v>
      </c>
      <c r="AD49" s="73">
        <v>6816.4094666595538</v>
      </c>
      <c r="AE49" s="73">
        <v>6938.0959572113843</v>
      </c>
      <c r="AF49" s="73">
        <v>7059.0246251201643</v>
      </c>
      <c r="AG49" s="73">
        <v>7178.9080028970093</v>
      </c>
      <c r="AH49" s="73">
        <v>7297.4787034604815</v>
      </c>
      <c r="AI49" s="73">
        <v>7414.4890808156042</v>
      </c>
      <c r="AJ49" s="73">
        <v>7529.7150583179891</v>
      </c>
      <c r="AK49" s="73">
        <v>7642.9581839999992</v>
      </c>
      <c r="AL49" s="73">
        <v>7689.4487157599988</v>
      </c>
      <c r="AM49" s="73">
        <v>7732.3733678429981</v>
      </c>
      <c r="AN49" s="73">
        <v>7771.6974615731606</v>
      </c>
      <c r="AO49" s="73">
        <v>7807.4212141002972</v>
      </c>
      <c r="AP49" s="73">
        <v>7839.5809839768754</v>
      </c>
      <c r="AQ49" s="73">
        <v>7858.6474104549507</v>
      </c>
      <c r="AR49" s="73">
        <v>7874.2826959765862</v>
      </c>
      <c r="AS49" s="73">
        <v>7886.6473120029159</v>
      </c>
      <c r="AT49" s="73">
        <v>7895.9400436755996</v>
      </c>
      <c r="AU49" s="73">
        <v>7902.3992145483589</v>
      </c>
      <c r="AV49" s="73">
        <v>7906.3023454367221</v>
      </c>
      <c r="AW49" s="73">
        <v>7907.9679194474629</v>
      </c>
      <c r="AX49" s="73">
        <v>7907.7554291114056</v>
      </c>
      <c r="AY49" s="73">
        <v>7906.066408863363</v>
      </c>
      <c r="AZ49" s="73">
        <v>7903.3453291865271</v>
      </c>
      <c r="BA49" s="73">
        <v>7900.0791174826645</v>
      </c>
      <c r="BB49" s="73">
        <v>7896.8003664487242</v>
      </c>
      <c r="BC49" s="73">
        <v>7894.0859551623762</v>
      </c>
      <c r="BD49" s="73">
        <v>7892.5582754288407</v>
      </c>
      <c r="BE49" s="73">
        <v>7892.8866332255902</v>
      </c>
      <c r="BF49" s="73">
        <v>7895.787261515864</v>
      </c>
      <c r="BG49" s="73">
        <v>7902.0252127798476</v>
      </c>
      <c r="BH49" s="73">
        <v>7912.4135202210055</v>
      </c>
      <c r="BI49" s="73">
        <v>7927.8158192658138</v>
      </c>
      <c r="BJ49" s="73">
        <v>7949.1462332109859</v>
      </c>
    </row>
    <row r="50" spans="1:62" ht="14.25">
      <c r="A50" s="72" t="s">
        <v>425</v>
      </c>
      <c r="B50" s="73"/>
      <c r="C50" s="73"/>
      <c r="D50" s="73"/>
      <c r="E50" s="73"/>
      <c r="F50" s="73"/>
      <c r="G50" s="73">
        <v>2467</v>
      </c>
      <c r="H50" s="73">
        <v>2494</v>
      </c>
      <c r="I50" s="73">
        <v>2525</v>
      </c>
      <c r="J50" s="73">
        <v>2581</v>
      </c>
      <c r="K50" s="73">
        <v>2631</v>
      </c>
      <c r="L50" s="73">
        <v>2847</v>
      </c>
      <c r="M50" s="73">
        <v>2983</v>
      </c>
      <c r="N50" s="73">
        <v>3077</v>
      </c>
      <c r="O50" s="73">
        <v>3159.9999999999995</v>
      </c>
      <c r="P50" s="73">
        <v>3241</v>
      </c>
      <c r="Q50" s="73">
        <v>3345</v>
      </c>
      <c r="R50" s="73">
        <v>3447</v>
      </c>
      <c r="S50" s="73">
        <v>3535.0000000000005</v>
      </c>
      <c r="T50" s="73">
        <v>3609</v>
      </c>
      <c r="U50" s="73">
        <v>3665</v>
      </c>
      <c r="V50" s="73">
        <v>3613</v>
      </c>
      <c r="W50" s="73">
        <v>3726.8501963636363</v>
      </c>
      <c r="X50" s="73">
        <v>3791.4343063722281</v>
      </c>
      <c r="Y50" s="73">
        <v>3853.4431539379789</v>
      </c>
      <c r="Z50" s="73">
        <v>3912.9328852578838</v>
      </c>
      <c r="AA50" s="73">
        <v>3969.9610499999999</v>
      </c>
      <c r="AB50" s="73">
        <v>4025.186583310423</v>
      </c>
      <c r="AC50" s="73">
        <v>4078.0906774239497</v>
      </c>
      <c r="AD50" s="73">
        <v>4128.7380055579879</v>
      </c>
      <c r="AE50" s="73">
        <v>4177.1967523854191</v>
      </c>
      <c r="AF50" s="73">
        <v>4223.5378416206313</v>
      </c>
      <c r="AG50" s="73">
        <v>4267.8346086148731</v>
      </c>
      <c r="AH50" s="73">
        <v>4310.1638255703065</v>
      </c>
      <c r="AI50" s="73">
        <v>4350.6051080169782</v>
      </c>
      <c r="AJ50" s="73">
        <v>4389.2403511322254</v>
      </c>
      <c r="AK50" s="73">
        <v>4426.1555250000001</v>
      </c>
      <c r="AL50" s="73">
        <v>4433.4555929999997</v>
      </c>
      <c r="AM50" s="73">
        <v>4438.9691242537483</v>
      </c>
      <c r="AN50" s="73">
        <v>4442.820902567436</v>
      </c>
      <c r="AO50" s="73">
        <v>4445.1355688586436</v>
      </c>
      <c r="AP50" s="73">
        <v>4446.0385837660042</v>
      </c>
      <c r="AQ50" s="73">
        <v>4440.2301802284865</v>
      </c>
      <c r="AR50" s="73">
        <v>4433.2720462639691</v>
      </c>
      <c r="AS50" s="73">
        <v>4425.2939680127702</v>
      </c>
      <c r="AT50" s="73">
        <v>4416.4256009921355</v>
      </c>
      <c r="AU50" s="73">
        <v>4406.7955082745839</v>
      </c>
      <c r="AV50" s="73">
        <v>4396.5327725537854</v>
      </c>
      <c r="AW50" s="73">
        <v>4385.7656450570394</v>
      </c>
      <c r="AX50" s="73">
        <v>4374.6214318337506</v>
      </c>
      <c r="AY50" s="73">
        <v>4363.2272527835976</v>
      </c>
      <c r="AZ50" s="73">
        <v>4351.7097003783902</v>
      </c>
      <c r="BA50" s="73">
        <v>4340.1948114211382</v>
      </c>
      <c r="BB50" s="73">
        <v>4328.8077166202265</v>
      </c>
      <c r="BC50" s="73">
        <v>4317.672767000171</v>
      </c>
      <c r="BD50" s="73">
        <v>4306.9149604199183</v>
      </c>
      <c r="BE50" s="73">
        <v>4296.656112086609</v>
      </c>
      <c r="BF50" s="73">
        <v>4287.0197587372577</v>
      </c>
      <c r="BG50" s="73">
        <v>4278.1273210092604</v>
      </c>
      <c r="BH50" s="73">
        <v>4270.0995273842509</v>
      </c>
      <c r="BI50" s="73">
        <v>4263.0565493836239</v>
      </c>
      <c r="BJ50" s="73">
        <v>4257.1177255519569</v>
      </c>
    </row>
    <row r="51" spans="1:62" ht="14.25">
      <c r="A51" s="72" t="s">
        <v>424</v>
      </c>
      <c r="B51" s="73"/>
      <c r="C51" s="73"/>
      <c r="D51" s="73"/>
      <c r="E51" s="73"/>
      <c r="F51" s="73"/>
      <c r="G51" s="73">
        <v>2341</v>
      </c>
      <c r="H51" s="73">
        <v>2455</v>
      </c>
      <c r="I51" s="73">
        <v>2571</v>
      </c>
      <c r="J51" s="73">
        <v>2689</v>
      </c>
      <c r="K51" s="73">
        <v>2767</v>
      </c>
      <c r="L51" s="73">
        <v>2845</v>
      </c>
      <c r="M51" s="73">
        <v>2959</v>
      </c>
      <c r="N51" s="73">
        <v>3046</v>
      </c>
      <c r="O51" s="73">
        <v>3144</v>
      </c>
      <c r="P51" s="73">
        <v>3238</v>
      </c>
      <c r="Q51" s="73">
        <v>3360</v>
      </c>
      <c r="R51" s="73">
        <v>3491</v>
      </c>
      <c r="S51" s="73">
        <v>3622.9999999999995</v>
      </c>
      <c r="T51" s="73">
        <v>3722</v>
      </c>
      <c r="U51" s="73">
        <v>3815.0000000000005</v>
      </c>
      <c r="V51" s="73">
        <v>3905</v>
      </c>
      <c r="W51" s="73">
        <v>3982.9210439746303</v>
      </c>
      <c r="X51" s="73">
        <v>4051.7880331431274</v>
      </c>
      <c r="Y51" s="73">
        <v>4120.6523772826877</v>
      </c>
      <c r="Z51" s="73">
        <v>4189.3900810143914</v>
      </c>
      <c r="AA51" s="73">
        <v>4257.8793809999997</v>
      </c>
      <c r="AB51" s="73">
        <v>4325.763077175754</v>
      </c>
      <c r="AC51" s="73">
        <v>4393.1601160673717</v>
      </c>
      <c r="AD51" s="73">
        <v>4459.9617242190288</v>
      </c>
      <c r="AE51" s="73">
        <v>4526.0643624884688</v>
      </c>
      <c r="AF51" s="73">
        <v>4591.3705227864384</v>
      </c>
      <c r="AG51" s="73">
        <v>4655.78800012791</v>
      </c>
      <c r="AH51" s="73">
        <v>4719.2325436718938</v>
      </c>
      <c r="AI51" s="73">
        <v>4781.6264968086298</v>
      </c>
      <c r="AJ51" s="73">
        <v>4842.9003569927982</v>
      </c>
      <c r="AK51" s="73">
        <v>4902.993504</v>
      </c>
      <c r="AL51" s="73">
        <v>4920.518929679999</v>
      </c>
      <c r="AM51" s="73">
        <v>4936.1597987489986</v>
      </c>
      <c r="AN51" s="73">
        <v>4949.9265343605457</v>
      </c>
      <c r="AO51" s="73">
        <v>4961.841808646861</v>
      </c>
      <c r="AP51" s="73">
        <v>4971.9397366710191</v>
      </c>
      <c r="AQ51" s="73">
        <v>4974.1883190669059</v>
      </c>
      <c r="AR51" s="73">
        <v>4974.7153349187747</v>
      </c>
      <c r="AS51" s="73">
        <v>4973.5980722269769</v>
      </c>
      <c r="AT51" s="73">
        <v>4970.9261481258</v>
      </c>
      <c r="AU51" s="73">
        <v>4966.8022561261432</v>
      </c>
      <c r="AV51" s="73">
        <v>4961.3413421209607</v>
      </c>
      <c r="AW51" s="73">
        <v>4954.6730180207833</v>
      </c>
      <c r="AX51" s="73">
        <v>4946.9388543544046</v>
      </c>
      <c r="AY51" s="73">
        <v>4938.294724904551</v>
      </c>
      <c r="AZ51" s="73">
        <v>4928.9105958697037</v>
      </c>
      <c r="BA51" s="73">
        <v>4918.9703842936678</v>
      </c>
      <c r="BB51" s="73">
        <v>4908.6724282985006</v>
      </c>
      <c r="BC51" s="73">
        <v>4898.2296550799001</v>
      </c>
      <c r="BD51" s="73">
        <v>4887.8700610856886</v>
      </c>
      <c r="BE51" s="73">
        <v>4877.8367315131227</v>
      </c>
      <c r="BF51" s="73">
        <v>4868.3880924688756</v>
      </c>
      <c r="BG51" s="73">
        <v>4859.7984019583819</v>
      </c>
      <c r="BH51" s="73">
        <v>4852.3577749988854</v>
      </c>
      <c r="BI51" s="73">
        <v>4846.3721269018843</v>
      </c>
      <c r="BJ51" s="73">
        <v>4842.1643060798096</v>
      </c>
    </row>
    <row r="52" spans="1:62" ht="14.25">
      <c r="A52" s="72" t="s">
        <v>423</v>
      </c>
      <c r="B52" s="73"/>
      <c r="C52" s="73"/>
      <c r="D52" s="73"/>
      <c r="E52" s="73"/>
      <c r="F52" s="73"/>
      <c r="G52" s="73">
        <v>5579</v>
      </c>
      <c r="H52" s="73">
        <v>5949</v>
      </c>
      <c r="I52" s="73">
        <v>6099</v>
      </c>
      <c r="J52" s="73">
        <v>6268.9999999999991</v>
      </c>
      <c r="K52" s="73">
        <v>6423</v>
      </c>
      <c r="L52" s="73">
        <v>6910</v>
      </c>
      <c r="M52" s="73">
        <v>7159.9999999999991</v>
      </c>
      <c r="N52" s="73">
        <v>7414</v>
      </c>
      <c r="O52" s="73">
        <v>7674</v>
      </c>
      <c r="P52" s="73">
        <v>7884</v>
      </c>
      <c r="Q52" s="73">
        <v>8117</v>
      </c>
      <c r="R52" s="73">
        <v>8353</v>
      </c>
      <c r="S52" s="73">
        <v>8589</v>
      </c>
      <c r="T52" s="73">
        <v>8867</v>
      </c>
      <c r="U52" s="73">
        <v>9073</v>
      </c>
      <c r="V52" s="73">
        <v>9361</v>
      </c>
      <c r="W52" s="73">
        <v>9519.6575329233674</v>
      </c>
      <c r="X52" s="73">
        <v>9700.5205698912541</v>
      </c>
      <c r="Y52" s="73">
        <v>9873.1738536841349</v>
      </c>
      <c r="Z52" s="73">
        <v>10037.975837753591</v>
      </c>
      <c r="AA52" s="73">
        <v>10195.282482000001</v>
      </c>
      <c r="AB52" s="73">
        <v>10291.23813567549</v>
      </c>
      <c r="AC52" s="73">
        <v>10379.178675529105</v>
      </c>
      <c r="AD52" s="73">
        <v>10459.553850063739</v>
      </c>
      <c r="AE52" s="73">
        <v>10532.799290344423</v>
      </c>
      <c r="AF52" s="73">
        <v>10599.335595796269</v>
      </c>
      <c r="AG52" s="73">
        <v>10659.569127736937</v>
      </c>
      <c r="AH52" s="73">
        <v>10713.890386539702</v>
      </c>
      <c r="AI52" s="73">
        <v>10762.675116207409</v>
      </c>
      <c r="AJ52" s="73">
        <v>10806.283378933167</v>
      </c>
      <c r="AK52" s="73">
        <v>10845.058933</v>
      </c>
      <c r="AL52" s="73">
        <v>10905.725782199999</v>
      </c>
      <c r="AM52" s="73">
        <v>10962.410629651424</v>
      </c>
      <c r="AN52" s="73">
        <v>11015.381097980275</v>
      </c>
      <c r="AO52" s="73">
        <v>11064.890071004986</v>
      </c>
      <c r="AP52" s="73">
        <v>11111.17719710376</v>
      </c>
      <c r="AQ52" s="73">
        <v>11140.853486290191</v>
      </c>
      <c r="AR52" s="73">
        <v>11167.658317251255</v>
      </c>
      <c r="AS52" s="73">
        <v>11191.793527475906</v>
      </c>
      <c r="AT52" s="73">
        <v>11213.444681075482</v>
      </c>
      <c r="AU52" s="73">
        <v>11232.7791632806</v>
      </c>
      <c r="AV52" s="73">
        <v>11249.946638032428</v>
      </c>
      <c r="AW52" s="73">
        <v>11265.078688438101</v>
      </c>
      <c r="AX52" s="73">
        <v>11278.28770180599</v>
      </c>
      <c r="AY52" s="73">
        <v>11289.667576790933</v>
      </c>
      <c r="AZ52" s="73">
        <v>11299.292852829112</v>
      </c>
      <c r="BA52" s="73">
        <v>11307.217317412282</v>
      </c>
      <c r="BB52" s="73">
        <v>11313.476314612029</v>
      </c>
      <c r="BC52" s="73">
        <v>11318.08281599881</v>
      </c>
      <c r="BD52" s="73">
        <v>11321.029980888574</v>
      </c>
      <c r="BE52" s="73">
        <v>11322.289322848312</v>
      </c>
      <c r="BF52" s="73">
        <v>11321.810473431939</v>
      </c>
      <c r="BG52" s="73">
        <v>11319.521031538467</v>
      </c>
      <c r="BH52" s="73">
        <v>11315.326414007721</v>
      </c>
      <c r="BI52" s="73">
        <v>11309.107880418098</v>
      </c>
      <c r="BJ52" s="73">
        <v>11300.7247097529</v>
      </c>
    </row>
    <row r="53" spans="1:62" ht="14.25">
      <c r="A53" s="72" t="s">
        <v>422</v>
      </c>
      <c r="B53" s="73"/>
      <c r="C53" s="73"/>
      <c r="D53" s="73"/>
      <c r="E53" s="73"/>
      <c r="F53" s="73"/>
      <c r="G53" s="73">
        <v>1567</v>
      </c>
      <c r="H53" s="73">
        <v>1635</v>
      </c>
      <c r="I53" s="73">
        <v>1728</v>
      </c>
      <c r="J53" s="73">
        <v>1838</v>
      </c>
      <c r="K53" s="73">
        <v>1904</v>
      </c>
      <c r="L53" s="73">
        <v>1844</v>
      </c>
      <c r="M53" s="73">
        <v>1950</v>
      </c>
      <c r="N53" s="73">
        <v>2041</v>
      </c>
      <c r="O53" s="73">
        <v>2134</v>
      </c>
      <c r="P53" s="73">
        <v>2220</v>
      </c>
      <c r="Q53" s="73">
        <v>2309</v>
      </c>
      <c r="R53" s="73">
        <v>2392</v>
      </c>
      <c r="S53" s="73">
        <v>2482</v>
      </c>
      <c r="T53" s="73">
        <v>2564.0000000000005</v>
      </c>
      <c r="U53" s="73">
        <v>2639</v>
      </c>
      <c r="V53" s="73">
        <v>2720</v>
      </c>
      <c r="W53" s="73">
        <v>2772.1241768115942</v>
      </c>
      <c r="X53" s="73">
        <v>2808.8039960474125</v>
      </c>
      <c r="Y53" s="73">
        <v>2846.4626828882256</v>
      </c>
      <c r="Z53" s="73">
        <v>2884.8739173288609</v>
      </c>
      <c r="AA53" s="73">
        <v>2923.8190469999995</v>
      </c>
      <c r="AB53" s="73">
        <v>2981.0980464262693</v>
      </c>
      <c r="AC53" s="73">
        <v>3039.088220158299</v>
      </c>
      <c r="AD53" s="73">
        <v>3097.6008068262904</v>
      </c>
      <c r="AE53" s="73">
        <v>3156.4520633459624</v>
      </c>
      <c r="AF53" s="73">
        <v>3215.4648558673839</v>
      </c>
      <c r="AG53" s="73">
        <v>3274.4688690406319</v>
      </c>
      <c r="AH53" s="73">
        <v>3333.3015581278032</v>
      </c>
      <c r="AI53" s="73">
        <v>3391.8096644804014</v>
      </c>
      <c r="AJ53" s="73">
        <v>3449.8492680626573</v>
      </c>
      <c r="AK53" s="73">
        <v>3507.2874540000003</v>
      </c>
      <c r="AL53" s="73">
        <v>3529.6962277499997</v>
      </c>
      <c r="AM53" s="73">
        <v>3550.5346688261998</v>
      </c>
      <c r="AN53" s="73">
        <v>3569.7486361996794</v>
      </c>
      <c r="AO53" s="73">
        <v>3587.3012623351624</v>
      </c>
      <c r="AP53" s="73">
        <v>3603.1740732074568</v>
      </c>
      <c r="AQ53" s="73">
        <v>3612.9533405227321</v>
      </c>
      <c r="AR53" s="73">
        <v>3621.0480585386063</v>
      </c>
      <c r="AS53" s="73">
        <v>3627.5034676990376</v>
      </c>
      <c r="AT53" s="73">
        <v>3632.3857638744726</v>
      </c>
      <c r="AU53" s="73">
        <v>3635.779935127433</v>
      </c>
      <c r="AV53" s="73">
        <v>3637.7930129173974</v>
      </c>
      <c r="AW53" s="73">
        <v>3638.552460301084</v>
      </c>
      <c r="AX53" s="73">
        <v>3638.207238751063</v>
      </c>
      <c r="AY53" s="73">
        <v>3636.9283348866834</v>
      </c>
      <c r="AZ53" s="73">
        <v>3634.9089433610834</v>
      </c>
      <c r="BA53" s="73">
        <v>3632.3642967037586</v>
      </c>
      <c r="BB53" s="73">
        <v>3629.5340353772444</v>
      </c>
      <c r="BC53" s="73">
        <v>3626.6792973305646</v>
      </c>
      <c r="BD53" s="73">
        <v>3624.0870123764767</v>
      </c>
      <c r="BE53" s="73">
        <v>3622.0666283134733</v>
      </c>
      <c r="BF53" s="73">
        <v>3620.9539446696767</v>
      </c>
      <c r="BG53" s="73">
        <v>3621.1086803431376</v>
      </c>
      <c r="BH53" s="73">
        <v>3622.9160360111837</v>
      </c>
      <c r="BI53" s="73">
        <v>3626.7879964189697</v>
      </c>
      <c r="BJ53" s="73">
        <v>3633.1620305090919</v>
      </c>
    </row>
    <row r="54" spans="1:62" ht="14.25">
      <c r="A54" s="72" t="s">
        <v>421</v>
      </c>
      <c r="B54" s="73"/>
      <c r="C54" s="73"/>
      <c r="D54" s="73"/>
      <c r="E54" s="73"/>
      <c r="F54" s="73"/>
      <c r="G54" s="73">
        <v>374</v>
      </c>
      <c r="H54" s="73">
        <v>385</v>
      </c>
      <c r="I54" s="73">
        <v>399</v>
      </c>
      <c r="J54" s="73">
        <v>410</v>
      </c>
      <c r="K54" s="73">
        <v>425</v>
      </c>
      <c r="L54" s="73">
        <v>433</v>
      </c>
      <c r="M54" s="73">
        <v>448</v>
      </c>
      <c r="N54" s="73">
        <v>463.99999999999994</v>
      </c>
      <c r="O54" s="73">
        <v>481.00000000000006</v>
      </c>
      <c r="P54" s="73">
        <v>499</v>
      </c>
      <c r="Q54" s="73">
        <v>519</v>
      </c>
      <c r="R54" s="73">
        <v>543</v>
      </c>
      <c r="S54" s="73">
        <v>564</v>
      </c>
      <c r="T54" s="73">
        <v>581</v>
      </c>
      <c r="U54" s="73">
        <v>591</v>
      </c>
      <c r="V54" s="73">
        <v>610</v>
      </c>
      <c r="W54" s="73">
        <v>621.09767313725501</v>
      </c>
      <c r="X54" s="73">
        <v>637.14069391523765</v>
      </c>
      <c r="Y54" s="73">
        <v>653.09434576268359</v>
      </c>
      <c r="Z54" s="73">
        <v>668.95154710356053</v>
      </c>
      <c r="AA54" s="73">
        <v>684.70545000000004</v>
      </c>
      <c r="AB54" s="73">
        <v>697.30831695566087</v>
      </c>
      <c r="AC54" s="73">
        <v>709.67405260706244</v>
      </c>
      <c r="AD54" s="73">
        <v>721.79923906684667</v>
      </c>
      <c r="AE54" s="73">
        <v>733.68117306384704</v>
      </c>
      <c r="AF54" s="73">
        <v>745.31797640519005</v>
      </c>
      <c r="AG54" s="73">
        <v>756.70766736453334</v>
      </c>
      <c r="AH54" s="73">
        <v>767.85019690639206</v>
      </c>
      <c r="AI54" s="73">
        <v>778.74492033861895</v>
      </c>
      <c r="AJ54" s="73">
        <v>789.3929389539918</v>
      </c>
      <c r="AK54" s="73">
        <v>799.79537300000004</v>
      </c>
      <c r="AL54" s="73">
        <v>804.61031539499982</v>
      </c>
      <c r="AM54" s="73">
        <v>809.09020935967476</v>
      </c>
      <c r="AN54" s="73">
        <v>813.2439212137798</v>
      </c>
      <c r="AO54" s="73">
        <v>817.08255748496515</v>
      </c>
      <c r="AP54" s="73">
        <v>820.61734780913366</v>
      </c>
      <c r="AQ54" s="73">
        <v>822.85460785786756</v>
      </c>
      <c r="AR54" s="73">
        <v>824.80613853611828</v>
      </c>
      <c r="AS54" s="73">
        <v>826.48712303170839</v>
      </c>
      <c r="AT54" s="73">
        <v>827.91254255897616</v>
      </c>
      <c r="AU54" s="73">
        <v>829.09854302164854</v>
      </c>
      <c r="AV54" s="73">
        <v>830.06168916831837</v>
      </c>
      <c r="AW54" s="73">
        <v>830.81996901433024</v>
      </c>
      <c r="AX54" s="73">
        <v>831.39150694972955</v>
      </c>
      <c r="AY54" s="73">
        <v>831.79587983622025</v>
      </c>
      <c r="AZ54" s="73">
        <v>832.05266511624359</v>
      </c>
      <c r="BA54" s="73">
        <v>832.18284210292632</v>
      </c>
      <c r="BB54" s="73">
        <v>832.2087372489259</v>
      </c>
      <c r="BC54" s="73">
        <v>832.15192432068193</v>
      </c>
      <c r="BD54" s="73">
        <v>832.03636277944565</v>
      </c>
      <c r="BE54" s="73">
        <v>831.8868557972479</v>
      </c>
      <c r="BF54" s="73">
        <v>831.72818830504264</v>
      </c>
      <c r="BG54" s="73">
        <v>831.58639976185759</v>
      </c>
      <c r="BH54" s="73">
        <v>831.48840381128969</v>
      </c>
      <c r="BI54" s="73">
        <v>831.46296581030924</v>
      </c>
      <c r="BJ54" s="73">
        <v>831.53879716916731</v>
      </c>
    </row>
    <row r="55" spans="1:62" ht="14.25">
      <c r="A55" s="72" t="s">
        <v>420</v>
      </c>
      <c r="B55" s="73"/>
      <c r="C55" s="73"/>
      <c r="D55" s="73"/>
      <c r="E55" s="73"/>
      <c r="F55" s="73"/>
      <c r="G55" s="73">
        <v>1265</v>
      </c>
      <c r="H55" s="73">
        <v>1311</v>
      </c>
      <c r="I55" s="73">
        <v>1360</v>
      </c>
      <c r="J55" s="73">
        <v>1419</v>
      </c>
      <c r="K55" s="73">
        <v>1474.9999999999998</v>
      </c>
      <c r="L55" s="73">
        <v>1529</v>
      </c>
      <c r="M55" s="73">
        <v>1619.0000000000002</v>
      </c>
      <c r="N55" s="73">
        <v>1685</v>
      </c>
      <c r="O55" s="73">
        <v>1755</v>
      </c>
      <c r="P55" s="73">
        <v>1818</v>
      </c>
      <c r="Q55" s="73">
        <v>1887</v>
      </c>
      <c r="R55" s="73">
        <v>1970</v>
      </c>
      <c r="S55" s="73">
        <v>2043.9999999999998</v>
      </c>
      <c r="T55" s="73">
        <v>2107</v>
      </c>
      <c r="U55" s="73">
        <v>2175</v>
      </c>
      <c r="V55" s="73">
        <v>2229</v>
      </c>
      <c r="W55" s="73">
        <v>2262.9305334059777</v>
      </c>
      <c r="X55" s="73">
        <v>2292.2136859985781</v>
      </c>
      <c r="Y55" s="73">
        <v>2320.9657040932875</v>
      </c>
      <c r="Z55" s="73">
        <v>2349.1151374827327</v>
      </c>
      <c r="AA55" s="73">
        <v>2376.5951540000001</v>
      </c>
      <c r="AB55" s="73">
        <v>2396.8863563515401</v>
      </c>
      <c r="AC55" s="73">
        <v>2416.266505972013</v>
      </c>
      <c r="AD55" s="73">
        <v>2434.690721681724</v>
      </c>
      <c r="AE55" s="73">
        <v>2452.1200111113735</v>
      </c>
      <c r="AF55" s="73">
        <v>2468.5217852356077</v>
      </c>
      <c r="AG55" s="73">
        <v>2483.8697816074377</v>
      </c>
      <c r="AH55" s="73">
        <v>2498.1441330178714</v>
      </c>
      <c r="AI55" s="73">
        <v>2511.3322812465508</v>
      </c>
      <c r="AJ55" s="73">
        <v>2523.4282957086989</v>
      </c>
      <c r="AK55" s="73">
        <v>2534.4338760000001</v>
      </c>
      <c r="AL55" s="73">
        <v>2540.1954965399996</v>
      </c>
      <c r="AM55" s="73">
        <v>2544.8707204303496</v>
      </c>
      <c r="AN55" s="73">
        <v>2548.4897709853913</v>
      </c>
      <c r="AO55" s="73">
        <v>2551.0908812702937</v>
      </c>
      <c r="AP55" s="73">
        <v>2552.7208052993051</v>
      </c>
      <c r="AQ55" s="73">
        <v>2550.3184061855009</v>
      </c>
      <c r="AR55" s="73">
        <v>2547.0677893444204</v>
      </c>
      <c r="AS55" s="73">
        <v>2543.0443527261073</v>
      </c>
      <c r="AT55" s="73">
        <v>2538.3324973991844</v>
      </c>
      <c r="AU55" s="73">
        <v>2533.0250528220199</v>
      </c>
      <c r="AV55" s="73">
        <v>2527.224159614625</v>
      </c>
      <c r="AW55" s="73">
        <v>2521.0409390197915</v>
      </c>
      <c r="AX55" s="73">
        <v>2514.5958947362656</v>
      </c>
      <c r="AY55" s="73">
        <v>2508.0190738626538</v>
      </c>
      <c r="AZ55" s="73">
        <v>2501.4498144069717</v>
      </c>
      <c r="BA55" s="73">
        <v>2495.0377354575298</v>
      </c>
      <c r="BB55" s="73">
        <v>2488.9419909232079</v>
      </c>
      <c r="BC55" s="73">
        <v>2483.3321839844371</v>
      </c>
      <c r="BD55" s="73">
        <v>2478.3878672802475</v>
      </c>
      <c r="BE55" s="73">
        <v>2474.299298982442</v>
      </c>
      <c r="BF55" s="73">
        <v>2471.267364674673</v>
      </c>
      <c r="BG55" s="73">
        <v>2469.5036658825484</v>
      </c>
      <c r="BH55" s="73">
        <v>2469.2307796990194</v>
      </c>
      <c r="BI55" s="73">
        <v>2470.6825222123962</v>
      </c>
      <c r="BJ55" s="73">
        <v>2474.1040433259741</v>
      </c>
    </row>
    <row r="56" spans="1:62" ht="14.25">
      <c r="A56" s="72" t="s">
        <v>419</v>
      </c>
      <c r="B56" s="73"/>
      <c r="C56" s="73"/>
      <c r="D56" s="73"/>
      <c r="E56" s="73"/>
      <c r="F56" s="73"/>
      <c r="G56" s="73">
        <v>2710</v>
      </c>
      <c r="H56" s="73">
        <v>2802</v>
      </c>
      <c r="I56" s="73">
        <v>2893</v>
      </c>
      <c r="J56" s="73">
        <v>3044</v>
      </c>
      <c r="K56" s="73">
        <v>3168</v>
      </c>
      <c r="L56" s="73">
        <v>3232</v>
      </c>
      <c r="M56" s="73">
        <v>3375</v>
      </c>
      <c r="N56" s="73">
        <v>3505</v>
      </c>
      <c r="O56" s="73">
        <v>3646</v>
      </c>
      <c r="P56" s="73">
        <v>3785</v>
      </c>
      <c r="Q56" s="73">
        <v>3956</v>
      </c>
      <c r="R56" s="73">
        <v>4126</v>
      </c>
      <c r="S56" s="73">
        <v>4292</v>
      </c>
      <c r="T56" s="73">
        <v>4452</v>
      </c>
      <c r="U56" s="73">
        <v>4623</v>
      </c>
      <c r="V56" s="73">
        <v>4749</v>
      </c>
      <c r="W56" s="73">
        <v>4861.8006297778311</v>
      </c>
      <c r="X56" s="73">
        <v>4928.6044592503877</v>
      </c>
      <c r="Y56" s="73">
        <v>4993.7029112521332</v>
      </c>
      <c r="Z56" s="73">
        <v>5057.0093989087645</v>
      </c>
      <c r="AA56" s="73">
        <v>5118.4439400000001</v>
      </c>
      <c r="AB56" s="73">
        <v>5194.9449003538566</v>
      </c>
      <c r="AC56" s="73">
        <v>5269.8713884995832</v>
      </c>
      <c r="AD56" s="73">
        <v>5343.1486346592774</v>
      </c>
      <c r="AE56" s="73">
        <v>5414.7099238710898</v>
      </c>
      <c r="AF56" s="73">
        <v>5484.4971823889164</v>
      </c>
      <c r="AG56" s="73">
        <v>5552.4615869613872</v>
      </c>
      <c r="AH56" s="73">
        <v>5618.5638702004762</v>
      </c>
      <c r="AI56" s="73">
        <v>5682.7750896930356</v>
      </c>
      <c r="AJ56" s="73">
        <v>5745.0779685627631</v>
      </c>
      <c r="AK56" s="73">
        <v>5805.4662040000003</v>
      </c>
      <c r="AL56" s="73">
        <v>5819.9640409800004</v>
      </c>
      <c r="AM56" s="73">
        <v>5832.0579288563995</v>
      </c>
      <c r="AN56" s="73">
        <v>5841.8303770000921</v>
      </c>
      <c r="AO56" s="73">
        <v>5849.3766615685345</v>
      </c>
      <c r="AP56" s="73">
        <v>5854.8044238451121</v>
      </c>
      <c r="AQ56" s="73">
        <v>5851.0860764735617</v>
      </c>
      <c r="AR56" s="73">
        <v>5845.5110085779379</v>
      </c>
      <c r="AS56" s="73">
        <v>5838.2339605637826</v>
      </c>
      <c r="AT56" s="73">
        <v>5829.4238430898613</v>
      </c>
      <c r="AU56" s="73">
        <v>5819.2629868095091</v>
      </c>
      <c r="AV56" s="73">
        <v>5807.9472993073496</v>
      </c>
      <c r="AW56" s="73">
        <v>5795.6872818649281</v>
      </c>
      <c r="AX56" s="73">
        <v>5782.7074858537153</v>
      </c>
      <c r="AY56" s="73">
        <v>5769.2470357305219</v>
      </c>
      <c r="AZ56" s="73">
        <v>5755.5601611028042</v>
      </c>
      <c r="BA56" s="73">
        <v>5741.9161566425119</v>
      </c>
      <c r="BB56" s="73">
        <v>5728.5992651846918</v>
      </c>
      <c r="BC56" s="73">
        <v>5715.9095802549709</v>
      </c>
      <c r="BD56" s="73">
        <v>5704.1630842255554</v>
      </c>
      <c r="BE56" s="73">
        <v>5693.6916842547653</v>
      </c>
      <c r="BF56" s="73">
        <v>5684.8439864440752</v>
      </c>
      <c r="BG56" s="73">
        <v>5677.9847465726007</v>
      </c>
      <c r="BH56" s="73">
        <v>5673.4959465476522</v>
      </c>
      <c r="BI56" s="73">
        <v>5671.7764692568926</v>
      </c>
      <c r="BJ56" s="73">
        <v>5673.2430406841686</v>
      </c>
    </row>
    <row r="57" spans="1:62" ht="14.25">
      <c r="A57" s="72" t="s">
        <v>418</v>
      </c>
      <c r="B57" s="73"/>
      <c r="C57" s="73"/>
      <c r="D57" s="73"/>
      <c r="E57" s="73"/>
      <c r="F57" s="73"/>
      <c r="G57" s="73">
        <v>1002</v>
      </c>
      <c r="H57" s="73">
        <v>1012.9999999999999</v>
      </c>
      <c r="I57" s="73">
        <v>1026</v>
      </c>
      <c r="J57" s="73">
        <v>1047</v>
      </c>
      <c r="K57" s="73">
        <v>1057</v>
      </c>
      <c r="L57" s="73">
        <v>1176</v>
      </c>
      <c r="M57" s="73">
        <v>1237</v>
      </c>
      <c r="N57" s="73">
        <v>1302</v>
      </c>
      <c r="O57" s="73">
        <v>1376</v>
      </c>
      <c r="P57" s="73">
        <v>1480</v>
      </c>
      <c r="Q57" s="73">
        <v>1593</v>
      </c>
      <c r="R57" s="73">
        <v>1712</v>
      </c>
      <c r="S57" s="73">
        <v>1816</v>
      </c>
      <c r="T57" s="73">
        <v>1893</v>
      </c>
      <c r="U57" s="73">
        <v>1981.0000000000002</v>
      </c>
      <c r="V57" s="73">
        <v>2051</v>
      </c>
      <c r="W57" s="73">
        <v>2108.1517008047767</v>
      </c>
      <c r="X57" s="73">
        <v>2193.2356011141587</v>
      </c>
      <c r="Y57" s="73">
        <v>2282.3244962418948</v>
      </c>
      <c r="Z57" s="73">
        <v>2375.3273257807869</v>
      </c>
      <c r="AA57" s="73">
        <v>2472.144104</v>
      </c>
      <c r="AB57" s="73">
        <v>2512.2793131316344</v>
      </c>
      <c r="AC57" s="73">
        <v>2552.5907177173949</v>
      </c>
      <c r="AD57" s="73">
        <v>2592.8521142990794</v>
      </c>
      <c r="AE57" s="73">
        <v>2632.8502160137928</v>
      </c>
      <c r="AF57" s="73">
        <v>2672.3844728693648</v>
      </c>
      <c r="AG57" s="73">
        <v>2711.268106839118</v>
      </c>
      <c r="AH57" s="73">
        <v>2749.3294493150725</v>
      </c>
      <c r="AI57" s="73">
        <v>2786.4119302190502</v>
      </c>
      <c r="AJ57" s="73">
        <v>2822.3757284387575</v>
      </c>
      <c r="AK57" s="73">
        <v>2857.0977240000002</v>
      </c>
      <c r="AL57" s="73">
        <v>2878.2156408000001</v>
      </c>
      <c r="AM57" s="73">
        <v>2897.6834642228996</v>
      </c>
      <c r="AN57" s="73">
        <v>2915.4560271813352</v>
      </c>
      <c r="AO57" s="73">
        <v>2931.510130229773</v>
      </c>
      <c r="AP57" s="73">
        <v>2945.8446816251308</v>
      </c>
      <c r="AQ57" s="73">
        <v>2954.8706755526719</v>
      </c>
      <c r="AR57" s="73">
        <v>2962.2213858547943</v>
      </c>
      <c r="AS57" s="73">
        <v>2967.9711858963178</v>
      </c>
      <c r="AT57" s="73">
        <v>2972.2189304393369</v>
      </c>
      <c r="AU57" s="73">
        <v>2975.08762458516</v>
      </c>
      <c r="AV57" s="73">
        <v>2976.725434976755</v>
      </c>
      <c r="AW57" s="73">
        <v>2977.3055019952344</v>
      </c>
      <c r="AX57" s="73">
        <v>2977.0273231607325</v>
      </c>
      <c r="AY57" s="73">
        <v>2976.1158548169483</v>
      </c>
      <c r="AZ57" s="73">
        <v>2974.8239181151516</v>
      </c>
      <c r="BA57" s="73">
        <v>2973.4304396136813</v>
      </c>
      <c r="BB57" s="73">
        <v>2972.2425851162798</v>
      </c>
      <c r="BC57" s="73">
        <v>2971.5958132673522</v>
      </c>
      <c r="BD57" s="73">
        <v>2971.8535571703105</v>
      </c>
      <c r="BE57" s="73">
        <v>2973.4093274695024</v>
      </c>
      <c r="BF57" s="73">
        <v>2976.6855252907008</v>
      </c>
      <c r="BG57" s="73">
        <v>2982.1350466968711</v>
      </c>
      <c r="BH57" s="73">
        <v>2990.241350962418</v>
      </c>
      <c r="BI57" s="73">
        <v>3001.5193481091601</v>
      </c>
      <c r="BJ57" s="73">
        <v>3016.5147970578578</v>
      </c>
    </row>
    <row r="58" spans="1:62" ht="14.25">
      <c r="A58" s="72" t="s">
        <v>417</v>
      </c>
      <c r="B58" s="73"/>
      <c r="C58" s="73"/>
      <c r="D58" s="73"/>
      <c r="E58" s="73"/>
      <c r="F58" s="73"/>
      <c r="G58" s="73">
        <v>1313.0000000000002</v>
      </c>
      <c r="H58" s="73">
        <v>1367</v>
      </c>
      <c r="I58" s="73">
        <v>1426</v>
      </c>
      <c r="J58" s="73">
        <v>1499</v>
      </c>
      <c r="K58" s="73">
        <v>1554</v>
      </c>
      <c r="L58" s="73">
        <v>1597</v>
      </c>
      <c r="M58" s="73">
        <v>1690</v>
      </c>
      <c r="N58" s="73">
        <v>1782</v>
      </c>
      <c r="O58" s="73">
        <v>1856</v>
      </c>
      <c r="P58" s="73">
        <v>1918</v>
      </c>
      <c r="Q58" s="73">
        <v>2002</v>
      </c>
      <c r="R58" s="73">
        <v>2088</v>
      </c>
      <c r="S58" s="73">
        <v>2172</v>
      </c>
      <c r="T58" s="73">
        <v>2231</v>
      </c>
      <c r="U58" s="73">
        <v>2294</v>
      </c>
      <c r="V58" s="73">
        <v>2363</v>
      </c>
      <c r="W58" s="73">
        <v>2426.7597205970151</v>
      </c>
      <c r="X58" s="73">
        <v>2544.3782976927982</v>
      </c>
      <c r="Y58" s="73">
        <v>2667.1085995632948</v>
      </c>
      <c r="Z58" s="73">
        <v>2795.018363852605</v>
      </c>
      <c r="AA58" s="73">
        <v>2928.1718999999998</v>
      </c>
      <c r="AB58" s="73">
        <v>2982.2696980216683</v>
      </c>
      <c r="AC58" s="73">
        <v>3036.2432948099427</v>
      </c>
      <c r="AD58" s="73">
        <v>3089.9662491478985</v>
      </c>
      <c r="AE58" s="73">
        <v>3143.3180226304589</v>
      </c>
      <c r="AF58" s="73">
        <v>3196.1833938630243</v>
      </c>
      <c r="AG58" s="73">
        <v>3248.4536851329967</v>
      </c>
      <c r="AH58" s="73">
        <v>3300.0266236291891</v>
      </c>
      <c r="AI58" s="73">
        <v>3350.8078302016102</v>
      </c>
      <c r="AJ58" s="73">
        <v>3400.7107896154475</v>
      </c>
      <c r="AK58" s="73">
        <v>3449.6574760000003</v>
      </c>
      <c r="AL58" s="73">
        <v>3471.3456765000001</v>
      </c>
      <c r="AM58" s="73">
        <v>3491.4474750680993</v>
      </c>
      <c r="AN58" s="73">
        <v>3509.9465084060303</v>
      </c>
      <c r="AO58" s="73">
        <v>3526.8388192400394</v>
      </c>
      <c r="AP58" s="73">
        <v>3542.1325410685631</v>
      </c>
      <c r="AQ58" s="73">
        <v>3551.5097329863056</v>
      </c>
      <c r="AR58" s="73">
        <v>3559.3191751335494</v>
      </c>
      <c r="AS58" s="73">
        <v>3565.6137712630157</v>
      </c>
      <c r="AT58" s="73">
        <v>3570.460169246991</v>
      </c>
      <c r="AU58" s="73">
        <v>3573.938230547154</v>
      </c>
      <c r="AV58" s="73">
        <v>3576.1414118354592</v>
      </c>
      <c r="AW58" s="73">
        <v>3577.1780114647381</v>
      </c>
      <c r="AX58" s="73">
        <v>3577.1703577051417</v>
      </c>
      <c r="AY58" s="73">
        <v>3576.2548409861029</v>
      </c>
      <c r="AZ58" s="73">
        <v>3574.5837538170172</v>
      </c>
      <c r="BA58" s="73">
        <v>3572.323390855805</v>
      </c>
      <c r="BB58" s="73">
        <v>3569.6563332566502</v>
      </c>
      <c r="BC58" s="73">
        <v>3566.7803407789229</v>
      </c>
      <c r="BD58" s="73">
        <v>3563.9094937638288</v>
      </c>
      <c r="BE58" s="73">
        <v>3561.2736612302069</v>
      </c>
      <c r="BF58" s="73">
        <v>3559.1193605597468</v>
      </c>
      <c r="BG58" s="73">
        <v>3557.7097415804565</v>
      </c>
      <c r="BH58" s="73">
        <v>3557.3250892333213</v>
      </c>
      <c r="BI58" s="73">
        <v>3558.2633343315424</v>
      </c>
      <c r="BJ58" s="73">
        <v>3560.83936975918</v>
      </c>
    </row>
    <row r="59" spans="1:62" ht="14.25">
      <c r="A59" s="72" t="s">
        <v>416</v>
      </c>
      <c r="B59" s="73"/>
      <c r="C59" s="73"/>
      <c r="D59" s="73"/>
      <c r="E59" s="73"/>
      <c r="F59" s="73"/>
      <c r="G59" s="73">
        <v>58.000000000000007</v>
      </c>
      <c r="H59" s="73">
        <v>60</v>
      </c>
      <c r="I59" s="73">
        <v>62</v>
      </c>
      <c r="J59" s="73">
        <v>64</v>
      </c>
      <c r="K59" s="73">
        <v>66</v>
      </c>
      <c r="L59" s="73">
        <v>68</v>
      </c>
      <c r="M59" s="73">
        <v>70</v>
      </c>
      <c r="N59" s="73">
        <v>72</v>
      </c>
      <c r="O59" s="73">
        <v>76</v>
      </c>
      <c r="P59" s="73">
        <v>85</v>
      </c>
      <c r="Q59" s="73">
        <v>95.000000000000014</v>
      </c>
      <c r="R59" s="73">
        <v>107</v>
      </c>
      <c r="S59" s="73">
        <v>116</v>
      </c>
      <c r="T59" s="73">
        <v>120</v>
      </c>
      <c r="U59" s="73">
        <v>125.00000000000001</v>
      </c>
      <c r="V59" s="73">
        <v>131</v>
      </c>
      <c r="W59" s="73">
        <v>134.87876174863388</v>
      </c>
      <c r="X59" s="73">
        <v>139.24985499260723</v>
      </c>
      <c r="Y59" s="73">
        <v>143.74477372617613</v>
      </c>
      <c r="Z59" s="73">
        <v>148.35797256334504</v>
      </c>
      <c r="AA59" s="73">
        <v>153.08344</v>
      </c>
      <c r="AB59" s="73">
        <v>157.30160101589397</v>
      </c>
      <c r="AC59" s="73">
        <v>161.58403986054586</v>
      </c>
      <c r="AD59" s="73">
        <v>165.92366503326124</v>
      </c>
      <c r="AE59" s="73">
        <v>170.3136806300688</v>
      </c>
      <c r="AF59" s="73">
        <v>174.74702600521846</v>
      </c>
      <c r="AG59" s="73">
        <v>179.21713447060887</v>
      </c>
      <c r="AH59" s="73">
        <v>183.71718562255091</v>
      </c>
      <c r="AI59" s="73">
        <v>188.24098410815992</v>
      </c>
      <c r="AJ59" s="73">
        <v>192.78238046726412</v>
      </c>
      <c r="AK59" s="73">
        <v>197.33558399999998</v>
      </c>
      <c r="AL59" s="73">
        <v>199.23867719999996</v>
      </c>
      <c r="AM59" s="73">
        <v>201.05885706119997</v>
      </c>
      <c r="AN59" s="73">
        <v>202.79330011029592</v>
      </c>
      <c r="AO59" s="73">
        <v>204.4402659158832</v>
      </c>
      <c r="AP59" s="73">
        <v>205.99843579255787</v>
      </c>
      <c r="AQ59" s="73">
        <v>207.21413269462292</v>
      </c>
      <c r="AR59" s="73">
        <v>208.33769622522141</v>
      </c>
      <c r="AS59" s="73">
        <v>209.37048130898413</v>
      </c>
      <c r="AT59" s="73">
        <v>210.31447092212474</v>
      </c>
      <c r="AU59" s="73">
        <v>211.17248828921927</v>
      </c>
      <c r="AV59" s="73">
        <v>211.94836341512075</v>
      </c>
      <c r="AW59" s="73">
        <v>212.64624425484564</v>
      </c>
      <c r="AX59" s="73">
        <v>213.27151503437454</v>
      </c>
      <c r="AY59" s="73">
        <v>213.83030985228905</v>
      </c>
      <c r="AZ59" s="73">
        <v>214.3295260188811</v>
      </c>
      <c r="BA59" s="73">
        <v>214.77678624935834</v>
      </c>
      <c r="BB59" s="73">
        <v>215.18086323087019</v>
      </c>
      <c r="BC59" s="73">
        <v>215.5513901121754</v>
      </c>
      <c r="BD59" s="73">
        <v>215.89882358443325</v>
      </c>
      <c r="BE59" s="73">
        <v>216.23440595189894</v>
      </c>
      <c r="BF59" s="73">
        <v>216.57059659854275</v>
      </c>
      <c r="BG59" s="73">
        <v>216.92072607503837</v>
      </c>
      <c r="BH59" s="73">
        <v>217.29890542667391</v>
      </c>
      <c r="BI59" s="73">
        <v>217.72062051275336</v>
      </c>
      <c r="BJ59" s="73">
        <v>218.20185388445375</v>
      </c>
    </row>
    <row r="60" spans="1:62" ht="14.25">
      <c r="A60" s="72" t="s">
        <v>415</v>
      </c>
      <c r="B60" s="73"/>
      <c r="C60" s="73"/>
      <c r="D60" s="73"/>
      <c r="E60" s="73"/>
      <c r="F60" s="73"/>
      <c r="G60" s="73">
        <v>1374</v>
      </c>
      <c r="H60" s="73">
        <v>1447</v>
      </c>
      <c r="I60" s="73">
        <v>1506</v>
      </c>
      <c r="J60" s="73">
        <v>1565</v>
      </c>
      <c r="K60" s="73">
        <v>1621</v>
      </c>
      <c r="L60" s="73">
        <v>1709</v>
      </c>
      <c r="M60" s="73">
        <v>1783</v>
      </c>
      <c r="N60" s="73">
        <v>1883</v>
      </c>
      <c r="O60" s="73">
        <v>1962</v>
      </c>
      <c r="P60" s="73">
        <v>2029.0000000000002</v>
      </c>
      <c r="Q60" s="73">
        <v>2105</v>
      </c>
      <c r="R60" s="73">
        <v>2185</v>
      </c>
      <c r="S60" s="73">
        <v>2267</v>
      </c>
      <c r="T60" s="73">
        <v>2345</v>
      </c>
      <c r="U60" s="73">
        <v>2417</v>
      </c>
      <c r="V60" s="73">
        <v>2478</v>
      </c>
      <c r="W60" s="73">
        <v>2537.4544041476984</v>
      </c>
      <c r="X60" s="73">
        <v>2570.5523710980992</v>
      </c>
      <c r="Y60" s="73">
        <v>2601.2067255487736</v>
      </c>
      <c r="Z60" s="73">
        <v>2629.5228960381955</v>
      </c>
      <c r="AA60" s="73">
        <v>2655.60529</v>
      </c>
      <c r="AB60" s="73">
        <v>2685.1694786622115</v>
      </c>
      <c r="AC60" s="73">
        <v>2712.8101387518745</v>
      </c>
      <c r="AD60" s="73">
        <v>2738.6165122529133</v>
      </c>
      <c r="AE60" s="73">
        <v>2762.6787650865954</v>
      </c>
      <c r="AF60" s="73">
        <v>2785.0857378177679</v>
      </c>
      <c r="AG60" s="73">
        <v>2805.925925850981</v>
      </c>
      <c r="AH60" s="73">
        <v>2825.2879576151358</v>
      </c>
      <c r="AI60" s="73">
        <v>2843.2597157875716</v>
      </c>
      <c r="AJ60" s="73">
        <v>2859.9277674110726</v>
      </c>
      <c r="AK60" s="73">
        <v>2875.3788</v>
      </c>
      <c r="AL60" s="73">
        <v>2882.7040210499995</v>
      </c>
      <c r="AM60" s="73">
        <v>2888.9350862242495</v>
      </c>
      <c r="AN60" s="73">
        <v>2894.1626156008379</v>
      </c>
      <c r="AO60" s="73">
        <v>2898.4757799426138</v>
      </c>
      <c r="AP60" s="73">
        <v>2901.9612356814559</v>
      </c>
      <c r="AQ60" s="73">
        <v>2901.1595263128183</v>
      </c>
      <c r="AR60" s="73">
        <v>2899.6969637408806</v>
      </c>
      <c r="AS60" s="73">
        <v>2897.656840618065</v>
      </c>
      <c r="AT60" s="73">
        <v>2895.1190268213554</v>
      </c>
      <c r="AU60" s="73">
        <v>2892.1606239793487</v>
      </c>
      <c r="AV60" s="73">
        <v>2888.8567090490578</v>
      </c>
      <c r="AW60" s="73">
        <v>2885.2787374901022</v>
      </c>
      <c r="AX60" s="73">
        <v>2881.4956474310584</v>
      </c>
      <c r="AY60" s="73">
        <v>2877.5735790918184</v>
      </c>
      <c r="AZ60" s="73">
        <v>2873.5752158577834</v>
      </c>
      <c r="BA60" s="73">
        <v>2869.5602331590649</v>
      </c>
      <c r="BB60" s="73">
        <v>2865.5853828943877</v>
      </c>
      <c r="BC60" s="73">
        <v>2861.7039021553796</v>
      </c>
      <c r="BD60" s="73">
        <v>2857.9658927472074</v>
      </c>
      <c r="BE60" s="73">
        <v>2854.4181026023784</v>
      </c>
      <c r="BF60" s="73">
        <v>2851.1037029722347</v>
      </c>
      <c r="BG60" s="73">
        <v>2848.0622908830496</v>
      </c>
      <c r="BH60" s="73">
        <v>2845.3302764706832</v>
      </c>
      <c r="BI60" s="73">
        <v>2842.939815152673</v>
      </c>
      <c r="BJ60" s="73">
        <v>2840.9197282926598</v>
      </c>
    </row>
    <row r="61" spans="1:62" ht="14.25">
      <c r="A61" s="72" t="s">
        <v>414</v>
      </c>
      <c r="B61" s="73"/>
      <c r="C61" s="73"/>
      <c r="D61" s="73"/>
      <c r="E61" s="73"/>
      <c r="F61" s="73"/>
      <c r="G61" s="73">
        <v>764</v>
      </c>
      <c r="H61" s="73">
        <v>792</v>
      </c>
      <c r="I61" s="73">
        <v>822</v>
      </c>
      <c r="J61" s="73">
        <v>856</v>
      </c>
      <c r="K61" s="73">
        <v>891</v>
      </c>
      <c r="L61" s="73">
        <v>925</v>
      </c>
      <c r="M61" s="73">
        <v>951</v>
      </c>
      <c r="N61" s="73">
        <v>988.99999999999989</v>
      </c>
      <c r="O61" s="73">
        <v>1027</v>
      </c>
      <c r="P61" s="73">
        <v>1070</v>
      </c>
      <c r="Q61" s="73">
        <v>1116</v>
      </c>
      <c r="R61" s="73">
        <v>1161</v>
      </c>
      <c r="S61" s="73">
        <v>1214</v>
      </c>
      <c r="T61" s="73">
        <v>1250</v>
      </c>
      <c r="U61" s="73">
        <v>1272</v>
      </c>
      <c r="V61" s="73">
        <v>1306</v>
      </c>
      <c r="W61" s="73">
        <v>1346.1924800000002</v>
      </c>
      <c r="X61" s="73">
        <v>1385.9970134566902</v>
      </c>
      <c r="Y61" s="73">
        <v>1426.0115102626035</v>
      </c>
      <c r="Z61" s="73">
        <v>1466.1964621808042</v>
      </c>
      <c r="AA61" s="73">
        <v>1506.51288</v>
      </c>
      <c r="AB61" s="73">
        <v>1543.5772325864793</v>
      </c>
      <c r="AC61" s="73">
        <v>1580.530764673659</v>
      </c>
      <c r="AD61" s="73">
        <v>1617.3388126784596</v>
      </c>
      <c r="AE61" s="73">
        <v>1653.9681405856479</v>
      </c>
      <c r="AF61" s="73">
        <v>1690.388319353631</v>
      </c>
      <c r="AG61" s="73">
        <v>1726.571368764261</v>
      </c>
      <c r="AH61" s="73">
        <v>1762.4923980811559</v>
      </c>
      <c r="AI61" s="73">
        <v>1798.1293592705799</v>
      </c>
      <c r="AJ61" s="73">
        <v>1833.4645385542156</v>
      </c>
      <c r="AK61" s="73">
        <v>1868.4836799999998</v>
      </c>
      <c r="AL61" s="73">
        <v>1877.0607607499999</v>
      </c>
      <c r="AM61" s="73">
        <v>1884.7294967654996</v>
      </c>
      <c r="AN61" s="73">
        <v>1891.5182020891009</v>
      </c>
      <c r="AO61" s="73">
        <v>1897.4599668172023</v>
      </c>
      <c r="AP61" s="73">
        <v>1902.5930553367903</v>
      </c>
      <c r="AQ61" s="73">
        <v>1904.6338306056277</v>
      </c>
      <c r="AR61" s="73">
        <v>1905.9515998370316</v>
      </c>
      <c r="AS61" s="73">
        <v>1906.6024292821348</v>
      </c>
      <c r="AT61" s="73">
        <v>1906.6476647072705</v>
      </c>
      <c r="AU61" s="73">
        <v>1906.1540957652539</v>
      </c>
      <c r="AV61" s="73">
        <v>1905.1929484966697</v>
      </c>
      <c r="AW61" s="73">
        <v>1903.8418013215223</v>
      </c>
      <c r="AX61" s="73">
        <v>1902.1831412412653</v>
      </c>
      <c r="AY61" s="73">
        <v>1900.3055587869551</v>
      </c>
      <c r="AZ61" s="73">
        <v>1898.3024353035873</v>
      </c>
      <c r="BA61" s="73">
        <v>1896.2737410429438</v>
      </c>
      <c r="BB61" s="73">
        <v>1894.325245040847</v>
      </c>
      <c r="BC61" s="73">
        <v>1892.5677811678056</v>
      </c>
      <c r="BD61" s="73">
        <v>1891.1194469156321</v>
      </c>
      <c r="BE61" s="73">
        <v>1890.1039021751387</v>
      </c>
      <c r="BF61" s="73">
        <v>1889.6506861515109</v>
      </c>
      <c r="BG61" s="73">
        <v>1889.8960759850829</v>
      </c>
      <c r="BH61" s="73">
        <v>1890.9831956700207</v>
      </c>
      <c r="BI61" s="73">
        <v>1893.0610468545547</v>
      </c>
      <c r="BJ61" s="73">
        <v>1896.2858378566386</v>
      </c>
    </row>
    <row r="62" spans="1:62" ht="14.25">
      <c r="A62" s="72" t="s">
        <v>413</v>
      </c>
      <c r="B62" s="73"/>
      <c r="C62" s="73"/>
      <c r="D62" s="73"/>
      <c r="E62" s="73"/>
      <c r="F62" s="73"/>
      <c r="G62" s="73">
        <v>213</v>
      </c>
      <c r="H62" s="73">
        <v>215</v>
      </c>
      <c r="I62" s="73">
        <v>221</v>
      </c>
      <c r="J62" s="73">
        <v>226</v>
      </c>
      <c r="K62" s="73">
        <v>234.00000000000003</v>
      </c>
      <c r="L62" s="73">
        <v>252</v>
      </c>
      <c r="M62" s="73">
        <v>264</v>
      </c>
      <c r="N62" s="73">
        <v>273</v>
      </c>
      <c r="O62" s="73">
        <v>281</v>
      </c>
      <c r="P62" s="73">
        <v>293</v>
      </c>
      <c r="Q62" s="73">
        <v>298</v>
      </c>
      <c r="R62" s="73">
        <v>312</v>
      </c>
      <c r="S62" s="73">
        <v>325</v>
      </c>
      <c r="T62" s="73">
        <v>336</v>
      </c>
      <c r="U62" s="73">
        <v>347.00000000000006</v>
      </c>
      <c r="V62" s="73">
        <v>356</v>
      </c>
      <c r="W62" s="73">
        <v>363.87252727272727</v>
      </c>
      <c r="X62" s="73">
        <v>368.29283840366264</v>
      </c>
      <c r="Y62" s="73">
        <v>372.69869357474073</v>
      </c>
      <c r="Z62" s="73">
        <v>377.06690895277291</v>
      </c>
      <c r="AA62" s="73">
        <v>381.37613599999997</v>
      </c>
      <c r="AB62" s="73">
        <v>386.3591157024951</v>
      </c>
      <c r="AC62" s="73">
        <v>391.26108646243932</v>
      </c>
      <c r="AD62" s="73">
        <v>396.06366816902977</v>
      </c>
      <c r="AE62" s="73">
        <v>400.7495051753105</v>
      </c>
      <c r="AF62" s="73">
        <v>405.30268923067769</v>
      </c>
      <c r="AG62" s="73">
        <v>409.70861830588115</v>
      </c>
      <c r="AH62" s="73">
        <v>413.95397871589842</v>
      </c>
      <c r="AI62" s="73">
        <v>418.02685608364538</v>
      </c>
      <c r="AJ62" s="73">
        <v>421.91691523904001</v>
      </c>
      <c r="AK62" s="73">
        <v>425.61532200000005</v>
      </c>
      <c r="AL62" s="73">
        <v>428.57205929999998</v>
      </c>
      <c r="AM62" s="73">
        <v>431.31634100279996</v>
      </c>
      <c r="AN62" s="73">
        <v>433.84487871601794</v>
      </c>
      <c r="AO62" s="73">
        <v>436.15576528871685</v>
      </c>
      <c r="AP62" s="73">
        <v>438.24959255638259</v>
      </c>
      <c r="AQ62" s="73">
        <v>439.5910352623082</v>
      </c>
      <c r="AR62" s="73">
        <v>440.71757750975104</v>
      </c>
      <c r="AS62" s="73">
        <v>441.63585466502002</v>
      </c>
      <c r="AT62" s="73">
        <v>442.35433815300962</v>
      </c>
      <c r="AU62" s="73">
        <v>442.8833690379634</v>
      </c>
      <c r="AV62" s="73">
        <v>443.23512276700467</v>
      </c>
      <c r="AW62" s="73">
        <v>443.4241979948593</v>
      </c>
      <c r="AX62" s="73">
        <v>443.46661442064845</v>
      </c>
      <c r="AY62" s="73">
        <v>443.38144741745782</v>
      </c>
      <c r="AZ62" s="73">
        <v>443.18884566696732</v>
      </c>
      <c r="BA62" s="73">
        <v>442.91160025208609</v>
      </c>
      <c r="BB62" s="73">
        <v>442.574837600085</v>
      </c>
      <c r="BC62" s="73">
        <v>442.20591811794037</v>
      </c>
      <c r="BD62" s="73">
        <v>441.83390407633999</v>
      </c>
      <c r="BE62" s="73">
        <v>441.49094818404427</v>
      </c>
      <c r="BF62" s="73">
        <v>441.21112595670212</v>
      </c>
      <c r="BG62" s="73">
        <v>441.03082812105418</v>
      </c>
      <c r="BH62" s="73">
        <v>440.98916152749024</v>
      </c>
      <c r="BI62" s="73">
        <v>441.12755913113426</v>
      </c>
      <c r="BJ62" s="73">
        <v>441.49011020825463</v>
      </c>
    </row>
    <row r="63" spans="1:62" ht="14.25">
      <c r="A63" s="72" t="s">
        <v>412</v>
      </c>
      <c r="B63" s="73"/>
      <c r="C63" s="73"/>
      <c r="D63" s="73"/>
      <c r="E63" s="73"/>
      <c r="F63" s="73"/>
      <c r="G63" s="73">
        <v>252</v>
      </c>
      <c r="H63" s="73">
        <v>260</v>
      </c>
      <c r="I63" s="73">
        <v>269</v>
      </c>
      <c r="J63" s="73">
        <v>278</v>
      </c>
      <c r="K63" s="73">
        <v>288</v>
      </c>
      <c r="L63" s="73">
        <v>303</v>
      </c>
      <c r="M63" s="73">
        <v>325</v>
      </c>
      <c r="N63" s="73">
        <v>337</v>
      </c>
      <c r="O63" s="73">
        <v>352</v>
      </c>
      <c r="P63" s="73">
        <v>372</v>
      </c>
      <c r="Q63" s="73">
        <v>390</v>
      </c>
      <c r="R63" s="73">
        <v>408</v>
      </c>
      <c r="S63" s="73">
        <v>430</v>
      </c>
      <c r="T63" s="73">
        <v>440.99999999999994</v>
      </c>
      <c r="U63" s="73">
        <v>456</v>
      </c>
      <c r="V63" s="73">
        <v>468.00000000000006</v>
      </c>
      <c r="W63" s="73">
        <v>479.98310620689665</v>
      </c>
      <c r="X63" s="73">
        <v>489.31058269237258</v>
      </c>
      <c r="Y63" s="73">
        <v>498.67096218584101</v>
      </c>
      <c r="Z63" s="73">
        <v>508.03831501565134</v>
      </c>
      <c r="AA63" s="73">
        <v>517.38732299999992</v>
      </c>
      <c r="AB63" s="73">
        <v>525.37155298328673</v>
      </c>
      <c r="AC63" s="73">
        <v>533.24659236414129</v>
      </c>
      <c r="AD63" s="73">
        <v>540.99113111935924</v>
      </c>
      <c r="AE63" s="73">
        <v>548.58491980689098</v>
      </c>
      <c r="AF63" s="73">
        <v>556.00947552846844</v>
      </c>
      <c r="AG63" s="73">
        <v>563.2475162862853</v>
      </c>
      <c r="AH63" s="73">
        <v>570.28338889932888</v>
      </c>
      <c r="AI63" s="73">
        <v>577.10307439251142</v>
      </c>
      <c r="AJ63" s="73">
        <v>583.6943405094047</v>
      </c>
      <c r="AK63" s="73">
        <v>590.04690000000005</v>
      </c>
      <c r="AL63" s="73">
        <v>594.15775874999997</v>
      </c>
      <c r="AM63" s="73">
        <v>597.98219542312484</v>
      </c>
      <c r="AN63" s="73">
        <v>601.5185720937842</v>
      </c>
      <c r="AO63" s="73">
        <v>604.76717551002571</v>
      </c>
      <c r="AP63" s="73">
        <v>607.73072661389176</v>
      </c>
      <c r="AQ63" s="73">
        <v>609.66904712850078</v>
      </c>
      <c r="AR63" s="73">
        <v>611.32947310835607</v>
      </c>
      <c r="AS63" s="73">
        <v>612.72249557744522</v>
      </c>
      <c r="AT63" s="73">
        <v>613.86112978064909</v>
      </c>
      <c r="AU63" s="73">
        <v>614.76072609823404</v>
      </c>
      <c r="AV63" s="73">
        <v>615.43932671142352</v>
      </c>
      <c r="AW63" s="73">
        <v>615.91724037822519</v>
      </c>
      <c r="AX63" s="73">
        <v>616.21732023822494</v>
      </c>
      <c r="AY63" s="73">
        <v>616.36500880801839</v>
      </c>
      <c r="AZ63" s="73">
        <v>616.38894239101819</v>
      </c>
      <c r="BA63" s="73">
        <v>616.31956498078182</v>
      </c>
      <c r="BB63" s="73">
        <v>616.19076718768713</v>
      </c>
      <c r="BC63" s="73">
        <v>616.03897783678258</v>
      </c>
      <c r="BD63" s="73">
        <v>615.90328803963223</v>
      </c>
      <c r="BE63" s="73">
        <v>615.82606574863587</v>
      </c>
      <c r="BF63" s="73">
        <v>615.85227697375046</v>
      </c>
      <c r="BG63" s="73">
        <v>616.0301846047397</v>
      </c>
      <c r="BH63" s="73">
        <v>616.41082823079023</v>
      </c>
      <c r="BI63" s="73">
        <v>617.04815231222346</v>
      </c>
      <c r="BJ63" s="73">
        <v>617.99996581154323</v>
      </c>
    </row>
    <row r="64" spans="1:62" ht="14.25">
      <c r="A64" s="72" t="s">
        <v>411</v>
      </c>
      <c r="B64" s="73"/>
      <c r="C64" s="73"/>
      <c r="D64" s="73"/>
      <c r="E64" s="73"/>
      <c r="F64" s="73"/>
      <c r="G64" s="73">
        <v>747</v>
      </c>
      <c r="H64" s="73">
        <v>778</v>
      </c>
      <c r="I64" s="73">
        <v>820</v>
      </c>
      <c r="J64" s="73">
        <v>845</v>
      </c>
      <c r="K64" s="73">
        <v>860</v>
      </c>
      <c r="L64" s="73">
        <v>940</v>
      </c>
      <c r="M64" s="73">
        <v>973</v>
      </c>
      <c r="N64" s="73">
        <v>996</v>
      </c>
      <c r="O64" s="73">
        <v>1027</v>
      </c>
      <c r="P64" s="73">
        <v>1088</v>
      </c>
      <c r="Q64" s="73">
        <v>1163</v>
      </c>
      <c r="R64" s="73">
        <v>1224</v>
      </c>
      <c r="S64" s="73">
        <v>1287</v>
      </c>
      <c r="T64" s="73">
        <v>1361</v>
      </c>
      <c r="U64" s="73">
        <v>1421</v>
      </c>
      <c r="V64" s="73">
        <v>1464.0000000000002</v>
      </c>
      <c r="W64" s="73">
        <v>1581.4168989571263</v>
      </c>
      <c r="X64" s="73">
        <v>1612.0709477260939</v>
      </c>
      <c r="Y64" s="73">
        <v>1642.847679886346</v>
      </c>
      <c r="Z64" s="73">
        <v>1673.6777451836306</v>
      </c>
      <c r="AA64" s="73">
        <v>1704.4932000000001</v>
      </c>
      <c r="AB64" s="73">
        <v>1728.7174318258033</v>
      </c>
      <c r="AC64" s="73">
        <v>1752.5923495928121</v>
      </c>
      <c r="AD64" s="73">
        <v>1776.0600593826409</v>
      </c>
      <c r="AE64" s="73">
        <v>1799.0656931461247</v>
      </c>
      <c r="AF64" s="73">
        <v>1821.5583148173007</v>
      </c>
      <c r="AG64" s="73">
        <v>1843.4903557682358</v>
      </c>
      <c r="AH64" s="73">
        <v>1864.818160933205</v>
      </c>
      <c r="AI64" s="73">
        <v>1885.502557508278</v>
      </c>
      <c r="AJ64" s="73">
        <v>1905.508544078657</v>
      </c>
      <c r="AK64" s="73">
        <v>1924.8054149999998</v>
      </c>
      <c r="AL64" s="73">
        <v>1937.5131740249999</v>
      </c>
      <c r="AM64" s="73">
        <v>1949.3757782313746</v>
      </c>
      <c r="AN64" s="73">
        <v>1960.384060528115</v>
      </c>
      <c r="AO64" s="73">
        <v>1970.5350355260493</v>
      </c>
      <c r="AP64" s="73">
        <v>1979.8313222273755</v>
      </c>
      <c r="AQ64" s="73">
        <v>1985.8543791440341</v>
      </c>
      <c r="AR64" s="73">
        <v>1991.02872858417</v>
      </c>
      <c r="AS64" s="73">
        <v>1995.3774348850352</v>
      </c>
      <c r="AT64" s="73">
        <v>1998.9294638114104</v>
      </c>
      <c r="AU64" s="73">
        <v>2001.7193827074445</v>
      </c>
      <c r="AV64" s="73">
        <v>2003.7882795870237</v>
      </c>
      <c r="AW64" s="73">
        <v>2005.1836071234886</v>
      </c>
      <c r="AX64" s="73">
        <v>2005.9590217539146</v>
      </c>
      <c r="AY64" s="73">
        <v>2006.1751140352494</v>
      </c>
      <c r="AZ64" s="73">
        <v>2005.8984934839727</v>
      </c>
      <c r="BA64" s="73">
        <v>2005.2029350837374</v>
      </c>
      <c r="BB64" s="73">
        <v>2004.1691560840418</v>
      </c>
      <c r="BC64" s="73">
        <v>2002.8843063460192</v>
      </c>
      <c r="BD64" s="73">
        <v>2001.4431317380063</v>
      </c>
      <c r="BE64" s="73">
        <v>1999.9478933209593</v>
      </c>
      <c r="BF64" s="73">
        <v>1998.5073630259265</v>
      </c>
      <c r="BG64" s="73">
        <v>1997.238494909911</v>
      </c>
      <c r="BH64" s="73">
        <v>1996.2655655947051</v>
      </c>
      <c r="BI64" s="73">
        <v>1995.720725315867</v>
      </c>
      <c r="BJ64" s="73">
        <v>1995.7435540362007</v>
      </c>
    </row>
    <row r="66" spans="1:62" ht="14.25">
      <c r="A66" s="72" t="s">
        <v>440</v>
      </c>
      <c r="G66" s="71">
        <v>252</v>
      </c>
      <c r="H66" s="71">
        <v>250.99999999999994</v>
      </c>
      <c r="I66" s="71">
        <v>260</v>
      </c>
      <c r="J66" s="71">
        <v>267</v>
      </c>
      <c r="K66" s="71">
        <v>279.00000000000006</v>
      </c>
      <c r="L66" s="71">
        <v>275.99999999999994</v>
      </c>
      <c r="M66" s="71">
        <v>279.00000000000006</v>
      </c>
      <c r="N66" s="71">
        <v>285</v>
      </c>
      <c r="O66" s="71">
        <v>289</v>
      </c>
      <c r="P66" s="71">
        <v>292.99999999999994</v>
      </c>
      <c r="Q66" s="71">
        <v>291.00000000000011</v>
      </c>
      <c r="R66" s="71">
        <v>291.00000000000011</v>
      </c>
      <c r="S66" s="71">
        <v>286.99999999999989</v>
      </c>
      <c r="T66" s="71">
        <v>282.99999999999989</v>
      </c>
      <c r="U66" s="71">
        <v>277.00000000000011</v>
      </c>
      <c r="V66" s="71">
        <v>273.00000000000011</v>
      </c>
      <c r="W66" s="71">
        <v>276.5328289629968</v>
      </c>
      <c r="X66" s="71">
        <v>264.64330478495287</v>
      </c>
      <c r="Y66" s="71">
        <v>252.00778515913689</v>
      </c>
      <c r="Z66" s="71">
        <v>238.74262475745815</v>
      </c>
      <c r="AA66" s="71">
        <v>224.95286999999993</v>
      </c>
      <c r="AB66" s="71">
        <v>222.91388662424785</v>
      </c>
      <c r="AC66" s="71">
        <v>220.6231592010522</v>
      </c>
      <c r="AD66" s="71">
        <v>218.11969356140713</v>
      </c>
      <c r="AE66" s="71">
        <v>215.43924596517792</v>
      </c>
      <c r="AF66" s="71">
        <v>212.61441248586218</v>
      </c>
      <c r="AG66" s="71">
        <v>209.6747851368647</v>
      </c>
      <c r="AH66" s="71">
        <v>206.64695590766121</v>
      </c>
      <c r="AI66" s="71">
        <v>203.55472036043383</v>
      </c>
      <c r="AJ66" s="71">
        <v>200.41908383350207</v>
      </c>
      <c r="AK66" s="71">
        <v>197.25842699999993</v>
      </c>
      <c r="AL66" s="71">
        <v>186.35960545500004</v>
      </c>
      <c r="AM66" s="71">
        <v>175.49607856485025</v>
      </c>
      <c r="AN66" s="71">
        <v>164.67992388358661</v>
      </c>
      <c r="AO66" s="71">
        <v>153.91954941207013</v>
      </c>
      <c r="AP66" s="71">
        <v>143.22014174396122</v>
      </c>
      <c r="AQ66" s="71">
        <v>135.01710925269859</v>
      </c>
      <c r="AR66" s="71">
        <v>126.87485024682313</v>
      </c>
      <c r="AS66" s="71">
        <v>118.79232070996397</v>
      </c>
      <c r="AT66" s="71">
        <v>110.76712132056356</v>
      </c>
      <c r="AU66" s="71">
        <v>102.79585451399508</v>
      </c>
      <c r="AV66" s="71">
        <v>94.874492374756912</v>
      </c>
      <c r="AW66" s="71">
        <v>86.998761321873047</v>
      </c>
      <c r="AX66" s="71">
        <v>79.164486007291373</v>
      </c>
      <c r="AY66" s="71">
        <v>71.368011880311187</v>
      </c>
      <c r="AZ66" s="71">
        <v>63.606550955575536</v>
      </c>
      <c r="BA66" s="71">
        <v>60.835692000000051</v>
      </c>
      <c r="BB66" s="71">
        <v>60.517929000000052</v>
      </c>
      <c r="BC66" s="71">
        <v>60.179232000000056</v>
      </c>
      <c r="BD66" s="71">
        <v>59.81340600000005</v>
      </c>
      <c r="BE66" s="71">
        <v>59.413635000000056</v>
      </c>
      <c r="BF66" s="71">
        <v>58.972500000000053</v>
      </c>
      <c r="BG66" s="71">
        <v>58.481961000000048</v>
      </c>
      <c r="BH66" s="71">
        <v>57.933366000000049</v>
      </c>
      <c r="BI66" s="71">
        <v>57.317451000000048</v>
      </c>
      <c r="BJ66" s="71">
        <v>56.624343000000053</v>
      </c>
    </row>
    <row r="67" spans="1:62" ht="14.25">
      <c r="A67" s="72" t="s">
        <v>439</v>
      </c>
      <c r="G67" s="71">
        <v>260</v>
      </c>
      <c r="H67" s="71">
        <v>261.00000000000006</v>
      </c>
      <c r="I67" s="71">
        <v>264.00000000000006</v>
      </c>
      <c r="J67" s="71">
        <v>268.00000000000006</v>
      </c>
      <c r="K67" s="71">
        <v>270</v>
      </c>
      <c r="L67" s="71">
        <v>264.99999999999994</v>
      </c>
      <c r="M67" s="71">
        <v>262.00000000000006</v>
      </c>
      <c r="N67" s="71">
        <v>253.99999999999994</v>
      </c>
      <c r="O67" s="71">
        <v>250.00000000000006</v>
      </c>
      <c r="P67" s="71">
        <v>248.99999999999997</v>
      </c>
      <c r="Q67" s="71">
        <v>245.99999999999997</v>
      </c>
      <c r="R67" s="71">
        <v>241.00000000000003</v>
      </c>
      <c r="S67" s="71">
        <v>232.00000000000003</v>
      </c>
      <c r="T67" s="71">
        <v>222.00000000000006</v>
      </c>
      <c r="U67" s="71">
        <v>217</v>
      </c>
      <c r="V67" s="71">
        <v>212</v>
      </c>
      <c r="W67" s="71">
        <v>211.56885884923523</v>
      </c>
      <c r="X67" s="71">
        <v>208.7300924879132</v>
      </c>
      <c r="Y67" s="71">
        <v>205.52652275086456</v>
      </c>
      <c r="Z67" s="71">
        <v>202.0030164498996</v>
      </c>
      <c r="AA67" s="71">
        <v>198.20117800000003</v>
      </c>
      <c r="AB67" s="71">
        <v>194.07959896493838</v>
      </c>
      <c r="AC67" s="71">
        <v>189.75310234788213</v>
      </c>
      <c r="AD67" s="71">
        <v>185.25437541235078</v>
      </c>
      <c r="AE67" s="71">
        <v>180.61320760600773</v>
      </c>
      <c r="AF67" s="71">
        <v>175.85664602752036</v>
      </c>
      <c r="AG67" s="71">
        <v>171.0091101143563</v>
      </c>
      <c r="AH67" s="71">
        <v>166.09250756151019</v>
      </c>
      <c r="AI67" s="71">
        <v>161.12635148122564</v>
      </c>
      <c r="AJ67" s="71">
        <v>156.12783359524576</v>
      </c>
      <c r="AK67" s="71">
        <v>151.11203799999998</v>
      </c>
      <c r="AL67" s="71">
        <v>144.18899459500003</v>
      </c>
      <c r="AM67" s="71">
        <v>137.27891799467508</v>
      </c>
      <c r="AN67" s="71">
        <v>130.39204715280994</v>
      </c>
      <c r="AO67" s="71">
        <v>123.53667160306686</v>
      </c>
      <c r="AP67" s="71">
        <v>116.7192611209711</v>
      </c>
      <c r="AQ67" s="71">
        <v>111.4277153589735</v>
      </c>
      <c r="AR67" s="71">
        <v>106.17670934256326</v>
      </c>
      <c r="AS67" s="71">
        <v>100.96835104864668</v>
      </c>
      <c r="AT67" s="71">
        <v>95.803774644277667</v>
      </c>
      <c r="AU67" s="71">
        <v>90.683280561040561</v>
      </c>
      <c r="AV67" s="71">
        <v>85.606499353250001</v>
      </c>
      <c r="AW67" s="71">
        <v>80.572515152337743</v>
      </c>
      <c r="AX67" s="71">
        <v>75.580058906857047</v>
      </c>
      <c r="AY67" s="71">
        <v>70.627617744882741</v>
      </c>
      <c r="AZ67" s="71">
        <v>65.713634478592667</v>
      </c>
      <c r="BA67" s="71">
        <v>60.836625426249967</v>
      </c>
      <c r="BB67" s="71">
        <v>55.995378489772364</v>
      </c>
      <c r="BC67" s="71">
        <v>51.189079535641092</v>
      </c>
      <c r="BD67" s="71">
        <v>46.417509070279991</v>
      </c>
      <c r="BE67" s="71">
        <v>41.681180729539363</v>
      </c>
      <c r="BF67" s="71">
        <v>36.981525501435321</v>
      </c>
      <c r="BG67" s="71">
        <v>35.660880000000027</v>
      </c>
      <c r="BH67" s="71">
        <v>35.337000000000032</v>
      </c>
      <c r="BI67" s="71">
        <v>34.990482000000036</v>
      </c>
      <c r="BJ67" s="71">
        <v>34.61765700000003</v>
      </c>
    </row>
    <row r="68" spans="1:62" ht="14.25">
      <c r="A68" s="72" t="s">
        <v>438</v>
      </c>
      <c r="G68" s="71">
        <v>4269</v>
      </c>
      <c r="H68" s="71">
        <v>4224.0000000000009</v>
      </c>
      <c r="I68" s="71">
        <v>4148.0000000000009</v>
      </c>
      <c r="J68" s="71">
        <v>4061</v>
      </c>
      <c r="K68" s="71">
        <v>3957</v>
      </c>
      <c r="L68" s="71">
        <v>3993</v>
      </c>
      <c r="M68" s="71">
        <v>3935.0000000000005</v>
      </c>
      <c r="N68" s="71">
        <v>3877.9999999999995</v>
      </c>
      <c r="O68" s="71">
        <v>3788</v>
      </c>
      <c r="P68" s="71">
        <v>3707.9999999999995</v>
      </c>
      <c r="Q68" s="71">
        <v>3550</v>
      </c>
      <c r="R68" s="71">
        <v>3402</v>
      </c>
      <c r="S68" s="71">
        <v>3278.9999999999995</v>
      </c>
      <c r="T68" s="71">
        <v>3169.0000000000005</v>
      </c>
      <c r="U68" s="71">
        <v>3069.9999999999995</v>
      </c>
      <c r="V68" s="71">
        <v>2980.0000000000005</v>
      </c>
      <c r="W68" s="71">
        <v>2915.0222211600426</v>
      </c>
      <c r="X68" s="71">
        <v>2858.8869993824233</v>
      </c>
      <c r="Y68" s="71">
        <v>2799.6622942398189</v>
      </c>
      <c r="Z68" s="71">
        <v>2737.4059404906461</v>
      </c>
      <c r="AA68" s="71">
        <v>2672.1826249999999</v>
      </c>
      <c r="AB68" s="71">
        <v>2643.7339053374753</v>
      </c>
      <c r="AC68" s="71">
        <v>2613.5929564363601</v>
      </c>
      <c r="AD68" s="71">
        <v>2581.8111278149663</v>
      </c>
      <c r="AE68" s="71">
        <v>2548.4433265897428</v>
      </c>
      <c r="AF68" s="71">
        <v>2513.5476867615507</v>
      </c>
      <c r="AG68" s="71">
        <v>2477.1859152095512</v>
      </c>
      <c r="AH68" s="71">
        <v>2439.4220640338667</v>
      </c>
      <c r="AI68" s="71">
        <v>2400.3229707946971</v>
      </c>
      <c r="AJ68" s="71">
        <v>2359.9578664964984</v>
      </c>
      <c r="AK68" s="71">
        <v>2318.3981100000005</v>
      </c>
      <c r="AL68" s="71">
        <v>2288.8930662000007</v>
      </c>
      <c r="AM68" s="71">
        <v>2258.4666173920009</v>
      </c>
      <c r="AN68" s="71">
        <v>2227.1812497697465</v>
      </c>
      <c r="AO68" s="71">
        <v>2195.1007489403792</v>
      </c>
      <c r="AP68" s="71">
        <v>2162.2903890851067</v>
      </c>
      <c r="AQ68" s="71">
        <v>2135.5387863897931</v>
      </c>
      <c r="AR68" s="71">
        <v>2108.2077364034217</v>
      </c>
      <c r="AS68" s="71">
        <v>2080.3593046058563</v>
      </c>
      <c r="AT68" s="71">
        <v>2052.0566212011313</v>
      </c>
      <c r="AU68" s="71">
        <v>2023.3637846461652</v>
      </c>
      <c r="AV68" s="71">
        <v>1994.3453347505879</v>
      </c>
      <c r="AW68" s="71">
        <v>1965.0666946995163</v>
      </c>
      <c r="AX68" s="71">
        <v>1935.5935073704454</v>
      </c>
      <c r="AY68" s="71">
        <v>1905.9916198151122</v>
      </c>
      <c r="AZ68" s="71">
        <v>1876.3270068221771</v>
      </c>
      <c r="BA68" s="71">
        <v>1846.6656625698654</v>
      </c>
      <c r="BB68" s="71">
        <v>1817.0733127776173</v>
      </c>
      <c r="BC68" s="71">
        <v>1787.6152074904981</v>
      </c>
      <c r="BD68" s="71">
        <v>1758.3562564331307</v>
      </c>
      <c r="BE68" s="71">
        <v>1729.3604202991889</v>
      </c>
      <c r="BF68" s="71">
        <v>1700.6909156625318</v>
      </c>
      <c r="BG68" s="71">
        <v>1672.4099461401324</v>
      </c>
      <c r="BH68" s="71">
        <v>1644.5783922202183</v>
      </c>
      <c r="BI68" s="71">
        <v>1617.2559678721075</v>
      </c>
      <c r="BJ68" s="71">
        <v>1590.5004689043212</v>
      </c>
    </row>
    <row r="69" spans="1:62" ht="14.25">
      <c r="A69" s="72" t="s">
        <v>437</v>
      </c>
      <c r="G69" s="71">
        <v>1942</v>
      </c>
      <c r="H69" s="71">
        <v>1924</v>
      </c>
      <c r="I69" s="71">
        <v>1899</v>
      </c>
      <c r="J69" s="71">
        <v>1871.9999999999998</v>
      </c>
      <c r="K69" s="71">
        <v>1850.9999999999998</v>
      </c>
      <c r="L69" s="71">
        <v>1857.0000000000002</v>
      </c>
      <c r="M69" s="71">
        <v>1788</v>
      </c>
      <c r="N69" s="71">
        <v>1727</v>
      </c>
      <c r="O69" s="71">
        <v>1666</v>
      </c>
      <c r="P69" s="71">
        <v>1612</v>
      </c>
      <c r="Q69" s="71">
        <v>1553</v>
      </c>
      <c r="R69" s="71">
        <v>1502.0000000000002</v>
      </c>
      <c r="S69" s="71">
        <v>1453.0000000000002</v>
      </c>
      <c r="T69" s="71">
        <v>1405.9999999999998</v>
      </c>
      <c r="U69" s="71">
        <v>1354</v>
      </c>
      <c r="V69" s="71">
        <v>1308.0000000000002</v>
      </c>
      <c r="W69" s="71">
        <v>1288.6498888793101</v>
      </c>
      <c r="X69" s="71">
        <v>1259.5834686616665</v>
      </c>
      <c r="Y69" s="71">
        <v>1228.2751155899537</v>
      </c>
      <c r="Z69" s="71">
        <v>1194.7957450084955</v>
      </c>
      <c r="AA69" s="71">
        <v>1159.2195199999999</v>
      </c>
      <c r="AB69" s="71">
        <v>1147.5369678973491</v>
      </c>
      <c r="AC69" s="71">
        <v>1134.7847528563348</v>
      </c>
      <c r="AD69" s="71">
        <v>1121.011266813864</v>
      </c>
      <c r="AE69" s="71">
        <v>1106.2660161081806</v>
      </c>
      <c r="AF69" s="71">
        <v>1090.5993008710032</v>
      </c>
      <c r="AG69" s="71">
        <v>1074.0619675634384</v>
      </c>
      <c r="AH69" s="71">
        <v>1056.705484819855</v>
      </c>
      <c r="AI69" s="71">
        <v>1038.5817150762402</v>
      </c>
      <c r="AJ69" s="71">
        <v>1019.7427199586127</v>
      </c>
      <c r="AK69" s="71">
        <v>1000.2407310000001</v>
      </c>
      <c r="AL69" s="71">
        <v>985.85734254000033</v>
      </c>
      <c r="AM69" s="71">
        <v>970.96894024750054</v>
      </c>
      <c r="AN69" s="71">
        <v>955.61990203772552</v>
      </c>
      <c r="AO69" s="71">
        <v>939.85438308779442</v>
      </c>
      <c r="AP69" s="71">
        <v>923.71627532660352</v>
      </c>
      <c r="AQ69" s="71">
        <v>910.60999810019291</v>
      </c>
      <c r="AR69" s="71">
        <v>897.22539829883499</v>
      </c>
      <c r="AS69" s="71">
        <v>883.60234163816631</v>
      </c>
      <c r="AT69" s="71">
        <v>869.78048280499422</v>
      </c>
      <c r="AU69" s="71">
        <v>855.7992122395035</v>
      </c>
      <c r="AV69" s="71">
        <v>841.69760036556477</v>
      </c>
      <c r="AW69" s="71">
        <v>827.51433923927709</v>
      </c>
      <c r="AX69" s="71">
        <v>813.28765871839471</v>
      </c>
      <c r="AY69" s="71">
        <v>799.05512885508335</v>
      </c>
      <c r="AZ69" s="71">
        <v>784.85375984162101</v>
      </c>
      <c r="BA69" s="71">
        <v>770.71980117149587</v>
      </c>
      <c r="BB69" s="71">
        <v>756.68861375216363</v>
      </c>
      <c r="BC69" s="71">
        <v>742.79478007965668</v>
      </c>
      <c r="BD69" s="71">
        <v>729.07173323553491</v>
      </c>
      <c r="BE69" s="71">
        <v>715.55188663033221</v>
      </c>
      <c r="BF69" s="71">
        <v>702.26651941614614</v>
      </c>
      <c r="BG69" s="71">
        <v>689.24562229183664</v>
      </c>
      <c r="BH69" s="71">
        <v>676.51772783821582</v>
      </c>
      <c r="BI69" s="71">
        <v>664.11011965042053</v>
      </c>
      <c r="BJ69" s="71">
        <v>652.04829914825154</v>
      </c>
    </row>
    <row r="70" spans="1:62" ht="14.25">
      <c r="A70" s="72" t="s">
        <v>436</v>
      </c>
      <c r="G70" s="71">
        <v>1269</v>
      </c>
      <c r="H70" s="71">
        <v>1239.9999999999998</v>
      </c>
      <c r="I70" s="71">
        <v>1211</v>
      </c>
      <c r="J70" s="71">
        <v>1179.9999999999998</v>
      </c>
      <c r="K70" s="71">
        <v>1145</v>
      </c>
      <c r="L70" s="71">
        <v>1100</v>
      </c>
      <c r="M70" s="71">
        <v>1061</v>
      </c>
      <c r="N70" s="71">
        <v>1025</v>
      </c>
      <c r="O70" s="71">
        <v>986.00000000000011</v>
      </c>
      <c r="P70" s="71">
        <v>956</v>
      </c>
      <c r="Q70" s="71">
        <v>924.99999999999989</v>
      </c>
      <c r="R70" s="71">
        <v>892</v>
      </c>
      <c r="S70" s="71">
        <v>861</v>
      </c>
      <c r="T70" s="71">
        <v>835.00000000000011</v>
      </c>
      <c r="U70" s="71">
        <v>809.99999999999989</v>
      </c>
      <c r="V70" s="71">
        <v>781.00000000000011</v>
      </c>
      <c r="W70" s="71">
        <v>769.63205958333322</v>
      </c>
      <c r="X70" s="71">
        <v>769.22084656354684</v>
      </c>
      <c r="Y70" s="71">
        <v>768.06301332025623</v>
      </c>
      <c r="Z70" s="71">
        <v>766.20176670859746</v>
      </c>
      <c r="AA70" s="71">
        <v>763.67935800000009</v>
      </c>
      <c r="AB70" s="71">
        <v>758.19206384942891</v>
      </c>
      <c r="AC70" s="71">
        <v>752.09935178934393</v>
      </c>
      <c r="AD70" s="71">
        <v>745.44389316718332</v>
      </c>
      <c r="AE70" s="71">
        <v>738.26684943196778</v>
      </c>
      <c r="AF70" s="71">
        <v>730.60789004275273</v>
      </c>
      <c r="AG70" s="71">
        <v>722.50532751048206</v>
      </c>
      <c r="AH70" s="71">
        <v>713.99569611379638</v>
      </c>
      <c r="AI70" s="71">
        <v>705.11404474845017</v>
      </c>
      <c r="AJ70" s="71">
        <v>695.89441196909593</v>
      </c>
      <c r="AK70" s="71">
        <v>686.36876000000007</v>
      </c>
      <c r="AL70" s="71">
        <v>675.27529996000032</v>
      </c>
      <c r="AM70" s="71">
        <v>663.93412089940057</v>
      </c>
      <c r="AN70" s="71">
        <v>652.37480453006469</v>
      </c>
      <c r="AO70" s="71">
        <v>640.62559161473678</v>
      </c>
      <c r="AP70" s="71">
        <v>628.71300671821461</v>
      </c>
      <c r="AQ70" s="71">
        <v>618.82542731785975</v>
      </c>
      <c r="AR70" s="71">
        <v>608.81915295907993</v>
      </c>
      <c r="AS70" s="71">
        <v>598.7150756430367</v>
      </c>
      <c r="AT70" s="71">
        <v>588.53282436212351</v>
      </c>
      <c r="AU70" s="71">
        <v>578.29084386666921</v>
      </c>
      <c r="AV70" s="71">
        <v>568.00671532611648</v>
      </c>
      <c r="AW70" s="71">
        <v>557.6967305058721</v>
      </c>
      <c r="AX70" s="71">
        <v>547.37626252775431</v>
      </c>
      <c r="AY70" s="71">
        <v>537.05947475056553</v>
      </c>
      <c r="AZ70" s="71">
        <v>526.75975278738576</v>
      </c>
      <c r="BA70" s="71">
        <v>516.48936953775728</v>
      </c>
      <c r="BB70" s="71">
        <v>506.25958633443543</v>
      </c>
      <c r="BC70" s="71">
        <v>496.08092905489411</v>
      </c>
      <c r="BD70" s="71">
        <v>485.9628906439246</v>
      </c>
      <c r="BE70" s="71">
        <v>475.91403062048448</v>
      </c>
      <c r="BF70" s="71">
        <v>465.94222085492845</v>
      </c>
      <c r="BG70" s="71">
        <v>456.05421362303935</v>
      </c>
      <c r="BH70" s="71">
        <v>446.25644448488146</v>
      </c>
      <c r="BI70" s="71">
        <v>436.55417697775943</v>
      </c>
      <c r="BJ70" s="71">
        <v>426.95196565452892</v>
      </c>
    </row>
    <row r="71" spans="1:62" ht="14.25">
      <c r="A71" s="72" t="s">
        <v>435</v>
      </c>
      <c r="G71" s="71">
        <v>1743</v>
      </c>
      <c r="H71" s="71">
        <v>1752</v>
      </c>
      <c r="I71" s="71">
        <v>1754</v>
      </c>
      <c r="J71" s="71">
        <v>1724</v>
      </c>
      <c r="K71" s="71">
        <v>1721.0000000000002</v>
      </c>
      <c r="L71" s="71">
        <v>1658.0000000000002</v>
      </c>
      <c r="M71" s="71">
        <v>1574</v>
      </c>
      <c r="N71" s="71">
        <v>1503</v>
      </c>
      <c r="O71" s="71">
        <v>1464.0000000000002</v>
      </c>
      <c r="P71" s="71">
        <v>1436</v>
      </c>
      <c r="Q71" s="71">
        <v>1386</v>
      </c>
      <c r="R71" s="71">
        <v>1347</v>
      </c>
      <c r="S71" s="71">
        <v>1316.0000000000002</v>
      </c>
      <c r="T71" s="71">
        <v>1275.9999999999998</v>
      </c>
      <c r="U71" s="71">
        <v>1231</v>
      </c>
      <c r="V71" s="71">
        <v>1185.0000000000002</v>
      </c>
      <c r="W71" s="71">
        <v>1158.3657129344997</v>
      </c>
      <c r="X71" s="71">
        <v>1203.4128920951837</v>
      </c>
      <c r="Y71" s="71">
        <v>1246.7663937595751</v>
      </c>
      <c r="Z71" s="71">
        <v>1288.3897124962316</v>
      </c>
      <c r="AA71" s="71">
        <v>1328.2583950000001</v>
      </c>
      <c r="AB71" s="71">
        <v>1314.3735456728791</v>
      </c>
      <c r="AC71" s="71">
        <v>1299.3769903664208</v>
      </c>
      <c r="AD71" s="71">
        <v>1283.3847896517229</v>
      </c>
      <c r="AE71" s="71">
        <v>1266.506860261238</v>
      </c>
      <c r="AF71" s="71">
        <v>1248.846859397107</v>
      </c>
      <c r="AG71" s="71">
        <v>1230.5027863180374</v>
      </c>
      <c r="AH71" s="71">
        <v>1211.5669785270413</v>
      </c>
      <c r="AI71" s="71">
        <v>1192.1257734746671</v>
      </c>
      <c r="AJ71" s="71">
        <v>1172.2603616850577</v>
      </c>
      <c r="AK71" s="71">
        <v>1152.04628</v>
      </c>
      <c r="AL71" s="71">
        <v>1129.3918210000004</v>
      </c>
      <c r="AM71" s="71">
        <v>1106.5357912098009</v>
      </c>
      <c r="AN71" s="71">
        <v>1083.5405503962722</v>
      </c>
      <c r="AO71" s="71">
        <v>1060.4631055943942</v>
      </c>
      <c r="AP71" s="71">
        <v>1037.3555155572344</v>
      </c>
      <c r="AQ71" s="71">
        <v>1017.8224465233557</v>
      </c>
      <c r="AR71" s="71">
        <v>998.31976821481453</v>
      </c>
      <c r="AS71" s="71">
        <v>978.88387807185006</v>
      </c>
      <c r="AT71" s="71">
        <v>959.54743353138224</v>
      </c>
      <c r="AU71" s="71">
        <v>940.33917442528912</v>
      </c>
      <c r="AV71" s="71">
        <v>921.28403666281679</v>
      </c>
      <c r="AW71" s="71">
        <v>902.40365658975634</v>
      </c>
      <c r="AX71" s="71">
        <v>883.71594214361846</v>
      </c>
      <c r="AY71" s="71">
        <v>865.23567778093172</v>
      </c>
      <c r="AZ71" s="71">
        <v>846.97465473022874</v>
      </c>
      <c r="BA71" s="71">
        <v>828.94124932594343</v>
      </c>
      <c r="BB71" s="71">
        <v>811.14131973320343</v>
      </c>
      <c r="BC71" s="71">
        <v>793.57792476542591</v>
      </c>
      <c r="BD71" s="71">
        <v>776.25143067145029</v>
      </c>
      <c r="BE71" s="71">
        <v>759.16001721744851</v>
      </c>
      <c r="BF71" s="71">
        <v>742.29933657518018</v>
      </c>
      <c r="BG71" s="71">
        <v>725.6631074199521</v>
      </c>
      <c r="BH71" s="71">
        <v>709.2427511288688</v>
      </c>
      <c r="BI71" s="71">
        <v>693.02843906816827</v>
      </c>
      <c r="BJ71" s="71">
        <v>677.00827070955029</v>
      </c>
    </row>
    <row r="72" spans="1:62" ht="14.25">
      <c r="A72" s="72" t="s">
        <v>434</v>
      </c>
      <c r="G72" s="71">
        <v>1290</v>
      </c>
      <c r="H72" s="71">
        <v>1281</v>
      </c>
      <c r="I72" s="71">
        <v>1279</v>
      </c>
      <c r="J72" s="71">
        <v>1279</v>
      </c>
      <c r="K72" s="71">
        <v>1278.9999999999998</v>
      </c>
      <c r="L72" s="71">
        <v>1282</v>
      </c>
      <c r="M72" s="71">
        <v>1270</v>
      </c>
      <c r="N72" s="71">
        <v>1227</v>
      </c>
      <c r="O72" s="71">
        <v>1181</v>
      </c>
      <c r="P72" s="71">
        <v>1141.0000000000002</v>
      </c>
      <c r="Q72" s="71">
        <v>1107</v>
      </c>
      <c r="R72" s="71">
        <v>1059.0000000000002</v>
      </c>
      <c r="S72" s="71">
        <v>1017.9999999999999</v>
      </c>
      <c r="T72" s="71">
        <v>971.99999999999989</v>
      </c>
      <c r="U72" s="71">
        <v>938.99999999999989</v>
      </c>
      <c r="V72" s="71">
        <v>895.99999999999989</v>
      </c>
      <c r="W72" s="71">
        <v>884.71743284210538</v>
      </c>
      <c r="X72" s="71">
        <v>879.03279659566294</v>
      </c>
      <c r="Y72" s="71">
        <v>872.23899936896316</v>
      </c>
      <c r="Z72" s="71">
        <v>864.42704224535908</v>
      </c>
      <c r="AA72" s="71">
        <v>855.68423499999994</v>
      </c>
      <c r="AB72" s="71">
        <v>844.40345087944286</v>
      </c>
      <c r="AC72" s="71">
        <v>832.33044943118455</v>
      </c>
      <c r="AD72" s="71">
        <v>819.54368549909179</v>
      </c>
      <c r="AE72" s="71">
        <v>806.11718449319721</v>
      </c>
      <c r="AF72" s="71">
        <v>792.12086834195873</v>
      </c>
      <c r="AG72" s="71">
        <v>777.62025405708846</v>
      </c>
      <c r="AH72" s="71">
        <v>762.67738936590979</v>
      </c>
      <c r="AI72" s="71">
        <v>747.34994310656225</v>
      </c>
      <c r="AJ72" s="71">
        <v>731.69197940251718</v>
      </c>
      <c r="AK72" s="71">
        <v>715.75380000000007</v>
      </c>
      <c r="AL72" s="71">
        <v>703.63260025000022</v>
      </c>
      <c r="AM72" s="71">
        <v>691.32499349175032</v>
      </c>
      <c r="AN72" s="71">
        <v>678.86666157699801</v>
      </c>
      <c r="AO72" s="71">
        <v>666.29051760142681</v>
      </c>
      <c r="AP72" s="71">
        <v>653.62678662407643</v>
      </c>
      <c r="AQ72" s="71">
        <v>642.92694175428312</v>
      </c>
      <c r="AR72" s="71">
        <v>632.18127820310588</v>
      </c>
      <c r="AS72" s="71">
        <v>621.41110707758082</v>
      </c>
      <c r="AT72" s="71">
        <v>610.63578229876089</v>
      </c>
      <c r="AU72" s="71">
        <v>599.87259748692736</v>
      </c>
      <c r="AV72" s="71">
        <v>589.13656050296208</v>
      </c>
      <c r="AW72" s="71">
        <v>578.44092387662693</v>
      </c>
      <c r="AX72" s="71">
        <v>567.79708898271599</v>
      </c>
      <c r="AY72" s="71">
        <v>557.21439217735667</v>
      </c>
      <c r="AZ72" s="71">
        <v>546.70059812805926</v>
      </c>
      <c r="BA72" s="71">
        <v>536.26188839732868</v>
      </c>
      <c r="BB72" s="71">
        <v>525.90255687444846</v>
      </c>
      <c r="BC72" s="71">
        <v>515.62561821584654</v>
      </c>
      <c r="BD72" s="71">
        <v>505.43257805471785</v>
      </c>
      <c r="BE72" s="71">
        <v>495.32356133246731</v>
      </c>
      <c r="BF72" s="71">
        <v>485.2973430057196</v>
      </c>
      <c r="BG72" s="71">
        <v>475.35150052735565</v>
      </c>
      <c r="BH72" s="71">
        <v>465.48260845516614</v>
      </c>
      <c r="BI72" s="71">
        <v>455.68598999506446</v>
      </c>
      <c r="BJ72" s="71">
        <v>445.95612708198581</v>
      </c>
    </row>
    <row r="73" spans="1:62" ht="14.25">
      <c r="A73" s="72" t="s">
        <v>433</v>
      </c>
      <c r="G73" s="71">
        <v>1792</v>
      </c>
      <c r="H73" s="71">
        <v>1778</v>
      </c>
      <c r="I73" s="71">
        <v>1763</v>
      </c>
      <c r="J73" s="71">
        <v>1706</v>
      </c>
      <c r="K73" s="71">
        <v>1703</v>
      </c>
      <c r="L73" s="71">
        <v>1699</v>
      </c>
      <c r="M73" s="71">
        <v>1646</v>
      </c>
      <c r="N73" s="71">
        <v>1606</v>
      </c>
      <c r="O73" s="71">
        <v>1538</v>
      </c>
      <c r="P73" s="71">
        <v>1471</v>
      </c>
      <c r="Q73" s="71">
        <v>1395</v>
      </c>
      <c r="R73" s="71">
        <v>1347</v>
      </c>
      <c r="S73" s="71">
        <v>1295</v>
      </c>
      <c r="T73" s="71">
        <v>1215.9999999999998</v>
      </c>
      <c r="U73" s="71">
        <v>1152</v>
      </c>
      <c r="V73" s="71">
        <v>1091</v>
      </c>
      <c r="W73" s="71">
        <v>1099.157550592</v>
      </c>
      <c r="X73" s="71">
        <v>1110.0558438476817</v>
      </c>
      <c r="Y73" s="71">
        <v>1119.707547914443</v>
      </c>
      <c r="Z73" s="71">
        <v>1128.1779217254013</v>
      </c>
      <c r="AA73" s="71">
        <v>1135.5311449999999</v>
      </c>
      <c r="AB73" s="71">
        <v>1120.5234755490476</v>
      </c>
      <c r="AC73" s="71">
        <v>1104.4323569889723</v>
      </c>
      <c r="AD73" s="71">
        <v>1087.3684017857436</v>
      </c>
      <c r="AE73" s="71">
        <v>1069.4356482053429</v>
      </c>
      <c r="AF73" s="71">
        <v>1050.7321725465165</v>
      </c>
      <c r="AG73" s="71">
        <v>1031.3498621002975</v>
      </c>
      <c r="AH73" s="71">
        <v>1011.3748239909272</v>
      </c>
      <c r="AI73" s="71">
        <v>990.88740117400459</v>
      </c>
      <c r="AJ73" s="71">
        <v>969.96223484115444</v>
      </c>
      <c r="AK73" s="71">
        <v>948.66867000000013</v>
      </c>
      <c r="AL73" s="71">
        <v>932.43844805000037</v>
      </c>
      <c r="AM73" s="71">
        <v>915.96610255925043</v>
      </c>
      <c r="AN73" s="71">
        <v>899.30034600660929</v>
      </c>
      <c r="AO73" s="71">
        <v>882.48565261062708</v>
      </c>
      <c r="AP73" s="71">
        <v>865.56264964286595</v>
      </c>
      <c r="AQ73" s="71">
        <v>851.24781624381069</v>
      </c>
      <c r="AR73" s="71">
        <v>836.87921266490162</v>
      </c>
      <c r="AS73" s="71">
        <v>822.48483328356713</v>
      </c>
      <c r="AT73" s="71">
        <v>808.08968410016257</v>
      </c>
      <c r="AU73" s="71">
        <v>793.71571879088924</v>
      </c>
      <c r="AV73" s="71">
        <v>779.38170605220546</v>
      </c>
      <c r="AW73" s="71">
        <v>765.10382364809743</v>
      </c>
      <c r="AX73" s="71">
        <v>750.8954166683659</v>
      </c>
      <c r="AY73" s="71">
        <v>736.76708777021122</v>
      </c>
      <c r="AZ73" s="71">
        <v>722.72722355653798</v>
      </c>
      <c r="BA73" s="71">
        <v>708.78153784910387</v>
      </c>
      <c r="BB73" s="71">
        <v>694.93372465521202</v>
      </c>
      <c r="BC73" s="71">
        <v>681.18491925829653</v>
      </c>
      <c r="BD73" s="71">
        <v>667.5346899722573</v>
      </c>
      <c r="BE73" s="71">
        <v>653.98033537652884</v>
      </c>
      <c r="BF73" s="71">
        <v>640.51738049987944</v>
      </c>
      <c r="BG73" s="71">
        <v>627.1398373124598</v>
      </c>
      <c r="BH73" s="71">
        <v>613.83994581168633</v>
      </c>
      <c r="BI73" s="71">
        <v>600.60867725836374</v>
      </c>
      <c r="BJ73" s="71">
        <v>587.43564558447497</v>
      </c>
    </row>
    <row r="74" spans="1:62" ht="14.25">
      <c r="A74" s="72" t="s">
        <v>432</v>
      </c>
      <c r="G74" s="71">
        <v>205.99999999999997</v>
      </c>
      <c r="H74" s="71">
        <v>221.99999999999991</v>
      </c>
      <c r="I74" s="71">
        <v>233.99999999999994</v>
      </c>
      <c r="J74" s="71">
        <v>244</v>
      </c>
      <c r="K74" s="71">
        <v>252.00000000000009</v>
      </c>
      <c r="L74" s="71">
        <v>247.00000000000011</v>
      </c>
      <c r="M74" s="71">
        <v>252.00000000000003</v>
      </c>
      <c r="N74" s="71">
        <v>256.99999999999989</v>
      </c>
      <c r="O74" s="71">
        <v>254.99999999999991</v>
      </c>
      <c r="P74" s="71">
        <v>263.99999999999989</v>
      </c>
      <c r="Q74" s="71">
        <v>281.99999999999994</v>
      </c>
      <c r="R74" s="71">
        <v>271.00000000000006</v>
      </c>
      <c r="S74" s="71">
        <v>268.99999999999989</v>
      </c>
      <c r="T74" s="71">
        <v>269.00000000000006</v>
      </c>
      <c r="U74" s="71">
        <v>267.00000000000006</v>
      </c>
      <c r="V74" s="71">
        <v>265.99999999999994</v>
      </c>
      <c r="W74" s="71">
        <v>267.39833282442737</v>
      </c>
      <c r="X74" s="71">
        <v>264.27573918776602</v>
      </c>
      <c r="Y74" s="71">
        <v>260.70067016615729</v>
      </c>
      <c r="Z74" s="71">
        <v>256.73281979964094</v>
      </c>
      <c r="AA74" s="71">
        <v>252.42739999999992</v>
      </c>
      <c r="AB74" s="71">
        <v>247.19351828675335</v>
      </c>
      <c r="AC74" s="71">
        <v>241.71944442314975</v>
      </c>
      <c r="AD74" s="71">
        <v>236.04949185598812</v>
      </c>
      <c r="AE74" s="71">
        <v>230.22378223697601</v>
      </c>
      <c r="AF74" s="71">
        <v>224.27844071376848</v>
      </c>
      <c r="AG74" s="71">
        <v>218.24578121280277</v>
      </c>
      <c r="AH74" s="71">
        <v>212.15447450163626</v>
      </c>
      <c r="AI74" s="71">
        <v>206.02970184308072</v>
      </c>
      <c r="AJ74" s="71">
        <v>199.89337909802043</v>
      </c>
      <c r="AK74" s="71">
        <v>193.76431999999991</v>
      </c>
      <c r="AL74" s="71">
        <v>181.45962302000004</v>
      </c>
      <c r="AM74" s="71">
        <v>169.22741772650019</v>
      </c>
      <c r="AN74" s="71">
        <v>157.07952723692446</v>
      </c>
      <c r="AO74" s="71">
        <v>145.0243657041494</v>
      </c>
      <c r="AP74" s="71">
        <v>133.06729032366547</v>
      </c>
      <c r="AQ74" s="71">
        <v>123.90491361808517</v>
      </c>
      <c r="AR74" s="71">
        <v>114.8323427059898</v>
      </c>
      <c r="AS74" s="71">
        <v>105.84899320637371</v>
      </c>
      <c r="AT74" s="71">
        <v>96.953035094842335</v>
      </c>
      <c r="AU74" s="71">
        <v>88.14174740943632</v>
      </c>
      <c r="AV74" s="71">
        <v>79.411836417515346</v>
      </c>
      <c r="AW74" s="71">
        <v>70.759787453678712</v>
      </c>
      <c r="AX74" s="71">
        <v>66.825621000000055</v>
      </c>
      <c r="AY74" s="71">
        <v>66.41112300000006</v>
      </c>
      <c r="AZ74" s="71">
        <v>65.994609000000054</v>
      </c>
      <c r="BA74" s="71">
        <v>65.572419000000053</v>
      </c>
      <c r="BB74" s="71">
        <v>65.140332000000058</v>
      </c>
      <c r="BC74" s="71">
        <v>64.693554000000049</v>
      </c>
      <c r="BD74" s="71">
        <v>64.226724000000061</v>
      </c>
      <c r="BE74" s="71">
        <v>63.733914000000055</v>
      </c>
      <c r="BF74" s="71">
        <v>63.208626000000059</v>
      </c>
      <c r="BG74" s="71">
        <v>62.643798000000061</v>
      </c>
      <c r="BH74" s="71">
        <v>62.031801000000058</v>
      </c>
      <c r="BI74" s="71">
        <v>61.364433000000055</v>
      </c>
      <c r="BJ74" s="71">
        <v>60.632931000000056</v>
      </c>
    </row>
    <row r="75" spans="1:62" ht="14.25">
      <c r="A75" s="72" t="s">
        <v>431</v>
      </c>
      <c r="G75" s="71">
        <v>3756</v>
      </c>
      <c r="H75" s="71">
        <v>3683</v>
      </c>
      <c r="I75" s="71">
        <v>3614</v>
      </c>
      <c r="J75" s="71">
        <v>3547</v>
      </c>
      <c r="K75" s="71">
        <v>3467</v>
      </c>
      <c r="L75" s="71">
        <v>3102.0000000000005</v>
      </c>
      <c r="M75" s="71">
        <v>3047.9999999999995</v>
      </c>
      <c r="N75" s="71">
        <v>3004</v>
      </c>
      <c r="O75" s="71">
        <v>2917</v>
      </c>
      <c r="P75" s="71">
        <v>2840.0000000000005</v>
      </c>
      <c r="Q75" s="71">
        <v>2702.9999999999995</v>
      </c>
      <c r="R75" s="71">
        <v>2604</v>
      </c>
      <c r="S75" s="71">
        <v>2511.9999999999995</v>
      </c>
      <c r="T75" s="71">
        <v>2433</v>
      </c>
      <c r="U75" s="71">
        <v>2332.0000000000005</v>
      </c>
      <c r="V75" s="71">
        <v>2250.9999999999995</v>
      </c>
      <c r="W75" s="71">
        <v>2220.2033650793655</v>
      </c>
      <c r="X75" s="71">
        <v>2207.8579541707168</v>
      </c>
      <c r="Y75" s="71">
        <v>2193.1479952933159</v>
      </c>
      <c r="Z75" s="71">
        <v>2176.260004672482</v>
      </c>
      <c r="AA75" s="71">
        <v>2157.3724750000001</v>
      </c>
      <c r="AB75" s="71">
        <v>2117.6986561822218</v>
      </c>
      <c r="AC75" s="71">
        <v>2076.1552481249419</v>
      </c>
      <c r="AD75" s="71">
        <v>2032.9339780613564</v>
      </c>
      <c r="AE75" s="71">
        <v>1988.215791850939</v>
      </c>
      <c r="AF75" s="71">
        <v>1942.1714351989481</v>
      </c>
      <c r="AG75" s="71">
        <v>1894.9612899911076</v>
      </c>
      <c r="AH75" s="71">
        <v>1846.7361067955355</v>
      </c>
      <c r="AI75" s="71">
        <v>1797.6364145094124</v>
      </c>
      <c r="AJ75" s="71">
        <v>1747.7938566517155</v>
      </c>
      <c r="AK75" s="71">
        <v>1697.3306399999997</v>
      </c>
      <c r="AL75" s="71">
        <v>1656.3299676000004</v>
      </c>
      <c r="AM75" s="71">
        <v>1614.9493713820013</v>
      </c>
      <c r="AN75" s="71">
        <v>1573.2761948933521</v>
      </c>
      <c r="AO75" s="71">
        <v>1531.3908614254899</v>
      </c>
      <c r="AP75" s="71">
        <v>1489.3670454791159</v>
      </c>
      <c r="AQ75" s="71">
        <v>1455.5581750022973</v>
      </c>
      <c r="AR75" s="71">
        <v>1421.7153800033416</v>
      </c>
      <c r="AS75" s="71">
        <v>1387.8894742500431</v>
      </c>
      <c r="AT75" s="71">
        <v>1354.1261085543144</v>
      </c>
      <c r="AU75" s="71">
        <v>1320.4663423358065</v>
      </c>
      <c r="AV75" s="71">
        <v>1286.9463224506103</v>
      </c>
      <c r="AW75" s="71">
        <v>1253.5979861180328</v>
      </c>
      <c r="AX75" s="71">
        <v>1220.4490131364</v>
      </c>
      <c r="AY75" s="71">
        <v>1187.5229756412352</v>
      </c>
      <c r="AZ75" s="71">
        <v>1154.839824300097</v>
      </c>
      <c r="BA75" s="71">
        <v>1122.4157619310797</v>
      </c>
      <c r="BB75" s="71">
        <v>1090.2637010831129</v>
      </c>
      <c r="BC75" s="71">
        <v>1058.3933881880762</v>
      </c>
      <c r="BD75" s="71">
        <v>1026.8116095044841</v>
      </c>
      <c r="BE75" s="71">
        <v>995.52238833341664</v>
      </c>
      <c r="BF75" s="71">
        <v>964.52735623977151</v>
      </c>
      <c r="BG75" s="71">
        <v>933.82582896381086</v>
      </c>
      <c r="BH75" s="71">
        <v>903.41508995442416</v>
      </c>
      <c r="BI75" s="71">
        <v>873.29056156974571</v>
      </c>
      <c r="BJ75" s="71">
        <v>843.44617387865947</v>
      </c>
    </row>
    <row r="76" spans="1:62" ht="14.25">
      <c r="A76" s="72" t="s">
        <v>430</v>
      </c>
      <c r="G76" s="71">
        <v>2195</v>
      </c>
      <c r="H76" s="71">
        <v>2206</v>
      </c>
      <c r="I76" s="71">
        <v>2206</v>
      </c>
      <c r="J76" s="71">
        <v>2210</v>
      </c>
      <c r="K76" s="71">
        <v>2221</v>
      </c>
      <c r="L76" s="71">
        <v>2091</v>
      </c>
      <c r="M76" s="71">
        <v>2099.9999999999995</v>
      </c>
      <c r="N76" s="71">
        <v>2108.9999999999995</v>
      </c>
      <c r="O76" s="71">
        <v>2086.0000000000005</v>
      </c>
      <c r="P76" s="71">
        <v>2063.9999999999995</v>
      </c>
      <c r="Q76" s="71">
        <v>2016.0000000000002</v>
      </c>
      <c r="R76" s="71">
        <v>1959.9999999999998</v>
      </c>
      <c r="S76" s="71">
        <v>1918</v>
      </c>
      <c r="T76" s="71">
        <v>1880.9999999999998</v>
      </c>
      <c r="U76" s="71">
        <v>1811.9999999999998</v>
      </c>
      <c r="V76" s="71">
        <v>1799.9999999999998</v>
      </c>
      <c r="W76" s="71">
        <v>1775.2369607339447</v>
      </c>
      <c r="X76" s="71">
        <v>1746.0359817061778</v>
      </c>
      <c r="Y76" s="71">
        <v>1714.6412227621702</v>
      </c>
      <c r="Z76" s="71">
        <v>1681.2343444306789</v>
      </c>
      <c r="AA76" s="71">
        <v>1645.9882500000001</v>
      </c>
      <c r="AB76" s="71">
        <v>1616.3814690210481</v>
      </c>
      <c r="AC76" s="71">
        <v>1585.3719608718175</v>
      </c>
      <c r="AD76" s="71">
        <v>1553.0937930032042</v>
      </c>
      <c r="AE76" s="71">
        <v>1519.673786655258</v>
      </c>
      <c r="AF76" s="71">
        <v>1485.231526511642</v>
      </c>
      <c r="AG76" s="71">
        <v>1449.8797698456165</v>
      </c>
      <c r="AH76" s="71">
        <v>1413.7244204024389</v>
      </c>
      <c r="AI76" s="71">
        <v>1376.8647647482151</v>
      </c>
      <c r="AJ76" s="71">
        <v>1339.3937682773606</v>
      </c>
      <c r="AK76" s="71">
        <v>1301.3981999999996</v>
      </c>
      <c r="AL76" s="71">
        <v>1270.6068676000004</v>
      </c>
      <c r="AM76" s="71">
        <v>1239.4716045240011</v>
      </c>
      <c r="AN76" s="71">
        <v>1208.0544666223518</v>
      </c>
      <c r="AO76" s="71">
        <v>1176.4127840154949</v>
      </c>
      <c r="AP76" s="71">
        <v>1144.599375234902</v>
      </c>
      <c r="AQ76" s="71">
        <v>1119.0332692170032</v>
      </c>
      <c r="AR76" s="71">
        <v>1093.3745312899475</v>
      </c>
      <c r="AS76" s="71">
        <v>1067.6593114446716</v>
      </c>
      <c r="AT76" s="71">
        <v>1041.9206480446248</v>
      </c>
      <c r="AU76" s="71">
        <v>1016.1881832464081</v>
      </c>
      <c r="AV76" s="71">
        <v>990.48865194836787</v>
      </c>
      <c r="AW76" s="71">
        <v>964.84582945432442</v>
      </c>
      <c r="AX76" s="71">
        <v>939.28068926932565</v>
      </c>
      <c r="AY76" s="71">
        <v>913.81168394245128</v>
      </c>
      <c r="AZ76" s="71">
        <v>888.45481957618563</v>
      </c>
      <c r="BA76" s="71">
        <v>863.22381424857576</v>
      </c>
      <c r="BB76" s="71">
        <v>838.13021569768762</v>
      </c>
      <c r="BC76" s="71">
        <v>813.18370690807183</v>
      </c>
      <c r="BD76" s="71">
        <v>788.39208271294035</v>
      </c>
      <c r="BE76" s="71">
        <v>763.7616235455248</v>
      </c>
      <c r="BF76" s="71">
        <v>739.29696496646648</v>
      </c>
      <c r="BG76" s="71">
        <v>715.0016275902608</v>
      </c>
      <c r="BH76" s="71">
        <v>690.87792107862685</v>
      </c>
      <c r="BI76" s="71">
        <v>666.92721073235771</v>
      </c>
      <c r="BJ76" s="71">
        <v>643.15005656237327</v>
      </c>
    </row>
    <row r="77" spans="1:62" ht="14.25">
      <c r="A77" s="72" t="s">
        <v>429</v>
      </c>
      <c r="G77" s="71">
        <v>3946.9999999999995</v>
      </c>
      <c r="H77" s="71">
        <v>3843</v>
      </c>
      <c r="I77" s="71">
        <v>3750.0000000000005</v>
      </c>
      <c r="J77" s="71">
        <v>3650</v>
      </c>
      <c r="K77" s="71">
        <v>3550</v>
      </c>
      <c r="L77" s="71">
        <v>3395</v>
      </c>
      <c r="M77" s="71">
        <v>3297.0000000000005</v>
      </c>
      <c r="N77" s="71">
        <v>3209.9999999999995</v>
      </c>
      <c r="O77" s="71">
        <v>3122</v>
      </c>
      <c r="P77" s="71">
        <v>3039.9999999999995</v>
      </c>
      <c r="Q77" s="71">
        <v>2947</v>
      </c>
      <c r="R77" s="71">
        <v>2858</v>
      </c>
      <c r="S77" s="71">
        <v>2769.0000000000005</v>
      </c>
      <c r="T77" s="71">
        <v>2695.0000000000005</v>
      </c>
      <c r="U77" s="71">
        <v>2618</v>
      </c>
      <c r="V77" s="71">
        <v>2544</v>
      </c>
      <c r="W77" s="71">
        <v>2491.0952530672339</v>
      </c>
      <c r="X77" s="71">
        <v>2420.5095058371912</v>
      </c>
      <c r="Y77" s="71">
        <v>2346.4258676202512</v>
      </c>
      <c r="Z77" s="71">
        <v>2268.77509572809</v>
      </c>
      <c r="AA77" s="71">
        <v>2187.50945</v>
      </c>
      <c r="AB77" s="71">
        <v>2147.9118651082517</v>
      </c>
      <c r="AC77" s="71">
        <v>2106.5233875736049</v>
      </c>
      <c r="AD77" s="71">
        <v>2063.3506016214455</v>
      </c>
      <c r="AE77" s="71">
        <v>2018.4117933574423</v>
      </c>
      <c r="AF77" s="71">
        <v>1971.7367092284494</v>
      </c>
      <c r="AG77" s="71">
        <v>1923.3655907471448</v>
      </c>
      <c r="AH77" s="71">
        <v>1873.3485162711738</v>
      </c>
      <c r="AI77" s="71">
        <v>1821.7448496836025</v>
      </c>
      <c r="AJ77" s="71">
        <v>1768.6220696222651</v>
      </c>
      <c r="AK77" s="71">
        <v>1714.0551210000001</v>
      </c>
      <c r="AL77" s="71">
        <v>1689.0249915350005</v>
      </c>
      <c r="AM77" s="71">
        <v>1663.137006392526</v>
      </c>
      <c r="AN77" s="71">
        <v>1636.4441794746213</v>
      </c>
      <c r="AO77" s="71">
        <v>1609.0037793148583</v>
      </c>
      <c r="AP77" s="71">
        <v>1580.8774521929308</v>
      </c>
      <c r="AQ77" s="71">
        <v>1557.8795549422305</v>
      </c>
      <c r="AR77" s="71">
        <v>1534.3364052197735</v>
      </c>
      <c r="AS77" s="71">
        <v>1510.3129125039898</v>
      </c>
      <c r="AT77" s="71">
        <v>1485.8769901687813</v>
      </c>
      <c r="AU77" s="71">
        <v>1461.0992921136672</v>
      </c>
      <c r="AV77" s="71">
        <v>1436.0530128272178</v>
      </c>
      <c r="AW77" s="71">
        <v>1410.8133279125341</v>
      </c>
      <c r="AX77" s="71">
        <v>1385.457282861335</v>
      </c>
      <c r="AY77" s="71">
        <v>1360.0633465508888</v>
      </c>
      <c r="AZ77" s="71">
        <v>1334.7110144013334</v>
      </c>
      <c r="BA77" s="71">
        <v>1309.4809629580425</v>
      </c>
      <c r="BB77" s="71">
        <v>1284.4538385368623</v>
      </c>
      <c r="BC77" s="71">
        <v>1259.7105662697809</v>
      </c>
      <c r="BD77" s="71">
        <v>1235.3319921358029</v>
      </c>
      <c r="BE77" s="71">
        <v>1211.3982506073473</v>
      </c>
      <c r="BF77" s="71">
        <v>1187.9885823351046</v>
      </c>
      <c r="BG77" s="71">
        <v>1165.1807497403368</v>
      </c>
      <c r="BH77" s="71">
        <v>1143.0511055774052</v>
      </c>
      <c r="BI77" s="71">
        <v>1121.673796268132</v>
      </c>
      <c r="BJ77" s="71">
        <v>1101.1206362429796</v>
      </c>
    </row>
    <row r="78" spans="1:62" ht="14.25">
      <c r="A78" s="72" t="s">
        <v>428</v>
      </c>
      <c r="G78" s="71">
        <v>1800</v>
      </c>
      <c r="H78" s="71">
        <v>1778</v>
      </c>
      <c r="I78" s="71">
        <v>1755</v>
      </c>
      <c r="J78" s="71">
        <v>1710</v>
      </c>
      <c r="K78" s="71">
        <v>1646</v>
      </c>
      <c r="L78" s="71">
        <v>1583.9999999999998</v>
      </c>
      <c r="M78" s="71">
        <v>1585</v>
      </c>
      <c r="N78" s="71">
        <v>1563.0000000000002</v>
      </c>
      <c r="O78" s="71">
        <v>1523</v>
      </c>
      <c r="P78" s="71">
        <v>1499</v>
      </c>
      <c r="Q78" s="71">
        <v>1465</v>
      </c>
      <c r="R78" s="71">
        <v>1430</v>
      </c>
      <c r="S78" s="71">
        <v>1391.0000000000002</v>
      </c>
      <c r="T78" s="71">
        <v>1354.9999999999998</v>
      </c>
      <c r="U78" s="71">
        <v>1329</v>
      </c>
      <c r="V78" s="71">
        <v>1300</v>
      </c>
      <c r="W78" s="71">
        <v>1268.9691160496777</v>
      </c>
      <c r="X78" s="71">
        <v>1259.1748674720041</v>
      </c>
      <c r="Y78" s="71">
        <v>1248.047963193329</v>
      </c>
      <c r="Z78" s="71">
        <v>1235.6663661576288</v>
      </c>
      <c r="AA78" s="71">
        <v>1222.1051655000003</v>
      </c>
      <c r="AB78" s="71">
        <v>1200.3090163645252</v>
      </c>
      <c r="AC78" s="71">
        <v>1177.3171380264157</v>
      </c>
      <c r="AD78" s="71">
        <v>1153.2078163656156</v>
      </c>
      <c r="AE78" s="71">
        <v>1128.0563401504921</v>
      </c>
      <c r="AF78" s="71">
        <v>1101.9351196428602</v>
      </c>
      <c r="AG78" s="71">
        <v>1074.9137209916362</v>
      </c>
      <c r="AH78" s="71">
        <v>1047.0588779362827</v>
      </c>
      <c r="AI78" s="71">
        <v>1018.4346722652134</v>
      </c>
      <c r="AJ78" s="71">
        <v>989.10228346485133</v>
      </c>
      <c r="AK78" s="71">
        <v>959.12033799999983</v>
      </c>
      <c r="AL78" s="71">
        <v>941.2478180300003</v>
      </c>
      <c r="AM78" s="71">
        <v>922.97626341900036</v>
      </c>
      <c r="AN78" s="71">
        <v>904.34393245899901</v>
      </c>
      <c r="AO78" s="71">
        <v>885.38732508163025</v>
      </c>
      <c r="AP78" s="71">
        <v>866.1410136502875</v>
      </c>
      <c r="AQ78" s="71">
        <v>850.86809553520618</v>
      </c>
      <c r="AR78" s="71">
        <v>835.38217321617196</v>
      </c>
      <c r="AS78" s="71">
        <v>819.70945010581863</v>
      </c>
      <c r="AT78" s="71">
        <v>803.87472181417093</v>
      </c>
      <c r="AU78" s="71">
        <v>787.90141046296651</v>
      </c>
      <c r="AV78" s="71">
        <v>771.81163582506144</v>
      </c>
      <c r="AW78" s="71">
        <v>755.62612213783189</v>
      </c>
      <c r="AX78" s="71">
        <v>739.36452275710599</v>
      </c>
      <c r="AY78" s="71">
        <v>723.04511091437848</v>
      </c>
      <c r="AZ78" s="71">
        <v>706.6851508202767</v>
      </c>
      <c r="BA78" s="71">
        <v>690.30060101672348</v>
      </c>
      <c r="BB78" s="71">
        <v>673.90634382645055</v>
      </c>
      <c r="BC78" s="71">
        <v>657.51626641488201</v>
      </c>
      <c r="BD78" s="71">
        <v>641.14306963743184</v>
      </c>
      <c r="BE78" s="71">
        <v>624.79867310176178</v>
      </c>
      <c r="BF78" s="71">
        <v>608.49379349024605</v>
      </c>
      <c r="BG78" s="71">
        <v>592.23833071250897</v>
      </c>
      <c r="BH78" s="71">
        <v>576.04133736995118</v>
      </c>
      <c r="BI78" s="71">
        <v>559.91091170944537</v>
      </c>
      <c r="BJ78" s="71">
        <v>543.85444099738265</v>
      </c>
    </row>
    <row r="79" spans="1:62" ht="14.25">
      <c r="A79" s="72" t="s">
        <v>427</v>
      </c>
      <c r="G79" s="71">
        <v>2716</v>
      </c>
      <c r="H79" s="71">
        <v>2661</v>
      </c>
      <c r="I79" s="71">
        <v>2629.0000000000005</v>
      </c>
      <c r="J79" s="71">
        <v>2580.0000000000005</v>
      </c>
      <c r="K79" s="71">
        <v>2518.0000000000005</v>
      </c>
      <c r="L79" s="71">
        <v>2496</v>
      </c>
      <c r="M79" s="71">
        <v>2426.9999999999995</v>
      </c>
      <c r="N79" s="71">
        <v>2354</v>
      </c>
      <c r="O79" s="71">
        <v>2281</v>
      </c>
      <c r="P79" s="71">
        <v>2215</v>
      </c>
      <c r="Q79" s="71">
        <v>2139</v>
      </c>
      <c r="R79" s="71">
        <v>2069</v>
      </c>
      <c r="S79" s="71">
        <v>1998.0000000000002</v>
      </c>
      <c r="T79" s="71">
        <v>1924.9999999999998</v>
      </c>
      <c r="U79" s="71">
        <v>1848.0000000000002</v>
      </c>
      <c r="V79" s="71">
        <v>1788</v>
      </c>
      <c r="W79" s="71">
        <v>1751.8686270754929</v>
      </c>
      <c r="X79" s="71">
        <v>1733.8619035249817</v>
      </c>
      <c r="Y79" s="71">
        <v>1715.3917846690808</v>
      </c>
      <c r="Z79" s="71">
        <v>1696.2960317957543</v>
      </c>
      <c r="AA79" s="71">
        <v>1676.4317279999998</v>
      </c>
      <c r="AB79" s="71">
        <v>1646.5154740805244</v>
      </c>
      <c r="AC79" s="71">
        <v>1615.2831742289061</v>
      </c>
      <c r="AD79" s="71">
        <v>1582.6468692771457</v>
      </c>
      <c r="AE79" s="71">
        <v>1548.5382423057149</v>
      </c>
      <c r="AF79" s="71">
        <v>1512.9071551835339</v>
      </c>
      <c r="AG79" s="71">
        <v>1475.7210727561085</v>
      </c>
      <c r="AH79" s="71">
        <v>1436.9643097723945</v>
      </c>
      <c r="AI79" s="71">
        <v>1396.6367119797344</v>
      </c>
      <c r="AJ79" s="71">
        <v>1354.7526912414985</v>
      </c>
      <c r="AK79" s="71">
        <v>1311.3403470000001</v>
      </c>
      <c r="AL79" s="71">
        <v>1295.7188645100005</v>
      </c>
      <c r="AM79" s="71">
        <v>1279.259938622776</v>
      </c>
      <c r="AN79" s="71">
        <v>1261.9863890022834</v>
      </c>
      <c r="AO79" s="71">
        <v>1243.9286753119134</v>
      </c>
      <c r="AP79" s="71">
        <v>1225.1241380458662</v>
      </c>
      <c r="AQ79" s="71">
        <v>1210.081957105177</v>
      </c>
      <c r="AR79" s="71">
        <v>1194.4114453903408</v>
      </c>
      <c r="AS79" s="71">
        <v>1178.1611668073206</v>
      </c>
      <c r="AT79" s="71">
        <v>1161.385130077688</v>
      </c>
      <c r="AU79" s="71">
        <v>1144.142171117024</v>
      </c>
      <c r="AV79" s="71">
        <v>1126.4955808813845</v>
      </c>
      <c r="AW79" s="71">
        <v>1108.512796525644</v>
      </c>
      <c r="AX79" s="71">
        <v>1090.2650582539316</v>
      </c>
      <c r="AY79" s="71">
        <v>1071.8267402786828</v>
      </c>
      <c r="AZ79" s="71">
        <v>1053.2750083622871</v>
      </c>
      <c r="BA79" s="71">
        <v>1034.689775415374</v>
      </c>
      <c r="BB79" s="71">
        <v>1016.1525810208365</v>
      </c>
      <c r="BC79" s="71">
        <v>997.7468692243898</v>
      </c>
      <c r="BD79" s="71">
        <v>979.55693865065348</v>
      </c>
      <c r="BE79" s="71">
        <v>961.66797791511135</v>
      </c>
      <c r="BF79" s="71">
        <v>944.16546224576223</v>
      </c>
      <c r="BG79" s="71">
        <v>927.13447684039102</v>
      </c>
      <c r="BH79" s="71">
        <v>910.65953289922766</v>
      </c>
      <c r="BI79" s="71">
        <v>894.82415922714335</v>
      </c>
      <c r="BJ79" s="71">
        <v>879.71005867632107</v>
      </c>
    </row>
    <row r="80" spans="1:62" ht="14.25">
      <c r="A80" s="72" t="s">
        <v>145</v>
      </c>
      <c r="G80" s="71">
        <v>5086.0000000000009</v>
      </c>
      <c r="H80" s="71">
        <v>5018</v>
      </c>
      <c r="I80" s="71">
        <v>4987.9999999999991</v>
      </c>
      <c r="J80" s="71">
        <v>4934</v>
      </c>
      <c r="K80" s="71">
        <v>4893.9999999999991</v>
      </c>
      <c r="L80" s="71">
        <v>4823</v>
      </c>
      <c r="M80" s="71">
        <v>4749</v>
      </c>
      <c r="N80" s="71">
        <v>4657</v>
      </c>
      <c r="O80" s="71">
        <v>4536</v>
      </c>
      <c r="P80" s="71">
        <v>4436</v>
      </c>
      <c r="Q80" s="71">
        <v>4245</v>
      </c>
      <c r="R80" s="71">
        <v>4076.0000000000005</v>
      </c>
      <c r="S80" s="71">
        <v>3933.9999999999995</v>
      </c>
      <c r="T80" s="71">
        <v>3884.0000000000005</v>
      </c>
      <c r="U80" s="71">
        <v>3853.9999999999995</v>
      </c>
      <c r="V80" s="71">
        <v>3756.0000000000005</v>
      </c>
      <c r="W80" s="71">
        <v>3675.7296955358897</v>
      </c>
      <c r="X80" s="71">
        <v>3587.5807522654641</v>
      </c>
      <c r="Y80" s="71">
        <v>3495.1472269833966</v>
      </c>
      <c r="Z80" s="71">
        <v>3398.6097138534824</v>
      </c>
      <c r="AA80" s="71">
        <v>3298.1498559999995</v>
      </c>
      <c r="AB80" s="71">
        <v>3233.6148967516201</v>
      </c>
      <c r="AC80" s="71">
        <v>3166.5968427155781</v>
      </c>
      <c r="AD80" s="71">
        <v>3097.2390910276149</v>
      </c>
      <c r="AE80" s="71">
        <v>3025.6841145086205</v>
      </c>
      <c r="AF80" s="71">
        <v>2952.0735609022731</v>
      </c>
      <c r="AG80" s="71">
        <v>2876.5473239758303</v>
      </c>
      <c r="AH80" s="71">
        <v>2799.2439868707575</v>
      </c>
      <c r="AI80" s="71">
        <v>2720.3004209987971</v>
      </c>
      <c r="AJ80" s="71">
        <v>2639.8513221844028</v>
      </c>
      <c r="AK80" s="71">
        <v>2558.0291750000001</v>
      </c>
      <c r="AL80" s="71">
        <v>2512.041633875001</v>
      </c>
      <c r="AM80" s="71">
        <v>2465.2360399768768</v>
      </c>
      <c r="AN80" s="71">
        <v>2417.7000453903747</v>
      </c>
      <c r="AO80" s="71">
        <v>2369.519843588072</v>
      </c>
      <c r="AP80" s="71">
        <v>2320.7799764640813</v>
      </c>
      <c r="AQ80" s="71">
        <v>2280.991391673223</v>
      </c>
      <c r="AR80" s="71">
        <v>2240.796214452359</v>
      </c>
      <c r="AS80" s="71">
        <v>2200.2661443509496</v>
      </c>
      <c r="AT80" s="71">
        <v>2159.4712861408148</v>
      </c>
      <c r="AU80" s="71">
        <v>2118.4803767667413</v>
      </c>
      <c r="AV80" s="71">
        <v>2077.3603675721602</v>
      </c>
      <c r="AW80" s="71">
        <v>2036.1768532428505</v>
      </c>
      <c r="AX80" s="71">
        <v>1994.9933986247952</v>
      </c>
      <c r="AY80" s="71">
        <v>1953.8718332736066</v>
      </c>
      <c r="AZ80" s="71">
        <v>1912.8720291337788</v>
      </c>
      <c r="BA80" s="71">
        <v>1872.0517078685511</v>
      </c>
      <c r="BB80" s="71">
        <v>1831.466686429603</v>
      </c>
      <c r="BC80" s="71">
        <v>1791.1702631425703</v>
      </c>
      <c r="BD80" s="71">
        <v>1751.2135215174249</v>
      </c>
      <c r="BE80" s="71">
        <v>1711.645205240668</v>
      </c>
      <c r="BF80" s="71">
        <v>1672.5114289495075</v>
      </c>
      <c r="BG80" s="71">
        <v>1633.8557127819674</v>
      </c>
      <c r="BH80" s="71">
        <v>1595.718755044142</v>
      </c>
      <c r="BI80" s="71">
        <v>1558.1386171123263</v>
      </c>
      <c r="BJ80" s="71">
        <v>1521.15027932571</v>
      </c>
    </row>
    <row r="81" spans="1:62" ht="14.25">
      <c r="A81" s="72" t="s">
        <v>426</v>
      </c>
      <c r="G81" s="71">
        <v>6505.0000000000009</v>
      </c>
      <c r="H81" s="71">
        <v>6342</v>
      </c>
      <c r="I81" s="71">
        <v>6146</v>
      </c>
      <c r="J81" s="71">
        <v>6031.9999999999991</v>
      </c>
      <c r="K81" s="71">
        <v>5910</v>
      </c>
      <c r="L81" s="71">
        <v>5784</v>
      </c>
      <c r="M81" s="71">
        <v>5632</v>
      </c>
      <c r="N81" s="71">
        <v>5530</v>
      </c>
      <c r="O81" s="71">
        <v>5398.9999999999991</v>
      </c>
      <c r="P81" s="71">
        <v>5300</v>
      </c>
      <c r="Q81" s="71">
        <v>5140</v>
      </c>
      <c r="R81" s="71">
        <v>5008</v>
      </c>
      <c r="S81" s="71">
        <v>4859</v>
      </c>
      <c r="T81" s="71">
        <v>4711</v>
      </c>
      <c r="U81" s="71">
        <v>4552.9999999999991</v>
      </c>
      <c r="V81" s="71">
        <v>4431</v>
      </c>
      <c r="W81" s="71">
        <v>4353.8453107760806</v>
      </c>
      <c r="X81" s="71">
        <v>4222.7669407479916</v>
      </c>
      <c r="Y81" s="71">
        <v>4085.0441301195206</v>
      </c>
      <c r="Z81" s="71">
        <v>3940.2598899738732</v>
      </c>
      <c r="AA81" s="71">
        <v>3788.0543390000003</v>
      </c>
      <c r="AB81" s="71">
        <v>3721.3746226554781</v>
      </c>
      <c r="AC81" s="71">
        <v>3651.5350313318186</v>
      </c>
      <c r="AD81" s="71">
        <v>3578.4240333404464</v>
      </c>
      <c r="AE81" s="71">
        <v>3501.9635427886151</v>
      </c>
      <c r="AF81" s="71">
        <v>3422.1069748798363</v>
      </c>
      <c r="AG81" s="71">
        <v>3338.8377971029918</v>
      </c>
      <c r="AH81" s="71">
        <v>3252.1681965395182</v>
      </c>
      <c r="AI81" s="71">
        <v>3162.1363191843971</v>
      </c>
      <c r="AJ81" s="71">
        <v>3068.8053416820098</v>
      </c>
      <c r="AK81" s="71">
        <v>2972.261516</v>
      </c>
      <c r="AL81" s="71">
        <v>2937.207884240001</v>
      </c>
      <c r="AM81" s="71">
        <v>2900.4401321570022</v>
      </c>
      <c r="AN81" s="71">
        <v>2862.0221384268393</v>
      </c>
      <c r="AO81" s="71">
        <v>2822.0305858997035</v>
      </c>
      <c r="AP81" s="71">
        <v>2780.5542160231257</v>
      </c>
      <c r="AQ81" s="71">
        <v>2747.2948895450495</v>
      </c>
      <c r="AR81" s="71">
        <v>2712.8101040234142</v>
      </c>
      <c r="AS81" s="71">
        <v>2677.2068879970843</v>
      </c>
      <c r="AT81" s="71">
        <v>2640.6014563243998</v>
      </c>
      <c r="AU81" s="71">
        <v>2603.1186854516418</v>
      </c>
      <c r="AV81" s="71">
        <v>2564.8910545632784</v>
      </c>
      <c r="AW81" s="71">
        <v>2526.0582805525373</v>
      </c>
      <c r="AX81" s="71">
        <v>2486.7663708885948</v>
      </c>
      <c r="AY81" s="71">
        <v>2447.1669911366366</v>
      </c>
      <c r="AZ81" s="71">
        <v>2407.4167708134728</v>
      </c>
      <c r="BA81" s="71">
        <v>2367.6761825173362</v>
      </c>
      <c r="BB81" s="71">
        <v>2328.1095335512764</v>
      </c>
      <c r="BC81" s="71">
        <v>2288.883544837623</v>
      </c>
      <c r="BD81" s="71">
        <v>2250.1667245711596</v>
      </c>
      <c r="BE81" s="71">
        <v>2212.1287667744095</v>
      </c>
      <c r="BF81" s="71">
        <v>2174.9395384841364</v>
      </c>
      <c r="BG81" s="71">
        <v>2138.7685872201519</v>
      </c>
      <c r="BH81" s="71">
        <v>2103.7838797789941</v>
      </c>
      <c r="BI81" s="71">
        <v>2070.1514807341864</v>
      </c>
      <c r="BJ81" s="71">
        <v>2038.0344667890147</v>
      </c>
    </row>
    <row r="82" spans="1:62" ht="14.25">
      <c r="A82" s="72" t="s">
        <v>425</v>
      </c>
      <c r="G82" s="71">
        <v>3243.0000000000005</v>
      </c>
      <c r="H82" s="71">
        <v>3199</v>
      </c>
      <c r="I82" s="71">
        <v>3174.0000000000005</v>
      </c>
      <c r="J82" s="71">
        <v>3130</v>
      </c>
      <c r="K82" s="71">
        <v>3088.9999999999995</v>
      </c>
      <c r="L82" s="71">
        <v>2881.0000000000005</v>
      </c>
      <c r="M82" s="71">
        <v>2777</v>
      </c>
      <c r="N82" s="71">
        <v>2704</v>
      </c>
      <c r="O82" s="71">
        <v>2638.0000000000005</v>
      </c>
      <c r="P82" s="71">
        <v>2575</v>
      </c>
      <c r="Q82" s="71">
        <v>2505</v>
      </c>
      <c r="R82" s="71">
        <v>2438</v>
      </c>
      <c r="S82" s="71">
        <v>2368.9999999999995</v>
      </c>
      <c r="T82" s="71">
        <v>2308</v>
      </c>
      <c r="U82" s="71">
        <v>2262</v>
      </c>
      <c r="V82" s="71">
        <v>2132</v>
      </c>
      <c r="W82" s="71">
        <v>2088.8716036363639</v>
      </c>
      <c r="X82" s="71">
        <v>2059.5791936277719</v>
      </c>
      <c r="Y82" s="71">
        <v>2027.4379460620205</v>
      </c>
      <c r="Z82" s="71">
        <v>1992.6357147421159</v>
      </c>
      <c r="AA82" s="71">
        <v>1955.3539499999997</v>
      </c>
      <c r="AB82" s="71">
        <v>1915.1707166895767</v>
      </c>
      <c r="AC82" s="71">
        <v>1872.8385225760499</v>
      </c>
      <c r="AD82" s="71">
        <v>1828.5223944420127</v>
      </c>
      <c r="AE82" s="71">
        <v>1782.3817476145805</v>
      </c>
      <c r="AF82" s="71">
        <v>1734.5699583793682</v>
      </c>
      <c r="AG82" s="71">
        <v>1685.2341913851269</v>
      </c>
      <c r="AH82" s="71">
        <v>1634.5157744296937</v>
      </c>
      <c r="AI82" s="71">
        <v>1582.5498919830211</v>
      </c>
      <c r="AJ82" s="71">
        <v>1529.4653488677748</v>
      </c>
      <c r="AK82" s="71">
        <v>1475.3851749999999</v>
      </c>
      <c r="AL82" s="71">
        <v>1448.4092070000006</v>
      </c>
      <c r="AM82" s="71">
        <v>1420.9110757462511</v>
      </c>
      <c r="AN82" s="71">
        <v>1392.9650974325641</v>
      </c>
      <c r="AO82" s="71">
        <v>1364.6419311413565</v>
      </c>
      <c r="AP82" s="71">
        <v>1336.0089162339955</v>
      </c>
      <c r="AQ82" s="71">
        <v>1312.5552197715133</v>
      </c>
      <c r="AR82" s="71">
        <v>1288.9055537360309</v>
      </c>
      <c r="AS82" s="71">
        <v>1265.1131319872306</v>
      </c>
      <c r="AT82" s="71">
        <v>1241.228499007864</v>
      </c>
      <c r="AU82" s="71">
        <v>1217.2992917254162</v>
      </c>
      <c r="AV82" s="71">
        <v>1193.3707274462147</v>
      </c>
      <c r="AW82" s="71">
        <v>1169.4852549429606</v>
      </c>
      <c r="AX82" s="71">
        <v>1145.682568166249</v>
      </c>
      <c r="AY82" s="71">
        <v>1121.9998472164025</v>
      </c>
      <c r="AZ82" s="71">
        <v>1098.4716996216107</v>
      </c>
      <c r="BA82" s="71">
        <v>1075.1301885788619</v>
      </c>
      <c r="BB82" s="71">
        <v>1052.0047833797735</v>
      </c>
      <c r="BC82" s="71">
        <v>1029.1224329998281</v>
      </c>
      <c r="BD82" s="71">
        <v>1006.5079395800808</v>
      </c>
      <c r="BE82" s="71">
        <v>984.18308791339132</v>
      </c>
      <c r="BF82" s="71">
        <v>962.16784126274206</v>
      </c>
      <c r="BG82" s="71">
        <v>940.47947899073915</v>
      </c>
      <c r="BH82" s="71">
        <v>919.13297261574894</v>
      </c>
      <c r="BI82" s="71">
        <v>898.14105061637679</v>
      </c>
      <c r="BJ82" s="71">
        <v>877.51417444804372</v>
      </c>
    </row>
    <row r="83" spans="1:62" ht="14.25">
      <c r="A83" s="72" t="s">
        <v>424</v>
      </c>
      <c r="G83" s="71">
        <v>3985</v>
      </c>
      <c r="H83" s="71">
        <v>3887</v>
      </c>
      <c r="I83" s="71">
        <v>3784</v>
      </c>
      <c r="J83" s="71">
        <v>3691.0000000000005</v>
      </c>
      <c r="K83" s="71">
        <v>3639</v>
      </c>
      <c r="L83" s="71">
        <v>3725</v>
      </c>
      <c r="M83" s="71">
        <v>3622.0000000000005</v>
      </c>
      <c r="N83" s="71">
        <v>3543.9999999999995</v>
      </c>
      <c r="O83" s="71">
        <v>3456.0000000000005</v>
      </c>
      <c r="P83" s="71">
        <v>3373</v>
      </c>
      <c r="Q83" s="71">
        <v>3255</v>
      </c>
      <c r="R83" s="71">
        <v>3134</v>
      </c>
      <c r="S83" s="71">
        <v>3010.0000000000005</v>
      </c>
      <c r="T83" s="71">
        <v>2913</v>
      </c>
      <c r="U83" s="71">
        <v>2824.9999999999995</v>
      </c>
      <c r="V83" s="71">
        <v>2740</v>
      </c>
      <c r="W83" s="71">
        <v>2687.5147560253699</v>
      </c>
      <c r="X83" s="71">
        <v>2643.6032668568728</v>
      </c>
      <c r="Y83" s="71">
        <v>2597.8420227173119</v>
      </c>
      <c r="Z83" s="71">
        <v>2550.2005189856091</v>
      </c>
      <c r="AA83" s="71">
        <v>2500.6593189999999</v>
      </c>
      <c r="AB83" s="71">
        <v>2449.4504228242458</v>
      </c>
      <c r="AC83" s="71">
        <v>2396.3445839326287</v>
      </c>
      <c r="AD83" s="71">
        <v>2341.3549757809719</v>
      </c>
      <c r="AE83" s="71">
        <v>2284.5046375115312</v>
      </c>
      <c r="AF83" s="71">
        <v>2225.8260772135623</v>
      </c>
      <c r="AG83" s="71">
        <v>2165.3600998720904</v>
      </c>
      <c r="AH83" s="71">
        <v>2103.1562563281059</v>
      </c>
      <c r="AI83" s="71">
        <v>2039.2713031913704</v>
      </c>
      <c r="AJ83" s="71">
        <v>1973.7690430072014</v>
      </c>
      <c r="AK83" s="71">
        <v>1906.7196960000001</v>
      </c>
      <c r="AL83" s="71">
        <v>1879.5348703200004</v>
      </c>
      <c r="AM83" s="71">
        <v>1851.5707012510013</v>
      </c>
      <c r="AN83" s="71">
        <v>1822.8706656394543</v>
      </c>
      <c r="AO83" s="71">
        <v>1793.4819913531392</v>
      </c>
      <c r="AP83" s="71">
        <v>1763.4549633289805</v>
      </c>
      <c r="AQ83" s="71">
        <v>1738.9203809330934</v>
      </c>
      <c r="AR83" s="71">
        <v>1713.8650650812249</v>
      </c>
      <c r="AS83" s="71">
        <v>1688.3411277730229</v>
      </c>
      <c r="AT83" s="71">
        <v>1662.4030518742006</v>
      </c>
      <c r="AU83" s="71">
        <v>1636.1076438738569</v>
      </c>
      <c r="AV83" s="71">
        <v>1609.5134578790398</v>
      </c>
      <c r="AW83" s="71">
        <v>1582.6812819792169</v>
      </c>
      <c r="AX83" s="71">
        <v>1555.6729456455948</v>
      </c>
      <c r="AY83" s="71">
        <v>1528.5517750954489</v>
      </c>
      <c r="AZ83" s="71">
        <v>1501.3822041302965</v>
      </c>
      <c r="BA83" s="71">
        <v>1474.2294157063322</v>
      </c>
      <c r="BB83" s="71">
        <v>1447.1591717014994</v>
      </c>
      <c r="BC83" s="71">
        <v>1420.2375449200995</v>
      </c>
      <c r="BD83" s="71">
        <v>1393.5307389143118</v>
      </c>
      <c r="BE83" s="71">
        <v>1367.1047684868774</v>
      </c>
      <c r="BF83" s="71">
        <v>1341.0252075311246</v>
      </c>
      <c r="BG83" s="71">
        <v>1315.356998041618</v>
      </c>
      <c r="BH83" s="71">
        <v>1290.1641250011146</v>
      </c>
      <c r="BI83" s="71">
        <v>1265.5092730981157</v>
      </c>
      <c r="BJ83" s="71">
        <v>1241.4537939201898</v>
      </c>
    </row>
    <row r="84" spans="1:62" ht="14.25">
      <c r="A84" s="72" t="s">
        <v>423</v>
      </c>
      <c r="G84" s="71">
        <v>3615</v>
      </c>
      <c r="H84" s="71">
        <v>3493</v>
      </c>
      <c r="I84" s="71">
        <v>3561</v>
      </c>
      <c r="J84" s="71">
        <v>3624.0000000000005</v>
      </c>
      <c r="K84" s="71">
        <v>3707</v>
      </c>
      <c r="L84" s="71">
        <v>3530.9999999999995</v>
      </c>
      <c r="M84" s="71">
        <v>3596.0000000000005</v>
      </c>
      <c r="N84" s="71">
        <v>3627</v>
      </c>
      <c r="O84" s="71">
        <v>3596</v>
      </c>
      <c r="P84" s="71">
        <v>3604.9999999999995</v>
      </c>
      <c r="Q84" s="71">
        <v>3561</v>
      </c>
      <c r="R84" s="71">
        <v>3555.0000000000005</v>
      </c>
      <c r="S84" s="71">
        <v>3552</v>
      </c>
      <c r="T84" s="71">
        <v>3481.0000000000005</v>
      </c>
      <c r="U84" s="71">
        <v>3416</v>
      </c>
      <c r="V84" s="71">
        <v>3263</v>
      </c>
      <c r="W84" s="71">
        <v>3236.2410670766326</v>
      </c>
      <c r="X84" s="71">
        <v>3196.5079301087467</v>
      </c>
      <c r="Y84" s="71">
        <v>3151.1830463158653</v>
      </c>
      <c r="Z84" s="71">
        <v>3100.6678622464087</v>
      </c>
      <c r="AA84" s="71">
        <v>3045.3441179999995</v>
      </c>
      <c r="AB84" s="71">
        <v>3039.7783643245098</v>
      </c>
      <c r="AC84" s="71">
        <v>3031.3219244708944</v>
      </c>
      <c r="AD84" s="71">
        <v>3020.1864499362609</v>
      </c>
      <c r="AE84" s="71">
        <v>3006.5732096555757</v>
      </c>
      <c r="AF84" s="71">
        <v>2990.6731042037318</v>
      </c>
      <c r="AG84" s="71">
        <v>2972.6671722630645</v>
      </c>
      <c r="AH84" s="71">
        <v>2952.7264134602974</v>
      </c>
      <c r="AI84" s="71">
        <v>2931.0123837925921</v>
      </c>
      <c r="AJ84" s="71">
        <v>2907.6772210668332</v>
      </c>
      <c r="AK84" s="71">
        <v>2882.8637669999994</v>
      </c>
      <c r="AL84" s="71">
        <v>2830.3102178000008</v>
      </c>
      <c r="AM84" s="71">
        <v>2776.3276703485776</v>
      </c>
      <c r="AN84" s="71">
        <v>2721.0607020197258</v>
      </c>
      <c r="AO84" s="71">
        <v>2664.6429289950133</v>
      </c>
      <c r="AP84" s="71">
        <v>2607.1979028962396</v>
      </c>
      <c r="AQ84" s="71">
        <v>2562.4515137098101</v>
      </c>
      <c r="AR84" s="71">
        <v>2516.9773827487456</v>
      </c>
      <c r="AS84" s="71">
        <v>2470.8605725240946</v>
      </c>
      <c r="AT84" s="71">
        <v>2424.1786189245172</v>
      </c>
      <c r="AU84" s="71">
        <v>2377.0015367193982</v>
      </c>
      <c r="AV84" s="71">
        <v>2329.3923619675725</v>
      </c>
      <c r="AW84" s="71">
        <v>2281.4075115618984</v>
      </c>
      <c r="AX84" s="71">
        <v>2233.0969981940111</v>
      </c>
      <c r="AY84" s="71">
        <v>2184.5050232090666</v>
      </c>
      <c r="AZ84" s="71">
        <v>2135.6702471708891</v>
      </c>
      <c r="BA84" s="71">
        <v>2086.6259825877196</v>
      </c>
      <c r="BB84" s="71">
        <v>2037.4010853879693</v>
      </c>
      <c r="BC84" s="71">
        <v>1988.0196840011904</v>
      </c>
      <c r="BD84" s="71">
        <v>1938.5021191114256</v>
      </c>
      <c r="BE84" s="71">
        <v>1888.865077151688</v>
      </c>
      <c r="BF84" s="71">
        <v>1839.1220265680613</v>
      </c>
      <c r="BG84" s="71">
        <v>1789.2836684615345</v>
      </c>
      <c r="BH84" s="71">
        <v>1739.3583859922799</v>
      </c>
      <c r="BI84" s="71">
        <v>1689.3524195819018</v>
      </c>
      <c r="BJ84" s="71">
        <v>1639.2706902470993</v>
      </c>
    </row>
    <row r="85" spans="1:62" ht="14.25">
      <c r="A85" s="72" t="s">
        <v>422</v>
      </c>
      <c r="G85" s="71">
        <v>3093</v>
      </c>
      <c r="H85" s="71">
        <v>3084</v>
      </c>
      <c r="I85" s="71">
        <v>3040.0000000000005</v>
      </c>
      <c r="J85" s="71">
        <v>2978</v>
      </c>
      <c r="K85" s="71">
        <v>2952</v>
      </c>
      <c r="L85" s="71">
        <v>2766</v>
      </c>
      <c r="M85" s="71">
        <v>2704.9999999999995</v>
      </c>
      <c r="N85" s="71">
        <v>2653.0000000000005</v>
      </c>
      <c r="O85" s="71">
        <v>2597.0000000000005</v>
      </c>
      <c r="P85" s="71">
        <v>2550</v>
      </c>
      <c r="Q85" s="71">
        <v>2502</v>
      </c>
      <c r="R85" s="71">
        <v>2465</v>
      </c>
      <c r="S85" s="71">
        <v>2425</v>
      </c>
      <c r="T85" s="71">
        <v>2382.9999999999995</v>
      </c>
      <c r="U85" s="71">
        <v>2343</v>
      </c>
      <c r="V85" s="71">
        <v>2299</v>
      </c>
      <c r="W85" s="71">
        <v>2261.4697231884056</v>
      </c>
      <c r="X85" s="71">
        <v>2247.7173039525878</v>
      </c>
      <c r="Y85" s="71">
        <v>2233.9713171117746</v>
      </c>
      <c r="Z85" s="71">
        <v>2220.0240826711392</v>
      </c>
      <c r="AA85" s="71">
        <v>2205.6880530000003</v>
      </c>
      <c r="AB85" s="71">
        <v>2172.7842535737309</v>
      </c>
      <c r="AC85" s="71">
        <v>2138.5849798417012</v>
      </c>
      <c r="AD85" s="71">
        <v>2102.9562931737096</v>
      </c>
      <c r="AE85" s="71">
        <v>2065.7865366540373</v>
      </c>
      <c r="AF85" s="71">
        <v>2026.9860441326159</v>
      </c>
      <c r="AG85" s="71">
        <v>1986.4858309593685</v>
      </c>
      <c r="AH85" s="71">
        <v>1944.2367418721972</v>
      </c>
      <c r="AI85" s="71">
        <v>1900.2088355195988</v>
      </c>
      <c r="AJ85" s="71">
        <v>1854.3898319373427</v>
      </c>
      <c r="AK85" s="71">
        <v>1806.7844459999999</v>
      </c>
      <c r="AL85" s="71">
        <v>1791.7212722499999</v>
      </c>
      <c r="AM85" s="71">
        <v>1775.6681311738002</v>
      </c>
      <c r="AN85" s="71">
        <v>1758.6353638003204</v>
      </c>
      <c r="AO85" s="71">
        <v>1740.6429376648375</v>
      </c>
      <c r="AP85" s="71">
        <v>1721.7203267925436</v>
      </c>
      <c r="AQ85" s="71">
        <v>1706.3207594772675</v>
      </c>
      <c r="AR85" s="71">
        <v>1690.1019414613936</v>
      </c>
      <c r="AS85" s="71">
        <v>1673.1129323009625</v>
      </c>
      <c r="AT85" s="71">
        <v>1655.4111361255277</v>
      </c>
      <c r="AU85" s="71">
        <v>1637.0607648725668</v>
      </c>
      <c r="AV85" s="71">
        <v>1618.1337870826028</v>
      </c>
      <c r="AW85" s="71">
        <v>1598.7086396989159</v>
      </c>
      <c r="AX85" s="71">
        <v>1578.8701612489369</v>
      </c>
      <c r="AY85" s="71">
        <v>1558.7092651133166</v>
      </c>
      <c r="AZ85" s="71">
        <v>1538.322456638916</v>
      </c>
      <c r="BA85" s="71">
        <v>1517.8112032962415</v>
      </c>
      <c r="BB85" s="71">
        <v>1497.2823646227553</v>
      </c>
      <c r="BC85" s="71">
        <v>1476.8464026694355</v>
      </c>
      <c r="BD85" s="71">
        <v>1456.6185876235236</v>
      </c>
      <c r="BE85" s="71">
        <v>1436.7170716865267</v>
      </c>
      <c r="BF85" s="71">
        <v>1417.2638553303238</v>
      </c>
      <c r="BG85" s="71">
        <v>1398.3832196568626</v>
      </c>
      <c r="BH85" s="71">
        <v>1380.2017639888163</v>
      </c>
      <c r="BI85" s="71">
        <v>1362.8483035810302</v>
      </c>
      <c r="BJ85" s="71">
        <v>1346.4527694909084</v>
      </c>
    </row>
    <row r="86" spans="1:62" ht="14.25">
      <c r="A86" s="72" t="s">
        <v>421</v>
      </c>
      <c r="G86" s="71">
        <v>454</v>
      </c>
      <c r="H86" s="71">
        <v>451</v>
      </c>
      <c r="I86" s="71">
        <v>446</v>
      </c>
      <c r="J86" s="71">
        <v>444</v>
      </c>
      <c r="K86" s="71">
        <v>439</v>
      </c>
      <c r="L86" s="71">
        <v>436</v>
      </c>
      <c r="M86" s="71">
        <v>442</v>
      </c>
      <c r="N86" s="71">
        <v>446.00000000000006</v>
      </c>
      <c r="O86" s="71">
        <v>438.99999999999994</v>
      </c>
      <c r="P86" s="71">
        <v>437</v>
      </c>
      <c r="Q86" s="71">
        <v>425.99999999999994</v>
      </c>
      <c r="R86" s="71">
        <v>414.00000000000006</v>
      </c>
      <c r="S86" s="71">
        <v>408</v>
      </c>
      <c r="T86" s="71">
        <v>401</v>
      </c>
      <c r="U86" s="71">
        <v>403.99999999999994</v>
      </c>
      <c r="V86" s="71">
        <v>402.00000000000006</v>
      </c>
      <c r="W86" s="71">
        <v>397.42262686274506</v>
      </c>
      <c r="X86" s="71">
        <v>391.14630608476233</v>
      </c>
      <c r="Y86" s="71">
        <v>384.25285423731628</v>
      </c>
      <c r="Z86" s="71">
        <v>376.76045289643946</v>
      </c>
      <c r="AA86" s="71">
        <v>368.68754999999999</v>
      </c>
      <c r="AB86" s="71">
        <v>363.09368304433917</v>
      </c>
      <c r="AC86" s="71">
        <v>357.07844739293762</v>
      </c>
      <c r="AD86" s="71">
        <v>350.6585609331533</v>
      </c>
      <c r="AE86" s="71">
        <v>343.85092693615292</v>
      </c>
      <c r="AF86" s="71">
        <v>336.67262359481009</v>
      </c>
      <c r="AG86" s="71">
        <v>329.1404326354666</v>
      </c>
      <c r="AH86" s="71">
        <v>321.27170309360804</v>
      </c>
      <c r="AI86" s="71">
        <v>313.08317966138094</v>
      </c>
      <c r="AJ86" s="71">
        <v>304.59196104600818</v>
      </c>
      <c r="AK86" s="71">
        <v>295.81472700000006</v>
      </c>
      <c r="AL86" s="71">
        <v>292.11198460500009</v>
      </c>
      <c r="AM86" s="71">
        <v>288.25169064032514</v>
      </c>
      <c r="AN86" s="71">
        <v>284.24407878622026</v>
      </c>
      <c r="AO86" s="71">
        <v>280.09984251503482</v>
      </c>
      <c r="AP86" s="71">
        <v>275.82935219086636</v>
      </c>
      <c r="AQ86" s="71">
        <v>272.44819214213243</v>
      </c>
      <c r="AR86" s="71">
        <v>268.96696146388183</v>
      </c>
      <c r="AS86" s="71">
        <v>265.39487696829167</v>
      </c>
      <c r="AT86" s="71">
        <v>261.74075744102373</v>
      </c>
      <c r="AU86" s="71">
        <v>258.01345697835154</v>
      </c>
      <c r="AV86" s="71">
        <v>254.22161083168169</v>
      </c>
      <c r="AW86" s="71">
        <v>250.37393098566972</v>
      </c>
      <c r="AX86" s="71">
        <v>246.47879305027053</v>
      </c>
      <c r="AY86" s="71">
        <v>242.5446201637798</v>
      </c>
      <c r="AZ86" s="71">
        <v>238.57943488375645</v>
      </c>
      <c r="BA86" s="71">
        <v>234.59125789707383</v>
      </c>
      <c r="BB86" s="71">
        <v>230.58806275107418</v>
      </c>
      <c r="BC86" s="71">
        <v>226.57717567931809</v>
      </c>
      <c r="BD86" s="71">
        <v>222.56613722055428</v>
      </c>
      <c r="BE86" s="71">
        <v>218.56224420275217</v>
      </c>
      <c r="BF86" s="71">
        <v>214.57231169495745</v>
      </c>
      <c r="BG86" s="71">
        <v>210.60300023814241</v>
      </c>
      <c r="BH86" s="71">
        <v>206.6606961887104</v>
      </c>
      <c r="BI86" s="71">
        <v>202.75173418969078</v>
      </c>
      <c r="BJ86" s="71">
        <v>198.88190283083256</v>
      </c>
    </row>
    <row r="87" spans="1:62" ht="14.25">
      <c r="A87" s="72" t="s">
        <v>420</v>
      </c>
      <c r="G87" s="71">
        <v>1533</v>
      </c>
      <c r="H87" s="71">
        <v>1497</v>
      </c>
      <c r="I87" s="71">
        <v>1456</v>
      </c>
      <c r="J87" s="71">
        <v>1420.0000000000002</v>
      </c>
      <c r="K87" s="71">
        <v>1384.0000000000002</v>
      </c>
      <c r="L87" s="71">
        <v>1356</v>
      </c>
      <c r="M87" s="71">
        <v>1324.9999999999998</v>
      </c>
      <c r="N87" s="71">
        <v>1290</v>
      </c>
      <c r="O87" s="71">
        <v>1256</v>
      </c>
      <c r="P87" s="71">
        <v>1225</v>
      </c>
      <c r="Q87" s="71">
        <v>1183</v>
      </c>
      <c r="R87" s="71">
        <v>1140</v>
      </c>
      <c r="S87" s="71">
        <v>1100.0000000000002</v>
      </c>
      <c r="T87" s="71">
        <v>1056</v>
      </c>
      <c r="U87" s="71">
        <v>1013</v>
      </c>
      <c r="V87" s="71">
        <v>980</v>
      </c>
      <c r="W87" s="71">
        <v>954.65816659402219</v>
      </c>
      <c r="X87" s="71">
        <v>936.79241400142178</v>
      </c>
      <c r="Y87" s="71">
        <v>918.22819590671281</v>
      </c>
      <c r="Z87" s="71">
        <v>898.96686251726692</v>
      </c>
      <c r="AA87" s="71">
        <v>879.01464600000008</v>
      </c>
      <c r="AB87" s="71">
        <v>864.83914364845987</v>
      </c>
      <c r="AC87" s="71">
        <v>850.12039402798689</v>
      </c>
      <c r="AD87" s="71">
        <v>834.87007831827611</v>
      </c>
      <c r="AE87" s="71">
        <v>819.10308888862664</v>
      </c>
      <c r="AF87" s="71">
        <v>802.83741476439229</v>
      </c>
      <c r="AG87" s="71">
        <v>786.09381839256218</v>
      </c>
      <c r="AH87" s="71">
        <v>768.89556698212857</v>
      </c>
      <c r="AI87" s="71">
        <v>751.2684187534494</v>
      </c>
      <c r="AJ87" s="71">
        <v>733.2401042913009</v>
      </c>
      <c r="AK87" s="71">
        <v>714.8403239999999</v>
      </c>
      <c r="AL87" s="71">
        <v>700.26310346000025</v>
      </c>
      <c r="AM87" s="71">
        <v>685.40057956965029</v>
      </c>
      <c r="AN87" s="71">
        <v>670.28142901460876</v>
      </c>
      <c r="AO87" s="71">
        <v>654.93541872970627</v>
      </c>
      <c r="AP87" s="71">
        <v>639.3932947006947</v>
      </c>
      <c r="AQ87" s="71">
        <v>626.80259381449912</v>
      </c>
      <c r="AR87" s="71">
        <v>614.07501065557994</v>
      </c>
      <c r="AS87" s="71">
        <v>601.23994727389265</v>
      </c>
      <c r="AT87" s="71">
        <v>588.32740260081584</v>
      </c>
      <c r="AU87" s="71">
        <v>575.36764717797985</v>
      </c>
      <c r="AV87" s="71">
        <v>562.39124038537523</v>
      </c>
      <c r="AW87" s="71">
        <v>549.42876098020884</v>
      </c>
      <c r="AX87" s="71">
        <v>536.51070526373451</v>
      </c>
      <c r="AY87" s="71">
        <v>523.66732613734609</v>
      </c>
      <c r="AZ87" s="71">
        <v>510.92838559302834</v>
      </c>
      <c r="BA87" s="71">
        <v>498.32316454247035</v>
      </c>
      <c r="BB87" s="71">
        <v>485.880109076792</v>
      </c>
      <c r="BC87" s="71">
        <v>473.62681601556295</v>
      </c>
      <c r="BD87" s="71">
        <v>461.58973271975242</v>
      </c>
      <c r="BE87" s="71">
        <v>449.79410101755826</v>
      </c>
      <c r="BF87" s="71">
        <v>438.26373532532699</v>
      </c>
      <c r="BG87" s="71">
        <v>427.02083411745144</v>
      </c>
      <c r="BH87" s="71">
        <v>416.0858203009808</v>
      </c>
      <c r="BI87" s="71">
        <v>405.47717778760375</v>
      </c>
      <c r="BJ87" s="71">
        <v>395.21125667402623</v>
      </c>
    </row>
    <row r="88" spans="1:62" ht="14.25">
      <c r="A88" s="72" t="s">
        <v>419</v>
      </c>
      <c r="G88" s="71">
        <v>5502</v>
      </c>
      <c r="H88" s="71">
        <v>5367</v>
      </c>
      <c r="I88" s="71">
        <v>5234</v>
      </c>
      <c r="J88" s="71">
        <v>5094.0000000000009</v>
      </c>
      <c r="K88" s="71">
        <v>5017.0000000000009</v>
      </c>
      <c r="L88" s="71">
        <v>4813</v>
      </c>
      <c r="M88" s="71">
        <v>4689</v>
      </c>
      <c r="N88" s="71">
        <v>4580</v>
      </c>
      <c r="O88" s="71">
        <v>4463</v>
      </c>
      <c r="P88" s="71">
        <v>4354</v>
      </c>
      <c r="Q88" s="71">
        <v>4240</v>
      </c>
      <c r="R88" s="71">
        <v>4125</v>
      </c>
      <c r="S88" s="71">
        <v>3997.0000000000005</v>
      </c>
      <c r="T88" s="71">
        <v>3869</v>
      </c>
      <c r="U88" s="71">
        <v>3728.0000000000005</v>
      </c>
      <c r="V88" s="71">
        <v>3622</v>
      </c>
      <c r="W88" s="71">
        <v>3546.1718702221692</v>
      </c>
      <c r="X88" s="71">
        <v>3516.533640749612</v>
      </c>
      <c r="Y88" s="71">
        <v>3484.3113887478676</v>
      </c>
      <c r="Z88" s="71">
        <v>3449.5484010912364</v>
      </c>
      <c r="AA88" s="71">
        <v>3412.2959600000004</v>
      </c>
      <c r="AB88" s="71">
        <v>3355.6026996461437</v>
      </c>
      <c r="AC88" s="71">
        <v>3296.1121115004166</v>
      </c>
      <c r="AD88" s="71">
        <v>3233.916465340722</v>
      </c>
      <c r="AE88" s="71">
        <v>3169.1155761289106</v>
      </c>
      <c r="AF88" s="71">
        <v>3101.8162176110823</v>
      </c>
      <c r="AG88" s="71">
        <v>3032.1315130386133</v>
      </c>
      <c r="AH88" s="71">
        <v>2960.1801297995239</v>
      </c>
      <c r="AI88" s="71">
        <v>2886.0857103069643</v>
      </c>
      <c r="AJ88" s="71">
        <v>2809.9765314372371</v>
      </c>
      <c r="AK88" s="71">
        <v>2731.9840959999997</v>
      </c>
      <c r="AL88" s="71">
        <v>2696.22565902</v>
      </c>
      <c r="AM88" s="71">
        <v>2659.371271143601</v>
      </c>
      <c r="AN88" s="71">
        <v>2621.5107229999076</v>
      </c>
      <c r="AO88" s="71">
        <v>2582.7365384314658</v>
      </c>
      <c r="AP88" s="71">
        <v>2543.1433761548878</v>
      </c>
      <c r="AQ88" s="71">
        <v>2509.9775235264374</v>
      </c>
      <c r="AR88" s="71">
        <v>2476.1837914220614</v>
      </c>
      <c r="AS88" s="71">
        <v>2441.856039436218</v>
      </c>
      <c r="AT88" s="71">
        <v>2407.0904569101394</v>
      </c>
      <c r="AU88" s="71">
        <v>2371.9849131904907</v>
      </c>
      <c r="AV88" s="71">
        <v>2336.6387006926502</v>
      </c>
      <c r="AW88" s="71">
        <v>2301.1526181350723</v>
      </c>
      <c r="AX88" s="71">
        <v>2265.6284141462847</v>
      </c>
      <c r="AY88" s="71">
        <v>2230.1686642694781</v>
      </c>
      <c r="AZ88" s="71">
        <v>2194.8766388971962</v>
      </c>
      <c r="BA88" s="71">
        <v>2159.8559433574878</v>
      </c>
      <c r="BB88" s="71">
        <v>2125.2101348153087</v>
      </c>
      <c r="BC88" s="71">
        <v>2091.042719745029</v>
      </c>
      <c r="BD88" s="71">
        <v>2057.4568157744443</v>
      </c>
      <c r="BE88" s="71">
        <v>2024.5548157452349</v>
      </c>
      <c r="BF88" s="71">
        <v>1992.4383135559249</v>
      </c>
      <c r="BG88" s="71">
        <v>1961.2075534273995</v>
      </c>
      <c r="BH88" s="71">
        <v>1930.9614534523485</v>
      </c>
      <c r="BI88" s="71">
        <v>1901.7971307431067</v>
      </c>
      <c r="BJ88" s="71">
        <v>1873.8098593158309</v>
      </c>
    </row>
    <row r="89" spans="1:62" ht="14.25">
      <c r="A89" s="72" t="s">
        <v>418</v>
      </c>
      <c r="G89" s="71">
        <v>2728</v>
      </c>
      <c r="H89" s="71">
        <v>2677</v>
      </c>
      <c r="I89" s="71">
        <v>2606</v>
      </c>
      <c r="J89" s="71">
        <v>2549.0000000000005</v>
      </c>
      <c r="K89" s="71">
        <v>2480</v>
      </c>
      <c r="L89" s="71">
        <v>2303</v>
      </c>
      <c r="M89" s="71">
        <v>2293</v>
      </c>
      <c r="N89" s="71">
        <v>2285</v>
      </c>
      <c r="O89" s="71">
        <v>2256</v>
      </c>
      <c r="P89" s="71">
        <v>2197</v>
      </c>
      <c r="Q89" s="71">
        <v>2115.0000000000005</v>
      </c>
      <c r="R89" s="71">
        <v>2046.0000000000002</v>
      </c>
      <c r="S89" s="71">
        <v>1987.0000000000002</v>
      </c>
      <c r="T89" s="71">
        <v>1928.9999999999998</v>
      </c>
      <c r="U89" s="71">
        <v>1866.9999999999998</v>
      </c>
      <c r="V89" s="71">
        <v>1806.9999999999998</v>
      </c>
      <c r="W89" s="71">
        <v>1771.7337991952231</v>
      </c>
      <c r="X89" s="71">
        <v>1712.2509988858415</v>
      </c>
      <c r="Y89" s="71">
        <v>1649.9160037581048</v>
      </c>
      <c r="Z89" s="71">
        <v>1584.3423742192131</v>
      </c>
      <c r="AA89" s="71">
        <v>1515.1850960000002</v>
      </c>
      <c r="AB89" s="71">
        <v>1502.5261868683654</v>
      </c>
      <c r="AC89" s="71">
        <v>1489.1276822826053</v>
      </c>
      <c r="AD89" s="71">
        <v>1474.8663857009208</v>
      </c>
      <c r="AE89" s="71">
        <v>1459.6392839862074</v>
      </c>
      <c r="AF89" s="71">
        <v>1443.3622271306351</v>
      </c>
      <c r="AG89" s="71">
        <v>1425.9692931608818</v>
      </c>
      <c r="AH89" s="71">
        <v>1407.4122506849271</v>
      </c>
      <c r="AI89" s="71">
        <v>1387.6592697809501</v>
      </c>
      <c r="AJ89" s="71">
        <v>1366.6944715612428</v>
      </c>
      <c r="AK89" s="71">
        <v>1344.5165759999998</v>
      </c>
      <c r="AL89" s="71">
        <v>1333.3963592</v>
      </c>
      <c r="AM89" s="71">
        <v>1321.3202357771004</v>
      </c>
      <c r="AN89" s="71">
        <v>1308.3055728186644</v>
      </c>
      <c r="AO89" s="71">
        <v>1294.3803697702276</v>
      </c>
      <c r="AP89" s="71">
        <v>1279.5825183748693</v>
      </c>
      <c r="AQ89" s="71">
        <v>1267.5696244473286</v>
      </c>
      <c r="AR89" s="71">
        <v>1254.809814145206</v>
      </c>
      <c r="AS89" s="71">
        <v>1241.3614141036821</v>
      </c>
      <c r="AT89" s="71">
        <v>1227.2910695606636</v>
      </c>
      <c r="AU89" s="71">
        <v>1212.6729754148396</v>
      </c>
      <c r="AV89" s="71">
        <v>1197.5886650232449</v>
      </c>
      <c r="AW89" s="71">
        <v>1182.1262980047657</v>
      </c>
      <c r="AX89" s="71">
        <v>1166.3805768392679</v>
      </c>
      <c r="AY89" s="71">
        <v>1150.4517451830523</v>
      </c>
      <c r="AZ89" s="71">
        <v>1134.4458818848486</v>
      </c>
      <c r="BA89" s="71">
        <v>1118.4735603863187</v>
      </c>
      <c r="BB89" s="71">
        <v>1102.6500148837204</v>
      </c>
      <c r="BC89" s="71">
        <v>1087.0944867326482</v>
      </c>
      <c r="BD89" s="71">
        <v>1071.9294428296896</v>
      </c>
      <c r="BE89" s="71">
        <v>1057.2806725304979</v>
      </c>
      <c r="BF89" s="71">
        <v>1043.2761747092989</v>
      </c>
      <c r="BG89" s="71">
        <v>1030.0460533031289</v>
      </c>
      <c r="BH89" s="71">
        <v>1017.7218490375823</v>
      </c>
      <c r="BI89" s="71">
        <v>1006.4361518908397</v>
      </c>
      <c r="BJ89" s="71">
        <v>996.321702942142</v>
      </c>
    </row>
    <row r="90" spans="1:62" ht="14.25">
      <c r="A90" s="72" t="s">
        <v>417</v>
      </c>
      <c r="G90" s="71">
        <v>3137</v>
      </c>
      <c r="H90" s="71">
        <v>3116</v>
      </c>
      <c r="I90" s="71">
        <v>3087.9999999999995</v>
      </c>
      <c r="J90" s="71">
        <v>3044.0000000000005</v>
      </c>
      <c r="K90" s="71">
        <v>3017.0000000000005</v>
      </c>
      <c r="L90" s="71">
        <v>3005</v>
      </c>
      <c r="M90" s="71">
        <v>2930</v>
      </c>
      <c r="N90" s="71">
        <v>2849.0000000000005</v>
      </c>
      <c r="O90" s="71">
        <v>2785</v>
      </c>
      <c r="P90" s="71">
        <v>2734.9999999999995</v>
      </c>
      <c r="Q90" s="71">
        <v>2661</v>
      </c>
      <c r="R90" s="71">
        <v>2589</v>
      </c>
      <c r="S90" s="71">
        <v>2521</v>
      </c>
      <c r="T90" s="71">
        <v>2472.0000000000005</v>
      </c>
      <c r="U90" s="71">
        <v>2420</v>
      </c>
      <c r="V90" s="71">
        <v>2359</v>
      </c>
      <c r="W90" s="71">
        <v>2327.4186794029847</v>
      </c>
      <c r="X90" s="71">
        <v>2242.8087023072017</v>
      </c>
      <c r="Y90" s="71">
        <v>2152.2520004367052</v>
      </c>
      <c r="Z90" s="71">
        <v>2055.4469361473948</v>
      </c>
      <c r="AA90" s="71">
        <v>1952.1146000000001</v>
      </c>
      <c r="AB90" s="71">
        <v>1926.355801978332</v>
      </c>
      <c r="AC90" s="71">
        <v>1899.0593051900573</v>
      </c>
      <c r="AD90" s="71">
        <v>1870.1880508521015</v>
      </c>
      <c r="AE90" s="71">
        <v>1839.7177773695405</v>
      </c>
      <c r="AF90" s="71">
        <v>1807.6358061369754</v>
      </c>
      <c r="AG90" s="71">
        <v>1773.9409148670027</v>
      </c>
      <c r="AH90" s="71">
        <v>1738.642376370811</v>
      </c>
      <c r="AI90" s="71">
        <v>1701.7598697983894</v>
      </c>
      <c r="AJ90" s="71">
        <v>1663.3225103845527</v>
      </c>
      <c r="AK90" s="71">
        <v>1623.3682239999998</v>
      </c>
      <c r="AL90" s="71">
        <v>1608.1768235</v>
      </c>
      <c r="AM90" s="71">
        <v>1592.0718249319004</v>
      </c>
      <c r="AN90" s="71">
        <v>1575.0820915939696</v>
      </c>
      <c r="AO90" s="71">
        <v>1557.2420807599606</v>
      </c>
      <c r="AP90" s="71">
        <v>1538.5912589314369</v>
      </c>
      <c r="AQ90" s="71">
        <v>1523.5136670136944</v>
      </c>
      <c r="AR90" s="71">
        <v>1507.7430248664507</v>
      </c>
      <c r="AS90" s="71">
        <v>1491.3269287369842</v>
      </c>
      <c r="AT90" s="71">
        <v>1474.3173307530094</v>
      </c>
      <c r="AU90" s="71">
        <v>1456.7699694528462</v>
      </c>
      <c r="AV90" s="71">
        <v>1438.7441881645404</v>
      </c>
      <c r="AW90" s="71">
        <v>1420.3030885352618</v>
      </c>
      <c r="AX90" s="71">
        <v>1401.5128422948587</v>
      </c>
      <c r="AY90" s="71">
        <v>1382.4423590138965</v>
      </c>
      <c r="AZ90" s="71">
        <v>1363.1636461829833</v>
      </c>
      <c r="BA90" s="71">
        <v>1343.7507091441948</v>
      </c>
      <c r="BB90" s="71">
        <v>1324.2800667433494</v>
      </c>
      <c r="BC90" s="71">
        <v>1304.8299592210774</v>
      </c>
      <c r="BD90" s="71">
        <v>1285.4804062361713</v>
      </c>
      <c r="BE90" s="71">
        <v>1266.312638769793</v>
      </c>
      <c r="BF90" s="71">
        <v>1247.4090394402533</v>
      </c>
      <c r="BG90" s="71">
        <v>1228.8527584195435</v>
      </c>
      <c r="BH90" s="71">
        <v>1210.7275107666785</v>
      </c>
      <c r="BI90" s="71">
        <v>1193.1173656684571</v>
      </c>
      <c r="BJ90" s="71">
        <v>1176.10613024082</v>
      </c>
    </row>
    <row r="91" spans="1:62" ht="14.25">
      <c r="A91" s="72" t="s">
        <v>416</v>
      </c>
      <c r="G91" s="71">
        <v>222</v>
      </c>
      <c r="H91" s="71">
        <v>225</v>
      </c>
      <c r="I91" s="71">
        <v>227</v>
      </c>
      <c r="J91" s="71">
        <v>228</v>
      </c>
      <c r="K91" s="71">
        <v>229.99999999999997</v>
      </c>
      <c r="L91" s="71">
        <v>232</v>
      </c>
      <c r="M91" s="71">
        <v>239</v>
      </c>
      <c r="N91" s="71">
        <v>243</v>
      </c>
      <c r="O91" s="71">
        <v>240.99999999999997</v>
      </c>
      <c r="P91" s="71">
        <v>240</v>
      </c>
      <c r="Q91" s="71">
        <v>235</v>
      </c>
      <c r="R91" s="71">
        <v>233</v>
      </c>
      <c r="S91" s="71">
        <v>233</v>
      </c>
      <c r="T91" s="71">
        <v>234</v>
      </c>
      <c r="U91" s="71">
        <v>236</v>
      </c>
      <c r="V91" s="71">
        <v>234.99999999999997</v>
      </c>
      <c r="W91" s="71">
        <v>233.52143825136613</v>
      </c>
      <c r="X91" s="71">
        <v>232.7664450073928</v>
      </c>
      <c r="Y91" s="71">
        <v>231.87652627382388</v>
      </c>
      <c r="Z91" s="71">
        <v>230.83472743665493</v>
      </c>
      <c r="AA91" s="71">
        <v>229.62515999999999</v>
      </c>
      <c r="AB91" s="71">
        <v>228.84749898410601</v>
      </c>
      <c r="AC91" s="71">
        <v>227.91126013945416</v>
      </c>
      <c r="AD91" s="71">
        <v>226.80623496673874</v>
      </c>
      <c r="AE91" s="71">
        <v>225.52391936993121</v>
      </c>
      <c r="AF91" s="71">
        <v>224.05667399478153</v>
      </c>
      <c r="AG91" s="71">
        <v>222.39866552939111</v>
      </c>
      <c r="AH91" s="71">
        <v>220.54481437744909</v>
      </c>
      <c r="AI91" s="71">
        <v>218.49181589184008</v>
      </c>
      <c r="AJ91" s="71">
        <v>216.23731953273585</v>
      </c>
      <c r="AK91" s="71">
        <v>213.780216</v>
      </c>
      <c r="AL91" s="71">
        <v>213.77682280000002</v>
      </c>
      <c r="AM91" s="71">
        <v>213.65624293880003</v>
      </c>
      <c r="AN91" s="71">
        <v>213.41829988970406</v>
      </c>
      <c r="AO91" s="71">
        <v>213.0640340841168</v>
      </c>
      <c r="AP91" s="71">
        <v>212.5949642074421</v>
      </c>
      <c r="AQ91" s="71">
        <v>212.26666730537707</v>
      </c>
      <c r="AR91" s="71">
        <v>211.83210377477857</v>
      </c>
      <c r="AS91" s="71">
        <v>211.29481869101588</v>
      </c>
      <c r="AT91" s="71">
        <v>210.65892907787529</v>
      </c>
      <c r="AU91" s="71">
        <v>209.92931171078075</v>
      </c>
      <c r="AV91" s="71">
        <v>209.11173658487922</v>
      </c>
      <c r="AW91" s="71">
        <v>208.21215574515438</v>
      </c>
      <c r="AX91" s="71">
        <v>207.23758496562544</v>
      </c>
      <c r="AY91" s="71">
        <v>206.19559014771093</v>
      </c>
      <c r="AZ91" s="71">
        <v>205.09427398111893</v>
      </c>
      <c r="BA91" s="71">
        <v>203.94221375064166</v>
      </c>
      <c r="BB91" s="71">
        <v>202.74883676912984</v>
      </c>
      <c r="BC91" s="71">
        <v>201.52410988782458</v>
      </c>
      <c r="BD91" s="71">
        <v>200.27847641556676</v>
      </c>
      <c r="BE91" s="71">
        <v>199.02279404810108</v>
      </c>
      <c r="BF91" s="71">
        <v>197.76870340145723</v>
      </c>
      <c r="BG91" s="71">
        <v>196.52827392496164</v>
      </c>
      <c r="BH91" s="71">
        <v>195.31389457332608</v>
      </c>
      <c r="BI91" s="71">
        <v>194.13877948724664</v>
      </c>
      <c r="BJ91" s="71">
        <v>193.01614611554626</v>
      </c>
    </row>
    <row r="92" spans="1:62" ht="14.25">
      <c r="A92" s="72" t="s">
        <v>415</v>
      </c>
      <c r="G92" s="71">
        <v>2316</v>
      </c>
      <c r="H92" s="71">
        <v>2252</v>
      </c>
      <c r="I92" s="71">
        <v>2202</v>
      </c>
      <c r="J92" s="71">
        <v>2153.0000000000005</v>
      </c>
      <c r="K92" s="71">
        <v>2106</v>
      </c>
      <c r="L92" s="71">
        <v>2026.0000000000002</v>
      </c>
      <c r="M92" s="71">
        <v>1982.0000000000002</v>
      </c>
      <c r="N92" s="71">
        <v>1903.9999999999998</v>
      </c>
      <c r="O92" s="71">
        <v>1842</v>
      </c>
      <c r="P92" s="71">
        <v>1797.9999999999998</v>
      </c>
      <c r="Q92" s="71">
        <v>1741.0000000000002</v>
      </c>
      <c r="R92" s="71">
        <v>1689.0000000000002</v>
      </c>
      <c r="S92" s="71">
        <v>1637</v>
      </c>
      <c r="T92" s="71">
        <v>1586</v>
      </c>
      <c r="U92" s="71">
        <v>1527</v>
      </c>
      <c r="V92" s="71">
        <v>1477</v>
      </c>
      <c r="W92" s="71">
        <v>1450.2620958523014</v>
      </c>
      <c r="X92" s="71">
        <v>1447.7502289019008</v>
      </c>
      <c r="Y92" s="71">
        <v>1443.4456744512263</v>
      </c>
      <c r="Z92" s="71">
        <v>1437.4703039618041</v>
      </c>
      <c r="AA92" s="71">
        <v>1429.9413099999999</v>
      </c>
      <c r="AB92" s="71">
        <v>1415.3594213377889</v>
      </c>
      <c r="AC92" s="71">
        <v>1399.3413612481254</v>
      </c>
      <c r="AD92" s="71">
        <v>1382.0024877470864</v>
      </c>
      <c r="AE92" s="71">
        <v>1363.4536349134048</v>
      </c>
      <c r="AF92" s="71">
        <v>1343.8000621822323</v>
      </c>
      <c r="AG92" s="71">
        <v>1323.1420741490194</v>
      </c>
      <c r="AH92" s="71">
        <v>1301.5753423848644</v>
      </c>
      <c r="AI92" s="71">
        <v>1279.1905842124288</v>
      </c>
      <c r="AJ92" s="71">
        <v>1256.0734325889273</v>
      </c>
      <c r="AK92" s="71">
        <v>1232.3052000000002</v>
      </c>
      <c r="AL92" s="71">
        <v>1214.9562789500003</v>
      </c>
      <c r="AM92" s="71">
        <v>1197.1520137757507</v>
      </c>
      <c r="AN92" s="71">
        <v>1178.9526843991619</v>
      </c>
      <c r="AO92" s="71">
        <v>1160.415220057386</v>
      </c>
      <c r="AP92" s="71">
        <v>1141.5928643185439</v>
      </c>
      <c r="AQ92" s="71">
        <v>1126.0805736871816</v>
      </c>
      <c r="AR92" s="71">
        <v>1110.3807362591192</v>
      </c>
      <c r="AS92" s="71">
        <v>1094.5348593819349</v>
      </c>
      <c r="AT92" s="71">
        <v>1078.581373178645</v>
      </c>
      <c r="AU92" s="71">
        <v>1062.5559760206515</v>
      </c>
      <c r="AV92" s="71">
        <v>1046.4919909509422</v>
      </c>
      <c r="AW92" s="71">
        <v>1030.4198625098979</v>
      </c>
      <c r="AX92" s="71">
        <v>1014.3676525689416</v>
      </c>
      <c r="AY92" s="71">
        <v>998.36102090818167</v>
      </c>
      <c r="AZ92" s="71">
        <v>982.42308414221668</v>
      </c>
      <c r="BA92" s="71">
        <v>966.57466684093492</v>
      </c>
      <c r="BB92" s="71">
        <v>950.83441710561226</v>
      </c>
      <c r="BC92" s="71">
        <v>935.21869784462024</v>
      </c>
      <c r="BD92" s="71">
        <v>919.74180725279257</v>
      </c>
      <c r="BE92" s="71">
        <v>904.41599739762148</v>
      </c>
      <c r="BF92" s="71">
        <v>889.25149702776548</v>
      </c>
      <c r="BG92" s="71">
        <v>874.25660911695036</v>
      </c>
      <c r="BH92" s="71">
        <v>859.43792352931689</v>
      </c>
      <c r="BI92" s="71">
        <v>844.80008484732707</v>
      </c>
      <c r="BJ92" s="71">
        <v>830.34617170733998</v>
      </c>
    </row>
    <row r="93" spans="1:62" ht="14.25">
      <c r="A93" s="72" t="s">
        <v>414</v>
      </c>
      <c r="G93" s="71">
        <v>1780.9999999999998</v>
      </c>
      <c r="H93" s="71">
        <v>1755</v>
      </c>
      <c r="I93" s="71">
        <v>1725.9999999999998</v>
      </c>
      <c r="J93" s="71">
        <v>1695</v>
      </c>
      <c r="K93" s="71">
        <v>1664.0000000000002</v>
      </c>
      <c r="L93" s="71">
        <v>1635</v>
      </c>
      <c r="M93" s="71">
        <v>1600.9999999999998</v>
      </c>
      <c r="N93" s="71">
        <v>1561</v>
      </c>
      <c r="O93" s="71">
        <v>1510.0000000000002</v>
      </c>
      <c r="P93" s="71">
        <v>1461</v>
      </c>
      <c r="Q93" s="71">
        <v>1407</v>
      </c>
      <c r="R93" s="71">
        <v>1359.0000000000002</v>
      </c>
      <c r="S93" s="71">
        <v>1307.9999999999998</v>
      </c>
      <c r="T93" s="71">
        <v>1265</v>
      </c>
      <c r="U93" s="71">
        <v>1237</v>
      </c>
      <c r="V93" s="71">
        <v>1195</v>
      </c>
      <c r="W93" s="71">
        <v>1177.91842</v>
      </c>
      <c r="X93" s="71">
        <v>1158.8181865433098</v>
      </c>
      <c r="Y93" s="71">
        <v>1137.9391897373964</v>
      </c>
      <c r="Z93" s="71">
        <v>1115.2997378191958</v>
      </c>
      <c r="AA93" s="71">
        <v>1090.9231200000002</v>
      </c>
      <c r="AB93" s="71">
        <v>1068.1833674135207</v>
      </c>
      <c r="AC93" s="71">
        <v>1043.9352353263409</v>
      </c>
      <c r="AD93" s="71">
        <v>1018.2156873215407</v>
      </c>
      <c r="AE93" s="71">
        <v>991.06505941435194</v>
      </c>
      <c r="AF93" s="71">
        <v>962.5274806463691</v>
      </c>
      <c r="AG93" s="71">
        <v>932.65013123573908</v>
      </c>
      <c r="AH93" s="71">
        <v>901.483101918844</v>
      </c>
      <c r="AI93" s="71">
        <v>869.07874072941991</v>
      </c>
      <c r="AJ93" s="71">
        <v>835.49186144578459</v>
      </c>
      <c r="AK93" s="71">
        <v>800.77872000000013</v>
      </c>
      <c r="AL93" s="71">
        <v>791.11373925000032</v>
      </c>
      <c r="AM93" s="71">
        <v>781.01710323450038</v>
      </c>
      <c r="AN93" s="71">
        <v>770.52009791089927</v>
      </c>
      <c r="AO93" s="71">
        <v>759.65493318279778</v>
      </c>
      <c r="AP93" s="71">
        <v>748.45474466320957</v>
      </c>
      <c r="AQ93" s="71">
        <v>739.28066939437201</v>
      </c>
      <c r="AR93" s="71">
        <v>729.84590016296841</v>
      </c>
      <c r="AS93" s="71">
        <v>720.18287071786506</v>
      </c>
      <c r="AT93" s="71">
        <v>710.32473529272966</v>
      </c>
      <c r="AU93" s="71">
        <v>700.30530423474636</v>
      </c>
      <c r="AV93" s="71">
        <v>690.1585515033305</v>
      </c>
      <c r="AW93" s="71">
        <v>679.91919867847753</v>
      </c>
      <c r="AX93" s="71">
        <v>669.62205875873451</v>
      </c>
      <c r="AY93" s="71">
        <v>659.302341213045</v>
      </c>
      <c r="AZ93" s="71">
        <v>648.9950646964129</v>
      </c>
      <c r="BA93" s="71">
        <v>638.73555895705647</v>
      </c>
      <c r="BB93" s="71">
        <v>628.55905495915329</v>
      </c>
      <c r="BC93" s="71">
        <v>618.50031883219447</v>
      </c>
      <c r="BD93" s="71">
        <v>608.59425308436778</v>
      </c>
      <c r="BE93" s="71">
        <v>598.87519782486129</v>
      </c>
      <c r="BF93" s="71">
        <v>589.37691384848915</v>
      </c>
      <c r="BG93" s="71">
        <v>580.13272401491713</v>
      </c>
      <c r="BH93" s="71">
        <v>571.17540432997941</v>
      </c>
      <c r="BI93" s="71">
        <v>562.53675314544546</v>
      </c>
      <c r="BJ93" s="71">
        <v>554.24786214336132</v>
      </c>
    </row>
    <row r="94" spans="1:62" ht="14.25">
      <c r="A94" s="72" t="s">
        <v>413</v>
      </c>
      <c r="G94" s="71">
        <v>330</v>
      </c>
      <c r="H94" s="71">
        <v>333</v>
      </c>
      <c r="I94" s="71">
        <v>331</v>
      </c>
      <c r="J94" s="71">
        <v>328</v>
      </c>
      <c r="K94" s="71">
        <v>323</v>
      </c>
      <c r="L94" s="71">
        <v>311.00000000000006</v>
      </c>
      <c r="M94" s="71">
        <v>304</v>
      </c>
      <c r="N94" s="71">
        <v>298</v>
      </c>
      <c r="O94" s="71">
        <v>290</v>
      </c>
      <c r="P94" s="71">
        <v>283</v>
      </c>
      <c r="Q94" s="71">
        <v>279</v>
      </c>
      <c r="R94" s="71">
        <v>270</v>
      </c>
      <c r="S94" s="71">
        <v>261</v>
      </c>
      <c r="T94" s="71">
        <v>251</v>
      </c>
      <c r="U94" s="71">
        <v>242.99999999999997</v>
      </c>
      <c r="V94" s="71">
        <v>237</v>
      </c>
      <c r="W94" s="71">
        <v>233.20007272727273</v>
      </c>
      <c r="X94" s="71">
        <v>233.44006159633736</v>
      </c>
      <c r="Y94" s="71">
        <v>233.62000642525931</v>
      </c>
      <c r="Z94" s="71">
        <v>233.7261910472271</v>
      </c>
      <c r="AA94" s="71">
        <v>233.74666400000001</v>
      </c>
      <c r="AB94" s="71">
        <v>232.91688429750482</v>
      </c>
      <c r="AC94" s="71">
        <v>231.96341353756074</v>
      </c>
      <c r="AD94" s="71">
        <v>230.87873183097025</v>
      </c>
      <c r="AE94" s="71">
        <v>229.65659482468953</v>
      </c>
      <c r="AF94" s="71">
        <v>228.29221076932239</v>
      </c>
      <c r="AG94" s="71">
        <v>226.7820816941188</v>
      </c>
      <c r="AH94" s="71">
        <v>225.12392128410158</v>
      </c>
      <c r="AI94" s="71">
        <v>223.31664391635456</v>
      </c>
      <c r="AJ94" s="71">
        <v>221.36038476095999</v>
      </c>
      <c r="AK94" s="71">
        <v>219.25637799999998</v>
      </c>
      <c r="AL94" s="71">
        <v>217.5489407</v>
      </c>
      <c r="AM94" s="71">
        <v>215.70685899720002</v>
      </c>
      <c r="AN94" s="71">
        <v>213.73352128398204</v>
      </c>
      <c r="AO94" s="71">
        <v>211.63303471128319</v>
      </c>
      <c r="AP94" s="71">
        <v>209.41070744361744</v>
      </c>
      <c r="AQ94" s="71">
        <v>207.60946473769181</v>
      </c>
      <c r="AR94" s="71">
        <v>205.70222249024897</v>
      </c>
      <c r="AS94" s="71">
        <v>203.69564533498001</v>
      </c>
      <c r="AT94" s="71">
        <v>201.59706184699041</v>
      </c>
      <c r="AU94" s="71">
        <v>199.41443096203668</v>
      </c>
      <c r="AV94" s="71">
        <v>197.15627723299531</v>
      </c>
      <c r="AW94" s="71">
        <v>194.83190200514068</v>
      </c>
      <c r="AX94" s="71">
        <v>192.45088557935156</v>
      </c>
      <c r="AY94" s="71">
        <v>190.02375258254222</v>
      </c>
      <c r="AZ94" s="71">
        <v>187.5610543330327</v>
      </c>
      <c r="BA94" s="71">
        <v>185.07399974791386</v>
      </c>
      <c r="BB94" s="71">
        <v>182.57426239991494</v>
      </c>
      <c r="BC94" s="71">
        <v>180.07388188205965</v>
      </c>
      <c r="BD94" s="71">
        <v>177.58499592366002</v>
      </c>
      <c r="BE94" s="71">
        <v>175.12035181595579</v>
      </c>
      <c r="BF94" s="71">
        <v>172.69277404329793</v>
      </c>
      <c r="BG94" s="71">
        <v>170.31527187894579</v>
      </c>
      <c r="BH94" s="71">
        <v>168.00113847250978</v>
      </c>
      <c r="BI94" s="71">
        <v>165.76374086886574</v>
      </c>
      <c r="BJ94" s="71">
        <v>163.61658979174538</v>
      </c>
    </row>
    <row r="95" spans="1:62" ht="14.25">
      <c r="A95" s="72" t="s">
        <v>412</v>
      </c>
      <c r="G95" s="71">
        <v>344.00000000000006</v>
      </c>
      <c r="H95" s="71">
        <v>344</v>
      </c>
      <c r="I95" s="71">
        <v>340.99999999999994</v>
      </c>
      <c r="J95" s="71">
        <v>340</v>
      </c>
      <c r="K95" s="71">
        <v>337</v>
      </c>
      <c r="L95" s="71">
        <v>330.00000000000006</v>
      </c>
      <c r="M95" s="71">
        <v>323</v>
      </c>
      <c r="N95" s="71">
        <v>322</v>
      </c>
      <c r="O95" s="71">
        <v>314</v>
      </c>
      <c r="P95" s="71">
        <v>306</v>
      </c>
      <c r="Q95" s="71">
        <v>294</v>
      </c>
      <c r="R95" s="71">
        <v>287</v>
      </c>
      <c r="S95" s="71">
        <v>275</v>
      </c>
      <c r="T95" s="71">
        <v>269.00000000000006</v>
      </c>
      <c r="U95" s="71">
        <v>261</v>
      </c>
      <c r="V95" s="71">
        <v>252.99999999999997</v>
      </c>
      <c r="W95" s="71">
        <v>246.50489379310343</v>
      </c>
      <c r="X95" s="71">
        <v>243.3017173076274</v>
      </c>
      <c r="Y95" s="71">
        <v>239.89753781415897</v>
      </c>
      <c r="Z95" s="71">
        <v>236.28268498434872</v>
      </c>
      <c r="AA95" s="71">
        <v>232.44937700000003</v>
      </c>
      <c r="AB95" s="71">
        <v>229.71414701671327</v>
      </c>
      <c r="AC95" s="71">
        <v>226.79360763585873</v>
      </c>
      <c r="AD95" s="71">
        <v>223.68476888064072</v>
      </c>
      <c r="AE95" s="71">
        <v>220.38598019310899</v>
      </c>
      <c r="AF95" s="71">
        <v>216.89712447153158</v>
      </c>
      <c r="AG95" s="71">
        <v>213.2192837137147</v>
      </c>
      <c r="AH95" s="71">
        <v>209.35481110067113</v>
      </c>
      <c r="AI95" s="71">
        <v>205.30722560748856</v>
      </c>
      <c r="AJ95" s="71">
        <v>201.08115949059527</v>
      </c>
      <c r="AK95" s="71">
        <v>196.6823</v>
      </c>
      <c r="AL95" s="71">
        <v>194.11124125000006</v>
      </c>
      <c r="AM95" s="71">
        <v>191.41370457687515</v>
      </c>
      <c r="AN95" s="71">
        <v>188.59512790621585</v>
      </c>
      <c r="AO95" s="71">
        <v>185.66152448997437</v>
      </c>
      <c r="AP95" s="71">
        <v>182.61957338610816</v>
      </c>
      <c r="AQ95" s="71">
        <v>180.22135287149919</v>
      </c>
      <c r="AR95" s="71">
        <v>177.73462689164401</v>
      </c>
      <c r="AS95" s="71">
        <v>175.16650442255477</v>
      </c>
      <c r="AT95" s="71">
        <v>172.52457021935092</v>
      </c>
      <c r="AU95" s="71">
        <v>169.81677390176597</v>
      </c>
      <c r="AV95" s="71">
        <v>167.05147328857655</v>
      </c>
      <c r="AW95" s="71">
        <v>164.2372596217748</v>
      </c>
      <c r="AX95" s="71">
        <v>161.382979761775</v>
      </c>
      <c r="AY95" s="71">
        <v>158.49769119198166</v>
      </c>
      <c r="AZ95" s="71">
        <v>155.59075760898179</v>
      </c>
      <c r="BA95" s="71">
        <v>152.67143501921817</v>
      </c>
      <c r="BB95" s="71">
        <v>149.74923281231298</v>
      </c>
      <c r="BC95" s="71">
        <v>146.83362216321748</v>
      </c>
      <c r="BD95" s="71">
        <v>143.93401196036774</v>
      </c>
      <c r="BE95" s="71">
        <v>141.05983425136412</v>
      </c>
      <c r="BF95" s="71">
        <v>138.22032302624947</v>
      </c>
      <c r="BG95" s="71">
        <v>135.4246153952603</v>
      </c>
      <c r="BH95" s="71">
        <v>132.68157176920974</v>
      </c>
      <c r="BI95" s="71">
        <v>129.99974768777656</v>
      </c>
      <c r="BJ95" s="71">
        <v>127.38753418845685</v>
      </c>
    </row>
    <row r="96" spans="1:62" ht="14.25">
      <c r="A96" s="72" t="s">
        <v>411</v>
      </c>
      <c r="G96" s="71">
        <v>1263</v>
      </c>
      <c r="H96" s="71">
        <v>1272</v>
      </c>
      <c r="I96" s="71">
        <v>1275</v>
      </c>
      <c r="J96" s="71">
        <v>1286</v>
      </c>
      <c r="K96" s="71">
        <v>1299</v>
      </c>
      <c r="L96" s="71">
        <v>1245.0000000000002</v>
      </c>
      <c r="M96" s="71">
        <v>1252</v>
      </c>
      <c r="N96" s="71">
        <v>1257</v>
      </c>
      <c r="O96" s="71">
        <v>1258</v>
      </c>
      <c r="P96" s="71">
        <v>1236.9999999999998</v>
      </c>
      <c r="Q96" s="71">
        <v>1222</v>
      </c>
      <c r="R96" s="71">
        <v>1204</v>
      </c>
      <c r="S96" s="71">
        <v>1193</v>
      </c>
      <c r="T96" s="71">
        <v>1159</v>
      </c>
      <c r="U96" s="71">
        <v>1138</v>
      </c>
      <c r="V96" s="71">
        <v>1125.9999999999998</v>
      </c>
      <c r="W96" s="71">
        <v>1181.2608010428739</v>
      </c>
      <c r="X96" s="71">
        <v>1171.223952273906</v>
      </c>
      <c r="Y96" s="71">
        <v>1160.4137201136539</v>
      </c>
      <c r="Z96" s="71">
        <v>1148.7924548163696</v>
      </c>
      <c r="AA96" s="71">
        <v>1136.3288</v>
      </c>
      <c r="AB96" s="71">
        <v>1129.5084681741967</v>
      </c>
      <c r="AC96" s="71">
        <v>1122.0064504071881</v>
      </c>
      <c r="AD96" s="71">
        <v>1113.806340617359</v>
      </c>
      <c r="AE96" s="71">
        <v>1104.8963068538753</v>
      </c>
      <c r="AF96" s="71">
        <v>1095.2693851826991</v>
      </c>
      <c r="AG96" s="71">
        <v>1084.9228442317642</v>
      </c>
      <c r="AH96" s="71">
        <v>1073.8582390667948</v>
      </c>
      <c r="AI96" s="71">
        <v>1062.0814424917219</v>
      </c>
      <c r="AJ96" s="71">
        <v>1049.6021559213432</v>
      </c>
      <c r="AK96" s="71">
        <v>1036.433685</v>
      </c>
      <c r="AL96" s="71">
        <v>1028.446525975</v>
      </c>
      <c r="AM96" s="71">
        <v>1019.8969217686252</v>
      </c>
      <c r="AN96" s="71">
        <v>1010.8004394718848</v>
      </c>
      <c r="AO96" s="71">
        <v>1001.1758644739508</v>
      </c>
      <c r="AP96" s="71">
        <v>991.0446777726246</v>
      </c>
      <c r="AQ96" s="71">
        <v>982.85712085596583</v>
      </c>
      <c r="AR96" s="71">
        <v>974.22857141583006</v>
      </c>
      <c r="AS96" s="71">
        <v>965.18466511496501</v>
      </c>
      <c r="AT96" s="71">
        <v>955.75323618858943</v>
      </c>
      <c r="AU96" s="71">
        <v>945.96401729255524</v>
      </c>
      <c r="AV96" s="71">
        <v>935.84892041297633</v>
      </c>
      <c r="AW96" s="71">
        <v>925.44179287651127</v>
      </c>
      <c r="AX96" s="71">
        <v>914.7781782460853</v>
      </c>
      <c r="AY96" s="71">
        <v>903.89548596475061</v>
      </c>
      <c r="AZ96" s="71">
        <v>892.83240651602739</v>
      </c>
      <c r="BA96" s="71">
        <v>881.62926491626251</v>
      </c>
      <c r="BB96" s="71">
        <v>870.32774391595831</v>
      </c>
      <c r="BC96" s="71">
        <v>858.97049365398084</v>
      </c>
      <c r="BD96" s="71">
        <v>847.601468261994</v>
      </c>
      <c r="BE96" s="71">
        <v>836.2657066790407</v>
      </c>
      <c r="BF96" s="71">
        <v>825.00873697407326</v>
      </c>
      <c r="BG96" s="71">
        <v>813.87710509008923</v>
      </c>
      <c r="BH96" s="71">
        <v>802.91783440529468</v>
      </c>
      <c r="BI96" s="71">
        <v>792.17847468413277</v>
      </c>
      <c r="BJ96" s="71">
        <v>781.70674596379911</v>
      </c>
    </row>
  </sheetData>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B76D-8885-4CBD-96A2-3E883D3A0165}">
  <dimension ref="A1:AT769"/>
  <sheetViews>
    <sheetView topLeftCell="A44" workbookViewId="0">
      <selection activeCell="Z32" sqref="Z32"/>
    </sheetView>
  </sheetViews>
  <sheetFormatPr defaultRowHeight="14.25"/>
  <cols>
    <col min="1" max="1" width="17" style="78" customWidth="1"/>
    <col min="2" max="2" width="14.125" style="79" bestFit="1" customWidth="1"/>
    <col min="3" max="3" width="17.25" style="79" bestFit="1" customWidth="1"/>
    <col min="4" max="4" width="25.25" style="79" bestFit="1" customWidth="1"/>
    <col min="5" max="46" width="10" style="78" customWidth="1"/>
  </cols>
  <sheetData>
    <row r="1" spans="1:46" ht="15.75">
      <c r="A1" s="86" t="s">
        <v>831</v>
      </c>
      <c r="B1" s="86" t="s">
        <v>830</v>
      </c>
      <c r="C1" s="86" t="s">
        <v>829</v>
      </c>
      <c r="D1" s="86" t="s">
        <v>828</v>
      </c>
      <c r="E1" s="86">
        <v>2019</v>
      </c>
      <c r="F1" s="86">
        <v>2020</v>
      </c>
      <c r="G1" s="86">
        <v>2021</v>
      </c>
      <c r="H1" s="86">
        <v>2022</v>
      </c>
      <c r="I1" s="86">
        <v>2023</v>
      </c>
      <c r="J1" s="86">
        <v>2024</v>
      </c>
      <c r="K1" s="86">
        <v>2025</v>
      </c>
      <c r="L1" s="86">
        <v>2026</v>
      </c>
      <c r="M1" s="86">
        <v>2027</v>
      </c>
      <c r="N1" s="86">
        <v>2028</v>
      </c>
      <c r="O1" s="86">
        <v>2029</v>
      </c>
      <c r="P1" s="86">
        <v>2030</v>
      </c>
      <c r="Q1" s="86">
        <v>2031</v>
      </c>
      <c r="R1" s="86">
        <v>2032</v>
      </c>
      <c r="S1" s="86">
        <v>2033</v>
      </c>
      <c r="T1" s="86">
        <v>2034</v>
      </c>
      <c r="U1" s="86">
        <v>2035</v>
      </c>
      <c r="V1" s="86">
        <v>2036</v>
      </c>
      <c r="W1" s="86">
        <v>2037</v>
      </c>
      <c r="X1" s="86">
        <v>2038</v>
      </c>
      <c r="Y1" s="86">
        <v>2039</v>
      </c>
      <c r="Z1" s="86">
        <v>2040</v>
      </c>
      <c r="AA1" s="86">
        <v>2041</v>
      </c>
      <c r="AB1" s="86">
        <v>2042</v>
      </c>
      <c r="AC1" s="86">
        <v>2043</v>
      </c>
      <c r="AD1" s="86">
        <v>2044</v>
      </c>
      <c r="AE1" s="86">
        <v>2045</v>
      </c>
      <c r="AF1" s="86">
        <v>2046</v>
      </c>
      <c r="AG1" s="86">
        <v>2047</v>
      </c>
      <c r="AH1" s="86">
        <v>2048</v>
      </c>
      <c r="AI1" s="86">
        <v>2049</v>
      </c>
      <c r="AJ1" s="86">
        <v>2050</v>
      </c>
      <c r="AK1" s="86">
        <v>2051</v>
      </c>
      <c r="AL1" s="86">
        <v>2052</v>
      </c>
      <c r="AM1" s="86">
        <v>2053</v>
      </c>
      <c r="AN1" s="86">
        <v>2054</v>
      </c>
      <c r="AO1" s="86">
        <v>2055</v>
      </c>
      <c r="AP1" s="86">
        <v>2056</v>
      </c>
      <c r="AQ1" s="86">
        <v>2057</v>
      </c>
      <c r="AR1" s="86">
        <v>2058</v>
      </c>
      <c r="AS1" s="86">
        <v>2059</v>
      </c>
      <c r="AT1" s="86">
        <v>2060</v>
      </c>
    </row>
    <row r="2" spans="1:46" ht="15.75">
      <c r="A2" s="81" t="s">
        <v>448</v>
      </c>
      <c r="B2" s="86">
        <v>0</v>
      </c>
      <c r="C2" s="86" t="s">
        <v>80</v>
      </c>
      <c r="D2" s="86" t="s">
        <v>80</v>
      </c>
      <c r="E2" s="86">
        <f>SUMIFS(E$5:E$833,$A$5:$A$833,$A2)</f>
        <v>12718182146.302261</v>
      </c>
      <c r="F2" s="86">
        <f>SUMIFS(F$5:F$833,$A$5:$A$833,$A2)</f>
        <v>13117204353.446966</v>
      </c>
      <c r="G2" s="86">
        <f>SUMIFS(G$5:G$833,$A$5:$A$833,$A2)</f>
        <v>13445852366.413853</v>
      </c>
      <c r="H2" s="86">
        <f>SUMIFS(H$5:H$833,$A$5:$A$833,$A2)</f>
        <v>13769083132.681536</v>
      </c>
      <c r="I2" s="86">
        <f>SUMIFS(I$5:I$833,$A$5:$A$833,$A2)</f>
        <v>14086864018.754873</v>
      </c>
      <c r="J2" s="86">
        <f>SUMIFS(J$5:J$833,$A$5:$A$833,$A2)</f>
        <v>14399162723.93182</v>
      </c>
      <c r="K2" s="86">
        <f>SUMIFS(K$5:K$833,$A$5:$A$833,$A2)</f>
        <v>14705949479.823231</v>
      </c>
      <c r="L2" s="86">
        <f>SUMIFS(L$5:L$833,$A$5:$A$833,$A2)</f>
        <v>15007196196.421976</v>
      </c>
      <c r="M2" s="86">
        <f>SUMIFS(M$5:M$833,$A$5:$A$833,$A2)</f>
        <v>15302879064.452953</v>
      </c>
      <c r="N2" s="86">
        <f>SUMIFS(N$5:N$833,$A$5:$A$833,$A2)</f>
        <v>15592978075.754467</v>
      </c>
      <c r="O2" s="86">
        <f>SUMIFS(O$5:O$833,$A$5:$A$833,$A2)</f>
        <v>15877478731.23568</v>
      </c>
      <c r="P2" s="86">
        <f>SUMIFS(P$5:P$833,$A$5:$A$833,$A2)</f>
        <v>16156372790.235544</v>
      </c>
      <c r="Q2" s="86">
        <f>SUMIFS(Q$5:Q$833,$A$5:$A$833,$A2)</f>
        <v>16379473411.870966</v>
      </c>
      <c r="R2" s="86">
        <f>SUMIFS(R$5:R$833,$A$5:$A$833,$A2)</f>
        <v>16596054273.639484</v>
      </c>
      <c r="S2" s="86">
        <f>SUMIFS(S$5:S$833,$A$5:$A$833,$A2)</f>
        <v>16806204128.815619</v>
      </c>
      <c r="T2" s="86">
        <f>SUMIFS(T$5:T$833,$A$5:$A$833,$A2)</f>
        <v>17010021447.02243</v>
      </c>
      <c r="U2" s="86">
        <f>SUMIFS(U$5:U$833,$A$5:$A$833,$A2)</f>
        <v>17207614494.881004</v>
      </c>
      <c r="V2" s="86">
        <f>SUMIFS(V$5:V$833,$A$5:$A$833,$A2)</f>
        <v>17399102665.800003</v>
      </c>
      <c r="W2" s="86">
        <f>SUMIFS(W$5:W$833,$A$5:$A$833,$A2)</f>
        <v>17584617585.635403</v>
      </c>
      <c r="X2" s="86">
        <f>SUMIFS(X$5:X$833,$A$5:$A$833,$A2)</f>
        <v>17764303387.56208</v>
      </c>
      <c r="Y2" s="86">
        <f>SUMIFS(Y$5:Y$833,$A$5:$A$833,$A2)</f>
        <v>17938318563.861015</v>
      </c>
      <c r="Z2" s="86">
        <f>SUMIFS(Z$5:Z$833,$A$5:$A$833,$A2)</f>
        <v>18106836800.137897</v>
      </c>
      <c r="AA2" s="86">
        <f>SUMIFS(AA$5:AA$833,$A$5:$A$833,$A2)</f>
        <v>18265944456.03167</v>
      </c>
      <c r="AB2" s="86">
        <f>SUMIFS(AB$5:AB$833,$A$5:$A$833,$A2)</f>
        <v>18419808968.115387</v>
      </c>
      <c r="AC2" s="86">
        <f>SUMIFS(AC$5:AC$833,$A$5:$A$833,$A2)</f>
        <v>18568657511.237583</v>
      </c>
      <c r="AD2" s="86">
        <f>SUMIFS(AD$5:AD$833,$A$5:$A$833,$A2)</f>
        <v>18712737271.052555</v>
      </c>
      <c r="AE2" s="86">
        <f>SUMIFS(AE$5:AE$833,$A$5:$A$833,$A2)</f>
        <v>18852315851.881538</v>
      </c>
      <c r="AF2" s="86">
        <f>SUMIFS(AF$5:AF$833,$A$5:$A$833,$A2)</f>
        <v>18987682617.910152</v>
      </c>
      <c r="AG2" s="86">
        <f>SUMIFS(AG$5:AG$833,$A$5:$A$833,$A2)</f>
        <v>19119151464.150585</v>
      </c>
      <c r="AH2" s="86">
        <f>SUMIFS(AH$5:AH$833,$A$5:$A$833,$A2)</f>
        <v>19247060073.206707</v>
      </c>
      <c r="AI2" s="86">
        <f>SUMIFS(AI$5:AI$833,$A$5:$A$833,$A2)</f>
        <v>19371772570.480343</v>
      </c>
      <c r="AJ2" s="86">
        <f>SUMIFS(AJ$5:AJ$833,$A$5:$A$833,$A2)</f>
        <v>19493681311.743126</v>
      </c>
      <c r="AK2" s="86">
        <f>SUMIFS(AK$5:AK$833,$A$5:$A$833,$A2)</f>
        <v>19627111554.33057</v>
      </c>
      <c r="AL2" s="86">
        <f>SUMIFS(AL$5:AL$833,$A$5:$A$833,$A2)</f>
        <v>19758580588.839661</v>
      </c>
      <c r="AM2" s="86">
        <f>SUMIFS(AM$5:AM$833,$A$5:$A$833,$A2)</f>
        <v>19888575820.763828</v>
      </c>
      <c r="AN2" s="86">
        <f>SUMIFS(AN$5:AN$833,$A$5:$A$833,$A2)</f>
        <v>20017624169.484375</v>
      </c>
      <c r="AO2" s="86">
        <f>SUMIFS(AO$5:AO$833,$A$5:$A$833,$A2)</f>
        <v>20146293005.87912</v>
      </c>
      <c r="AP2" s="86">
        <f>SUMIFS(AP$5:AP$833,$A$5:$A$833,$A2)</f>
        <v>20275192455.907463</v>
      </c>
      <c r="AQ2" s="86">
        <f>SUMIFS(AQ$5:AQ$833,$A$5:$A$833,$A2)</f>
        <v>20404977444.547054</v>
      </c>
      <c r="AR2" s="86">
        <f>SUMIFS(AR$5:AR$833,$A$5:$A$833,$A2)</f>
        <v>20536350023.917419</v>
      </c>
      <c r="AS2" s="86">
        <f>SUMIFS(AS$5:AS$833,$A$5:$A$833,$A2)</f>
        <v>20670061835.195469</v>
      </c>
      <c r="AT2" s="86">
        <f>SUMIFS(AT$5:AT$833,$A$5:$A$833,$A2)</f>
        <v>20806915528.101482</v>
      </c>
    </row>
    <row r="3" spans="1:46" ht="15.75">
      <c r="A3" s="81" t="s">
        <v>450</v>
      </c>
      <c r="B3" s="86">
        <v>0</v>
      </c>
      <c r="C3" s="86" t="s">
        <v>80</v>
      </c>
      <c r="D3" s="86" t="s">
        <v>80</v>
      </c>
      <c r="E3" s="86">
        <f>SUMIFS(E$5:E$833,$A$5:$A$833,$A3)</f>
        <v>30311726889.054127</v>
      </c>
      <c r="F3" s="86">
        <f>SUMIFS(F$5:F$833,$A$5:$A$833,$A3)</f>
        <v>31115403365.209843</v>
      </c>
      <c r="G3" s="86">
        <f>SUMIFS(G$5:G$833,$A$5:$A$833,$A3)</f>
        <v>31727836945.447311</v>
      </c>
      <c r="H3" s="86">
        <f>SUMIFS(H$5:H$833,$A$5:$A$833,$A3)</f>
        <v>32324379997.874851</v>
      </c>
      <c r="I3" s="86">
        <f>SUMIFS(I$5:I$833,$A$5:$A$833,$A3)</f>
        <v>32904917891.790359</v>
      </c>
      <c r="J3" s="86">
        <f>SUMIFS(J$5:J$833,$A$5:$A$833,$A3)</f>
        <v>33469354660.019188</v>
      </c>
      <c r="K3" s="86">
        <f>SUMIFS(K$5:K$833,$A$5:$A$833,$A3)</f>
        <v>34017617041.483421</v>
      </c>
      <c r="L3" s="86">
        <f>SUMIFS(L$5:L$833,$A$5:$A$833,$A3)</f>
        <v>34549652425.427086</v>
      </c>
      <c r="M3" s="86">
        <f>SUMIFS(M$5:M$833,$A$5:$A$833,$A3)</f>
        <v>35065434470.164246</v>
      </c>
      <c r="N3" s="86">
        <f>SUMIFS(N$5:N$833,$A$5:$A$833,$A3)</f>
        <v>35564960980.835281</v>
      </c>
      <c r="O3" s="86">
        <f>SUMIFS(O$5:O$833,$A$5:$A$833,$A3)</f>
        <v>36048257794.826668</v>
      </c>
      <c r="P3" s="86">
        <f>SUMIFS(P$5:P$833,$A$5:$A$833,$A3)</f>
        <v>36515379357.87545</v>
      </c>
      <c r="Q3" s="86">
        <f>SUMIFS(Q$5:Q$833,$A$5:$A$833,$A3)</f>
        <v>36821178644.946976</v>
      </c>
      <c r="R3" s="86">
        <f>SUMIFS(R$5:R$833,$A$5:$A$833,$A3)</f>
        <v>37110092255.140511</v>
      </c>
      <c r="S3" s="86">
        <f>SUMIFS(S$5:S$833,$A$5:$A$833,$A3)</f>
        <v>37382478182.22052</v>
      </c>
      <c r="T3" s="86">
        <f>SUMIFS(T$5:T$833,$A$5:$A$833,$A3)</f>
        <v>37638723644.020416</v>
      </c>
      <c r="U3" s="86">
        <f>SUMIFS(U$5:U$833,$A$5:$A$833,$A3)</f>
        <v>37879244293.569969</v>
      </c>
      <c r="V3" s="86">
        <f>SUMIFS(V$5:V$833,$A$5:$A$833,$A3)</f>
        <v>38104485971.83416</v>
      </c>
      <c r="W3" s="86">
        <f>SUMIFS(W$5:W$833,$A$5:$A$833,$A3)</f>
        <v>38314925808.651558</v>
      </c>
      <c r="X3" s="86">
        <f>SUMIFS(X$5:X$833,$A$5:$A$833,$A3)</f>
        <v>38511071725.696129</v>
      </c>
      <c r="Y3" s="86">
        <f>SUMIFS(Y$5:Y$833,$A$5:$A$833,$A3)</f>
        <v>38693465094.768326</v>
      </c>
      <c r="Z3" s="86">
        <f>SUMIFS(Z$5:Z$833,$A$5:$A$833,$A3)</f>
        <v>38862681221.993294</v>
      </c>
      <c r="AA3" s="86">
        <f>SUMIFS(AA$5:AA$833,$A$5:$A$833,$A3)</f>
        <v>38978985229.537094</v>
      </c>
      <c r="AB3" s="86">
        <f>SUMIFS(AB$5:AB$833,$A$5:$A$833,$A3)</f>
        <v>39083450935.87072</v>
      </c>
      <c r="AC3" s="86">
        <f>SUMIFS(AC$5:AC$833,$A$5:$A$833,$A3)</f>
        <v>39176791536.985291</v>
      </c>
      <c r="AD3" s="86">
        <f>SUMIFS(AD$5:AD$833,$A$5:$A$833,$A3)</f>
        <v>39259755488.829376</v>
      </c>
      <c r="AE3" s="86">
        <f>SUMIFS(AE$5:AE$833,$A$5:$A$833,$A3)</f>
        <v>39333125500.948586</v>
      </c>
      <c r="AF3" s="86">
        <f>SUMIFS(AF$5:AF$833,$A$5:$A$833,$A3)</f>
        <v>39397719777.028381</v>
      </c>
      <c r="AG3" s="86">
        <f>SUMIFS(AG$5:AG$833,$A$5:$A$833,$A3)</f>
        <v>39454395934.284836</v>
      </c>
      <c r="AH3" s="86">
        <f>SUMIFS(AH$5:AH$833,$A$5:$A$833,$A3)</f>
        <v>39504047808.874039</v>
      </c>
      <c r="AI3" s="86">
        <f>SUMIFS(AI$5:AI$833,$A$5:$A$833,$A3)</f>
        <v>39547608915.019493</v>
      </c>
      <c r="AJ3" s="86">
        <f>SUMIFS(AJ$5:AJ$833,$A$5:$A$833,$A3)</f>
        <v>39586054492.529686</v>
      </c>
      <c r="AK3" s="86">
        <f>SUMIFS(AK$5:AK$833,$A$5:$A$833,$A3)</f>
        <v>39616591386.374176</v>
      </c>
      <c r="AL3" s="86">
        <f>SUMIFS(AL$5:AL$833,$A$5:$A$833,$A3)</f>
        <v>39644098152.906883</v>
      </c>
      <c r="AM3" s="86">
        <f>SUMIFS(AM$5:AM$833,$A$5:$A$833,$A3)</f>
        <v>39669684668.745529</v>
      </c>
      <c r="AN3" s="86">
        <f>SUMIFS(AN$5:AN$833,$A$5:$A$833,$A3)</f>
        <v>39694510992.737938</v>
      </c>
      <c r="AO3" s="86">
        <f>SUMIFS(AO$5:AO$833,$A$5:$A$833,$A3)</f>
        <v>39719786884.733467</v>
      </c>
      <c r="AP3" s="86">
        <f>SUMIFS(AP$5:AP$833,$A$5:$A$833,$A3)</f>
        <v>39746773842.653618</v>
      </c>
      <c r="AQ3" s="86">
        <f>SUMIFS(AQ$5:AQ$833,$A$5:$A$833,$A3)</f>
        <v>39776786592.250336</v>
      </c>
      <c r="AR3" s="86">
        <f>SUMIFS(AR$5:AR$833,$A$5:$A$833,$A3)</f>
        <v>39811195233.352852</v>
      </c>
      <c r="AS3" s="86">
        <f>SUMIFS(AS$5:AS$833,$A$5:$A$833,$A3)</f>
        <v>39851427433.81813</v>
      </c>
      <c r="AT3" s="86">
        <f>SUMIFS(AT$5:AT$833,$A$5:$A$833,$A3)</f>
        <v>39898968461.387276</v>
      </c>
    </row>
    <row r="4" spans="1:46" ht="15.75">
      <c r="A4" s="81" t="s">
        <v>449</v>
      </c>
      <c r="B4" s="86">
        <v>0</v>
      </c>
      <c r="C4" s="86" t="s">
        <v>80</v>
      </c>
      <c r="D4" s="86" t="s">
        <v>80</v>
      </c>
      <c r="E4" s="86">
        <f>SUMIFS(E$5:E$833,$A$5:$A$833,$A4)</f>
        <v>21439578449.473934</v>
      </c>
      <c r="F4" s="86">
        <f>SUMIFS(F$5:F$833,$A$5:$A$833,$A4)</f>
        <v>21382914402.188774</v>
      </c>
      <c r="G4" s="86">
        <f>SUMIFS(G$5:G$833,$A$5:$A$833,$A4)</f>
        <v>21272869271.091827</v>
      </c>
      <c r="H4" s="86">
        <f>SUMIFS(H$5:H$833,$A$5:$A$833,$A4)</f>
        <v>21141153263.211975</v>
      </c>
      <c r="I4" s="86">
        <f>SUMIFS(I$5:I$833,$A$5:$A$833,$A4)</f>
        <v>20988052128.522007</v>
      </c>
      <c r="J4" s="86">
        <f>SUMIFS(J$5:J$833,$A$5:$A$833,$A4)</f>
        <v>20813932562.587933</v>
      </c>
      <c r="K4" s="86">
        <f>SUMIFS(K$5:K$833,$A$5:$A$833,$A4)</f>
        <v>20619237755.309402</v>
      </c>
      <c r="L4" s="86">
        <f>SUMIFS(L$5:L$833,$A$5:$A$833,$A4)</f>
        <v>20404481408.617325</v>
      </c>
      <c r="M4" s="86">
        <f>SUMIFS(M$5:M$833,$A$5:$A$833,$A4)</f>
        <v>20170244087.680653</v>
      </c>
      <c r="N4" s="86">
        <f>SUMIFS(N$5:N$833,$A$5:$A$833,$A4)</f>
        <v>19917165864.293915</v>
      </c>
      <c r="O4" s="86">
        <f>SUMIFS(O$5:O$833,$A$5:$A$833,$A4)</f>
        <v>19645941843.290325</v>
      </c>
      <c r="P4" s="86">
        <f>SUMIFS(P$5:P$833,$A$5:$A$833,$A4)</f>
        <v>19357316712.939896</v>
      </c>
      <c r="Q4" s="86">
        <f>SUMIFS(Q$5:Q$833,$A$5:$A$833,$A4)</f>
        <v>19235236623.198353</v>
      </c>
      <c r="R4" s="86">
        <f>SUMIFS(R$5:R$833,$A$5:$A$833,$A4)</f>
        <v>19098640709.470409</v>
      </c>
      <c r="S4" s="86">
        <f>SUMIFS(S$5:S$833,$A$5:$A$833,$A4)</f>
        <v>18948020919.378403</v>
      </c>
      <c r="T4" s="86">
        <f>SUMIFS(T$5:T$833,$A$5:$A$833,$A4)</f>
        <v>18783913071.02887</v>
      </c>
      <c r="U4" s="86">
        <f>SUMIFS(U$5:U$833,$A$5:$A$833,$A4)</f>
        <v>18606893800.442532</v>
      </c>
      <c r="V4" s="86">
        <f>SUMIFS(V$5:V$833,$A$5:$A$833,$A4)</f>
        <v>18417577195.721947</v>
      </c>
      <c r="W4" s="86">
        <f>SUMIFS(W$5:W$833,$A$5:$A$833,$A4)</f>
        <v>18216612961.593643</v>
      </c>
      <c r="X4" s="86">
        <f>SUMIFS(X$5:X$833,$A$5:$A$833,$A4)</f>
        <v>18004682514.52911</v>
      </c>
      <c r="Y4" s="86">
        <f>SUMIFS(Y$5:Y$833,$A$5:$A$833,$A4)</f>
        <v>17782497992.265011</v>
      </c>
      <c r="Z4" s="86">
        <f>SUMIFS(Z$5:Z$833,$A$5:$A$833,$A4)</f>
        <v>17550799400.290619</v>
      </c>
      <c r="AA4" s="86">
        <f>SUMIFS(AA$5:AA$833,$A$5:$A$833,$A4)</f>
        <v>17365751639.683048</v>
      </c>
      <c r="AB4" s="86">
        <f>SUMIFS(AB$5:AB$833,$A$5:$A$833,$A4)</f>
        <v>17172490030.069983</v>
      </c>
      <c r="AC4" s="86">
        <f>SUMIFS(AC$5:AC$833,$A$5:$A$833,$A4)</f>
        <v>16971770460.061522</v>
      </c>
      <c r="AD4" s="86">
        <f>SUMIFS(AD$5:AD$833,$A$5:$A$833,$A4)</f>
        <v>16764378137.579655</v>
      </c>
      <c r="AE4" s="86">
        <f>SUMIFS(AE$5:AE$833,$A$5:$A$833,$A4)</f>
        <v>16551124423.073454</v>
      </c>
      <c r="AF4" s="86">
        <f>SUMIFS(AF$5:AF$833,$A$5:$A$833,$A4)</f>
        <v>16332847083.791679</v>
      </c>
      <c r="AG4" s="86">
        <f>SUMIFS(AG$5:AG$833,$A$5:$A$833,$A4)</f>
        <v>16110409350.853905</v>
      </c>
      <c r="AH4" s="86">
        <f>SUMIFS(AH$5:AH$833,$A$5:$A$833,$A4)</f>
        <v>15884698078.745689</v>
      </c>
      <c r="AI4" s="86">
        <f>SUMIFS(AI$5:AI$833,$A$5:$A$833,$A4)</f>
        <v>15656623383.184612</v>
      </c>
      <c r="AJ4" s="86">
        <f>SUMIFS(AJ$5:AJ$833,$A$5:$A$833,$A4)</f>
        <v>15427118228.0427</v>
      </c>
      <c r="AK4" s="86">
        <f>SUMIFS(AK$5:AK$833,$A$5:$A$833,$A4)</f>
        <v>15208705941.816534</v>
      </c>
      <c r="AL4" s="86">
        <f>SUMIFS(AL$5:AL$833,$A$5:$A$833,$A4)</f>
        <v>14990695062.465263</v>
      </c>
      <c r="AM4" s="86">
        <f>SUMIFS(AM$5:AM$833,$A$5:$A$833,$A4)</f>
        <v>14774066927.125811</v>
      </c>
      <c r="AN4" s="86">
        <f>SUMIFS(AN$5:AN$833,$A$5:$A$833,$A4)</f>
        <v>14559819902.305614</v>
      </c>
      <c r="AO4" s="86">
        <f>SUMIFS(AO$5:AO$833,$A$5:$A$833,$A4)</f>
        <v>14348966235.108269</v>
      </c>
      <c r="AP4" s="86">
        <f>SUMIFS(AP$5:AP$833,$A$5:$A$833,$A4)</f>
        <v>14142532055.057993</v>
      </c>
      <c r="AQ4" s="86">
        <f>SUMIFS(AQ$5:AQ$833,$A$5:$A$833,$A4)</f>
        <v>13941555868.226454</v>
      </c>
      <c r="AR4" s="86">
        <f>SUMIFS(AR$5:AR$833,$A$5:$A$833,$A4)</f>
        <v>13747087616.483963</v>
      </c>
      <c r="AS4" s="86">
        <f>SUMIFS(AS$5:AS$833,$A$5:$A$833,$A4)</f>
        <v>13560188729.46199</v>
      </c>
      <c r="AT4" s="86">
        <f>SUMIFS(AT$5:AT$833,$A$5:$A$833,$A4)</f>
        <v>13381928956.682274</v>
      </c>
    </row>
    <row r="5" spans="1:46" ht="15.75">
      <c r="A5" s="81" t="s">
        <v>450</v>
      </c>
      <c r="B5" s="80">
        <v>110000</v>
      </c>
      <c r="C5" s="80" t="s">
        <v>440</v>
      </c>
      <c r="D5" s="85" t="s">
        <v>440</v>
      </c>
      <c r="E5" s="81">
        <v>602881780.03252876</v>
      </c>
      <c r="F5" s="81">
        <v>613042990.9128722</v>
      </c>
      <c r="G5" s="81">
        <v>622663178.26295149</v>
      </c>
      <c r="H5" s="81">
        <v>631111179.90686786</v>
      </c>
      <c r="I5" s="81">
        <v>638485139.66513669</v>
      </c>
      <c r="J5" s="81">
        <v>644880242.8435427</v>
      </c>
      <c r="K5" s="81">
        <v>650388668.30567849</v>
      </c>
      <c r="L5" s="81">
        <v>655099310.39573312</v>
      </c>
      <c r="M5" s="81">
        <v>659097670.37282312</v>
      </c>
      <c r="N5" s="81">
        <v>662465689.34569871</v>
      </c>
      <c r="O5" s="81">
        <v>665281549.78993022</v>
      </c>
      <c r="P5" s="81">
        <v>667619474.18266344</v>
      </c>
      <c r="Q5" s="81">
        <v>669483658.33266032</v>
      </c>
      <c r="R5" s="81">
        <v>671006151.78401864</v>
      </c>
      <c r="S5" s="81">
        <v>672248603.57077456</v>
      </c>
      <c r="T5" s="81">
        <v>673267886.81268394</v>
      </c>
      <c r="U5" s="81">
        <v>674116132.64865983</v>
      </c>
      <c r="V5" s="81">
        <v>674840491.74025607</v>
      </c>
      <c r="W5" s="81">
        <v>675482860.70519197</v>
      </c>
      <c r="X5" s="81">
        <v>676079853.99801159</v>
      </c>
      <c r="Y5" s="81">
        <v>676662527.64480853</v>
      </c>
      <c r="Z5" s="81">
        <v>677256192.9660759</v>
      </c>
      <c r="AA5" s="81">
        <v>678507276.90589643</v>
      </c>
      <c r="AB5" s="81">
        <v>679799649.83336103</v>
      </c>
      <c r="AC5" s="81">
        <v>681140480.37567663</v>
      </c>
      <c r="AD5" s="81">
        <v>682530464.18156087</v>
      </c>
      <c r="AE5" s="81">
        <v>683963566.7086401</v>
      </c>
      <c r="AF5" s="81">
        <v>685426795.42885315</v>
      </c>
      <c r="AG5" s="81">
        <v>686900069.47044122</v>
      </c>
      <c r="AH5" s="81">
        <v>688355756.40194523</v>
      </c>
      <c r="AI5" s="81">
        <v>689758769.99932313</v>
      </c>
      <c r="AJ5" s="81">
        <v>691066034.90500009</v>
      </c>
      <c r="AK5" s="81">
        <v>689825016.02748442</v>
      </c>
      <c r="AL5" s="81">
        <v>688388254.5117383</v>
      </c>
      <c r="AM5" s="81">
        <v>686690387.33723497</v>
      </c>
      <c r="AN5" s="81">
        <v>684658245.57454884</v>
      </c>
      <c r="AO5" s="81">
        <v>682210640.94421983</v>
      </c>
      <c r="AP5" s="81">
        <v>679258461.35383654</v>
      </c>
      <c r="AQ5" s="81">
        <v>675704354.27952254</v>
      </c>
      <c r="AR5" s="81">
        <v>671442719.12563896</v>
      </c>
      <c r="AS5" s="81">
        <v>666359596.80880439</v>
      </c>
      <c r="AT5" s="81">
        <v>660332594.24793053</v>
      </c>
    </row>
    <row r="6" spans="1:46" ht="15.75">
      <c r="A6" s="81" t="s">
        <v>450</v>
      </c>
      <c r="B6" s="80">
        <v>120000</v>
      </c>
      <c r="C6" s="80" t="s">
        <v>439</v>
      </c>
      <c r="D6" s="85" t="s">
        <v>439</v>
      </c>
      <c r="E6" s="81">
        <v>365892541.77637035</v>
      </c>
      <c r="F6" s="81">
        <v>371898301.87187034</v>
      </c>
      <c r="G6" s="81">
        <v>376966416.11051375</v>
      </c>
      <c r="H6" s="81">
        <v>381450756.11167169</v>
      </c>
      <c r="I6" s="81">
        <v>385393705.0550611</v>
      </c>
      <c r="J6" s="81">
        <v>388836477.62851173</v>
      </c>
      <c r="K6" s="81">
        <v>391819137.18318194</v>
      </c>
      <c r="L6" s="81">
        <v>394380587.42845571</v>
      </c>
      <c r="M6" s="81">
        <v>396558341.34125376</v>
      </c>
      <c r="N6" s="81">
        <v>398388649.69340366</v>
      </c>
      <c r="O6" s="81">
        <v>399906267.36997527</v>
      </c>
      <c r="P6" s="81">
        <v>401144469.63101512</v>
      </c>
      <c r="Q6" s="81">
        <v>402623838.86887532</v>
      </c>
      <c r="R6" s="81">
        <v>403884524.83979583</v>
      </c>
      <c r="S6" s="81">
        <v>404954280.98582679</v>
      </c>
      <c r="T6" s="81">
        <v>405859126.34557974</v>
      </c>
      <c r="U6" s="81">
        <v>406623494.86681777</v>
      </c>
      <c r="V6" s="81">
        <v>407269946.76557517</v>
      </c>
      <c r="W6" s="81">
        <v>407819200.26873446</v>
      </c>
      <c r="X6" s="81">
        <v>408289925.58154696</v>
      </c>
      <c r="Y6" s="81">
        <v>408698837.30832374</v>
      </c>
      <c r="Z6" s="81">
        <v>409060456.24874127</v>
      </c>
      <c r="AA6" s="81">
        <v>409308367.31327188</v>
      </c>
      <c r="AB6" s="81">
        <v>409531795.52825928</v>
      </c>
      <c r="AC6" s="81">
        <v>409738259.51940197</v>
      </c>
      <c r="AD6" s="81">
        <v>409932776.21154225</v>
      </c>
      <c r="AE6" s="81">
        <v>410117738.7217595</v>
      </c>
      <c r="AF6" s="81">
        <v>410292887.90086168</v>
      </c>
      <c r="AG6" s="81">
        <v>410455092.51082563</v>
      </c>
      <c r="AH6" s="81">
        <v>410598447.15596586</v>
      </c>
      <c r="AI6" s="81">
        <v>410713953.23360145</v>
      </c>
      <c r="AJ6" s="81">
        <v>410789649.33769417</v>
      </c>
      <c r="AK6" s="81">
        <v>410306169.58010834</v>
      </c>
      <c r="AL6" s="81">
        <v>409753015.25465089</v>
      </c>
      <c r="AM6" s="81">
        <v>409108606.38729984</v>
      </c>
      <c r="AN6" s="81">
        <v>408348129.91068006</v>
      </c>
      <c r="AO6" s="81">
        <v>407443259.77353501</v>
      </c>
      <c r="AP6" s="81">
        <v>406362208.92667234</v>
      </c>
      <c r="AQ6" s="81">
        <v>405069580.55524969</v>
      </c>
      <c r="AR6" s="81">
        <v>403526285.04714012</v>
      </c>
      <c r="AS6" s="81">
        <v>401689490.78253162</v>
      </c>
      <c r="AT6" s="81">
        <v>399512575.39840907</v>
      </c>
    </row>
    <row r="7" spans="1:46" ht="15.75">
      <c r="A7" s="81" t="s">
        <v>450</v>
      </c>
      <c r="B7" s="80">
        <v>130100</v>
      </c>
      <c r="C7" s="80" t="s">
        <v>438</v>
      </c>
      <c r="D7" s="84" t="s">
        <v>827</v>
      </c>
      <c r="E7" s="81">
        <v>208952022.66813308</v>
      </c>
      <c r="F7" s="81">
        <v>214946460.45225346</v>
      </c>
      <c r="G7" s="81">
        <v>219568553.37368226</v>
      </c>
      <c r="H7" s="81">
        <v>224050281.06701499</v>
      </c>
      <c r="I7" s="81">
        <v>228394440.05019179</v>
      </c>
      <c r="J7" s="81">
        <v>232604021.53274795</v>
      </c>
      <c r="K7" s="81">
        <v>236682240.21932122</v>
      </c>
      <c r="L7" s="81">
        <v>240632421.10042542</v>
      </c>
      <c r="M7" s="81">
        <v>244458129.69587904</v>
      </c>
      <c r="N7" s="81">
        <v>248163037.11338022</v>
      </c>
      <c r="O7" s="81">
        <v>251750925.80603927</v>
      </c>
      <c r="P7" s="81">
        <v>255225740.21283069</v>
      </c>
      <c r="Q7" s="81">
        <v>257498382.06473723</v>
      </c>
      <c r="R7" s="81">
        <v>259659253.07271558</v>
      </c>
      <c r="S7" s="81">
        <v>261714000.64186332</v>
      </c>
      <c r="T7" s="81">
        <v>263668257.58155379</v>
      </c>
      <c r="U7" s="81">
        <v>265527565.85872647</v>
      </c>
      <c r="V7" s="81">
        <v>267297411.24318635</v>
      </c>
      <c r="W7" s="81">
        <v>268983167.83433688</v>
      </c>
      <c r="X7" s="81">
        <v>270590109.92436475</v>
      </c>
      <c r="Y7" s="81">
        <v>272123448.21269387</v>
      </c>
      <c r="Z7" s="81">
        <v>273588226.56102461</v>
      </c>
      <c r="AA7" s="81">
        <v>274732974.2369498</v>
      </c>
      <c r="AB7" s="81">
        <v>275818914.52463585</v>
      </c>
      <c r="AC7" s="81">
        <v>276850909.62337881</v>
      </c>
      <c r="AD7" s="81">
        <v>277833518.39597225</v>
      </c>
      <c r="AE7" s="81">
        <v>278771226.1582945</v>
      </c>
      <c r="AF7" s="81">
        <v>279668217.37911749</v>
      </c>
      <c r="AG7" s="81">
        <v>280528559.87759382</v>
      </c>
      <c r="AH7" s="81">
        <v>281356023.30941147</v>
      </c>
      <c r="AI7" s="81">
        <v>282154191.40165484</v>
      </c>
      <c r="AJ7" s="81">
        <v>282926402.40792471</v>
      </c>
      <c r="AK7" s="81">
        <v>283741171.16804922</v>
      </c>
      <c r="AL7" s="81">
        <v>284535778.17984098</v>
      </c>
      <c r="AM7" s="81">
        <v>285312697.19248986</v>
      </c>
      <c r="AN7" s="81">
        <v>286074216.93291873</v>
      </c>
      <c r="AO7" s="81">
        <v>286822250.13679248</v>
      </c>
      <c r="AP7" s="81">
        <v>287558450.54341817</v>
      </c>
      <c r="AQ7" s="81">
        <v>288284149.79153782</v>
      </c>
      <c r="AR7" s="81">
        <v>289000318.71818829</v>
      </c>
      <c r="AS7" s="81">
        <v>289707607.93441969</v>
      </c>
      <c r="AT7" s="81">
        <v>290406336.41235536</v>
      </c>
    </row>
    <row r="8" spans="1:46" ht="15.75">
      <c r="A8" s="81" t="s">
        <v>450</v>
      </c>
      <c r="B8" s="80">
        <v>130200</v>
      </c>
      <c r="C8" s="80" t="s">
        <v>438</v>
      </c>
      <c r="D8" s="84" t="s">
        <v>826</v>
      </c>
      <c r="E8" s="81">
        <v>137511490.8353909</v>
      </c>
      <c r="F8" s="81">
        <v>140907723.2376596</v>
      </c>
      <c r="G8" s="81">
        <v>143419782.18325391</v>
      </c>
      <c r="H8" s="81">
        <v>145856064.09563902</v>
      </c>
      <c r="I8" s="81">
        <v>148216093.37734672</v>
      </c>
      <c r="J8" s="81">
        <v>150499499.83989289</v>
      </c>
      <c r="K8" s="81">
        <v>152706096.31421456</v>
      </c>
      <c r="L8" s="81">
        <v>154835843.74108422</v>
      </c>
      <c r="M8" s="81">
        <v>156888873.28733426</v>
      </c>
      <c r="N8" s="81">
        <v>158865509.99367893</v>
      </c>
      <c r="O8" s="81">
        <v>160766174.82794398</v>
      </c>
      <c r="P8" s="81">
        <v>162591507.65501994</v>
      </c>
      <c r="Q8" s="81">
        <v>163647624.12266371</v>
      </c>
      <c r="R8" s="81">
        <v>164629105.7684713</v>
      </c>
      <c r="S8" s="81">
        <v>165538080.53527817</v>
      </c>
      <c r="T8" s="81">
        <v>166376748.07900056</v>
      </c>
      <c r="U8" s="81">
        <v>167147465.80613595</v>
      </c>
      <c r="V8" s="81">
        <v>167852729.98870394</v>
      </c>
      <c r="W8" s="81">
        <v>168495089.901853</v>
      </c>
      <c r="X8" s="81">
        <v>169077323.69779763</v>
      </c>
      <c r="Y8" s="81">
        <v>169602287.63668671</v>
      </c>
      <c r="Z8" s="81">
        <v>170073005.59772223</v>
      </c>
      <c r="AA8" s="81">
        <v>170333603.36107799</v>
      </c>
      <c r="AB8" s="81">
        <v>170547248.29928499</v>
      </c>
      <c r="AC8" s="81">
        <v>170717454.14988351</v>
      </c>
      <c r="AD8" s="81">
        <v>170847894.6924831</v>
      </c>
      <c r="AE8" s="81">
        <v>170942383.02861705</v>
      </c>
      <c r="AF8" s="81">
        <v>171004803.03426093</v>
      </c>
      <c r="AG8" s="81">
        <v>171039250.43093133</v>
      </c>
      <c r="AH8" s="81">
        <v>171049870.60731068</v>
      </c>
      <c r="AI8" s="81">
        <v>171041024.72708741</v>
      </c>
      <c r="AJ8" s="81">
        <v>171017125.34279197</v>
      </c>
      <c r="AK8" s="81">
        <v>171022298.67046958</v>
      </c>
      <c r="AL8" s="81">
        <v>171021455.21324104</v>
      </c>
      <c r="AM8" s="81">
        <v>171019530.92274678</v>
      </c>
      <c r="AN8" s="81">
        <v>171021546.53762847</v>
      </c>
      <c r="AO8" s="81">
        <v>171032631.94018671</v>
      </c>
      <c r="AP8" s="81">
        <v>171058151.86375478</v>
      </c>
      <c r="AQ8" s="81">
        <v>171103558.83286381</v>
      </c>
      <c r="AR8" s="81">
        <v>171174494.30056226</v>
      </c>
      <c r="AS8" s="81">
        <v>171276740.26930955</v>
      </c>
      <c r="AT8" s="81">
        <v>171416194.64593747</v>
      </c>
    </row>
    <row r="9" spans="1:46" ht="15.75">
      <c r="A9" s="81" t="s">
        <v>450</v>
      </c>
      <c r="B9" s="80">
        <v>130300</v>
      </c>
      <c r="C9" s="80" t="s">
        <v>438</v>
      </c>
      <c r="D9" s="84" t="s">
        <v>825</v>
      </c>
      <c r="E9" s="81">
        <v>55838384.162469745</v>
      </c>
      <c r="F9" s="81">
        <v>57270411.677361682</v>
      </c>
      <c r="G9" s="81">
        <v>58337123.458584398</v>
      </c>
      <c r="H9" s="81">
        <v>59367291.491107628</v>
      </c>
      <c r="I9" s="81">
        <v>60361183.296995603</v>
      </c>
      <c r="J9" s="81">
        <v>61319160.830755718</v>
      </c>
      <c r="K9" s="81">
        <v>62241642.767818742</v>
      </c>
      <c r="L9" s="81">
        <v>63129103.276304848</v>
      </c>
      <c r="M9" s="81">
        <v>63982090.767339833</v>
      </c>
      <c r="N9" s="81">
        <v>64801207.604775771</v>
      </c>
      <c r="O9" s="81">
        <v>65587108.784014709</v>
      </c>
      <c r="P9" s="81">
        <v>66340521.358666629</v>
      </c>
      <c r="Q9" s="81">
        <v>66778729.683541439</v>
      </c>
      <c r="R9" s="81">
        <v>67185564.379949957</v>
      </c>
      <c r="S9" s="81">
        <v>67562309.891689822</v>
      </c>
      <c r="T9" s="81">
        <v>67910247.072024822</v>
      </c>
      <c r="U9" s="81">
        <v>68230759.415670887</v>
      </c>
      <c r="V9" s="81">
        <v>68525139.095940903</v>
      </c>
      <c r="W9" s="81">
        <v>68794801.355235755</v>
      </c>
      <c r="X9" s="81">
        <v>69041110.421567991</v>
      </c>
      <c r="Y9" s="81">
        <v>69265509.733972967</v>
      </c>
      <c r="Z9" s="81">
        <v>69469410.833949968</v>
      </c>
      <c r="AA9" s="81">
        <v>69589344.547962949</v>
      </c>
      <c r="AB9" s="81">
        <v>69692052.258408412</v>
      </c>
      <c r="AC9" s="81">
        <v>69779061.376469567</v>
      </c>
      <c r="AD9" s="81">
        <v>69851901.262882024</v>
      </c>
      <c r="AE9" s="81">
        <v>69912148.657383263</v>
      </c>
      <c r="AF9" s="81">
        <v>69961381.191879809</v>
      </c>
      <c r="AG9" s="81">
        <v>70001105.39786683</v>
      </c>
      <c r="AH9" s="81">
        <v>70032943.259192735</v>
      </c>
      <c r="AI9" s="81">
        <v>70058467.501902372</v>
      </c>
      <c r="AJ9" s="81">
        <v>70079246.955378532</v>
      </c>
      <c r="AK9" s="81">
        <v>70113074.979348689</v>
      </c>
      <c r="AL9" s="81">
        <v>70145228.3107436</v>
      </c>
      <c r="AM9" s="81">
        <v>70177332.330864534</v>
      </c>
      <c r="AN9" s="81">
        <v>70210957.3969367</v>
      </c>
      <c r="AO9" s="81">
        <v>70247715.5232182</v>
      </c>
      <c r="AP9" s="81">
        <v>70289185.457730412</v>
      </c>
      <c r="AQ9" s="81">
        <v>70336986.259410113</v>
      </c>
      <c r="AR9" s="81">
        <v>70392701.340283871</v>
      </c>
      <c r="AS9" s="81">
        <v>70457927.431524798</v>
      </c>
      <c r="AT9" s="81">
        <v>70534222.498668998</v>
      </c>
    </row>
    <row r="10" spans="1:46" ht="15.75">
      <c r="A10" s="81" t="s">
        <v>450</v>
      </c>
      <c r="B10" s="80">
        <v>130400</v>
      </c>
      <c r="C10" s="80" t="s">
        <v>438</v>
      </c>
      <c r="D10" s="84" t="s">
        <v>824</v>
      </c>
      <c r="E10" s="81">
        <v>167730528.84341985</v>
      </c>
      <c r="F10" s="81">
        <v>171878629.25793132</v>
      </c>
      <c r="G10" s="81">
        <v>175109027.61105239</v>
      </c>
      <c r="H10" s="81">
        <v>178397707.94017318</v>
      </c>
      <c r="I10" s="81">
        <v>181733922.28880811</v>
      </c>
      <c r="J10" s="81">
        <v>185106980.64861196</v>
      </c>
      <c r="K10" s="81">
        <v>188506385.31493711</v>
      </c>
      <c r="L10" s="81">
        <v>191921815.36621308</v>
      </c>
      <c r="M10" s="81">
        <v>195343167.3067244</v>
      </c>
      <c r="N10" s="81">
        <v>198760616.62284508</v>
      </c>
      <c r="O10" s="81">
        <v>202164681.5226298</v>
      </c>
      <c r="P10" s="81">
        <v>205546184.96971944</v>
      </c>
      <c r="Q10" s="81">
        <v>208013328.1897164</v>
      </c>
      <c r="R10" s="81">
        <v>210429679.55780524</v>
      </c>
      <c r="S10" s="81">
        <v>212788308.7341235</v>
      </c>
      <c r="T10" s="81">
        <v>215083003.03407109</v>
      </c>
      <c r="U10" s="81">
        <v>217308107.2768659</v>
      </c>
      <c r="V10" s="81">
        <v>219458725.48783872</v>
      </c>
      <c r="W10" s="81">
        <v>221530645.45392558</v>
      </c>
      <c r="X10" s="81">
        <v>223520457.87972996</v>
      </c>
      <c r="Y10" s="81">
        <v>225425456.750184</v>
      </c>
      <c r="Z10" s="81">
        <v>227243826.38612995</v>
      </c>
      <c r="AA10" s="81">
        <v>228761023.34863082</v>
      </c>
      <c r="AB10" s="81">
        <v>230189543.03066748</v>
      </c>
      <c r="AC10" s="81">
        <v>231530430.4219546</v>
      </c>
      <c r="AD10" s="81">
        <v>232785723.80650222</v>
      </c>
      <c r="AE10" s="81">
        <v>233958370.42967832</v>
      </c>
      <c r="AF10" s="81">
        <v>235052395.68017453</v>
      </c>
      <c r="AG10" s="81">
        <v>236072747.75284097</v>
      </c>
      <c r="AH10" s="81">
        <v>237025562.78987685</v>
      </c>
      <c r="AI10" s="81">
        <v>237918009.19625211</v>
      </c>
      <c r="AJ10" s="81">
        <v>238758365.46720386</v>
      </c>
      <c r="AK10" s="81">
        <v>239611399.36683786</v>
      </c>
      <c r="AL10" s="81">
        <v>240432463.5938454</v>
      </c>
      <c r="AM10" s="81">
        <v>241233419.82467234</v>
      </c>
      <c r="AN10" s="81">
        <v>242027406.6075854</v>
      </c>
      <c r="AO10" s="81">
        <v>242828849.25287536</v>
      </c>
      <c r="AP10" s="81">
        <v>243653519.20836294</v>
      </c>
      <c r="AQ10" s="81">
        <v>244518620.02100247</v>
      </c>
      <c r="AR10" s="81">
        <v>245442646.80598369</v>
      </c>
      <c r="AS10" s="81">
        <v>246445674.06715351</v>
      </c>
      <c r="AT10" s="81">
        <v>247549138.66802406</v>
      </c>
    </row>
    <row r="11" spans="1:46" ht="15.75">
      <c r="A11" s="81" t="s">
        <v>450</v>
      </c>
      <c r="B11" s="80">
        <v>130500</v>
      </c>
      <c r="C11" s="80" t="s">
        <v>438</v>
      </c>
      <c r="D11" s="84" t="s">
        <v>823</v>
      </c>
      <c r="E11" s="81">
        <v>126408568.38082446</v>
      </c>
      <c r="F11" s="81">
        <v>129832501.98886538</v>
      </c>
      <c r="G11" s="81">
        <v>132494941.11008228</v>
      </c>
      <c r="H11" s="81">
        <v>135136180.02584323</v>
      </c>
      <c r="I11" s="81">
        <v>137752914.09966663</v>
      </c>
      <c r="J11" s="81">
        <v>140341921.83492979</v>
      </c>
      <c r="K11" s="81">
        <v>142900114.40447801</v>
      </c>
      <c r="L11" s="81">
        <v>145424529.0944882</v>
      </c>
      <c r="M11" s="81">
        <v>147912321.41540003</v>
      </c>
      <c r="N11" s="81">
        <v>150360857.19886491</v>
      </c>
      <c r="O11" s="81">
        <v>152767646.80502564</v>
      </c>
      <c r="P11" s="81">
        <v>155130377.28762576</v>
      </c>
      <c r="Q11" s="81">
        <v>156781367.31339064</v>
      </c>
      <c r="R11" s="81">
        <v>158377729.60587054</v>
      </c>
      <c r="S11" s="81">
        <v>159918584.74779239</v>
      </c>
      <c r="T11" s="81">
        <v>161403277.90122545</v>
      </c>
      <c r="U11" s="81">
        <v>162831430.91015926</v>
      </c>
      <c r="V11" s="81">
        <v>164202887.52045572</v>
      </c>
      <c r="W11" s="81">
        <v>165517765.51429349</v>
      </c>
      <c r="X11" s="81">
        <v>166776444.54617831</v>
      </c>
      <c r="Y11" s="81">
        <v>167979553.03576276</v>
      </c>
      <c r="Z11" s="81">
        <v>169128089.16271022</v>
      </c>
      <c r="AA11" s="81">
        <v>170064502.87637267</v>
      </c>
      <c r="AB11" s="81">
        <v>170948730.15860933</v>
      </c>
      <c r="AC11" s="81">
        <v>171782769.1242328</v>
      </c>
      <c r="AD11" s="81">
        <v>172568972.77860582</v>
      </c>
      <c r="AE11" s="81">
        <v>173309989.28785881</v>
      </c>
      <c r="AF11" s="81">
        <v>174008793.29778573</v>
      </c>
      <c r="AG11" s="81">
        <v>174668741.87985018</v>
      </c>
      <c r="AH11" s="81">
        <v>175293513.63451144</v>
      </c>
      <c r="AI11" s="81">
        <v>175887140.72030628</v>
      </c>
      <c r="AJ11" s="81">
        <v>176454041.91289648</v>
      </c>
      <c r="AK11" s="81">
        <v>177039890.93216306</v>
      </c>
      <c r="AL11" s="81">
        <v>177608973.11786795</v>
      </c>
      <c r="AM11" s="81">
        <v>178166869.12353781</v>
      </c>
      <c r="AN11" s="81">
        <v>178719590.45280921</v>
      </c>
      <c r="AO11" s="81">
        <v>179273540.21468303</v>
      </c>
      <c r="AP11" s="81">
        <v>179835572.30123487</v>
      </c>
      <c r="AQ11" s="81">
        <v>180412976.89901352</v>
      </c>
      <c r="AR11" s="81">
        <v>181013515.92976287</v>
      </c>
      <c r="AS11" s="81">
        <v>181645408.40137112</v>
      </c>
      <c r="AT11" s="81">
        <v>182317314.82546139</v>
      </c>
    </row>
    <row r="12" spans="1:46" ht="15.75">
      <c r="A12" s="81" t="s">
        <v>450</v>
      </c>
      <c r="B12" s="80">
        <v>130600</v>
      </c>
      <c r="C12" s="80" t="s">
        <v>438</v>
      </c>
      <c r="D12" s="84" t="s">
        <v>822</v>
      </c>
      <c r="E12" s="81">
        <v>215346499.34853032</v>
      </c>
      <c r="F12" s="81">
        <v>220855501.64479807</v>
      </c>
      <c r="G12" s="81">
        <v>225060974.69349107</v>
      </c>
      <c r="H12" s="81">
        <v>229224267.66507107</v>
      </c>
      <c r="I12" s="81">
        <v>233339952.57080498</v>
      </c>
      <c r="J12" s="81">
        <v>237402739.51183018</v>
      </c>
      <c r="K12" s="81">
        <v>241407575.61859161</v>
      </c>
      <c r="L12" s="81">
        <v>245349605.66950145</v>
      </c>
      <c r="M12" s="81">
        <v>249224254.07537907</v>
      </c>
      <c r="N12" s="81">
        <v>253027163.27855957</v>
      </c>
      <c r="O12" s="81">
        <v>256754319.60245216</v>
      </c>
      <c r="P12" s="81">
        <v>260401969.6766732</v>
      </c>
      <c r="Q12" s="81">
        <v>262850877.09078103</v>
      </c>
      <c r="R12" s="81">
        <v>265205538.55440891</v>
      </c>
      <c r="S12" s="81">
        <v>267464641.66821566</v>
      </c>
      <c r="T12" s="81">
        <v>269627232.71768081</v>
      </c>
      <c r="U12" s="81">
        <v>271692775.95577925</v>
      </c>
      <c r="V12" s="81">
        <v>273661169.50281793</v>
      </c>
      <c r="W12" s="81">
        <v>275532692.30639249</v>
      </c>
      <c r="X12" s="81">
        <v>277308133.74758005</v>
      </c>
      <c r="Y12" s="81">
        <v>278988694.85433245</v>
      </c>
      <c r="Z12" s="81">
        <v>280576120.06291497</v>
      </c>
      <c r="AA12" s="81">
        <v>281809513.55106539</v>
      </c>
      <c r="AB12" s="81">
        <v>282954664.33677924</v>
      </c>
      <c r="AC12" s="81">
        <v>284015047.93605918</v>
      </c>
      <c r="AD12" s="81">
        <v>284994684.02376038</v>
      </c>
      <c r="AE12" s="81">
        <v>285898102.8306492</v>
      </c>
      <c r="AF12" s="81">
        <v>286730457.1237781</v>
      </c>
      <c r="AG12" s="81">
        <v>287497415.65876973</v>
      </c>
      <c r="AH12" s="81">
        <v>288205300.83025098</v>
      </c>
      <c r="AI12" s="81">
        <v>288860930.60332239</v>
      </c>
      <c r="AJ12" s="81">
        <v>289471857.37093025</v>
      </c>
      <c r="AK12" s="81">
        <v>290113163.78439057</v>
      </c>
      <c r="AL12" s="81">
        <v>290726470.26277959</v>
      </c>
      <c r="AM12" s="81">
        <v>291321217.26349115</v>
      </c>
      <c r="AN12" s="81">
        <v>291907553.07015145</v>
      </c>
      <c r="AO12" s="81">
        <v>292496298.80504519</v>
      </c>
      <c r="AP12" s="81">
        <v>293099042.91956574</v>
      </c>
      <c r="AQ12" s="81">
        <v>293728053.73903751</v>
      </c>
      <c r="AR12" s="81">
        <v>294396427.70316398</v>
      </c>
      <c r="AS12" s="81">
        <v>295118001.67190868</v>
      </c>
      <c r="AT12" s="81">
        <v>295907396.11479282</v>
      </c>
    </row>
    <row r="13" spans="1:46" ht="15.75">
      <c r="A13" s="81" t="s">
        <v>450</v>
      </c>
      <c r="B13" s="80">
        <v>130700</v>
      </c>
      <c r="C13" s="80" t="s">
        <v>438</v>
      </c>
      <c r="D13" s="84" t="s">
        <v>821</v>
      </c>
      <c r="E13" s="81">
        <v>66511806.74163457</v>
      </c>
      <c r="F13" s="81">
        <v>67998616.761301666</v>
      </c>
      <c r="G13" s="81">
        <v>69086509.001544043</v>
      </c>
      <c r="H13" s="81">
        <v>70163721.261648014</v>
      </c>
      <c r="I13" s="81">
        <v>71227238.579915211</v>
      </c>
      <c r="J13" s="81">
        <v>72274162.84113422</v>
      </c>
      <c r="K13" s="81">
        <v>73301692.049989924</v>
      </c>
      <c r="L13" s="81">
        <v>74307132.814674854</v>
      </c>
      <c r="M13" s="81">
        <v>75287949.213375688</v>
      </c>
      <c r="N13" s="81">
        <v>76241741.308866277</v>
      </c>
      <c r="O13" s="81">
        <v>77166276.779997498</v>
      </c>
      <c r="P13" s="81">
        <v>78059486.554804415</v>
      </c>
      <c r="Q13" s="81">
        <v>78585917.054867238</v>
      </c>
      <c r="R13" s="81">
        <v>79076826.198188797</v>
      </c>
      <c r="S13" s="81">
        <v>79531248.520330667</v>
      </c>
      <c r="T13" s="81">
        <v>79948442.359314173</v>
      </c>
      <c r="U13" s="81">
        <v>80327957.883227244</v>
      </c>
      <c r="V13" s="81">
        <v>80669530.536662057</v>
      </c>
      <c r="W13" s="81">
        <v>80973227.399375051</v>
      </c>
      <c r="X13" s="81">
        <v>81239359.797952324</v>
      </c>
      <c r="Y13" s="81">
        <v>81468532.679198086</v>
      </c>
      <c r="Z13" s="81">
        <v>81661655.277132809</v>
      </c>
      <c r="AA13" s="81">
        <v>81743646.973839015</v>
      </c>
      <c r="AB13" s="81">
        <v>81792858.386863887</v>
      </c>
      <c r="AC13" s="81">
        <v>81811235.037345558</v>
      </c>
      <c r="AD13" s="81">
        <v>81801081.127210245</v>
      </c>
      <c r="AE13" s="81">
        <v>81764985.833492294</v>
      </c>
      <c r="AF13" s="81">
        <v>81705937.105298251</v>
      </c>
      <c r="AG13" s="81">
        <v>81627269.057254329</v>
      </c>
      <c r="AH13" s="81">
        <v>81532671.354124814</v>
      </c>
      <c r="AI13" s="81">
        <v>81426263.581865788</v>
      </c>
      <c r="AJ13" s="81">
        <v>81312476.302254349</v>
      </c>
      <c r="AK13" s="81">
        <v>81214977.264290407</v>
      </c>
      <c r="AL13" s="81">
        <v>81120123.233340383</v>
      </c>
      <c r="AM13" s="81">
        <v>81033604.495828703</v>
      </c>
      <c r="AN13" s="81">
        <v>80961621.780009046</v>
      </c>
      <c r="AO13" s="81">
        <v>80910764.488355055</v>
      </c>
      <c r="AP13" s="81">
        <v>80888087.733831748</v>
      </c>
      <c r="AQ13" s="81">
        <v>80901169.369228274</v>
      </c>
      <c r="AR13" s="81">
        <v>80957962.022611469</v>
      </c>
      <c r="AS13" s="81">
        <v>81067055.420982376</v>
      </c>
      <c r="AT13" s="81">
        <v>81237413.041697681</v>
      </c>
    </row>
    <row r="14" spans="1:46" ht="15.75">
      <c r="A14" s="81" t="s">
        <v>450</v>
      </c>
      <c r="B14" s="80">
        <v>130800</v>
      </c>
      <c r="C14" s="80" t="s">
        <v>438</v>
      </c>
      <c r="D14" s="84" t="s">
        <v>820</v>
      </c>
      <c r="E14" s="81">
        <v>54113269.617101647</v>
      </c>
      <c r="F14" s="81">
        <v>55378923.559381224</v>
      </c>
      <c r="G14" s="81">
        <v>56331067.895150848</v>
      </c>
      <c r="H14" s="81">
        <v>57284795.379284896</v>
      </c>
      <c r="I14" s="81">
        <v>58236791.029027484</v>
      </c>
      <c r="J14" s="81">
        <v>59183889.159795173</v>
      </c>
      <c r="K14" s="81">
        <v>60122950.898353107</v>
      </c>
      <c r="L14" s="81">
        <v>61050981.140714943</v>
      </c>
      <c r="M14" s="81">
        <v>61965091.067368254</v>
      </c>
      <c r="N14" s="81">
        <v>62862493.411261208</v>
      </c>
      <c r="O14" s="81">
        <v>63740589.337328278</v>
      </c>
      <c r="P14" s="81">
        <v>64596873.176189043</v>
      </c>
      <c r="Q14" s="81">
        <v>65152505.49705714</v>
      </c>
      <c r="R14" s="81">
        <v>65680364.441844285</v>
      </c>
      <c r="S14" s="81">
        <v>66178928.414949328</v>
      </c>
      <c r="T14" s="81">
        <v>66646955.363840565</v>
      </c>
      <c r="U14" s="81">
        <v>67083377.613450192</v>
      </c>
      <c r="V14" s="81">
        <v>67487408.155910775</v>
      </c>
      <c r="W14" s="81">
        <v>67858552.341556162</v>
      </c>
      <c r="X14" s="81">
        <v>68196539.552595451</v>
      </c>
      <c r="Y14" s="81">
        <v>68501432.969903395</v>
      </c>
      <c r="Z14" s="81">
        <v>68773540.65803206</v>
      </c>
      <c r="AA14" s="81">
        <v>68949124.4502303</v>
      </c>
      <c r="AB14" s="81">
        <v>69093781.327244565</v>
      </c>
      <c r="AC14" s="81">
        <v>69208859.778352037</v>
      </c>
      <c r="AD14" s="81">
        <v>69296050.490117565</v>
      </c>
      <c r="AE14" s="81">
        <v>69357396.743967295</v>
      </c>
      <c r="AF14" s="81">
        <v>69395262.507755801</v>
      </c>
      <c r="AG14" s="81">
        <v>69412426.985819921</v>
      </c>
      <c r="AH14" s="81">
        <v>69412032.27345787</v>
      </c>
      <c r="AI14" s="81">
        <v>69397528.532413006</v>
      </c>
      <c r="AJ14" s="81">
        <v>69372877.995463088</v>
      </c>
      <c r="AK14" s="81">
        <v>69358357.32645601</v>
      </c>
      <c r="AL14" s="81">
        <v>69342577.402831167</v>
      </c>
      <c r="AM14" s="81">
        <v>69330674.387320742</v>
      </c>
      <c r="AN14" s="81">
        <v>69328259.561143681</v>
      </c>
      <c r="AO14" s="81">
        <v>69341386.828588441</v>
      </c>
      <c r="AP14" s="81">
        <v>69376541.190862939</v>
      </c>
      <c r="AQ14" s="81">
        <v>69440740.596972778</v>
      </c>
      <c r="AR14" s="81">
        <v>69541434.636613294</v>
      </c>
      <c r="AS14" s="81">
        <v>69686653.348931</v>
      </c>
      <c r="AT14" s="81">
        <v>69884835.458160728</v>
      </c>
    </row>
    <row r="15" spans="1:46" ht="15.75">
      <c r="A15" s="81" t="s">
        <v>450</v>
      </c>
      <c r="B15" s="80">
        <v>130900</v>
      </c>
      <c r="C15" s="80" t="s">
        <v>438</v>
      </c>
      <c r="D15" s="84" t="s">
        <v>819</v>
      </c>
      <c r="E15" s="81">
        <v>130126948.85296208</v>
      </c>
      <c r="F15" s="81">
        <v>133293563.40632232</v>
      </c>
      <c r="G15" s="81">
        <v>135703898.27203956</v>
      </c>
      <c r="H15" s="81">
        <v>138117638.99158379</v>
      </c>
      <c r="I15" s="81">
        <v>140528917.02202129</v>
      </c>
      <c r="J15" s="81">
        <v>142931989.56519839</v>
      </c>
      <c r="K15" s="81">
        <v>145321301.8806465</v>
      </c>
      <c r="L15" s="81">
        <v>147691394.92536736</v>
      </c>
      <c r="M15" s="81">
        <v>150037044.40751401</v>
      </c>
      <c r="N15" s="81">
        <v>152353206.63921189</v>
      </c>
      <c r="O15" s="81">
        <v>154635102.31160694</v>
      </c>
      <c r="P15" s="81">
        <v>156878180.54151073</v>
      </c>
      <c r="Q15" s="81">
        <v>158405709.12934425</v>
      </c>
      <c r="R15" s="81">
        <v>159880795.72800636</v>
      </c>
      <c r="S15" s="81">
        <v>161300567.6072385</v>
      </c>
      <c r="T15" s="81">
        <v>162662610.61701545</v>
      </c>
      <c r="U15" s="81">
        <v>163964902.89485797</v>
      </c>
      <c r="V15" s="81">
        <v>165205831.89780849</v>
      </c>
      <c r="W15" s="81">
        <v>166384211.62831968</v>
      </c>
      <c r="X15" s="81">
        <v>167499322.21326351</v>
      </c>
      <c r="Y15" s="81">
        <v>168550928.39251348</v>
      </c>
      <c r="Z15" s="81">
        <v>169539298.2111356</v>
      </c>
      <c r="AA15" s="81">
        <v>170306201.48404533</v>
      </c>
      <c r="AB15" s="81">
        <v>171011874.60837629</v>
      </c>
      <c r="AC15" s="81">
        <v>171658304.30775374</v>
      </c>
      <c r="AD15" s="81">
        <v>172248066.36699939</v>
      </c>
      <c r="AE15" s="81">
        <v>172784320.3756451</v>
      </c>
      <c r="AF15" s="81">
        <v>173270733.35340387</v>
      </c>
      <c r="AG15" s="81">
        <v>173711706.62869006</v>
      </c>
      <c r="AH15" s="81">
        <v>174112159.88325632</v>
      </c>
      <c r="AI15" s="81">
        <v>174477712.56291592</v>
      </c>
      <c r="AJ15" s="81">
        <v>174814607.19763616</v>
      </c>
      <c r="AK15" s="81">
        <v>175170201.49589324</v>
      </c>
      <c r="AL15" s="81">
        <v>175511623.95460981</v>
      </c>
      <c r="AM15" s="81">
        <v>175847161.704454</v>
      </c>
      <c r="AN15" s="81">
        <v>176185926.36069113</v>
      </c>
      <c r="AO15" s="81">
        <v>176537751.54808983</v>
      </c>
      <c r="AP15" s="81">
        <v>176913286.27497596</v>
      </c>
      <c r="AQ15" s="81">
        <v>177323914.70902053</v>
      </c>
      <c r="AR15" s="81">
        <v>177781926.34072939</v>
      </c>
      <c r="AS15" s="81">
        <v>178300385.25411093</v>
      </c>
      <c r="AT15" s="81">
        <v>178893225.36802021</v>
      </c>
    </row>
    <row r="16" spans="1:46" ht="15.75">
      <c r="A16" s="81" t="s">
        <v>450</v>
      </c>
      <c r="B16" s="80">
        <v>131000</v>
      </c>
      <c r="C16" s="80" t="s">
        <v>438</v>
      </c>
      <c r="D16" s="84" t="s">
        <v>818</v>
      </c>
      <c r="E16" s="81">
        <v>101611254.33081849</v>
      </c>
      <c r="F16" s="81">
        <v>104538015.15728261</v>
      </c>
      <c r="G16" s="81">
        <v>106796195.63706811</v>
      </c>
      <c r="H16" s="81">
        <v>108985020.0400304</v>
      </c>
      <c r="I16" s="81">
        <v>111105948.60992819</v>
      </c>
      <c r="J16" s="81">
        <v>113160580.32221198</v>
      </c>
      <c r="K16" s="81">
        <v>115150567.72855215</v>
      </c>
      <c r="L16" s="81">
        <v>117077649.58110482</v>
      </c>
      <c r="M16" s="81">
        <v>118943623.57270199</v>
      </c>
      <c r="N16" s="81">
        <v>120750381.06172839</v>
      </c>
      <c r="O16" s="81">
        <v>122499815.82825272</v>
      </c>
      <c r="P16" s="81">
        <v>124193900.46465668</v>
      </c>
      <c r="Q16" s="81">
        <v>125302715.21251757</v>
      </c>
      <c r="R16" s="81">
        <v>126356851.0936023</v>
      </c>
      <c r="S16" s="81">
        <v>127359118.95676759</v>
      </c>
      <c r="T16" s="81">
        <v>128312208.68519171</v>
      </c>
      <c r="U16" s="81">
        <v>129218793.92582279</v>
      </c>
      <c r="V16" s="81">
        <v>130081550.72451258</v>
      </c>
      <c r="W16" s="81">
        <v>130903015.92944312</v>
      </c>
      <c r="X16" s="81">
        <v>131685694.38975862</v>
      </c>
      <c r="Y16" s="81">
        <v>132432007.71807541</v>
      </c>
      <c r="Z16" s="81">
        <v>133144311.54644881</v>
      </c>
      <c r="AA16" s="81">
        <v>133700061.7947159</v>
      </c>
      <c r="AB16" s="81">
        <v>134226284.8122645</v>
      </c>
      <c r="AC16" s="81">
        <v>134725108.140214</v>
      </c>
      <c r="AD16" s="81">
        <v>135198584.26418167</v>
      </c>
      <c r="AE16" s="81">
        <v>135648661.88853008</v>
      </c>
      <c r="AF16" s="81">
        <v>136077107.02719685</v>
      </c>
      <c r="AG16" s="81">
        <v>136485668.42063102</v>
      </c>
      <c r="AH16" s="81">
        <v>136875851.40583116</v>
      </c>
      <c r="AI16" s="81">
        <v>137249058.8003175</v>
      </c>
      <c r="AJ16" s="81">
        <v>137606586.29033408</v>
      </c>
      <c r="AK16" s="81">
        <v>137981360.42464963</v>
      </c>
      <c r="AL16" s="81">
        <v>138342465.02608863</v>
      </c>
      <c r="AM16" s="81">
        <v>138690680.00964534</v>
      </c>
      <c r="AN16" s="81">
        <v>139026578.01927578</v>
      </c>
      <c r="AO16" s="81">
        <v>139350673.40471816</v>
      </c>
      <c r="AP16" s="81">
        <v>139663183.1353915</v>
      </c>
      <c r="AQ16" s="81">
        <v>139964175.11764047</v>
      </c>
      <c r="AR16" s="81">
        <v>140253562.94217932</v>
      </c>
      <c r="AS16" s="81">
        <v>140530993.28212324</v>
      </c>
      <c r="AT16" s="81">
        <v>140795971.96674389</v>
      </c>
    </row>
    <row r="17" spans="1:46" ht="15.75">
      <c r="A17" s="81" t="s">
        <v>450</v>
      </c>
      <c r="B17" s="80">
        <v>131100</v>
      </c>
      <c r="C17" s="80" t="s">
        <v>438</v>
      </c>
      <c r="D17" s="84" t="s">
        <v>817</v>
      </c>
      <c r="E17" s="81">
        <v>67829986.964185536</v>
      </c>
      <c r="F17" s="81">
        <v>69551236.219530627</v>
      </c>
      <c r="G17" s="81">
        <v>70856583.615134597</v>
      </c>
      <c r="H17" s="81">
        <v>72143257.733972833</v>
      </c>
      <c r="I17" s="81">
        <v>73409465.776613921</v>
      </c>
      <c r="J17" s="81">
        <v>74653513.006648123</v>
      </c>
      <c r="K17" s="81">
        <v>75873776.244522214</v>
      </c>
      <c r="L17" s="81">
        <v>77068728.344148353</v>
      </c>
      <c r="M17" s="81">
        <v>78236964.142686546</v>
      </c>
      <c r="N17" s="81">
        <v>79377172.922426641</v>
      </c>
      <c r="O17" s="81">
        <v>80488163.895019755</v>
      </c>
      <c r="P17" s="81">
        <v>81568893.177792609</v>
      </c>
      <c r="Q17" s="81">
        <v>82269199.414048806</v>
      </c>
      <c r="R17" s="81">
        <v>82935539.08569397</v>
      </c>
      <c r="S17" s="81">
        <v>83567765.848320276</v>
      </c>
      <c r="T17" s="81">
        <v>84165867.24139154</v>
      </c>
      <c r="U17" s="81">
        <v>84729989.158651739</v>
      </c>
      <c r="V17" s="81">
        <v>85260461.309923574</v>
      </c>
      <c r="W17" s="81">
        <v>85757744.168269917</v>
      </c>
      <c r="X17" s="81">
        <v>86222533.447560236</v>
      </c>
      <c r="Y17" s="81">
        <v>86655647.220717788</v>
      </c>
      <c r="Z17" s="81">
        <v>87058131.305271134</v>
      </c>
      <c r="AA17" s="81">
        <v>87349646.912233695</v>
      </c>
      <c r="AB17" s="81">
        <v>87613330.611504331</v>
      </c>
      <c r="AC17" s="81">
        <v>87850899.450973794</v>
      </c>
      <c r="AD17" s="81">
        <v>88064212.383369312</v>
      </c>
      <c r="AE17" s="81">
        <v>88255421.049094111</v>
      </c>
      <c r="AF17" s="81">
        <v>88426829.73761788</v>
      </c>
      <c r="AG17" s="81">
        <v>88581005.568762228</v>
      </c>
      <c r="AH17" s="81">
        <v>88720721.093306631</v>
      </c>
      <c r="AI17" s="81">
        <v>88848980.899260402</v>
      </c>
      <c r="AJ17" s="81">
        <v>88969005.571749642</v>
      </c>
      <c r="AK17" s="81">
        <v>89104866.753550664</v>
      </c>
      <c r="AL17" s="81">
        <v>89239651.184909523</v>
      </c>
      <c r="AM17" s="81">
        <v>89377352.399708062</v>
      </c>
      <c r="AN17" s="81">
        <v>89522251.387776926</v>
      </c>
      <c r="AO17" s="81">
        <v>89678833.449474126</v>
      </c>
      <c r="AP17" s="81">
        <v>89851928.310660765</v>
      </c>
      <c r="AQ17" s="81">
        <v>90046627.387222424</v>
      </c>
      <c r="AR17" s="81">
        <v>90268312.403546795</v>
      </c>
      <c r="AS17" s="81">
        <v>90522661.834480956</v>
      </c>
      <c r="AT17" s="81">
        <v>90815657.40066725</v>
      </c>
    </row>
    <row r="18" spans="1:46" ht="15.75">
      <c r="A18" s="81" t="s">
        <v>450</v>
      </c>
      <c r="B18" s="80">
        <v>140100</v>
      </c>
      <c r="C18" s="80" t="s">
        <v>437</v>
      </c>
      <c r="D18" s="84" t="s">
        <v>816</v>
      </c>
      <c r="E18" s="81">
        <v>112730084.80783461</v>
      </c>
      <c r="F18" s="81">
        <v>116358694.31773473</v>
      </c>
      <c r="G18" s="81">
        <v>119196104.28232673</v>
      </c>
      <c r="H18" s="81">
        <v>121910225.09336638</v>
      </c>
      <c r="I18" s="81">
        <v>124505847.91824514</v>
      </c>
      <c r="J18" s="81">
        <v>126987942.3328615</v>
      </c>
      <c r="K18" s="81">
        <v>129361499.80166684</v>
      </c>
      <c r="L18" s="81">
        <v>131631650.80632624</v>
      </c>
      <c r="M18" s="81">
        <v>133803552.05299306</v>
      </c>
      <c r="N18" s="81">
        <v>135882412.12852442</v>
      </c>
      <c r="O18" s="81">
        <v>137873471.13190362</v>
      </c>
      <c r="P18" s="81">
        <v>139781905.03469321</v>
      </c>
      <c r="Q18" s="81">
        <v>141014308.07270801</v>
      </c>
      <c r="R18" s="81">
        <v>142170879.167642</v>
      </c>
      <c r="S18" s="81">
        <v>143257676.64148429</v>
      </c>
      <c r="T18" s="81">
        <v>144280435.57738799</v>
      </c>
      <c r="U18" s="81">
        <v>145244755.47014615</v>
      </c>
      <c r="V18" s="81">
        <v>146155956.90279588</v>
      </c>
      <c r="W18" s="81">
        <v>147019116.71270263</v>
      </c>
      <c r="X18" s="81">
        <v>147839025.57295519</v>
      </c>
      <c r="Y18" s="81">
        <v>148620197.78602624</v>
      </c>
      <c r="Z18" s="81">
        <v>149366773.94624475</v>
      </c>
      <c r="AA18" s="81">
        <v>149942698.50006917</v>
      </c>
      <c r="AB18" s="81">
        <v>150491534.73994005</v>
      </c>
      <c r="AC18" s="81">
        <v>151016505.9507342</v>
      </c>
      <c r="AD18" s="81">
        <v>151520489.73212796</v>
      </c>
      <c r="AE18" s="81">
        <v>152005863.81991947</v>
      </c>
      <c r="AF18" s="81">
        <v>152474655.99064034</v>
      </c>
      <c r="AG18" s="81">
        <v>152928473.69492704</v>
      </c>
      <c r="AH18" s="81">
        <v>153368402.70375654</v>
      </c>
      <c r="AI18" s="81">
        <v>153795103.37697902</v>
      </c>
      <c r="AJ18" s="81">
        <v>154208737.71750572</v>
      </c>
      <c r="AK18" s="81">
        <v>154644671.30754569</v>
      </c>
      <c r="AL18" s="81">
        <v>155066268.3677128</v>
      </c>
      <c r="AM18" s="81">
        <v>155472141.75184149</v>
      </c>
      <c r="AN18" s="81">
        <v>155860306.52630094</v>
      </c>
      <c r="AO18" s="81">
        <v>156228250.33429891</v>
      </c>
      <c r="AP18" s="81">
        <v>156572826.34397519</v>
      </c>
      <c r="AQ18" s="81">
        <v>156890294.11757198</v>
      </c>
      <c r="AR18" s="81">
        <v>157176301.63125709</v>
      </c>
      <c r="AS18" s="81">
        <v>157425836.36461744</v>
      </c>
      <c r="AT18" s="81">
        <v>157633174.98494506</v>
      </c>
    </row>
    <row r="19" spans="1:46" ht="15.75">
      <c r="A19" s="81" t="s">
        <v>450</v>
      </c>
      <c r="B19" s="80">
        <v>140200</v>
      </c>
      <c r="C19" s="80" t="s">
        <v>437</v>
      </c>
      <c r="D19" s="84" t="s">
        <v>815</v>
      </c>
      <c r="E19" s="81">
        <v>57147606.148588985</v>
      </c>
      <c r="F19" s="81">
        <v>58770828.295482494</v>
      </c>
      <c r="G19" s="81">
        <v>60035662.641171277</v>
      </c>
      <c r="H19" s="81">
        <v>61276475.857944615</v>
      </c>
      <c r="I19" s="81">
        <v>62491529.328294449</v>
      </c>
      <c r="J19" s="81">
        <v>63679137.835599788</v>
      </c>
      <c r="K19" s="81">
        <v>64837775.743721865</v>
      </c>
      <c r="L19" s="81">
        <v>65965965.826520853</v>
      </c>
      <c r="M19" s="81">
        <v>67062386.963051416</v>
      </c>
      <c r="N19" s="81">
        <v>68125842.763879329</v>
      </c>
      <c r="O19" s="81">
        <v>69155248.426874399</v>
      </c>
      <c r="P19" s="81">
        <v>70149702.265205771</v>
      </c>
      <c r="Q19" s="81">
        <v>70807811.334994927</v>
      </c>
      <c r="R19" s="81">
        <v>71427469.638456553</v>
      </c>
      <c r="S19" s="81">
        <v>72008767.653861582</v>
      </c>
      <c r="T19" s="81">
        <v>72551912.745685652</v>
      </c>
      <c r="U19" s="81">
        <v>73057322.785864249</v>
      </c>
      <c r="V19" s="81">
        <v>73525588.474636093</v>
      </c>
      <c r="W19" s="81">
        <v>73957479.156583443</v>
      </c>
      <c r="X19" s="81">
        <v>74353948.696969882</v>
      </c>
      <c r="Y19" s="81">
        <v>74716118.268791318</v>
      </c>
      <c r="Z19" s="81">
        <v>75045374.766016513</v>
      </c>
      <c r="AA19" s="81">
        <v>75272973.742460668</v>
      </c>
      <c r="AB19" s="81">
        <v>75471170.247547314</v>
      </c>
      <c r="AC19" s="81">
        <v>75641982.104959115</v>
      </c>
      <c r="AD19" s="81">
        <v>75787686.0166509</v>
      </c>
      <c r="AE19" s="81">
        <v>75910800.533606768</v>
      </c>
      <c r="AF19" s="81">
        <v>76014043.80655919</v>
      </c>
      <c r="AG19" s="81">
        <v>76100313.893872187</v>
      </c>
      <c r="AH19" s="81">
        <v>76172865.187127039</v>
      </c>
      <c r="AI19" s="81">
        <v>76235095.034023061</v>
      </c>
      <c r="AJ19" s="81">
        <v>76290670.998628408</v>
      </c>
      <c r="AK19" s="81">
        <v>76361185.75884977</v>
      </c>
      <c r="AL19" s="81">
        <v>76433126.925311863</v>
      </c>
      <c r="AM19" s="81">
        <v>76510915.778104335</v>
      </c>
      <c r="AN19" s="81">
        <v>76599349.128400654</v>
      </c>
      <c r="AO19" s="81">
        <v>76703428.218206093</v>
      </c>
      <c r="AP19" s="81">
        <v>76828466.412104934</v>
      </c>
      <c r="AQ19" s="81">
        <v>76980122.586943835</v>
      </c>
      <c r="AR19" s="81">
        <v>77164303.857678145</v>
      </c>
      <c r="AS19" s="81">
        <v>77387223.330817595</v>
      </c>
      <c r="AT19" s="81">
        <v>77655460.020007193</v>
      </c>
    </row>
    <row r="20" spans="1:46" ht="15.75">
      <c r="A20" s="81" t="s">
        <v>450</v>
      </c>
      <c r="B20" s="80">
        <v>140300</v>
      </c>
      <c r="C20" s="80" t="s">
        <v>437</v>
      </c>
      <c r="D20" s="84" t="s">
        <v>814</v>
      </c>
      <c r="E20" s="81">
        <v>23025445.287418522</v>
      </c>
      <c r="F20" s="81">
        <v>23627486.569968998</v>
      </c>
      <c r="G20" s="81">
        <v>24085016.363983344</v>
      </c>
      <c r="H20" s="81">
        <v>24532817.079375513</v>
      </c>
      <c r="I20" s="81">
        <v>24970225.698475853</v>
      </c>
      <c r="J20" s="81">
        <v>25396625.430045206</v>
      </c>
      <c r="K20" s="81">
        <v>25811449.359075375</v>
      </c>
      <c r="L20" s="81">
        <v>26214106.573529236</v>
      </c>
      <c r="M20" s="81">
        <v>26604138.072693512</v>
      </c>
      <c r="N20" s="81">
        <v>26981046.494312916</v>
      </c>
      <c r="O20" s="81">
        <v>27344454.839337189</v>
      </c>
      <c r="P20" s="81">
        <v>27693991.725359883</v>
      </c>
      <c r="Q20" s="81">
        <v>27910884.927477855</v>
      </c>
      <c r="R20" s="81">
        <v>28112854.961504299</v>
      </c>
      <c r="S20" s="81">
        <v>28299960.003089961</v>
      </c>
      <c r="T20" s="81">
        <v>28472269.517110068</v>
      </c>
      <c r="U20" s="81">
        <v>28629885.628575701</v>
      </c>
      <c r="V20" s="81">
        <v>28773029.735087324</v>
      </c>
      <c r="W20" s="81">
        <v>28901960.596133534</v>
      </c>
      <c r="X20" s="81">
        <v>29017018.858054567</v>
      </c>
      <c r="Y20" s="81">
        <v>29118585.966068074</v>
      </c>
      <c r="Z20" s="81">
        <v>29207129.409163054</v>
      </c>
      <c r="AA20" s="81">
        <v>29255896.132059239</v>
      </c>
      <c r="AB20" s="81">
        <v>29292969.606235553</v>
      </c>
      <c r="AC20" s="81">
        <v>29319075.333895866</v>
      </c>
      <c r="AD20" s="81">
        <v>29335031.34869317</v>
      </c>
      <c r="AE20" s="81">
        <v>29341727.887316171</v>
      </c>
      <c r="AF20" s="81">
        <v>29340106.155379523</v>
      </c>
      <c r="AG20" s="81">
        <v>29331275.194927402</v>
      </c>
      <c r="AH20" s="81">
        <v>29316330.203131638</v>
      </c>
      <c r="AI20" s="81">
        <v>29296515.620458469</v>
      </c>
      <c r="AJ20" s="81">
        <v>29273134.76571399</v>
      </c>
      <c r="AK20" s="81">
        <v>29254397.630855534</v>
      </c>
      <c r="AL20" s="81">
        <v>29234945.866738386</v>
      </c>
      <c r="AM20" s="81">
        <v>29216414.245679449</v>
      </c>
      <c r="AN20" s="81">
        <v>29200530.450336233</v>
      </c>
      <c r="AO20" s="81">
        <v>29189043.718134444</v>
      </c>
      <c r="AP20" s="81">
        <v>29183921.388925768</v>
      </c>
      <c r="AQ20" s="81">
        <v>29187181.563043725</v>
      </c>
      <c r="AR20" s="81">
        <v>29200893.5151526</v>
      </c>
      <c r="AS20" s="81">
        <v>29227379.105292186</v>
      </c>
      <c r="AT20" s="81">
        <v>29268941.689383935</v>
      </c>
    </row>
    <row r="21" spans="1:46" ht="15.75">
      <c r="A21" s="81" t="s">
        <v>450</v>
      </c>
      <c r="B21" s="80">
        <v>140400</v>
      </c>
      <c r="C21" s="80" t="s">
        <v>437</v>
      </c>
      <c r="D21" s="84" t="s">
        <v>813</v>
      </c>
      <c r="E21" s="81">
        <v>58542709.669040844</v>
      </c>
      <c r="F21" s="81">
        <v>60197087.524301395</v>
      </c>
      <c r="G21" s="81">
        <v>61491258.185402192</v>
      </c>
      <c r="H21" s="81">
        <v>62767288.402166486</v>
      </c>
      <c r="I21" s="81">
        <v>64022893.530462511</v>
      </c>
      <c r="J21" s="81">
        <v>65255883.685202092</v>
      </c>
      <c r="K21" s="81">
        <v>66464193.795691371</v>
      </c>
      <c r="L21" s="81">
        <v>67645853.936462283</v>
      </c>
      <c r="M21" s="81">
        <v>68799039.636400357</v>
      </c>
      <c r="N21" s="81">
        <v>69922020.446026698</v>
      </c>
      <c r="O21" s="81">
        <v>71013231.529845595</v>
      </c>
      <c r="P21" s="81">
        <v>72071285.548623145</v>
      </c>
      <c r="Q21" s="81">
        <v>72785945.225307524</v>
      </c>
      <c r="R21" s="81">
        <v>73462593.916535988</v>
      </c>
      <c r="S21" s="81">
        <v>74100943.750029102</v>
      </c>
      <c r="T21" s="81">
        <v>74700744.834215552</v>
      </c>
      <c r="U21" s="81">
        <v>75262100.366936475</v>
      </c>
      <c r="V21" s="81">
        <v>75785209.024517611</v>
      </c>
      <c r="W21" s="81">
        <v>76270527.503102839</v>
      </c>
      <c r="X21" s="81">
        <v>76718710.996963933</v>
      </c>
      <c r="Y21" s="81">
        <v>77130666.260718122</v>
      </c>
      <c r="Z21" s="81">
        <v>77507513.599807799</v>
      </c>
      <c r="AA21" s="81">
        <v>77778037.65786013</v>
      </c>
      <c r="AB21" s="81">
        <v>78016569.208113223</v>
      </c>
      <c r="AC21" s="81">
        <v>78225113.841530159</v>
      </c>
      <c r="AD21" s="81">
        <v>78405840.999693736</v>
      </c>
      <c r="AE21" s="81">
        <v>78561280.965761915</v>
      </c>
      <c r="AF21" s="81">
        <v>78694140.865160361</v>
      </c>
      <c r="AG21" s="81">
        <v>78807504.385749891</v>
      </c>
      <c r="AH21" s="81">
        <v>78904669.935060099</v>
      </c>
      <c r="AI21" s="81">
        <v>78989254.740044191</v>
      </c>
      <c r="AJ21" s="81">
        <v>79065153.180764258</v>
      </c>
      <c r="AK21" s="81">
        <v>79154886.757251516</v>
      </c>
      <c r="AL21" s="81">
        <v>79244594.377088189</v>
      </c>
      <c r="AM21" s="81">
        <v>79339175.787150979</v>
      </c>
      <c r="AN21" s="81">
        <v>79443791.679929629</v>
      </c>
      <c r="AO21" s="81">
        <v>79564049.967904225</v>
      </c>
      <c r="AP21" s="81">
        <v>79705757.368787035</v>
      </c>
      <c r="AQ21" s="81">
        <v>79875236.529627174</v>
      </c>
      <c r="AR21" s="81">
        <v>80079076.008401021</v>
      </c>
      <c r="AS21" s="81">
        <v>80324294.305159584</v>
      </c>
      <c r="AT21" s="81">
        <v>80618243.206962928</v>
      </c>
    </row>
    <row r="22" spans="1:46" ht="15.75">
      <c r="A22" s="81" t="s">
        <v>450</v>
      </c>
      <c r="B22" s="80">
        <v>140500</v>
      </c>
      <c r="C22" s="80" t="s">
        <v>437</v>
      </c>
      <c r="D22" s="84" t="s">
        <v>812</v>
      </c>
      <c r="E22" s="81">
        <v>38192421.335495181</v>
      </c>
      <c r="F22" s="81">
        <v>39326754.846668094</v>
      </c>
      <c r="G22" s="81">
        <v>40215462.738864027</v>
      </c>
      <c r="H22" s="81">
        <v>41082128.256659813</v>
      </c>
      <c r="I22" s="81">
        <v>41925811.85164766</v>
      </c>
      <c r="J22" s="81">
        <v>42745542.195926778</v>
      </c>
      <c r="K22" s="81">
        <v>43540524.52619794</v>
      </c>
      <c r="L22" s="81">
        <v>44309996.860620499</v>
      </c>
      <c r="M22" s="81">
        <v>45053270.828281358</v>
      </c>
      <c r="N22" s="81">
        <v>45769795.415805988</v>
      </c>
      <c r="O22" s="81">
        <v>46459124.569466218</v>
      </c>
      <c r="P22" s="81">
        <v>47120841.06996347</v>
      </c>
      <c r="Q22" s="81">
        <v>47552888.741553932</v>
      </c>
      <c r="R22" s="81">
        <v>47955654.855167106</v>
      </c>
      <c r="S22" s="81">
        <v>48329527.506041266</v>
      </c>
      <c r="T22" s="81">
        <v>48674989.292932786</v>
      </c>
      <c r="U22" s="81">
        <v>48992641.442691632</v>
      </c>
      <c r="V22" s="81">
        <v>49283228.982377551</v>
      </c>
      <c r="W22" s="81">
        <v>49547537.50434076</v>
      </c>
      <c r="X22" s="81">
        <v>49786589.333034083</v>
      </c>
      <c r="Y22" s="81">
        <v>50001432.469963342</v>
      </c>
      <c r="Z22" s="81">
        <v>50193339.052692458</v>
      </c>
      <c r="AA22" s="81">
        <v>50316687.966962762</v>
      </c>
      <c r="AB22" s="81">
        <v>50420121.999356441</v>
      </c>
      <c r="AC22" s="81">
        <v>50505375.362707935</v>
      </c>
      <c r="AD22" s="81">
        <v>50574283.012890875</v>
      </c>
      <c r="AE22" s="81">
        <v>50628805.536150329</v>
      </c>
      <c r="AF22" s="81">
        <v>50671124.023881733</v>
      </c>
      <c r="AG22" s="81">
        <v>50703483.832019672</v>
      </c>
      <c r="AH22" s="81">
        <v>50728358.406472519</v>
      </c>
      <c r="AI22" s="81">
        <v>50748337.893026002</v>
      </c>
      <c r="AJ22" s="81">
        <v>50766178.566475481</v>
      </c>
      <c r="AK22" s="81">
        <v>50796553.542433031</v>
      </c>
      <c r="AL22" s="81">
        <v>50830772.214696869</v>
      </c>
      <c r="AM22" s="81">
        <v>50872093.791467473</v>
      </c>
      <c r="AN22" s="81">
        <v>50924009.779321574</v>
      </c>
      <c r="AO22" s="81">
        <v>50990127.359704174</v>
      </c>
      <c r="AP22" s="81">
        <v>51074294.089587808</v>
      </c>
      <c r="AQ22" s="81">
        <v>51180529.271648124</v>
      </c>
      <c r="AR22" s="81">
        <v>51313052.201956183</v>
      </c>
      <c r="AS22" s="81">
        <v>51476311.446322329</v>
      </c>
      <c r="AT22" s="81">
        <v>51674863.401851185</v>
      </c>
    </row>
    <row r="23" spans="1:46" ht="15.75">
      <c r="A23" s="81" t="s">
        <v>450</v>
      </c>
      <c r="B23" s="80">
        <v>140600</v>
      </c>
      <c r="C23" s="80" t="s">
        <v>437</v>
      </c>
      <c r="D23" s="84" t="s">
        <v>811</v>
      </c>
      <c r="E23" s="81">
        <v>27663690.277439691</v>
      </c>
      <c r="F23" s="81">
        <v>28554023.119971119</v>
      </c>
      <c r="G23" s="81">
        <v>29271276.552454062</v>
      </c>
      <c r="H23" s="81">
        <v>29977115.577327643</v>
      </c>
      <c r="I23" s="81">
        <v>30670589.765796795</v>
      </c>
      <c r="J23" s="81">
        <v>31350714.686558865</v>
      </c>
      <c r="K23" s="81">
        <v>32016623.753035076</v>
      </c>
      <c r="L23" s="81">
        <v>32667460.459732253</v>
      </c>
      <c r="M23" s="81">
        <v>33302517.118810397</v>
      </c>
      <c r="N23" s="81">
        <v>33921065.839925751</v>
      </c>
      <c r="O23" s="81">
        <v>34522538.670009442</v>
      </c>
      <c r="P23" s="81">
        <v>35106394.999694303</v>
      </c>
      <c r="Q23" s="81">
        <v>35521387.144446835</v>
      </c>
      <c r="R23" s="81">
        <v>35916253.550146483</v>
      </c>
      <c r="S23" s="81">
        <v>36290983.219985269</v>
      </c>
      <c r="T23" s="81">
        <v>36645746.957144268</v>
      </c>
      <c r="U23" s="81">
        <v>36980755.633851573</v>
      </c>
      <c r="V23" s="81">
        <v>37296389.701343007</v>
      </c>
      <c r="W23" s="81">
        <v>37593032.754366085</v>
      </c>
      <c r="X23" s="81">
        <v>37871288.432968892</v>
      </c>
      <c r="Y23" s="81">
        <v>38131813.044141553</v>
      </c>
      <c r="Z23" s="81">
        <v>38375360.92724856</v>
      </c>
      <c r="AA23" s="81">
        <v>38566875.568003275</v>
      </c>
      <c r="AB23" s="81">
        <v>38743322.558696374</v>
      </c>
      <c r="AC23" s="81">
        <v>38905900.621637575</v>
      </c>
      <c r="AD23" s="81">
        <v>39055938.447698854</v>
      </c>
      <c r="AE23" s="81">
        <v>39194898.127878621</v>
      </c>
      <c r="AF23" s="81">
        <v>39324332.587095357</v>
      </c>
      <c r="AG23" s="81">
        <v>39445980.203067929</v>
      </c>
      <c r="AH23" s="81">
        <v>39561699.902266383</v>
      </c>
      <c r="AI23" s="81">
        <v>39673473.933426641</v>
      </c>
      <c r="AJ23" s="81">
        <v>39783505.219406337</v>
      </c>
      <c r="AK23" s="81">
        <v>39903242.097613163</v>
      </c>
      <c r="AL23" s="81">
        <v>40025957.088084273</v>
      </c>
      <c r="AM23" s="81">
        <v>40154258.612541154</v>
      </c>
      <c r="AN23" s="81">
        <v>40290897.658392884</v>
      </c>
      <c r="AO23" s="81">
        <v>40438844.210807838</v>
      </c>
      <c r="AP23" s="81">
        <v>40601194.320518434</v>
      </c>
      <c r="AQ23" s="81">
        <v>40781271.557247527</v>
      </c>
      <c r="AR23" s="81">
        <v>40982482.908267118</v>
      </c>
      <c r="AS23" s="81">
        <v>41208520.448788442</v>
      </c>
      <c r="AT23" s="81">
        <v>41463216.974336877</v>
      </c>
    </row>
    <row r="24" spans="1:46" ht="15.75">
      <c r="A24" s="81" t="s">
        <v>450</v>
      </c>
      <c r="B24" s="80">
        <v>140700</v>
      </c>
      <c r="C24" s="80" t="s">
        <v>437</v>
      </c>
      <c r="D24" s="84" t="s">
        <v>810</v>
      </c>
      <c r="E24" s="81">
        <v>62343944.951392837</v>
      </c>
      <c r="F24" s="81">
        <v>63954197.38014061</v>
      </c>
      <c r="G24" s="81">
        <v>65191283.694307767</v>
      </c>
      <c r="H24" s="81">
        <v>66419099.735079512</v>
      </c>
      <c r="I24" s="81">
        <v>67634776.23283501</v>
      </c>
      <c r="J24" s="81">
        <v>68835548.802195549</v>
      </c>
      <c r="K24" s="81">
        <v>70018771.067274079</v>
      </c>
      <c r="L24" s="81">
        <v>71181846.062834024</v>
      </c>
      <c r="M24" s="81">
        <v>72322379.69783242</v>
      </c>
      <c r="N24" s="81">
        <v>73438009.319396541</v>
      </c>
      <c r="O24" s="81">
        <v>74526601.117179036</v>
      </c>
      <c r="P24" s="81">
        <v>75586160.455450729</v>
      </c>
      <c r="Q24" s="81">
        <v>76290924.404728428</v>
      </c>
      <c r="R24" s="81">
        <v>76960836.653742224</v>
      </c>
      <c r="S24" s="81">
        <v>77594922.635699734</v>
      </c>
      <c r="T24" s="81">
        <v>78192421.763457552</v>
      </c>
      <c r="U24" s="81">
        <v>78752796.350217938</v>
      </c>
      <c r="V24" s="81">
        <v>79275695.41570279</v>
      </c>
      <c r="W24" s="81">
        <v>79761075.945279539</v>
      </c>
      <c r="X24" s="81">
        <v>80209076.999786392</v>
      </c>
      <c r="Y24" s="81">
        <v>80620165.221994698</v>
      </c>
      <c r="Z24" s="81">
        <v>80994960.323931128</v>
      </c>
      <c r="AA24" s="81">
        <v>81258646.51854746</v>
      </c>
      <c r="AB24" s="81">
        <v>81488460.180521831</v>
      </c>
      <c r="AC24" s="81">
        <v>81686039.77291733</v>
      </c>
      <c r="AD24" s="81">
        <v>81853322.170102656</v>
      </c>
      <c r="AE24" s="81">
        <v>81992527.192663118</v>
      </c>
      <c r="AF24" s="81">
        <v>82106214.156294629</v>
      </c>
      <c r="AG24" s="81">
        <v>82197193.651940182</v>
      </c>
      <c r="AH24" s="81">
        <v>82268706.429255098</v>
      </c>
      <c r="AI24" s="81">
        <v>82324286.896420896</v>
      </c>
      <c r="AJ24" s="81">
        <v>82367795.517007083</v>
      </c>
      <c r="AK24" s="81">
        <v>82422499.425413802</v>
      </c>
      <c r="AL24" s="81">
        <v>82473854.071896374</v>
      </c>
      <c r="AM24" s="81">
        <v>82526829.07830438</v>
      </c>
      <c r="AN24" s="81">
        <v>82586837.715302378</v>
      </c>
      <c r="AO24" s="81">
        <v>82659619.350856438</v>
      </c>
      <c r="AP24" s="81">
        <v>82751350.79798618</v>
      </c>
      <c r="AQ24" s="81">
        <v>82868657.215191752</v>
      </c>
      <c r="AR24" s="81">
        <v>83018517.677738219</v>
      </c>
      <c r="AS24" s="81">
        <v>83208405.401776433</v>
      </c>
      <c r="AT24" s="81">
        <v>83446273.085964575</v>
      </c>
    </row>
    <row r="25" spans="1:46" ht="15.75">
      <c r="A25" s="81" t="s">
        <v>450</v>
      </c>
      <c r="B25" s="80">
        <v>140800</v>
      </c>
      <c r="C25" s="80" t="s">
        <v>437</v>
      </c>
      <c r="D25" s="84" t="s">
        <v>809</v>
      </c>
      <c r="E25" s="81">
        <v>87656310.018917367</v>
      </c>
      <c r="F25" s="81">
        <v>90354537.509162754</v>
      </c>
      <c r="G25" s="81">
        <v>92488284.61090982</v>
      </c>
      <c r="H25" s="81">
        <v>94571373.582148209</v>
      </c>
      <c r="I25" s="81">
        <v>96602148.387633815</v>
      </c>
      <c r="J25" s="81">
        <v>98579056.589683026</v>
      </c>
      <c r="K25" s="81">
        <v>100500714.77330489</v>
      </c>
      <c r="L25" s="81">
        <v>102365958.26402062</v>
      </c>
      <c r="M25" s="81">
        <v>104173790.39425291</v>
      </c>
      <c r="N25" s="81">
        <v>105923453.20365325</v>
      </c>
      <c r="O25" s="81">
        <v>107614311.54388505</v>
      </c>
      <c r="P25" s="81">
        <v>109246072.3792779</v>
      </c>
      <c r="Q25" s="81">
        <v>110350096.45613968</v>
      </c>
      <c r="R25" s="81">
        <v>111391050.49271028</v>
      </c>
      <c r="S25" s="81">
        <v>112370124.58912286</v>
      </c>
      <c r="T25" s="81">
        <v>113288766.57215461</v>
      </c>
      <c r="U25" s="81">
        <v>114148600.300841</v>
      </c>
      <c r="V25" s="81">
        <v>114951520.60811535</v>
      </c>
      <c r="W25" s="81">
        <v>115699610.30292284</v>
      </c>
      <c r="X25" s="81">
        <v>116395236.66191095</v>
      </c>
      <c r="Y25" s="81">
        <v>117041036.56607795</v>
      </c>
      <c r="Z25" s="81">
        <v>117639830.6307781</v>
      </c>
      <c r="AA25" s="81">
        <v>118084540.25379831</v>
      </c>
      <c r="AB25" s="81">
        <v>118488911.77430853</v>
      </c>
      <c r="AC25" s="81">
        <v>118856758.65673997</v>
      </c>
      <c r="AD25" s="81">
        <v>119192063.0909207</v>
      </c>
      <c r="AE25" s="81">
        <v>119499220.08741328</v>
      </c>
      <c r="AF25" s="81">
        <v>119782756.7016744</v>
      </c>
      <c r="AG25" s="81">
        <v>120047626.78841034</v>
      </c>
      <c r="AH25" s="81">
        <v>120298975.67903785</v>
      </c>
      <c r="AI25" s="81">
        <v>120542267.02203642</v>
      </c>
      <c r="AJ25" s="81">
        <v>120783339.71831371</v>
      </c>
      <c r="AK25" s="81">
        <v>121056204.04319334</v>
      </c>
      <c r="AL25" s="81">
        <v>121339238.15718898</v>
      </c>
      <c r="AM25" s="81">
        <v>121639260.55432001</v>
      </c>
      <c r="AN25" s="81">
        <v>121963321.74972282</v>
      </c>
      <c r="AO25" s="81">
        <v>122318862.49942233</v>
      </c>
      <c r="AP25" s="81">
        <v>122713696.30222833</v>
      </c>
      <c r="AQ25" s="81">
        <v>123155938.55801372</v>
      </c>
      <c r="AR25" s="81">
        <v>123654117.11166334</v>
      </c>
      <c r="AS25" s="81">
        <v>124217127.87431505</v>
      </c>
      <c r="AT25" s="81">
        <v>124854241.80789545</v>
      </c>
    </row>
    <row r="26" spans="1:46" ht="15.75">
      <c r="A26" s="81" t="s">
        <v>450</v>
      </c>
      <c r="B26" s="80">
        <v>140900</v>
      </c>
      <c r="C26" s="80" t="s">
        <v>437</v>
      </c>
      <c r="D26" s="84" t="s">
        <v>808</v>
      </c>
      <c r="E26" s="81">
        <v>49553543.959169582</v>
      </c>
      <c r="F26" s="81">
        <v>50898477.67541723</v>
      </c>
      <c r="G26" s="81">
        <v>51943108.45618622</v>
      </c>
      <c r="H26" s="81">
        <v>52976710.254666902</v>
      </c>
      <c r="I26" s="81">
        <v>53997119.484960049</v>
      </c>
      <c r="J26" s="81">
        <v>55002195.9581035</v>
      </c>
      <c r="K26" s="81">
        <v>55989970.153304853</v>
      </c>
      <c r="L26" s="81">
        <v>56958494.380504817</v>
      </c>
      <c r="M26" s="81">
        <v>57905992.678538248</v>
      </c>
      <c r="N26" s="81">
        <v>58830790.802856117</v>
      </c>
      <c r="O26" s="81">
        <v>59731325.130792134</v>
      </c>
      <c r="P26" s="81">
        <v>60606216.317612402</v>
      </c>
      <c r="Q26" s="81">
        <v>61194408.561563544</v>
      </c>
      <c r="R26" s="81">
        <v>61752632.489692375</v>
      </c>
      <c r="S26" s="81">
        <v>62280372.832037136</v>
      </c>
      <c r="T26" s="81">
        <v>62777317.694289602</v>
      </c>
      <c r="U26" s="81">
        <v>63243366.685578234</v>
      </c>
      <c r="V26" s="81">
        <v>63678616.529188417</v>
      </c>
      <c r="W26" s="81">
        <v>64083322.896067172</v>
      </c>
      <c r="X26" s="81">
        <v>64458020.927983165</v>
      </c>
      <c r="Y26" s="81">
        <v>64803396.616406567</v>
      </c>
      <c r="Z26" s="81">
        <v>65120431.718188971</v>
      </c>
      <c r="AA26" s="81">
        <v>65349318.784398481</v>
      </c>
      <c r="AB26" s="81">
        <v>65552556.309025615</v>
      </c>
      <c r="AC26" s="81">
        <v>65731943.329927795</v>
      </c>
      <c r="AD26" s="81">
        <v>65889434.474110581</v>
      </c>
      <c r="AE26" s="81">
        <v>66027312.731510386</v>
      </c>
      <c r="AF26" s="81">
        <v>66148101.779643118</v>
      </c>
      <c r="AG26" s="81">
        <v>66254596.803455375</v>
      </c>
      <c r="AH26" s="81">
        <v>66349871.726824872</v>
      </c>
      <c r="AI26" s="81">
        <v>66437261.711241692</v>
      </c>
      <c r="AJ26" s="81">
        <v>66520494.508894213</v>
      </c>
      <c r="AK26" s="81">
        <v>66618824.654619806</v>
      </c>
      <c r="AL26" s="81">
        <v>66721152.942393355</v>
      </c>
      <c r="AM26" s="81">
        <v>66832065.331259139</v>
      </c>
      <c r="AN26" s="81">
        <v>66956450.026716925</v>
      </c>
      <c r="AO26" s="81">
        <v>67099582.09209647</v>
      </c>
      <c r="AP26" s="81">
        <v>67267107.251085788</v>
      </c>
      <c r="AQ26" s="81">
        <v>67464946.183898881</v>
      </c>
      <c r="AR26" s="81">
        <v>67699458.238972813</v>
      </c>
      <c r="AS26" s="81">
        <v>67977319.685852453</v>
      </c>
      <c r="AT26" s="81">
        <v>68305610.428450048</v>
      </c>
    </row>
    <row r="27" spans="1:46" ht="15.75">
      <c r="A27" s="81" t="s">
        <v>450</v>
      </c>
      <c r="B27" s="80">
        <v>141000</v>
      </c>
      <c r="C27" s="80" t="s">
        <v>437</v>
      </c>
      <c r="D27" s="84" t="s">
        <v>807</v>
      </c>
      <c r="E27" s="81">
        <v>73008549.042473346</v>
      </c>
      <c r="F27" s="81">
        <v>75253423.420678511</v>
      </c>
      <c r="G27" s="81">
        <v>77038570.025857806</v>
      </c>
      <c r="H27" s="81">
        <v>78791516.153997794</v>
      </c>
      <c r="I27" s="81">
        <v>80510404.81708014</v>
      </c>
      <c r="J27" s="81">
        <v>82193393.177043557</v>
      </c>
      <c r="K27" s="81">
        <v>83838835.997944355</v>
      </c>
      <c r="L27" s="81">
        <v>85445196.544021055</v>
      </c>
      <c r="M27" s="81">
        <v>87011094.965480879</v>
      </c>
      <c r="N27" s="81">
        <v>88535296.92364125</v>
      </c>
      <c r="O27" s="81">
        <v>90016722.022224694</v>
      </c>
      <c r="P27" s="81">
        <v>91454473.888479084</v>
      </c>
      <c r="Q27" s="81">
        <v>92455287.241214588</v>
      </c>
      <c r="R27" s="81">
        <v>93407219.072374776</v>
      </c>
      <c r="S27" s="81">
        <v>94310524.799106613</v>
      </c>
      <c r="T27" s="81">
        <v>95165767.845073253</v>
      </c>
      <c r="U27" s="81">
        <v>95973651.418492049</v>
      </c>
      <c r="V27" s="81">
        <v>96735045.269460186</v>
      </c>
      <c r="W27" s="81">
        <v>97451081.930203408</v>
      </c>
      <c r="X27" s="81">
        <v>98123027.659947395</v>
      </c>
      <c r="Y27" s="81">
        <v>98752447.895812482</v>
      </c>
      <c r="Z27" s="81">
        <v>99341053.736560374</v>
      </c>
      <c r="AA27" s="81">
        <v>99797688.784088224</v>
      </c>
      <c r="AB27" s="81">
        <v>100217677.50557901</v>
      </c>
      <c r="AC27" s="81">
        <v>100603531.12217321</v>
      </c>
      <c r="AD27" s="81">
        <v>100958084.6827334</v>
      </c>
      <c r="AE27" s="81">
        <v>101284288.68920714</v>
      </c>
      <c r="AF27" s="81">
        <v>101585478.06333429</v>
      </c>
      <c r="AG27" s="81">
        <v>101865113.64204085</v>
      </c>
      <c r="AH27" s="81">
        <v>102127030.20222357</v>
      </c>
      <c r="AI27" s="81">
        <v>102375272.83249672</v>
      </c>
      <c r="AJ27" s="81">
        <v>102614126.14728345</v>
      </c>
      <c r="AK27" s="81">
        <v>102871936.27720723</v>
      </c>
      <c r="AL27" s="81">
        <v>103129818.41711256</v>
      </c>
      <c r="AM27" s="81">
        <v>103392967.58691779</v>
      </c>
      <c r="AN27" s="81">
        <v>103666796.70874186</v>
      </c>
      <c r="AO27" s="81">
        <v>103957147.0374776</v>
      </c>
      <c r="AP27" s="81">
        <v>104270116.94376463</v>
      </c>
      <c r="AQ27" s="81">
        <v>104612119.0434563</v>
      </c>
      <c r="AR27" s="81">
        <v>104989913.11891299</v>
      </c>
      <c r="AS27" s="81">
        <v>105410613.61982583</v>
      </c>
      <c r="AT27" s="81">
        <v>105881590.38415027</v>
      </c>
    </row>
    <row r="28" spans="1:46" ht="15.75">
      <c r="A28" s="81" t="s">
        <v>450</v>
      </c>
      <c r="B28" s="80">
        <v>141100</v>
      </c>
      <c r="C28" s="80" t="s">
        <v>437</v>
      </c>
      <c r="D28" s="84" t="s">
        <v>806</v>
      </c>
      <c r="E28" s="81">
        <v>62345225.697297119</v>
      </c>
      <c r="F28" s="81">
        <v>64313804.49266284</v>
      </c>
      <c r="G28" s="81">
        <v>65906939.355049312</v>
      </c>
      <c r="H28" s="81">
        <v>67488470.181027398</v>
      </c>
      <c r="I28" s="81">
        <v>69055537.42257528</v>
      </c>
      <c r="J28" s="81">
        <v>70605363.942969963</v>
      </c>
      <c r="K28" s="81">
        <v>72135286.003703699</v>
      </c>
      <c r="L28" s="81">
        <v>73642785.987031534</v>
      </c>
      <c r="M28" s="81">
        <v>75125464.647205576</v>
      </c>
      <c r="N28" s="81">
        <v>76581094.420024484</v>
      </c>
      <c r="O28" s="81">
        <v>78007590.986616567</v>
      </c>
      <c r="P28" s="81">
        <v>79403067.997774422</v>
      </c>
      <c r="Q28" s="81">
        <v>80424406.573507011</v>
      </c>
      <c r="R28" s="81">
        <v>81406766.441142306</v>
      </c>
      <c r="S28" s="81">
        <v>82349424.873041123</v>
      </c>
      <c r="T28" s="81">
        <v>83251930.229061976</v>
      </c>
      <c r="U28" s="81">
        <v>84114000.657285035</v>
      </c>
      <c r="V28" s="81">
        <v>84935688.824885249</v>
      </c>
      <c r="W28" s="81">
        <v>85717189.679773927</v>
      </c>
      <c r="X28" s="81">
        <v>86459074.991811112</v>
      </c>
      <c r="Y28" s="81">
        <v>87162122.13344948</v>
      </c>
      <c r="Z28" s="81">
        <v>87827390.921378657</v>
      </c>
      <c r="AA28" s="81">
        <v>88373762.880209625</v>
      </c>
      <c r="AB28" s="81">
        <v>88885139.634868354</v>
      </c>
      <c r="AC28" s="81">
        <v>89363559.599268511</v>
      </c>
      <c r="AD28" s="81">
        <v>89811467.878885657</v>
      </c>
      <c r="AE28" s="81">
        <v>90231535.187137753</v>
      </c>
      <c r="AF28" s="81">
        <v>90626833.594659194</v>
      </c>
      <c r="AG28" s="81">
        <v>91000750.06421116</v>
      </c>
      <c r="AH28" s="81">
        <v>91356994.673940927</v>
      </c>
      <c r="AI28" s="81">
        <v>91699683.308691397</v>
      </c>
      <c r="AJ28" s="81">
        <v>92033248.660024881</v>
      </c>
      <c r="AK28" s="81">
        <v>92383869.354223371</v>
      </c>
      <c r="AL28" s="81">
        <v>92735426.81600219</v>
      </c>
      <c r="AM28" s="81">
        <v>93093562.36134699</v>
      </c>
      <c r="AN28" s="81">
        <v>93464301.491446733</v>
      </c>
      <c r="AO28" s="81">
        <v>93854063.02047807</v>
      </c>
      <c r="AP28" s="81">
        <v>94269772.300891355</v>
      </c>
      <c r="AQ28" s="81">
        <v>94718690.757282794</v>
      </c>
      <c r="AR28" s="81">
        <v>95208633.482597008</v>
      </c>
      <c r="AS28" s="81">
        <v>95747797.372417673</v>
      </c>
      <c r="AT28" s="81">
        <v>96344902.459760845</v>
      </c>
    </row>
    <row r="29" spans="1:46" ht="15.75">
      <c r="A29" s="81" t="s">
        <v>450</v>
      </c>
      <c r="B29" s="80">
        <v>150100</v>
      </c>
      <c r="C29" s="80" t="s">
        <v>436</v>
      </c>
      <c r="D29" s="84" t="s">
        <v>805</v>
      </c>
      <c r="E29" s="81">
        <v>75525196.635742128</v>
      </c>
      <c r="F29" s="81">
        <v>77775694.47891286</v>
      </c>
      <c r="G29" s="81">
        <v>79508977.549433112</v>
      </c>
      <c r="H29" s="81">
        <v>81171791.027125537</v>
      </c>
      <c r="I29" s="81">
        <v>82766491.600784525</v>
      </c>
      <c r="J29" s="81">
        <v>84295596.886104703</v>
      </c>
      <c r="K29" s="81">
        <v>85761612.50793381</v>
      </c>
      <c r="L29" s="81">
        <v>87167139.039980382</v>
      </c>
      <c r="M29" s="81">
        <v>88514790.198180392</v>
      </c>
      <c r="N29" s="81">
        <v>89807180.366790608</v>
      </c>
      <c r="O29" s="81">
        <v>91046962.651822284</v>
      </c>
      <c r="P29" s="81">
        <v>92236793.470624879</v>
      </c>
      <c r="Q29" s="81">
        <v>92984550.692684218</v>
      </c>
      <c r="R29" s="81">
        <v>93685811.113920882</v>
      </c>
      <c r="S29" s="81">
        <v>94343667.3925706</v>
      </c>
      <c r="T29" s="81">
        <v>94961208.8845817</v>
      </c>
      <c r="U29" s="81">
        <v>95541357.135154575</v>
      </c>
      <c r="V29" s="81">
        <v>96086855.377173021</v>
      </c>
      <c r="W29" s="81">
        <v>96600448.128650457</v>
      </c>
      <c r="X29" s="81">
        <v>97084576.665026471</v>
      </c>
      <c r="Y29" s="81">
        <v>97541639.928391412</v>
      </c>
      <c r="Z29" s="81">
        <v>97973823.086957559</v>
      </c>
      <c r="AA29" s="81">
        <v>98291418.870410144</v>
      </c>
      <c r="AB29" s="81">
        <v>98588168.766900256</v>
      </c>
      <c r="AC29" s="81">
        <v>98865832.355216846</v>
      </c>
      <c r="AD29" s="81">
        <v>99125911.025068343</v>
      </c>
      <c r="AE29" s="81">
        <v>99369637.782495499</v>
      </c>
      <c r="AF29" s="81">
        <v>99598111.872313708</v>
      </c>
      <c r="AG29" s="81">
        <v>99812176.53806293</v>
      </c>
      <c r="AH29" s="81">
        <v>100012438.89653696</v>
      </c>
      <c r="AI29" s="81">
        <v>100199231.74910356</v>
      </c>
      <c r="AJ29" s="81">
        <v>100372633.6623836</v>
      </c>
      <c r="AK29" s="81">
        <v>100555667.09318195</v>
      </c>
      <c r="AL29" s="81">
        <v>100724641.63530365</v>
      </c>
      <c r="AM29" s="81">
        <v>100878751.21034971</v>
      </c>
      <c r="AN29" s="81">
        <v>101016989.11332634</v>
      </c>
      <c r="AO29" s="81">
        <v>101138018.42706269</v>
      </c>
      <c r="AP29" s="81">
        <v>101240192.42997694</v>
      </c>
      <c r="AQ29" s="81">
        <v>101321482.489868</v>
      </c>
      <c r="AR29" s="81">
        <v>101379623.36696719</v>
      </c>
      <c r="AS29" s="81">
        <v>101411948.2975709</v>
      </c>
      <c r="AT29" s="81">
        <v>101415472.50505297</v>
      </c>
    </row>
    <row r="30" spans="1:46" ht="15.75">
      <c r="A30" s="81" t="s">
        <v>450</v>
      </c>
      <c r="B30" s="80">
        <v>150200</v>
      </c>
      <c r="C30" s="80" t="s">
        <v>436</v>
      </c>
      <c r="D30" s="84" t="s">
        <v>804</v>
      </c>
      <c r="E30" s="81">
        <v>53796428.331289411</v>
      </c>
      <c r="F30" s="81">
        <v>55260578.698011287</v>
      </c>
      <c r="G30" s="81">
        <v>56360834.519798286</v>
      </c>
      <c r="H30" s="81">
        <v>57414665.532633953</v>
      </c>
      <c r="I30" s="81">
        <v>58423122.237372957</v>
      </c>
      <c r="J30" s="81">
        <v>59387259.432777613</v>
      </c>
      <c r="K30" s="81">
        <v>60308259.164440989</v>
      </c>
      <c r="L30" s="81">
        <v>61187254.687768325</v>
      </c>
      <c r="M30" s="81">
        <v>62025476.139006123</v>
      </c>
      <c r="N30" s="81">
        <v>62824204.229590833</v>
      </c>
      <c r="O30" s="81">
        <v>63584674.607195415</v>
      </c>
      <c r="P30" s="81">
        <v>64308230.611178108</v>
      </c>
      <c r="Q30" s="81">
        <v>64721446.051622115</v>
      </c>
      <c r="R30" s="81">
        <v>65100055.004405297</v>
      </c>
      <c r="S30" s="81">
        <v>65445842.314781658</v>
      </c>
      <c r="T30" s="81">
        <v>65760575.707089968</v>
      </c>
      <c r="U30" s="81">
        <v>66045930.219191559</v>
      </c>
      <c r="V30" s="81">
        <v>66303579.670342661</v>
      </c>
      <c r="W30" s="81">
        <v>66535145.354643725</v>
      </c>
      <c r="X30" s="81">
        <v>66742191.872941747</v>
      </c>
      <c r="Y30" s="81">
        <v>66926247.859952368</v>
      </c>
      <c r="Z30" s="81">
        <v>67088777.543214545</v>
      </c>
      <c r="AA30" s="81">
        <v>67168502.245022461</v>
      </c>
      <c r="AB30" s="81">
        <v>67229804.208175257</v>
      </c>
      <c r="AC30" s="81">
        <v>67274048.36717999</v>
      </c>
      <c r="AD30" s="81">
        <v>67302437.092234269</v>
      </c>
      <c r="AE30" s="81">
        <v>67316159.65856272</v>
      </c>
      <c r="AF30" s="81">
        <v>67316259.854822472</v>
      </c>
      <c r="AG30" s="81">
        <v>67303761.97796762</v>
      </c>
      <c r="AH30" s="81">
        <v>67279510.05804795</v>
      </c>
      <c r="AI30" s="81">
        <v>67244321.372197226</v>
      </c>
      <c r="AJ30" s="81">
        <v>67198904.173934057</v>
      </c>
      <c r="AK30" s="81">
        <v>67159352.924731687</v>
      </c>
      <c r="AL30" s="81">
        <v>67110485.465417355</v>
      </c>
      <c r="AM30" s="81">
        <v>67052706.880022839</v>
      </c>
      <c r="AN30" s="81">
        <v>66986242.385293931</v>
      </c>
      <c r="AO30" s="81">
        <v>66911214.387133323</v>
      </c>
      <c r="AP30" s="81">
        <v>66827694.838234916</v>
      </c>
      <c r="AQ30" s="81">
        <v>66735477.671632469</v>
      </c>
      <c r="AR30" s="81">
        <v>66634381.80855789</v>
      </c>
      <c r="AS30" s="81">
        <v>66523966.126986995</v>
      </c>
      <c r="AT30" s="81">
        <v>66403693.567061663</v>
      </c>
    </row>
    <row r="31" spans="1:46" ht="15.75">
      <c r="A31" s="81" t="s">
        <v>450</v>
      </c>
      <c r="B31" s="80">
        <v>150300</v>
      </c>
      <c r="C31" s="80" t="s">
        <v>436</v>
      </c>
      <c r="D31" s="84" t="s">
        <v>803</v>
      </c>
      <c r="E31" s="81">
        <v>10451766.571063349</v>
      </c>
      <c r="F31" s="81">
        <v>10748235.872257935</v>
      </c>
      <c r="G31" s="81">
        <v>10974543.397453707</v>
      </c>
      <c r="H31" s="81">
        <v>11192318.855783354</v>
      </c>
      <c r="I31" s="81">
        <v>11401706.018922225</v>
      </c>
      <c r="J31" s="81">
        <v>11602895.53616371</v>
      </c>
      <c r="K31" s="81">
        <v>11796044.103749488</v>
      </c>
      <c r="L31" s="81">
        <v>11981354.409268418</v>
      </c>
      <c r="M31" s="81">
        <v>12158992.143721605</v>
      </c>
      <c r="N31" s="81">
        <v>12329146.60348952</v>
      </c>
      <c r="O31" s="81">
        <v>12492030.997501684</v>
      </c>
      <c r="P31" s="81">
        <v>12647838.795561573</v>
      </c>
      <c r="Q31" s="81">
        <v>12742689.669744438</v>
      </c>
      <c r="R31" s="81">
        <v>12830647.264882872</v>
      </c>
      <c r="S31" s="81">
        <v>12912055.050724234</v>
      </c>
      <c r="T31" s="81">
        <v>12987181.087201968</v>
      </c>
      <c r="U31" s="81">
        <v>13056283.187847741</v>
      </c>
      <c r="V31" s="81">
        <v>13119631.201841546</v>
      </c>
      <c r="W31" s="81">
        <v>13177483.886218019</v>
      </c>
      <c r="X31" s="81">
        <v>13230064.671879049</v>
      </c>
      <c r="Y31" s="81">
        <v>13277654.410336295</v>
      </c>
      <c r="Z31" s="81">
        <v>13320426.691658229</v>
      </c>
      <c r="AA31" s="81">
        <v>13346153.066178866</v>
      </c>
      <c r="AB31" s="81">
        <v>13367542.253315829</v>
      </c>
      <c r="AC31" s="81">
        <v>13384804.459919384</v>
      </c>
      <c r="AD31" s="81">
        <v>13398083.933572883</v>
      </c>
      <c r="AE31" s="81">
        <v>13407555.062323509</v>
      </c>
      <c r="AF31" s="81">
        <v>13413373.661651233</v>
      </c>
      <c r="AG31" s="81">
        <v>13415676.193161929</v>
      </c>
      <c r="AH31" s="81">
        <v>13414528.707189215</v>
      </c>
      <c r="AI31" s="81">
        <v>13410050.871771881</v>
      </c>
      <c r="AJ31" s="81">
        <v>13402290.333828041</v>
      </c>
      <c r="AK31" s="81">
        <v>13394414.032210214</v>
      </c>
      <c r="AL31" s="81">
        <v>13383304.954811947</v>
      </c>
      <c r="AM31" s="81">
        <v>13368989.600036228</v>
      </c>
      <c r="AN31" s="81">
        <v>13351417.76309978</v>
      </c>
      <c r="AO31" s="81">
        <v>13330565.305193597</v>
      </c>
      <c r="AP31" s="81">
        <v>13306355.445646325</v>
      </c>
      <c r="AQ31" s="81">
        <v>13278683.689537168</v>
      </c>
      <c r="AR31" s="81">
        <v>13247470.707739726</v>
      </c>
      <c r="AS31" s="81">
        <v>13212527.864066022</v>
      </c>
      <c r="AT31" s="81">
        <v>13173689.858628396</v>
      </c>
    </row>
    <row r="32" spans="1:46" ht="15.75">
      <c r="A32" s="81" t="s">
        <v>450</v>
      </c>
      <c r="B32" s="80">
        <v>150400</v>
      </c>
      <c r="C32" s="80" t="s">
        <v>436</v>
      </c>
      <c r="D32" s="84" t="s">
        <v>802</v>
      </c>
      <c r="E32" s="81">
        <v>75956235.905525044</v>
      </c>
      <c r="F32" s="81">
        <v>77932796.339923292</v>
      </c>
      <c r="G32" s="81">
        <v>79426895.393616512</v>
      </c>
      <c r="H32" s="81">
        <v>80883989.586601973</v>
      </c>
      <c r="I32" s="81">
        <v>82302740.317238599</v>
      </c>
      <c r="J32" s="81">
        <v>83681847.536176488</v>
      </c>
      <c r="K32" s="81">
        <v>85020195.927247465</v>
      </c>
      <c r="L32" s="81">
        <v>86316698.88556543</v>
      </c>
      <c r="M32" s="81">
        <v>87570447.231313914</v>
      </c>
      <c r="N32" s="81">
        <v>88780569.160797969</v>
      </c>
      <c r="O32" s="81">
        <v>89946382.834354803</v>
      </c>
      <c r="P32" s="81">
        <v>91067296.652948484</v>
      </c>
      <c r="Q32" s="81">
        <v>91753361.848316014</v>
      </c>
      <c r="R32" s="81">
        <v>92392437.568633124</v>
      </c>
      <c r="S32" s="81">
        <v>92984974.682339579</v>
      </c>
      <c r="T32" s="81">
        <v>93531558.927327722</v>
      </c>
      <c r="U32" s="81">
        <v>94032892.172103822</v>
      </c>
      <c r="V32" s="81">
        <v>94489818.754292533</v>
      </c>
      <c r="W32" s="81">
        <v>94903329.701154247</v>
      </c>
      <c r="X32" s="81">
        <v>95274590.426325008</v>
      </c>
      <c r="Y32" s="81">
        <v>95604875.096844092</v>
      </c>
      <c r="Z32" s="81">
        <v>95895592.932215273</v>
      </c>
      <c r="AA32" s="81">
        <v>96058720.064677671</v>
      </c>
      <c r="AB32" s="81">
        <v>96186141.426326036</v>
      </c>
      <c r="AC32" s="81">
        <v>96279881.035117179</v>
      </c>
      <c r="AD32" s="81">
        <v>96342105.582161233</v>
      </c>
      <c r="AE32" s="81">
        <v>96375152.174262181</v>
      </c>
      <c r="AF32" s="81">
        <v>96381557.102383405</v>
      </c>
      <c r="AG32" s="81">
        <v>96363985.783920437</v>
      </c>
      <c r="AH32" s="81">
        <v>96325310.527159005</v>
      </c>
      <c r="AI32" s="81">
        <v>96268564.833343044</v>
      </c>
      <c r="AJ32" s="81">
        <v>96196972.126131639</v>
      </c>
      <c r="AK32" s="81">
        <v>96136111.188220173</v>
      </c>
      <c r="AL32" s="81">
        <v>96067272.32093443</v>
      </c>
      <c r="AM32" s="81">
        <v>95994195.320228174</v>
      </c>
      <c r="AN32" s="81">
        <v>95920906.725854903</v>
      </c>
      <c r="AO32" s="81">
        <v>95851647.850976273</v>
      </c>
      <c r="AP32" s="81">
        <v>95790799.661380276</v>
      </c>
      <c r="AQ32" s="81">
        <v>95743018.166959316</v>
      </c>
      <c r="AR32" s="81">
        <v>95713186.967133716</v>
      </c>
      <c r="AS32" s="81">
        <v>95706394.758968264</v>
      </c>
      <c r="AT32" s="81">
        <v>95727939.049088061</v>
      </c>
    </row>
    <row r="33" spans="1:46" ht="15.75">
      <c r="A33" s="81" t="s">
        <v>450</v>
      </c>
      <c r="B33" s="80">
        <v>150500</v>
      </c>
      <c r="C33" s="80" t="s">
        <v>436</v>
      </c>
      <c r="D33" s="84" t="s">
        <v>801</v>
      </c>
      <c r="E33" s="81">
        <v>53958998.904112801</v>
      </c>
      <c r="F33" s="81">
        <v>55479972.771437332</v>
      </c>
      <c r="G33" s="81">
        <v>56654636.131423526</v>
      </c>
      <c r="H33" s="81">
        <v>57799652.196900778</v>
      </c>
      <c r="I33" s="81">
        <v>58914328.055362396</v>
      </c>
      <c r="J33" s="81">
        <v>59997966.520118423</v>
      </c>
      <c r="K33" s="81">
        <v>61049987.859416381</v>
      </c>
      <c r="L33" s="81">
        <v>62069873.045055263</v>
      </c>
      <c r="M33" s="81">
        <v>63057165.734981507</v>
      </c>
      <c r="N33" s="81">
        <v>64011517.145926557</v>
      </c>
      <c r="O33" s="81">
        <v>64932647.370803937</v>
      </c>
      <c r="P33" s="81">
        <v>65820325.461747073</v>
      </c>
      <c r="Q33" s="81">
        <v>66392626.899543747</v>
      </c>
      <c r="R33" s="81">
        <v>66929783.799581759</v>
      </c>
      <c r="S33" s="81">
        <v>67432278.205756947</v>
      </c>
      <c r="T33" s="81">
        <v>67900789.187766016</v>
      </c>
      <c r="U33" s="81">
        <v>68335947.920189217</v>
      </c>
      <c r="V33" s="81">
        <v>68738565.165792972</v>
      </c>
      <c r="W33" s="81">
        <v>69109497.725282103</v>
      </c>
      <c r="X33" s="81">
        <v>69449672.357859761</v>
      </c>
      <c r="Y33" s="81">
        <v>69760110.812082678</v>
      </c>
      <c r="Z33" s="81">
        <v>70041932.175378487</v>
      </c>
      <c r="AA33" s="81">
        <v>70230797.17849122</v>
      </c>
      <c r="AB33" s="81">
        <v>70393779.574949488</v>
      </c>
      <c r="AC33" s="81">
        <v>70532320.834613606</v>
      </c>
      <c r="AD33" s="81">
        <v>70648010.071765482</v>
      </c>
      <c r="AE33" s="81">
        <v>70742440.02444011</v>
      </c>
      <c r="AF33" s="81">
        <v>70817404.241588876</v>
      </c>
      <c r="AG33" s="81">
        <v>70874677.866496176</v>
      </c>
      <c r="AH33" s="81">
        <v>70916216.677853405</v>
      </c>
      <c r="AI33" s="81">
        <v>70944035.262452245</v>
      </c>
      <c r="AJ33" s="81">
        <v>70960309.400944933</v>
      </c>
      <c r="AK33" s="81">
        <v>70983608.194517285</v>
      </c>
      <c r="AL33" s="81">
        <v>70999766.545095459</v>
      </c>
      <c r="AM33" s="81">
        <v>71011276.738889858</v>
      </c>
      <c r="AN33" s="81">
        <v>71020674.764457867</v>
      </c>
      <c r="AO33" s="81">
        <v>71030619.076674685</v>
      </c>
      <c r="AP33" s="81">
        <v>71043919.497749075</v>
      </c>
      <c r="AQ33" s="81">
        <v>71063433.648016036</v>
      </c>
      <c r="AR33" s="81">
        <v>71092201.120919719</v>
      </c>
      <c r="AS33" s="81">
        <v>71133393.550025359</v>
      </c>
      <c r="AT33" s="81">
        <v>71190235.287949845</v>
      </c>
    </row>
    <row r="34" spans="1:46" ht="15.75">
      <c r="A34" s="81" t="s">
        <v>450</v>
      </c>
      <c r="B34" s="80">
        <v>150600</v>
      </c>
      <c r="C34" s="80" t="s">
        <v>436</v>
      </c>
      <c r="D34" s="84" t="s">
        <v>800</v>
      </c>
      <c r="E34" s="81">
        <v>42678619.83721903</v>
      </c>
      <c r="F34" s="81">
        <v>43926220.227546751</v>
      </c>
      <c r="G34" s="81">
        <v>44888778.789682873</v>
      </c>
      <c r="H34" s="81">
        <v>45818440.319509216</v>
      </c>
      <c r="I34" s="81">
        <v>46716279.308059908</v>
      </c>
      <c r="J34" s="81">
        <v>47583330.177956186</v>
      </c>
      <c r="K34" s="81">
        <v>48420708.501561001</v>
      </c>
      <c r="L34" s="81">
        <v>49229477.359703943</v>
      </c>
      <c r="M34" s="81">
        <v>50010749.367896006</v>
      </c>
      <c r="N34" s="81">
        <v>50765593.323454872</v>
      </c>
      <c r="O34" s="81">
        <v>51495048.561622575</v>
      </c>
      <c r="P34" s="81">
        <v>52200164.118135117</v>
      </c>
      <c r="Q34" s="81">
        <v>52658421.604409799</v>
      </c>
      <c r="R34" s="81">
        <v>53092934.222486913</v>
      </c>
      <c r="S34" s="81">
        <v>53505002.686428435</v>
      </c>
      <c r="T34" s="81">
        <v>53895745.324774101</v>
      </c>
      <c r="U34" s="81">
        <v>54266258.239737026</v>
      </c>
      <c r="V34" s="81">
        <v>54617564.190121561</v>
      </c>
      <c r="W34" s="81">
        <v>54950509.995188989</v>
      </c>
      <c r="X34" s="81">
        <v>55265956.257559761</v>
      </c>
      <c r="Y34" s="81">
        <v>55564627.079570562</v>
      </c>
      <c r="Z34" s="81">
        <v>55847103.57952553</v>
      </c>
      <c r="AA34" s="81">
        <v>56061561.794281751</v>
      </c>
      <c r="AB34" s="81">
        <v>56260809.917335689</v>
      </c>
      <c r="AC34" s="81">
        <v>56445109.800895318</v>
      </c>
      <c r="AD34" s="81">
        <v>56614685.057580121</v>
      </c>
      <c r="AE34" s="81">
        <v>56769589.344420224</v>
      </c>
      <c r="AF34" s="81">
        <v>56909726.507010236</v>
      </c>
      <c r="AG34" s="81">
        <v>57034898.093580991</v>
      </c>
      <c r="AH34" s="81">
        <v>57144773.300306194</v>
      </c>
      <c r="AI34" s="81">
        <v>57238777.635176957</v>
      </c>
      <c r="AJ34" s="81">
        <v>57316327.013521791</v>
      </c>
      <c r="AK34" s="81">
        <v>57389801.664461128</v>
      </c>
      <c r="AL34" s="81">
        <v>57444897.314155445</v>
      </c>
      <c r="AM34" s="81">
        <v>57480481.052660309</v>
      </c>
      <c r="AN34" s="81">
        <v>57495202.581622057</v>
      </c>
      <c r="AO34" s="81">
        <v>57487570.96926412</v>
      </c>
      <c r="AP34" s="81">
        <v>57455838.547728434</v>
      </c>
      <c r="AQ34" s="81">
        <v>57398105.957927831</v>
      </c>
      <c r="AR34" s="81">
        <v>57312346.457717091</v>
      </c>
      <c r="AS34" s="81">
        <v>57196231.163993821</v>
      </c>
      <c r="AT34" s="81">
        <v>57047264.044654377</v>
      </c>
    </row>
    <row r="35" spans="1:46" ht="15.75">
      <c r="A35" s="81" t="s">
        <v>450</v>
      </c>
      <c r="B35" s="80">
        <v>150700</v>
      </c>
      <c r="C35" s="80" t="s">
        <v>436</v>
      </c>
      <c r="D35" s="84" t="s">
        <v>799</v>
      </c>
      <c r="E35" s="81">
        <v>42177568.433194563</v>
      </c>
      <c r="F35" s="81">
        <v>43308631.31575083</v>
      </c>
      <c r="G35" s="81">
        <v>44152842.51071927</v>
      </c>
      <c r="H35" s="81">
        <v>44958734.031448767</v>
      </c>
      <c r="I35" s="81">
        <v>45726810.722800232</v>
      </c>
      <c r="J35" s="81">
        <v>46457562.513210244</v>
      </c>
      <c r="K35" s="81">
        <v>47151602.283323318</v>
      </c>
      <c r="L35" s="81">
        <v>47809522.299925685</v>
      </c>
      <c r="M35" s="81">
        <v>48432035.703135304</v>
      </c>
      <c r="N35" s="81">
        <v>49019850.556080341</v>
      </c>
      <c r="O35" s="81">
        <v>49573751.220020764</v>
      </c>
      <c r="P35" s="81">
        <v>50094532.319506697</v>
      </c>
      <c r="Q35" s="81">
        <v>50369252.548132963</v>
      </c>
      <c r="R35" s="81">
        <v>50612803.53432034</v>
      </c>
      <c r="S35" s="81">
        <v>50826457.576664403</v>
      </c>
      <c r="T35" s="81">
        <v>51011569.455995061</v>
      </c>
      <c r="U35" s="81">
        <v>51169463.541384608</v>
      </c>
      <c r="V35" s="81">
        <v>51301430.752251752</v>
      </c>
      <c r="W35" s="81">
        <v>51408795.231972724</v>
      </c>
      <c r="X35" s="81">
        <v>51492913.993438095</v>
      </c>
      <c r="Y35" s="81">
        <v>51555058.453076422</v>
      </c>
      <c r="Z35" s="81">
        <v>51596576.054503292</v>
      </c>
      <c r="AA35" s="81">
        <v>51570632.316280745</v>
      </c>
      <c r="AB35" s="81">
        <v>51527114.348714694</v>
      </c>
      <c r="AC35" s="81">
        <v>51467345.753213532</v>
      </c>
      <c r="AD35" s="81">
        <v>51392668.205031738</v>
      </c>
      <c r="AE35" s="81">
        <v>51304342.467263311</v>
      </c>
      <c r="AF35" s="81">
        <v>51203668.579969086</v>
      </c>
      <c r="AG35" s="81">
        <v>51091886.335367493</v>
      </c>
      <c r="AH35" s="81">
        <v>50970222.525946349</v>
      </c>
      <c r="AI35" s="81">
        <v>50839864.273979872</v>
      </c>
      <c r="AJ35" s="81">
        <v>50701982.272934109</v>
      </c>
      <c r="AK35" s="81">
        <v>50569425.777993836</v>
      </c>
      <c r="AL35" s="81">
        <v>50431434.183850892</v>
      </c>
      <c r="AM35" s="81">
        <v>50289143.960803494</v>
      </c>
      <c r="AN35" s="81">
        <v>50143592.608098462</v>
      </c>
      <c r="AO35" s="81">
        <v>49995740.829042457</v>
      </c>
      <c r="AP35" s="81">
        <v>49846601.866176538</v>
      </c>
      <c r="AQ35" s="81">
        <v>49697082.335665368</v>
      </c>
      <c r="AR35" s="81">
        <v>49548085.524081573</v>
      </c>
      <c r="AS35" s="81">
        <v>49400483.604834974</v>
      </c>
      <c r="AT35" s="81">
        <v>49255034.253802255</v>
      </c>
    </row>
    <row r="36" spans="1:46" ht="15.75">
      <c r="A36" s="81" t="s">
        <v>450</v>
      </c>
      <c r="B36" s="80">
        <v>150800</v>
      </c>
      <c r="C36" s="80" t="s">
        <v>436</v>
      </c>
      <c r="D36" s="84" t="s">
        <v>798</v>
      </c>
      <c r="E36" s="81">
        <v>28929299.443764754</v>
      </c>
      <c r="F36" s="81">
        <v>29712060.123165067</v>
      </c>
      <c r="G36" s="81">
        <v>30299064.589504946</v>
      </c>
      <c r="H36" s="81">
        <v>30860748.479291335</v>
      </c>
      <c r="I36" s="81">
        <v>31397450.612627298</v>
      </c>
      <c r="J36" s="81">
        <v>31909500.154842559</v>
      </c>
      <c r="K36" s="81">
        <v>32397253.520755246</v>
      </c>
      <c r="L36" s="81">
        <v>32861134.415308595</v>
      </c>
      <c r="M36" s="81">
        <v>33301592.398825586</v>
      </c>
      <c r="N36" s="81">
        <v>33719058.212679647</v>
      </c>
      <c r="O36" s="81">
        <v>34114047.762774855</v>
      </c>
      <c r="P36" s="81">
        <v>34487076.387184471</v>
      </c>
      <c r="Q36" s="81">
        <v>34691425.686292768</v>
      </c>
      <c r="R36" s="81">
        <v>34874901.744006947</v>
      </c>
      <c r="S36" s="81">
        <v>35038345.935198687</v>
      </c>
      <c r="T36" s="81">
        <v>35182639.428175621</v>
      </c>
      <c r="U36" s="81">
        <v>35308589.174036346</v>
      </c>
      <c r="V36" s="81">
        <v>35417062.144821323</v>
      </c>
      <c r="W36" s="81">
        <v>35508893.62453685</v>
      </c>
      <c r="X36" s="81">
        <v>35584908.261691295</v>
      </c>
      <c r="Y36" s="81">
        <v>35645965.821620584</v>
      </c>
      <c r="Z36" s="81">
        <v>35692866.311167702</v>
      </c>
      <c r="AA36" s="81">
        <v>35693124.248523504</v>
      </c>
      <c r="AB36" s="81">
        <v>35681163.140410446</v>
      </c>
      <c r="AC36" s="81">
        <v>35657812.110932216</v>
      </c>
      <c r="AD36" s="81">
        <v>35623878.518027328</v>
      </c>
      <c r="AE36" s="81">
        <v>35580146.529780731</v>
      </c>
      <c r="AF36" s="81">
        <v>35527425.281207234</v>
      </c>
      <c r="AG36" s="81">
        <v>35466449.227187939</v>
      </c>
      <c r="AH36" s="81">
        <v>35398000.669961259</v>
      </c>
      <c r="AI36" s="81">
        <v>35322784.284228981</v>
      </c>
      <c r="AJ36" s="81">
        <v>35241474.879173011</v>
      </c>
      <c r="AK36" s="81">
        <v>35162907.938723147</v>
      </c>
      <c r="AL36" s="81">
        <v>35079510.066768147</v>
      </c>
      <c r="AM36" s="81">
        <v>34991909.457165949</v>
      </c>
      <c r="AN36" s="81">
        <v>34900700.217745095</v>
      </c>
      <c r="AO36" s="81">
        <v>34806440.745939828</v>
      </c>
      <c r="AP36" s="81">
        <v>34709705.153445981</v>
      </c>
      <c r="AQ36" s="81">
        <v>34610976.546973377</v>
      </c>
      <c r="AR36" s="81">
        <v>34510751.13423977</v>
      </c>
      <c r="AS36" s="81">
        <v>34409457.1135948</v>
      </c>
      <c r="AT36" s="81">
        <v>34307533.828023262</v>
      </c>
    </row>
    <row r="37" spans="1:46" ht="15.75">
      <c r="A37" s="81" t="s">
        <v>450</v>
      </c>
      <c r="B37" s="80">
        <v>150900</v>
      </c>
      <c r="C37" s="80" t="s">
        <v>436</v>
      </c>
      <c r="D37" s="84" t="s">
        <v>797</v>
      </c>
      <c r="E37" s="81">
        <v>32183801.834929053</v>
      </c>
      <c r="F37" s="81">
        <v>32947821.726063553</v>
      </c>
      <c r="G37" s="81">
        <v>33501136.79004997</v>
      </c>
      <c r="H37" s="81">
        <v>34032851.260830827</v>
      </c>
      <c r="I37" s="81">
        <v>34542748.82474377</v>
      </c>
      <c r="J37" s="81">
        <v>35030707.847800069</v>
      </c>
      <c r="K37" s="81">
        <v>35496582.096057564</v>
      </c>
      <c r="L37" s="81">
        <v>35940343.543345764</v>
      </c>
      <c r="M37" s="81">
        <v>36361982.420555182</v>
      </c>
      <c r="N37" s="81">
        <v>36761570.726132967</v>
      </c>
      <c r="O37" s="81">
        <v>37139243.771641873</v>
      </c>
      <c r="P37" s="81">
        <v>37495136.170798689</v>
      </c>
      <c r="Q37" s="81">
        <v>37669595.661814585</v>
      </c>
      <c r="R37" s="81">
        <v>37823215.841883831</v>
      </c>
      <c r="S37" s="81">
        <v>37956582.887653887</v>
      </c>
      <c r="T37" s="81">
        <v>38070382.308204412</v>
      </c>
      <c r="U37" s="81">
        <v>38165310.471253686</v>
      </c>
      <c r="V37" s="81">
        <v>38242166.305436455</v>
      </c>
      <c r="W37" s="81">
        <v>38301761.393968374</v>
      </c>
      <c r="X37" s="81">
        <v>38344942.850330524</v>
      </c>
      <c r="Y37" s="81">
        <v>38372688.154762782</v>
      </c>
      <c r="Z37" s="81">
        <v>38385942.58246959</v>
      </c>
      <c r="AA37" s="81">
        <v>38349962.35633041</v>
      </c>
      <c r="AB37" s="81">
        <v>38302014.662443116</v>
      </c>
      <c r="AC37" s="81">
        <v>38243332.933233306</v>
      </c>
      <c r="AD37" s="81">
        <v>38175090.639351703</v>
      </c>
      <c r="AE37" s="81">
        <v>38098644.609774724</v>
      </c>
      <c r="AF37" s="81">
        <v>38015317.154889263</v>
      </c>
      <c r="AG37" s="81">
        <v>37926543.690520249</v>
      </c>
      <c r="AH37" s="81">
        <v>37833800.177570693</v>
      </c>
      <c r="AI37" s="81">
        <v>37738603.460999638</v>
      </c>
      <c r="AJ37" s="81">
        <v>37642562.551614679</v>
      </c>
      <c r="AK37" s="81">
        <v>37556022.454704657</v>
      </c>
      <c r="AL37" s="81">
        <v>37471885.252556548</v>
      </c>
      <c r="AM37" s="81">
        <v>37391997.68786069</v>
      </c>
      <c r="AN37" s="81">
        <v>37318202.532761261</v>
      </c>
      <c r="AO37" s="81">
        <v>37252416.273084879</v>
      </c>
      <c r="AP37" s="81">
        <v>37196630.387266405</v>
      </c>
      <c r="AQ37" s="81">
        <v>37152939.346706942</v>
      </c>
      <c r="AR37" s="81">
        <v>37123462.134354368</v>
      </c>
      <c r="AS37" s="81">
        <v>37110422.970992893</v>
      </c>
      <c r="AT37" s="81">
        <v>37116099.021569297</v>
      </c>
    </row>
    <row r="38" spans="1:46" ht="15.75">
      <c r="A38" s="81" t="s">
        <v>450</v>
      </c>
      <c r="B38" s="80">
        <v>152200</v>
      </c>
      <c r="C38" s="80" t="s">
        <v>436</v>
      </c>
      <c r="D38" s="84" t="s">
        <v>796</v>
      </c>
      <c r="E38" s="81">
        <v>26613031.293695644</v>
      </c>
      <c r="F38" s="81">
        <v>27360487.057690959</v>
      </c>
      <c r="G38" s="81">
        <v>27932749.556225635</v>
      </c>
      <c r="H38" s="81">
        <v>28486387.032178484</v>
      </c>
      <c r="I38" s="81">
        <v>29021413.525835164</v>
      </c>
      <c r="J38" s="81">
        <v>29537866.140593827</v>
      </c>
      <c r="K38" s="81">
        <v>30035866.21469513</v>
      </c>
      <c r="L38" s="81">
        <v>30515476.318628453</v>
      </c>
      <c r="M38" s="81">
        <v>30976842.324224327</v>
      </c>
      <c r="N38" s="81">
        <v>31420132.362082705</v>
      </c>
      <c r="O38" s="81">
        <v>31845514.348369058</v>
      </c>
      <c r="P38" s="81">
        <v>32253219.776333466</v>
      </c>
      <c r="Q38" s="81">
        <v>32505506.537667014</v>
      </c>
      <c r="R38" s="81">
        <v>32740094.387265284</v>
      </c>
      <c r="S38" s="81">
        <v>32957455.597393475</v>
      </c>
      <c r="T38" s="81">
        <v>33158179.635014709</v>
      </c>
      <c r="U38" s="81">
        <v>33342748.246755656</v>
      </c>
      <c r="V38" s="81">
        <v>33511760.948161751</v>
      </c>
      <c r="W38" s="81">
        <v>33665776.208053149</v>
      </c>
      <c r="X38" s="81">
        <v>33805355.847400077</v>
      </c>
      <c r="Y38" s="81">
        <v>33931088.00777106</v>
      </c>
      <c r="Z38" s="81">
        <v>34043563.611946784</v>
      </c>
      <c r="AA38" s="81">
        <v>34111533.739417449</v>
      </c>
      <c r="AB38" s="81">
        <v>34167608.293401569</v>
      </c>
      <c r="AC38" s="81">
        <v>34212461.235372134</v>
      </c>
      <c r="AD38" s="81">
        <v>34246691.75263606</v>
      </c>
      <c r="AE38" s="81">
        <v>34270993.560925223</v>
      </c>
      <c r="AF38" s="81">
        <v>34286033.597216867</v>
      </c>
      <c r="AG38" s="81">
        <v>34292450.546032049</v>
      </c>
      <c r="AH38" s="81">
        <v>34290928.750696838</v>
      </c>
      <c r="AI38" s="81">
        <v>34282123.326506779</v>
      </c>
      <c r="AJ38" s="81">
        <v>34266735.067904919</v>
      </c>
      <c r="AK38" s="81">
        <v>34253339.764794476</v>
      </c>
      <c r="AL38" s="81">
        <v>34234631.969422095</v>
      </c>
      <c r="AM38" s="81">
        <v>34211267.188266888</v>
      </c>
      <c r="AN38" s="81">
        <v>34183972.768581651</v>
      </c>
      <c r="AO38" s="81">
        <v>34153391.714195848</v>
      </c>
      <c r="AP38" s="81">
        <v>34120211.961232461</v>
      </c>
      <c r="AQ38" s="81">
        <v>34085087.290580407</v>
      </c>
      <c r="AR38" s="81">
        <v>34048743.260409616</v>
      </c>
      <c r="AS38" s="81">
        <v>34011843.795220107</v>
      </c>
      <c r="AT38" s="81">
        <v>33975015.886687115</v>
      </c>
    </row>
    <row r="39" spans="1:46" ht="15.75">
      <c r="A39" s="81" t="s">
        <v>450</v>
      </c>
      <c r="B39" s="80">
        <v>152500</v>
      </c>
      <c r="C39" s="80" t="s">
        <v>436</v>
      </c>
      <c r="D39" s="84" t="s">
        <v>795</v>
      </c>
      <c r="E39" s="81">
        <v>20803781.835145507</v>
      </c>
      <c r="F39" s="81">
        <v>21377306.734809268</v>
      </c>
      <c r="G39" s="81">
        <v>21812142.555776734</v>
      </c>
      <c r="H39" s="81">
        <v>22230821.598974004</v>
      </c>
      <c r="I39" s="81">
        <v>22633541.494898885</v>
      </c>
      <c r="J39" s="81">
        <v>23020444.165953957</v>
      </c>
      <c r="K39" s="81">
        <v>23391774.832856338</v>
      </c>
      <c r="L39" s="81">
        <v>23747740.312723387</v>
      </c>
      <c r="M39" s="81">
        <v>24088588.909753688</v>
      </c>
      <c r="N39" s="81">
        <v>24414568.096521057</v>
      </c>
      <c r="O39" s="81">
        <v>24725944.061939564</v>
      </c>
      <c r="P39" s="81">
        <v>25023022.856904216</v>
      </c>
      <c r="Q39" s="81">
        <v>25199129.341395192</v>
      </c>
      <c r="R39" s="81">
        <v>25361300.515412033</v>
      </c>
      <c r="S39" s="81">
        <v>25510020.67015044</v>
      </c>
      <c r="T39" s="81">
        <v>25645798.361422665</v>
      </c>
      <c r="U39" s="81">
        <v>25769098.0101065</v>
      </c>
      <c r="V39" s="81">
        <v>25880452.745894287</v>
      </c>
      <c r="W39" s="81">
        <v>25980326.971489891</v>
      </c>
      <c r="X39" s="81">
        <v>26069206.662217412</v>
      </c>
      <c r="Y39" s="81">
        <v>26147575.964516141</v>
      </c>
      <c r="Z39" s="81">
        <v>26215892.680038605</v>
      </c>
      <c r="AA39" s="81">
        <v>26250130.991842445</v>
      </c>
      <c r="AB39" s="81">
        <v>26275368.13640818</v>
      </c>
      <c r="AC39" s="81">
        <v>26292093.9558907</v>
      </c>
      <c r="AD39" s="81">
        <v>26300766.207690299</v>
      </c>
      <c r="AE39" s="81">
        <v>26301784.420100383</v>
      </c>
      <c r="AF39" s="81">
        <v>26295611.521794133</v>
      </c>
      <c r="AG39" s="81">
        <v>26282650.808099035</v>
      </c>
      <c r="AH39" s="81">
        <v>26263293.823154464</v>
      </c>
      <c r="AI39" s="81">
        <v>26237919.634174943</v>
      </c>
      <c r="AJ39" s="81">
        <v>26206894.097377893</v>
      </c>
      <c r="AK39" s="81">
        <v>26176584.685087979</v>
      </c>
      <c r="AL39" s="81">
        <v>26141227.619706213</v>
      </c>
      <c r="AM39" s="81">
        <v>26101115.50726039</v>
      </c>
      <c r="AN39" s="81">
        <v>26056550.500911165</v>
      </c>
      <c r="AO39" s="81">
        <v>26007765.319376048</v>
      </c>
      <c r="AP39" s="81">
        <v>25955000.253106188</v>
      </c>
      <c r="AQ39" s="81">
        <v>25898449.804662529</v>
      </c>
      <c r="AR39" s="81">
        <v>25838341.633905698</v>
      </c>
      <c r="AS39" s="81">
        <v>25774829.223010283</v>
      </c>
      <c r="AT39" s="81">
        <v>25708016.476231799</v>
      </c>
    </row>
    <row r="40" spans="1:46" ht="15.75">
      <c r="A40" s="81" t="s">
        <v>450</v>
      </c>
      <c r="B40" s="80">
        <v>152900</v>
      </c>
      <c r="C40" s="80" t="s">
        <v>436</v>
      </c>
      <c r="D40" s="84" t="s">
        <v>794</v>
      </c>
      <c r="E40" s="81">
        <v>4927093.3681994537</v>
      </c>
      <c r="F40" s="81">
        <v>5066125.3381196605</v>
      </c>
      <c r="G40" s="81">
        <v>5171978.9703753255</v>
      </c>
      <c r="H40" s="81">
        <v>5273740.6247645691</v>
      </c>
      <c r="I40" s="81">
        <v>5371462.5304816049</v>
      </c>
      <c r="J40" s="81">
        <v>5465269.7767261611</v>
      </c>
      <c r="K40" s="81">
        <v>5555240.6890465245</v>
      </c>
      <c r="L40" s="81">
        <v>5641465.7046197597</v>
      </c>
      <c r="M40" s="81">
        <v>5724047.5319799241</v>
      </c>
      <c r="N40" s="81">
        <v>5803101.31074626</v>
      </c>
      <c r="O40" s="81">
        <v>5878689.65035241</v>
      </c>
      <c r="P40" s="81">
        <v>5950950.5799685316</v>
      </c>
      <c r="Q40" s="81">
        <v>5994497.7538550179</v>
      </c>
      <c r="R40" s="81">
        <v>6034818.9004072733</v>
      </c>
      <c r="S40" s="81">
        <v>6072057.8685447788</v>
      </c>
      <c r="T40" s="81">
        <v>6106342.4594557108</v>
      </c>
      <c r="U40" s="81">
        <v>6137783.5833824044</v>
      </c>
      <c r="V40" s="81">
        <v>6166497.4733118424</v>
      </c>
      <c r="W40" s="81">
        <v>6192605.7396633467</v>
      </c>
      <c r="X40" s="81">
        <v>6216235.4249762846</v>
      </c>
      <c r="Y40" s="81">
        <v>6237448.1978302635</v>
      </c>
      <c r="Z40" s="81">
        <v>6256332.8454952193</v>
      </c>
      <c r="AA40" s="81">
        <v>6267156.062711807</v>
      </c>
      <c r="AB40" s="81">
        <v>6275871.800054227</v>
      </c>
      <c r="AC40" s="81">
        <v>6282489.2521550003</v>
      </c>
      <c r="AD40" s="81">
        <v>6287141.0166855836</v>
      </c>
      <c r="AE40" s="81">
        <v>6289840.9445539741</v>
      </c>
      <c r="AF40" s="81">
        <v>6290628.7997393319</v>
      </c>
      <c r="AG40" s="81">
        <v>6289521.1753894994</v>
      </c>
      <c r="AH40" s="81">
        <v>6286560.9385922812</v>
      </c>
      <c r="AI40" s="81">
        <v>6281742.1768294424</v>
      </c>
      <c r="AJ40" s="81">
        <v>6275059.4670370314</v>
      </c>
      <c r="AK40" s="81">
        <v>6267928.7954588905</v>
      </c>
      <c r="AL40" s="81">
        <v>6258858.3912295634</v>
      </c>
      <c r="AM40" s="81">
        <v>6247816.1246711006</v>
      </c>
      <c r="AN40" s="81">
        <v>6234717.3193756025</v>
      </c>
      <c r="AO40" s="81">
        <v>6219475.6831280803</v>
      </c>
      <c r="AP40" s="81">
        <v>6202029.8294439297</v>
      </c>
      <c r="AQ40" s="81">
        <v>6182264.0235596616</v>
      </c>
      <c r="AR40" s="81">
        <v>6160060.1640805993</v>
      </c>
      <c r="AS40" s="81">
        <v>6135243.6202101745</v>
      </c>
      <c r="AT40" s="81">
        <v>6107690.4185690591</v>
      </c>
    </row>
    <row r="41" spans="1:46" ht="15.75">
      <c r="A41" s="81" t="s">
        <v>450</v>
      </c>
      <c r="B41" s="80">
        <v>210100</v>
      </c>
      <c r="C41" s="80" t="s">
        <v>435</v>
      </c>
      <c r="D41" s="84" t="s">
        <v>793</v>
      </c>
      <c r="E41" s="81">
        <v>228649939.46325734</v>
      </c>
      <c r="F41" s="81">
        <v>234704992.73900974</v>
      </c>
      <c r="G41" s="81">
        <v>239085290.30583975</v>
      </c>
      <c r="H41" s="81">
        <v>243150523.42655745</v>
      </c>
      <c r="I41" s="81">
        <v>246915498.71803364</v>
      </c>
      <c r="J41" s="81">
        <v>250395240.87532207</v>
      </c>
      <c r="K41" s="81">
        <v>253604961.11523104</v>
      </c>
      <c r="L41" s="81">
        <v>256559970.44006673</v>
      </c>
      <c r="M41" s="81">
        <v>259275732.18201008</v>
      </c>
      <c r="N41" s="81">
        <v>261767633.58152026</v>
      </c>
      <c r="O41" s="81">
        <v>264051093.98170853</v>
      </c>
      <c r="P41" s="81">
        <v>266141329.98016125</v>
      </c>
      <c r="Q41" s="81">
        <v>266920287.72513822</v>
      </c>
      <c r="R41" s="81">
        <v>267542485.08108181</v>
      </c>
      <c r="S41" s="81">
        <v>268024165.05881038</v>
      </c>
      <c r="T41" s="81">
        <v>268380808.78689143</v>
      </c>
      <c r="U41" s="81">
        <v>268627271.17318922</v>
      </c>
      <c r="V41" s="81">
        <v>268777645.28610188</v>
      </c>
      <c r="W41" s="81">
        <v>268845121.74560475</v>
      </c>
      <c r="X41" s="81">
        <v>268842190.16426432</v>
      </c>
      <c r="Y41" s="81">
        <v>268780311.26650345</v>
      </c>
      <c r="Z41" s="81">
        <v>268670055.79695487</v>
      </c>
      <c r="AA41" s="81">
        <v>267530495.24854538</v>
      </c>
      <c r="AB41" s="81">
        <v>266371418.96103892</v>
      </c>
      <c r="AC41" s="81">
        <v>265200309.21047276</v>
      </c>
      <c r="AD41" s="81">
        <v>264023435.75060526</v>
      </c>
      <c r="AE41" s="81">
        <v>262845796.38509569</v>
      </c>
      <c r="AF41" s="81">
        <v>261671089.46200469</v>
      </c>
      <c r="AG41" s="81">
        <v>260501752.19877374</v>
      </c>
      <c r="AH41" s="81">
        <v>259338735.56200761</v>
      </c>
      <c r="AI41" s="81">
        <v>258181739.68365082</v>
      </c>
      <c r="AJ41" s="81">
        <v>257028988.21199137</v>
      </c>
      <c r="AK41" s="81">
        <v>255896073.36865231</v>
      </c>
      <c r="AL41" s="81">
        <v>254759243.67409497</v>
      </c>
      <c r="AM41" s="81">
        <v>253612389.62059051</v>
      </c>
      <c r="AN41" s="81">
        <v>252447842.40222591</v>
      </c>
      <c r="AO41" s="81">
        <v>251256309.95567232</v>
      </c>
      <c r="AP41" s="81">
        <v>250027085.66308457</v>
      </c>
      <c r="AQ41" s="81">
        <v>248747678.90750572</v>
      </c>
      <c r="AR41" s="81">
        <v>247404092.32891545</v>
      </c>
      <c r="AS41" s="81">
        <v>245980552.52342814</v>
      </c>
      <c r="AT41" s="81">
        <v>244459686.62601879</v>
      </c>
    </row>
    <row r="42" spans="1:46" ht="15.75">
      <c r="A42" s="81" t="s">
        <v>450</v>
      </c>
      <c r="B42" s="80">
        <v>210200</v>
      </c>
      <c r="C42" s="80" t="s">
        <v>435</v>
      </c>
      <c r="D42" s="84" t="s">
        <v>792</v>
      </c>
      <c r="E42" s="81">
        <v>180241354.26398754</v>
      </c>
      <c r="F42" s="81">
        <v>185172068.24361804</v>
      </c>
      <c r="G42" s="81">
        <v>188765642.89222401</v>
      </c>
      <c r="H42" s="81">
        <v>192096015.35096005</v>
      </c>
      <c r="I42" s="81">
        <v>195176812.11142525</v>
      </c>
      <c r="J42" s="81">
        <v>198021898.87102938</v>
      </c>
      <c r="K42" s="81">
        <v>200645198.27201095</v>
      </c>
      <c r="L42" s="81">
        <v>203060792.28152618</v>
      </c>
      <c r="M42" s="81">
        <v>205282627.35364559</v>
      </c>
      <c r="N42" s="81">
        <v>207324724.17567918</v>
      </c>
      <c r="O42" s="81">
        <v>209200960.22853407</v>
      </c>
      <c r="P42" s="81">
        <v>210925036.90373573</v>
      </c>
      <c r="Q42" s="81">
        <v>211612069.10419664</v>
      </c>
      <c r="R42" s="81">
        <v>212178156.3002148</v>
      </c>
      <c r="S42" s="81">
        <v>212637442.12481529</v>
      </c>
      <c r="T42" s="81">
        <v>213003339.5390304</v>
      </c>
      <c r="U42" s="81">
        <v>213288662.2480543</v>
      </c>
      <c r="V42" s="81">
        <v>213505407.74196002</v>
      </c>
      <c r="W42" s="81">
        <v>213664800.68025988</v>
      </c>
      <c r="X42" s="81">
        <v>213777189.15864459</v>
      </c>
      <c r="Y42" s="81">
        <v>213852120.00481236</v>
      </c>
      <c r="Z42" s="81">
        <v>213898174.12469059</v>
      </c>
      <c r="AA42" s="81">
        <v>213723415.55986115</v>
      </c>
      <c r="AB42" s="81">
        <v>213535915.99655733</v>
      </c>
      <c r="AC42" s="81">
        <v>213341197.59075013</v>
      </c>
      <c r="AD42" s="81">
        <v>213143643.07626683</v>
      </c>
      <c r="AE42" s="81">
        <v>212946516.56877491</v>
      </c>
      <c r="AF42" s="81">
        <v>212751794.99136126</v>
      </c>
      <c r="AG42" s="81">
        <v>212560283.12288815</v>
      </c>
      <c r="AH42" s="81">
        <v>212371411.16173184</v>
      </c>
      <c r="AI42" s="81">
        <v>212183318.48464793</v>
      </c>
      <c r="AJ42" s="81">
        <v>211992745.45488134</v>
      </c>
      <c r="AK42" s="81">
        <v>211641493.19178426</v>
      </c>
      <c r="AL42" s="81">
        <v>211278292.27279601</v>
      </c>
      <c r="AM42" s="81">
        <v>210895476.22293368</v>
      </c>
      <c r="AN42" s="81">
        <v>210483890.21217221</v>
      </c>
      <c r="AO42" s="81">
        <v>210032716.33915088</v>
      </c>
      <c r="AP42" s="81">
        <v>209529531.56573218</v>
      </c>
      <c r="AQ42" s="81">
        <v>208960266.36833274</v>
      </c>
      <c r="AR42" s="81">
        <v>208309094.33226329</v>
      </c>
      <c r="AS42" s="81">
        <v>207558491.79027674</v>
      </c>
      <c r="AT42" s="81">
        <v>206689161.6720311</v>
      </c>
    </row>
    <row r="43" spans="1:46" ht="15.75">
      <c r="A43" s="81" t="s">
        <v>450</v>
      </c>
      <c r="B43" s="80">
        <v>210300</v>
      </c>
      <c r="C43" s="80" t="s">
        <v>435</v>
      </c>
      <c r="D43" s="84" t="s">
        <v>791</v>
      </c>
      <c r="E43" s="81">
        <v>76975568.42934005</v>
      </c>
      <c r="F43" s="81">
        <v>78836684.128622413</v>
      </c>
      <c r="G43" s="81">
        <v>80168906.923619941</v>
      </c>
      <c r="H43" s="81">
        <v>81426710.319806248</v>
      </c>
      <c r="I43" s="81">
        <v>82611823.3958361</v>
      </c>
      <c r="J43" s="81">
        <v>83726013.802769512</v>
      </c>
      <c r="K43" s="81">
        <v>84771229.801379725</v>
      </c>
      <c r="L43" s="81">
        <v>85749471.704905748</v>
      </c>
      <c r="M43" s="81">
        <v>86662835.293322265</v>
      </c>
      <c r="N43" s="81">
        <v>87513506.408016264</v>
      </c>
      <c r="O43" s="81">
        <v>88303728.780922979</v>
      </c>
      <c r="P43" s="81">
        <v>89035877.691122383</v>
      </c>
      <c r="Q43" s="81">
        <v>89333050.866452128</v>
      </c>
      <c r="R43" s="81">
        <v>89578842.501748368</v>
      </c>
      <c r="S43" s="81">
        <v>89776325.269163921</v>
      </c>
      <c r="T43" s="81">
        <v>89928589.063363582</v>
      </c>
      <c r="U43" s="81">
        <v>90038653.523861274</v>
      </c>
      <c r="V43" s="81">
        <v>90109574.71960336</v>
      </c>
      <c r="W43" s="81">
        <v>90144328.774432287</v>
      </c>
      <c r="X43" s="81">
        <v>90145862.667913884</v>
      </c>
      <c r="Y43" s="81">
        <v>90117118.672992527</v>
      </c>
      <c r="Z43" s="81">
        <v>90060943.1806366</v>
      </c>
      <c r="AA43" s="81">
        <v>89896223.572838441</v>
      </c>
      <c r="AB43" s="81">
        <v>89710701.251219139</v>
      </c>
      <c r="AC43" s="81">
        <v>89507056.376242369</v>
      </c>
      <c r="AD43" s="81">
        <v>89287988.739640206</v>
      </c>
      <c r="AE43" s="81">
        <v>89056095.431373373</v>
      </c>
      <c r="AF43" s="81">
        <v>88813834.91522409</v>
      </c>
      <c r="AG43" s="81">
        <v>88563612.425180852</v>
      </c>
      <c r="AH43" s="81">
        <v>88307776.421597064</v>
      </c>
      <c r="AI43" s="81">
        <v>88048490.738916799</v>
      </c>
      <c r="AJ43" s="81">
        <v>87787914.455434442</v>
      </c>
      <c r="AK43" s="81">
        <v>87548216.359437436</v>
      </c>
      <c r="AL43" s="81">
        <v>87310794.212662429</v>
      </c>
      <c r="AM43" s="81">
        <v>87077428.211748213</v>
      </c>
      <c r="AN43" s="81">
        <v>86849783.021923602</v>
      </c>
      <c r="AO43" s="81">
        <v>86629370.322162509</v>
      </c>
      <c r="AP43" s="81">
        <v>86417542.559063509</v>
      </c>
      <c r="AQ43" s="81">
        <v>86215519.433316171</v>
      </c>
      <c r="AR43" s="81">
        <v>86024415.644151792</v>
      </c>
      <c r="AS43" s="81">
        <v>85845136.946113139</v>
      </c>
      <c r="AT43" s="81">
        <v>85678539.863267228</v>
      </c>
    </row>
    <row r="44" spans="1:46" ht="15.75">
      <c r="A44" s="81" t="s">
        <v>450</v>
      </c>
      <c r="B44" s="80">
        <v>210400</v>
      </c>
      <c r="C44" s="80" t="s">
        <v>435</v>
      </c>
      <c r="D44" s="84" t="s">
        <v>790</v>
      </c>
      <c r="E44" s="81">
        <v>36243360.790778987</v>
      </c>
      <c r="F44" s="81">
        <v>37091288.540252589</v>
      </c>
      <c r="G44" s="81">
        <v>37679737.397867069</v>
      </c>
      <c r="H44" s="81">
        <v>38223342.626032144</v>
      </c>
      <c r="I44" s="81">
        <v>38723488.309153892</v>
      </c>
      <c r="J44" s="81">
        <v>39181671.347276002</v>
      </c>
      <c r="K44" s="81">
        <v>39599431.899869509</v>
      </c>
      <c r="L44" s="81">
        <v>39978371.163890347</v>
      </c>
      <c r="M44" s="81">
        <v>40320053.452579901</v>
      </c>
      <c r="N44" s="81">
        <v>40626162.547889285</v>
      </c>
      <c r="O44" s="81">
        <v>40898405.672330514</v>
      </c>
      <c r="P44" s="81">
        <v>41138483.326880857</v>
      </c>
      <c r="Q44" s="81">
        <v>41173339.385739364</v>
      </c>
      <c r="R44" s="81">
        <v>41181256.653344959</v>
      </c>
      <c r="S44" s="81">
        <v>41164288.467038661</v>
      </c>
      <c r="T44" s="81">
        <v>41124468.58091265</v>
      </c>
      <c r="U44" s="81">
        <v>41063757.158954784</v>
      </c>
      <c r="V44" s="81">
        <v>40984061.045058265</v>
      </c>
      <c r="W44" s="81">
        <v>40887306.766799398</v>
      </c>
      <c r="X44" s="81">
        <v>40775309.209041089</v>
      </c>
      <c r="Y44" s="81">
        <v>40649843.703421697</v>
      </c>
      <c r="Z44" s="81">
        <v>40512642.529825531</v>
      </c>
      <c r="AA44" s="81">
        <v>40327720.201919064</v>
      </c>
      <c r="AB44" s="81">
        <v>40134960.713092193</v>
      </c>
      <c r="AC44" s="81">
        <v>39935872.568660684</v>
      </c>
      <c r="AD44" s="81">
        <v>39731925.907467939</v>
      </c>
      <c r="AE44" s="81">
        <v>39524495.456277534</v>
      </c>
      <c r="AF44" s="81">
        <v>39314828.74252072</v>
      </c>
      <c r="AG44" s="81">
        <v>39104096.223433003</v>
      </c>
      <c r="AH44" s="81">
        <v>38893387.838049568</v>
      </c>
      <c r="AI44" s="81">
        <v>38683709.522217833</v>
      </c>
      <c r="AJ44" s="81">
        <v>38475923.180960365</v>
      </c>
      <c r="AK44" s="81">
        <v>38279604.117075436</v>
      </c>
      <c r="AL44" s="81">
        <v>38086438.74049446</v>
      </c>
      <c r="AM44" s="81">
        <v>37896946.265056849</v>
      </c>
      <c r="AN44" s="81">
        <v>37711570.211553648</v>
      </c>
      <c r="AO44" s="81">
        <v>37530587.835108623</v>
      </c>
      <c r="AP44" s="81">
        <v>37354163.113355175</v>
      </c>
      <c r="AQ44" s="81">
        <v>37182313.170543753</v>
      </c>
      <c r="AR44" s="81">
        <v>37014903.295045957</v>
      </c>
      <c r="AS44" s="81">
        <v>36851701.964846112</v>
      </c>
      <c r="AT44" s="81">
        <v>36692287.084276088</v>
      </c>
    </row>
    <row r="45" spans="1:46" ht="15.75">
      <c r="A45" s="81" t="s">
        <v>450</v>
      </c>
      <c r="B45" s="80">
        <v>210500</v>
      </c>
      <c r="C45" s="80" t="s">
        <v>435</v>
      </c>
      <c r="D45" s="84" t="s">
        <v>789</v>
      </c>
      <c r="E45" s="81">
        <v>26207706.517028354</v>
      </c>
      <c r="F45" s="81">
        <v>26880822.578230638</v>
      </c>
      <c r="G45" s="81">
        <v>27364405.342705425</v>
      </c>
      <c r="H45" s="81">
        <v>27813804.702456906</v>
      </c>
      <c r="I45" s="81">
        <v>28230183.60142348</v>
      </c>
      <c r="J45" s="81">
        <v>28614790.165427506</v>
      </c>
      <c r="K45" s="81">
        <v>28968848.264248271</v>
      </c>
      <c r="L45" s="81">
        <v>29293659.004875317</v>
      </c>
      <c r="M45" s="81">
        <v>29590555.001773398</v>
      </c>
      <c r="N45" s="81">
        <v>29860828.702139374</v>
      </c>
      <c r="O45" s="81">
        <v>30105883.407183591</v>
      </c>
      <c r="P45" s="81">
        <v>30327050.032659445</v>
      </c>
      <c r="Q45" s="81">
        <v>30396675.124390081</v>
      </c>
      <c r="R45" s="81">
        <v>30446097.846122969</v>
      </c>
      <c r="S45" s="81">
        <v>30476938.948813286</v>
      </c>
      <c r="T45" s="81">
        <v>30490716.116514668</v>
      </c>
      <c r="U45" s="81">
        <v>30488958.027247131</v>
      </c>
      <c r="V45" s="81">
        <v>30473154.577354122</v>
      </c>
      <c r="W45" s="81">
        <v>30444729.180887308</v>
      </c>
      <c r="X45" s="81">
        <v>30405083.677334726</v>
      </c>
      <c r="Y45" s="81">
        <v>30355496.725641906</v>
      </c>
      <c r="Z45" s="81">
        <v>30297242.427831627</v>
      </c>
      <c r="AA45" s="81">
        <v>30203344.626828849</v>
      </c>
      <c r="AB45" s="81">
        <v>30103564.832390968</v>
      </c>
      <c r="AC45" s="81">
        <v>29998929.071749859</v>
      </c>
      <c r="AD45" s="81">
        <v>29890467.273777585</v>
      </c>
      <c r="AE45" s="81">
        <v>29779109.205090627</v>
      </c>
      <c r="AF45" s="81">
        <v>29665680.336551748</v>
      </c>
      <c r="AG45" s="81">
        <v>29550923.877375755</v>
      </c>
      <c r="AH45" s="81">
        <v>29435497.435659289</v>
      </c>
      <c r="AI45" s="81">
        <v>29319969.643905301</v>
      </c>
      <c r="AJ45" s="81">
        <v>29204816.749542102</v>
      </c>
      <c r="AK45" s="81">
        <v>29097107.479004174</v>
      </c>
      <c r="AL45" s="81">
        <v>28990310.266900744</v>
      </c>
      <c r="AM45" s="81">
        <v>28884550.052196205</v>
      </c>
      <c r="AN45" s="81">
        <v>28779871.432397403</v>
      </c>
      <c r="AO45" s="81">
        <v>28676235.874492511</v>
      </c>
      <c r="AP45" s="81">
        <v>28573407.469655436</v>
      </c>
      <c r="AQ45" s="81">
        <v>28471086.552909922</v>
      </c>
      <c r="AR45" s="81">
        <v>28368794.813252721</v>
      </c>
      <c r="AS45" s="81">
        <v>28266011.649318647</v>
      </c>
      <c r="AT45" s="81">
        <v>28161972.811341658</v>
      </c>
    </row>
    <row r="46" spans="1:46" ht="15.75">
      <c r="A46" s="81" t="s">
        <v>450</v>
      </c>
      <c r="B46" s="80">
        <v>210600</v>
      </c>
      <c r="C46" s="80" t="s">
        <v>435</v>
      </c>
      <c r="D46" s="84" t="s">
        <v>788</v>
      </c>
      <c r="E46" s="81">
        <v>45776491.200934827</v>
      </c>
      <c r="F46" s="81">
        <v>46869474.148307823</v>
      </c>
      <c r="G46" s="81">
        <v>47646300.377414763</v>
      </c>
      <c r="H46" s="81">
        <v>48376976.613073468</v>
      </c>
      <c r="I46" s="81">
        <v>49062314.681915075</v>
      </c>
      <c r="J46" s="81">
        <v>49703237.018044524</v>
      </c>
      <c r="K46" s="81">
        <v>50300639.664125599</v>
      </c>
      <c r="L46" s="81">
        <v>50855545.89745491</v>
      </c>
      <c r="M46" s="81">
        <v>51369084.415528789</v>
      </c>
      <c r="N46" s="81">
        <v>51842394.395283915</v>
      </c>
      <c r="O46" s="81">
        <v>52276715.931387253</v>
      </c>
      <c r="P46" s="81">
        <v>52673292.588163197</v>
      </c>
      <c r="Q46" s="81">
        <v>52809299.154788077</v>
      </c>
      <c r="R46" s="81">
        <v>52911800.910639353</v>
      </c>
      <c r="S46" s="81">
        <v>52982630.871349998</v>
      </c>
      <c r="T46" s="81">
        <v>53023649.927219793</v>
      </c>
      <c r="U46" s="81">
        <v>53036669.460362673</v>
      </c>
      <c r="V46" s="81">
        <v>53023600.559853829</v>
      </c>
      <c r="W46" s="81">
        <v>52986326.826996103</v>
      </c>
      <c r="X46" s="81">
        <v>52926727.022722878</v>
      </c>
      <c r="Y46" s="81">
        <v>52846672.701503694</v>
      </c>
      <c r="Z46" s="81">
        <v>52748078.622237727</v>
      </c>
      <c r="AA46" s="81">
        <v>52583763.997956105</v>
      </c>
      <c r="AB46" s="81">
        <v>52405401.229095086</v>
      </c>
      <c r="AC46" s="81">
        <v>52214918.04796049</v>
      </c>
      <c r="AD46" s="81">
        <v>52014244.885077499</v>
      </c>
      <c r="AE46" s="81">
        <v>51805231.547469348</v>
      </c>
      <c r="AF46" s="81">
        <v>51589753.093470655</v>
      </c>
      <c r="AG46" s="81">
        <v>51369709.348261014</v>
      </c>
      <c r="AH46" s="81">
        <v>51146885.017920814</v>
      </c>
      <c r="AI46" s="81">
        <v>50923112.906332321</v>
      </c>
      <c r="AJ46" s="81">
        <v>50700189.551165193</v>
      </c>
      <c r="AK46" s="81">
        <v>50491497.127274372</v>
      </c>
      <c r="AL46" s="81">
        <v>50286979.258451939</v>
      </c>
      <c r="AM46" s="81">
        <v>50088344.330477379</v>
      </c>
      <c r="AN46" s="81">
        <v>49897227.751355559</v>
      </c>
      <c r="AO46" s="81">
        <v>49715305.285806634</v>
      </c>
      <c r="AP46" s="81">
        <v>49544205.085946135</v>
      </c>
      <c r="AQ46" s="81">
        <v>49385475.405370936</v>
      </c>
      <c r="AR46" s="81">
        <v>49240640.574066088</v>
      </c>
      <c r="AS46" s="81">
        <v>49111199.275803119</v>
      </c>
      <c r="AT46" s="81">
        <v>48998622.805753164</v>
      </c>
    </row>
    <row r="47" spans="1:46" ht="15.75">
      <c r="A47" s="81" t="s">
        <v>450</v>
      </c>
      <c r="B47" s="80">
        <v>210700</v>
      </c>
      <c r="C47" s="80" t="s">
        <v>435</v>
      </c>
      <c r="D47" s="84" t="s">
        <v>787</v>
      </c>
      <c r="E47" s="81">
        <v>56518407.262394384</v>
      </c>
      <c r="F47" s="81">
        <v>57908219.6916233</v>
      </c>
      <c r="G47" s="81">
        <v>58905290.361330591</v>
      </c>
      <c r="H47" s="81">
        <v>59843589.995130904</v>
      </c>
      <c r="I47" s="81">
        <v>60724651.543526277</v>
      </c>
      <c r="J47" s="81">
        <v>61550091.940640114</v>
      </c>
      <c r="K47" s="81">
        <v>62321630.178393982</v>
      </c>
      <c r="L47" s="81">
        <v>63041014.342686556</v>
      </c>
      <c r="M47" s="81">
        <v>63710107.542073287</v>
      </c>
      <c r="N47" s="81">
        <v>64330814.444161795</v>
      </c>
      <c r="O47" s="81">
        <v>64905098.645577826</v>
      </c>
      <c r="P47" s="81">
        <v>65434952.973237924</v>
      </c>
      <c r="Q47" s="81">
        <v>65643766.51601439</v>
      </c>
      <c r="R47" s="81">
        <v>65813756.76787626</v>
      </c>
      <c r="S47" s="81">
        <v>65947526.645090699</v>
      </c>
      <c r="T47" s="81">
        <v>66047583.909117103</v>
      </c>
      <c r="U47" s="81">
        <v>66116461.054540783</v>
      </c>
      <c r="V47" s="81">
        <v>66156636.507094182</v>
      </c>
      <c r="W47" s="81">
        <v>66170581.069170631</v>
      </c>
      <c r="X47" s="81">
        <v>66160676.779653408</v>
      </c>
      <c r="Y47" s="81">
        <v>66129315.430417478</v>
      </c>
      <c r="Z47" s="81">
        <v>66078790.70312807</v>
      </c>
      <c r="AA47" s="81">
        <v>65949836.274121031</v>
      </c>
      <c r="AB47" s="81">
        <v>65806957.895412296</v>
      </c>
      <c r="AC47" s="81">
        <v>65652334.039596237</v>
      </c>
      <c r="AD47" s="81">
        <v>65488044.027491376</v>
      </c>
      <c r="AE47" s="81">
        <v>65316145.002433449</v>
      </c>
      <c r="AF47" s="81">
        <v>65138532.127543114</v>
      </c>
      <c r="AG47" s="81">
        <v>64957070.107457764</v>
      </c>
      <c r="AH47" s="81">
        <v>64773507.196591623</v>
      </c>
      <c r="AI47" s="81">
        <v>64589526.142382793</v>
      </c>
      <c r="AJ47" s="81">
        <v>64406656.058918566</v>
      </c>
      <c r="AK47" s="81">
        <v>64241234.434731357</v>
      </c>
      <c r="AL47" s="81">
        <v>64079518.542775258</v>
      </c>
      <c r="AM47" s="81">
        <v>63922836.540263355</v>
      </c>
      <c r="AN47" s="81">
        <v>63772259.155207299</v>
      </c>
      <c r="AO47" s="81">
        <v>63628794.714066394</v>
      </c>
      <c r="AP47" s="81">
        <v>63493298.077409416</v>
      </c>
      <c r="AQ47" s="81">
        <v>63366583.376634717</v>
      </c>
      <c r="AR47" s="81">
        <v>63249153.700575143</v>
      </c>
      <c r="AS47" s="81">
        <v>63141580.596467368</v>
      </c>
      <c r="AT47" s="81">
        <v>63044113.147428319</v>
      </c>
    </row>
    <row r="48" spans="1:46" ht="15.75">
      <c r="A48" s="81" t="s">
        <v>450</v>
      </c>
      <c r="B48" s="80">
        <v>210800</v>
      </c>
      <c r="C48" s="80" t="s">
        <v>435</v>
      </c>
      <c r="D48" s="84" t="s">
        <v>786</v>
      </c>
      <c r="E48" s="81">
        <v>48606787.325257957</v>
      </c>
      <c r="F48" s="81">
        <v>49871882.364938863</v>
      </c>
      <c r="G48" s="81">
        <v>50793549.218938336</v>
      </c>
      <c r="H48" s="81">
        <v>51659843.106788434</v>
      </c>
      <c r="I48" s="81">
        <v>52472869.393434316</v>
      </c>
      <c r="J48" s="81">
        <v>53234819.480241723</v>
      </c>
      <c r="K48" s="81">
        <v>53947873.263432242</v>
      </c>
      <c r="L48" s="81">
        <v>54614349.317875147</v>
      </c>
      <c r="M48" s="81">
        <v>55236468.285079323</v>
      </c>
      <c r="N48" s="81">
        <v>55816573.764201783</v>
      </c>
      <c r="O48" s="81">
        <v>56356937.593290351</v>
      </c>
      <c r="P48" s="81">
        <v>56859891.878435463</v>
      </c>
      <c r="Q48" s="81">
        <v>57085382.136394635</v>
      </c>
      <c r="R48" s="81">
        <v>57278967.07150811</v>
      </c>
      <c r="S48" s="81">
        <v>57443198.086578727</v>
      </c>
      <c r="T48" s="81">
        <v>57580626.766110994</v>
      </c>
      <c r="U48" s="81">
        <v>57693700.300469831</v>
      </c>
      <c r="V48" s="81">
        <v>57784754.337172791</v>
      </c>
      <c r="W48" s="81">
        <v>57856005.741193272</v>
      </c>
      <c r="X48" s="81">
        <v>57909597.252841651</v>
      </c>
      <c r="Y48" s="81">
        <v>57947487.320492513</v>
      </c>
      <c r="Z48" s="81">
        <v>57971546.165157802</v>
      </c>
      <c r="AA48" s="81">
        <v>57929475.045692414</v>
      </c>
      <c r="AB48" s="81">
        <v>57877446.31866502</v>
      </c>
      <c r="AC48" s="81">
        <v>57816911.804025769</v>
      </c>
      <c r="AD48" s="81">
        <v>57749203.152024828</v>
      </c>
      <c r="AE48" s="81">
        <v>57675444.709820464</v>
      </c>
      <c r="AF48" s="81">
        <v>57596573.028063536</v>
      </c>
      <c r="AG48" s="81">
        <v>57513385.090362631</v>
      </c>
      <c r="AH48" s="81">
        <v>57426505.068670124</v>
      </c>
      <c r="AI48" s="81">
        <v>57336265.705887556</v>
      </c>
      <c r="AJ48" s="81">
        <v>57242924.167710885</v>
      </c>
      <c r="AK48" s="81">
        <v>57159623.454464771</v>
      </c>
      <c r="AL48" s="81">
        <v>57072816.356331855</v>
      </c>
      <c r="AM48" s="81">
        <v>56982072.343668215</v>
      </c>
      <c r="AN48" s="81">
        <v>56886688.004830599</v>
      </c>
      <c r="AO48" s="81">
        <v>56785765.766325548</v>
      </c>
      <c r="AP48" s="81">
        <v>56678119.502626657</v>
      </c>
      <c r="AQ48" s="81">
        <v>56562354.287906162</v>
      </c>
      <c r="AR48" s="81">
        <v>56436740.844769962</v>
      </c>
      <c r="AS48" s="81">
        <v>56299415.45058988</v>
      </c>
      <c r="AT48" s="81">
        <v>56148074.272053443</v>
      </c>
    </row>
    <row r="49" spans="1:46" ht="15.75">
      <c r="A49" s="81" t="s">
        <v>450</v>
      </c>
      <c r="B49" s="80">
        <v>210900</v>
      </c>
      <c r="C49" s="80" t="s">
        <v>435</v>
      </c>
      <c r="D49" s="84" t="s">
        <v>785</v>
      </c>
      <c r="E49" s="81">
        <v>32600946.453747921</v>
      </c>
      <c r="F49" s="81">
        <v>33393936.627452794</v>
      </c>
      <c r="G49" s="81">
        <v>33967440.570442155</v>
      </c>
      <c r="H49" s="81">
        <v>34513241.041152894</v>
      </c>
      <c r="I49" s="81">
        <v>35031412.106165588</v>
      </c>
      <c r="J49" s="81">
        <v>35522087.884338118</v>
      </c>
      <c r="K49" s="81">
        <v>35985441.726593696</v>
      </c>
      <c r="L49" s="81">
        <v>36421685.650139399</v>
      </c>
      <c r="M49" s="81">
        <v>36831158.640086226</v>
      </c>
      <c r="N49" s="81">
        <v>37214151.67265518</v>
      </c>
      <c r="O49" s="81">
        <v>37571106.557081409</v>
      </c>
      <c r="P49" s="81">
        <v>37902483.987613834</v>
      </c>
      <c r="Q49" s="81">
        <v>38047264.031537525</v>
      </c>
      <c r="R49" s="81">
        <v>38168235.584788732</v>
      </c>
      <c r="S49" s="81">
        <v>38266283.651162013</v>
      </c>
      <c r="T49" s="81">
        <v>38342407.171024472</v>
      </c>
      <c r="U49" s="81">
        <v>38397602.201626003</v>
      </c>
      <c r="V49" s="81">
        <v>38432884.673006035</v>
      </c>
      <c r="W49" s="81">
        <v>38449363.100834146</v>
      </c>
      <c r="X49" s="81">
        <v>38448117.938530028</v>
      </c>
      <c r="Y49" s="81">
        <v>38430323.107910886</v>
      </c>
      <c r="Z49" s="81">
        <v>38397173.399173968</v>
      </c>
      <c r="AA49" s="81">
        <v>38314169.339078084</v>
      </c>
      <c r="AB49" s="81">
        <v>38218799.519731954</v>
      </c>
      <c r="AC49" s="81">
        <v>38112396.226029016</v>
      </c>
      <c r="AD49" s="81">
        <v>37996383.69595547</v>
      </c>
      <c r="AE49" s="81">
        <v>37872125.053257637</v>
      </c>
      <c r="AF49" s="81">
        <v>37741101.41578602</v>
      </c>
      <c r="AG49" s="81">
        <v>37604810.024310559</v>
      </c>
      <c r="AH49" s="81">
        <v>37464763.716867074</v>
      </c>
      <c r="AI49" s="81">
        <v>37322516.958912954</v>
      </c>
      <c r="AJ49" s="81">
        <v>37179719.671617903</v>
      </c>
      <c r="AK49" s="81">
        <v>37046507.681491122</v>
      </c>
      <c r="AL49" s="81">
        <v>36915891.638629548</v>
      </c>
      <c r="AM49" s="81">
        <v>36789600.229876578</v>
      </c>
      <c r="AN49" s="81">
        <v>36669379.567094944</v>
      </c>
      <c r="AO49" s="81">
        <v>36557047.960902222</v>
      </c>
      <c r="AP49" s="81">
        <v>36454413.648590691</v>
      </c>
      <c r="AQ49" s="81">
        <v>36363357.417407922</v>
      </c>
      <c r="AR49" s="81">
        <v>36285777.436191343</v>
      </c>
      <c r="AS49" s="81">
        <v>36223645.51701913</v>
      </c>
      <c r="AT49" s="81">
        <v>36178951.194771945</v>
      </c>
    </row>
    <row r="50" spans="1:46" ht="15.75">
      <c r="A50" s="81" t="s">
        <v>450</v>
      </c>
      <c r="B50" s="80">
        <v>211000</v>
      </c>
      <c r="C50" s="80" t="s">
        <v>435</v>
      </c>
      <c r="D50" s="84" t="s">
        <v>784</v>
      </c>
      <c r="E50" s="81">
        <v>31740261.408710901</v>
      </c>
      <c r="F50" s="81">
        <v>32528124.574255422</v>
      </c>
      <c r="G50" s="81">
        <v>33095498.984933227</v>
      </c>
      <c r="H50" s="81">
        <v>33629933.898538359</v>
      </c>
      <c r="I50" s="81">
        <v>34132241.25026904</v>
      </c>
      <c r="J50" s="81">
        <v>34603362.51439096</v>
      </c>
      <c r="K50" s="81">
        <v>35044176.592781484</v>
      </c>
      <c r="L50" s="81">
        <v>35455687.468606412</v>
      </c>
      <c r="M50" s="81">
        <v>35838871.393887319</v>
      </c>
      <c r="N50" s="81">
        <v>36194804.758819893</v>
      </c>
      <c r="O50" s="81">
        <v>36524528.616889581</v>
      </c>
      <c r="P50" s="81">
        <v>36829133.672092065</v>
      </c>
      <c r="Q50" s="81">
        <v>36952860.425773174</v>
      </c>
      <c r="R50" s="81">
        <v>37054515.557641409</v>
      </c>
      <c r="S50" s="81">
        <v>37135480.036997616</v>
      </c>
      <c r="T50" s="81">
        <v>37197144.4524327</v>
      </c>
      <c r="U50" s="81">
        <v>37240859.620439015</v>
      </c>
      <c r="V50" s="81">
        <v>37268005.95622804</v>
      </c>
      <c r="W50" s="81">
        <v>37279870.987113416</v>
      </c>
      <c r="X50" s="81">
        <v>37277767.090852857</v>
      </c>
      <c r="Y50" s="81">
        <v>37262981.408022523</v>
      </c>
      <c r="Z50" s="81">
        <v>37236748.3971885</v>
      </c>
      <c r="AA50" s="81">
        <v>37165578.75560274</v>
      </c>
      <c r="AB50" s="81">
        <v>37085759.996204644</v>
      </c>
      <c r="AC50" s="81">
        <v>36998467.439208791</v>
      </c>
      <c r="AD50" s="81">
        <v>36904757.086920179</v>
      </c>
      <c r="AE50" s="81">
        <v>36805767.568494409</v>
      </c>
      <c r="AF50" s="81">
        <v>36702435.761898533</v>
      </c>
      <c r="AG50" s="81">
        <v>36595751.274107806</v>
      </c>
      <c r="AH50" s="81">
        <v>36486625.606003068</v>
      </c>
      <c r="AI50" s="81">
        <v>36375862.27751115</v>
      </c>
      <c r="AJ50" s="81">
        <v>36264313.047139078</v>
      </c>
      <c r="AK50" s="81">
        <v>36160982.174224913</v>
      </c>
      <c r="AL50" s="81">
        <v>36058120.207741365</v>
      </c>
      <c r="AM50" s="81">
        <v>35956313.052267522</v>
      </c>
      <c r="AN50" s="81">
        <v>35856078.928818204</v>
      </c>
      <c r="AO50" s="81">
        <v>35757865.691903174</v>
      </c>
      <c r="AP50" s="81">
        <v>35662048.118495733</v>
      </c>
      <c r="AQ50" s="81">
        <v>35568953.213964701</v>
      </c>
      <c r="AR50" s="81">
        <v>35478745.45328752</v>
      </c>
      <c r="AS50" s="81">
        <v>35391620.113731667</v>
      </c>
      <c r="AT50" s="81">
        <v>35307575.333960682</v>
      </c>
    </row>
    <row r="51" spans="1:46" ht="15.75">
      <c r="A51" s="81" t="s">
        <v>450</v>
      </c>
      <c r="B51" s="80">
        <v>211100</v>
      </c>
      <c r="C51" s="80" t="s">
        <v>435</v>
      </c>
      <c r="D51" s="84" t="s">
        <v>783</v>
      </c>
      <c r="E51" s="81">
        <v>28999133.716975767</v>
      </c>
      <c r="F51" s="81">
        <v>29764139.337276205</v>
      </c>
      <c r="G51" s="81">
        <v>30330895.939478993</v>
      </c>
      <c r="H51" s="81">
        <v>30870460.011017062</v>
      </c>
      <c r="I51" s="81">
        <v>31383309.704852749</v>
      </c>
      <c r="J51" s="81">
        <v>31870004.806373686</v>
      </c>
      <c r="K51" s="81">
        <v>32331096.29444785</v>
      </c>
      <c r="L51" s="81">
        <v>32767191.034391195</v>
      </c>
      <c r="M51" s="81">
        <v>33178880.891999532</v>
      </c>
      <c r="N51" s="81">
        <v>33566880.42609778</v>
      </c>
      <c r="O51" s="81">
        <v>33931838.245360002</v>
      </c>
      <c r="P51" s="81">
        <v>34274475.215252005</v>
      </c>
      <c r="Q51" s="81">
        <v>34449314.109917618</v>
      </c>
      <c r="R51" s="81">
        <v>34603560.608975984</v>
      </c>
      <c r="S51" s="81">
        <v>34738219.03234265</v>
      </c>
      <c r="T51" s="81">
        <v>34854363.57005766</v>
      </c>
      <c r="U51" s="81">
        <v>34952987.449961066</v>
      </c>
      <c r="V51" s="81">
        <v>35035100.669868149</v>
      </c>
      <c r="W51" s="81">
        <v>35101703.613701507</v>
      </c>
      <c r="X51" s="81">
        <v>35153811.417828903</v>
      </c>
      <c r="Y51" s="81">
        <v>35192374.748031624</v>
      </c>
      <c r="Z51" s="81">
        <v>35218381.695719309</v>
      </c>
      <c r="AA51" s="81">
        <v>35199893.786389887</v>
      </c>
      <c r="AB51" s="81">
        <v>35171092.034224845</v>
      </c>
      <c r="AC51" s="81">
        <v>35132854.476256773</v>
      </c>
      <c r="AD51" s="81">
        <v>35086113.916984446</v>
      </c>
      <c r="AE51" s="81">
        <v>35031749.804904684</v>
      </c>
      <c r="AF51" s="81">
        <v>34970668.223099709</v>
      </c>
      <c r="AG51" s="81">
        <v>34903691.348588698</v>
      </c>
      <c r="AH51" s="81">
        <v>34831609.711905412</v>
      </c>
      <c r="AI51" s="81">
        <v>34755180.531652331</v>
      </c>
      <c r="AJ51" s="81">
        <v>34675210.789062992</v>
      </c>
      <c r="AK51" s="81">
        <v>34600316.116369389</v>
      </c>
      <c r="AL51" s="81">
        <v>34523152.464051507</v>
      </c>
      <c r="AM51" s="81">
        <v>34444328.905555755</v>
      </c>
      <c r="AN51" s="81">
        <v>34364413.133026652</v>
      </c>
      <c r="AO51" s="81">
        <v>34283988.088279039</v>
      </c>
      <c r="AP51" s="81">
        <v>34203563.795626886</v>
      </c>
      <c r="AQ51" s="81">
        <v>34123574.507584065</v>
      </c>
      <c r="AR51" s="81">
        <v>34044465.307184957</v>
      </c>
      <c r="AS51" s="81">
        <v>33966602.10754443</v>
      </c>
      <c r="AT51" s="81">
        <v>33890298.957654722</v>
      </c>
    </row>
    <row r="52" spans="1:46" ht="15.75">
      <c r="A52" s="81" t="s">
        <v>450</v>
      </c>
      <c r="B52" s="80">
        <v>211200</v>
      </c>
      <c r="C52" s="80" t="s">
        <v>435</v>
      </c>
      <c r="D52" s="84" t="s">
        <v>782</v>
      </c>
      <c r="E52" s="81">
        <v>47270669.469787233</v>
      </c>
      <c r="F52" s="81">
        <v>48415834.544389516</v>
      </c>
      <c r="G52" s="81">
        <v>49246000.734979816</v>
      </c>
      <c r="H52" s="81">
        <v>50039064.342021912</v>
      </c>
      <c r="I52" s="81">
        <v>50794850.170587897</v>
      </c>
      <c r="J52" s="81">
        <v>51513228.449057855</v>
      </c>
      <c r="K52" s="81">
        <v>52194244.350942507</v>
      </c>
      <c r="L52" s="81">
        <v>52837906.575319797</v>
      </c>
      <c r="M52" s="81">
        <v>53444403.529228315</v>
      </c>
      <c r="N52" s="81">
        <v>54013976.337334663</v>
      </c>
      <c r="O52" s="81">
        <v>54546964.017083406</v>
      </c>
      <c r="P52" s="81">
        <v>55043759.763226062</v>
      </c>
      <c r="Q52" s="81">
        <v>55270266.875911534</v>
      </c>
      <c r="R52" s="81">
        <v>55462558.433164522</v>
      </c>
      <c r="S52" s="81">
        <v>55621696.839287192</v>
      </c>
      <c r="T52" s="81">
        <v>55748917.999163598</v>
      </c>
      <c r="U52" s="81">
        <v>55845444.464673959</v>
      </c>
      <c r="V52" s="81">
        <v>55912628.462768398</v>
      </c>
      <c r="W52" s="81">
        <v>55951833.315987118</v>
      </c>
      <c r="X52" s="81">
        <v>55964555.131000996</v>
      </c>
      <c r="Y52" s="81">
        <v>55952351.90570616</v>
      </c>
      <c r="Z52" s="81">
        <v>55916844.139266416</v>
      </c>
      <c r="AA52" s="81">
        <v>55807646.087861203</v>
      </c>
      <c r="AB52" s="81">
        <v>55679304.466247492</v>
      </c>
      <c r="AC52" s="81">
        <v>55533724.048834257</v>
      </c>
      <c r="AD52" s="81">
        <v>55372893.952332392</v>
      </c>
      <c r="AE52" s="81">
        <v>55198837.295133568</v>
      </c>
      <c r="AF52" s="81">
        <v>55013741.01319398</v>
      </c>
      <c r="AG52" s="81">
        <v>54819776.402584516</v>
      </c>
      <c r="AH52" s="81">
        <v>54619255.331794634</v>
      </c>
      <c r="AI52" s="81">
        <v>54414553.714837968</v>
      </c>
      <c r="AJ52" s="81">
        <v>54208112.042166755</v>
      </c>
      <c r="AK52" s="81">
        <v>54014928.764868118</v>
      </c>
      <c r="AL52" s="81">
        <v>53824987.843199022</v>
      </c>
      <c r="AM52" s="81">
        <v>53640988.820709288</v>
      </c>
      <c r="AN52" s="81">
        <v>53465729.318296202</v>
      </c>
      <c r="AO52" s="81">
        <v>53302106.548594207</v>
      </c>
      <c r="AP52" s="81">
        <v>53153063.125656195</v>
      </c>
      <c r="AQ52" s="81">
        <v>53021698.898104861</v>
      </c>
      <c r="AR52" s="81">
        <v>52911133.197069779</v>
      </c>
      <c r="AS52" s="81">
        <v>52824617.240884207</v>
      </c>
      <c r="AT52" s="81">
        <v>52765536.627019964</v>
      </c>
    </row>
    <row r="53" spans="1:46" ht="15.75">
      <c r="A53" s="81" t="s">
        <v>450</v>
      </c>
      <c r="B53" s="80">
        <v>211300</v>
      </c>
      <c r="C53" s="80" t="s">
        <v>435</v>
      </c>
      <c r="D53" s="84" t="s">
        <v>781</v>
      </c>
      <c r="E53" s="81">
        <v>56938731.894899167</v>
      </c>
      <c r="F53" s="81">
        <v>58239170.314162754</v>
      </c>
      <c r="G53" s="81">
        <v>59194732.169431321</v>
      </c>
      <c r="H53" s="81">
        <v>60137581.846472323</v>
      </c>
      <c r="I53" s="81">
        <v>61064912.001155488</v>
      </c>
      <c r="J53" s="81">
        <v>61974058.32457298</v>
      </c>
      <c r="K53" s="81">
        <v>62862450.11523851</v>
      </c>
      <c r="L53" s="81">
        <v>63727621.846772872</v>
      </c>
      <c r="M53" s="81">
        <v>64567247.131422997</v>
      </c>
      <c r="N53" s="81">
        <v>65379174.558321796</v>
      </c>
      <c r="O53" s="81">
        <v>66161397.064049922</v>
      </c>
      <c r="P53" s="81">
        <v>66912064.23560448</v>
      </c>
      <c r="Q53" s="81">
        <v>67343626.394177884</v>
      </c>
      <c r="R53" s="81">
        <v>67740168.985562861</v>
      </c>
      <c r="S53" s="81">
        <v>68100872.617964745</v>
      </c>
      <c r="T53" s="81">
        <v>68425246.637661695</v>
      </c>
      <c r="U53" s="81">
        <v>68712926.3104949</v>
      </c>
      <c r="V53" s="81">
        <v>68963895.70055522</v>
      </c>
      <c r="W53" s="81">
        <v>69178306.034462079</v>
      </c>
      <c r="X53" s="81">
        <v>69356629.384997189</v>
      </c>
      <c r="Y53" s="81">
        <v>69499596.226556987</v>
      </c>
      <c r="Z53" s="81">
        <v>69608254.577519178</v>
      </c>
      <c r="AA53" s="81">
        <v>69618918.743987635</v>
      </c>
      <c r="AB53" s="81">
        <v>69598744.16960752</v>
      </c>
      <c r="AC53" s="81">
        <v>69549766.238330036</v>
      </c>
      <c r="AD53" s="81">
        <v>69474318.894112632</v>
      </c>
      <c r="AE53" s="81">
        <v>69375017.230625749</v>
      </c>
      <c r="AF53" s="81">
        <v>69254895.322687909</v>
      </c>
      <c r="AG53" s="81">
        <v>69117287.285850614</v>
      </c>
      <c r="AH53" s="81">
        <v>68965861.48651588</v>
      </c>
      <c r="AI53" s="81">
        <v>68804709.012535959</v>
      </c>
      <c r="AJ53" s="81">
        <v>68638221.480841368</v>
      </c>
      <c r="AK53" s="81">
        <v>68487011.788262442</v>
      </c>
      <c r="AL53" s="81">
        <v>68340327.269145876</v>
      </c>
      <c r="AM53" s="81">
        <v>68203765.247061431</v>
      </c>
      <c r="AN53" s="81">
        <v>68083319.406716883</v>
      </c>
      <c r="AO53" s="81">
        <v>67985527.782796234</v>
      </c>
      <c r="AP53" s="81">
        <v>67917208.599349678</v>
      </c>
      <c r="AQ53" s="81">
        <v>67885745.860264271</v>
      </c>
      <c r="AR53" s="81">
        <v>67898906.322893485</v>
      </c>
      <c r="AS53" s="81">
        <v>67964989.729135036</v>
      </c>
      <c r="AT53" s="81">
        <v>68092755.895947978</v>
      </c>
    </row>
    <row r="54" spans="1:46" ht="15.75">
      <c r="A54" s="81" t="s">
        <v>450</v>
      </c>
      <c r="B54" s="80">
        <v>211400</v>
      </c>
      <c r="C54" s="80" t="s">
        <v>435</v>
      </c>
      <c r="D54" s="84" t="s">
        <v>780</v>
      </c>
      <c r="E54" s="81">
        <v>50926591.980526626</v>
      </c>
      <c r="F54" s="81">
        <v>52133573.466073908</v>
      </c>
      <c r="G54" s="81">
        <v>53019726.186552368</v>
      </c>
      <c r="H54" s="81">
        <v>53883393.952547207</v>
      </c>
      <c r="I54" s="81">
        <v>54723365.567530185</v>
      </c>
      <c r="J54" s="81">
        <v>55538485.029165365</v>
      </c>
      <c r="K54" s="81">
        <v>56327678.828332961</v>
      </c>
      <c r="L54" s="81">
        <v>57089985.089797303</v>
      </c>
      <c r="M54" s="81">
        <v>57824537.628923878</v>
      </c>
      <c r="N54" s="81">
        <v>58530548.31394022</v>
      </c>
      <c r="O54" s="81">
        <v>59207335.85984055</v>
      </c>
      <c r="P54" s="81">
        <v>59854332.117112093</v>
      </c>
      <c r="Q54" s="81">
        <v>60215506.831267901</v>
      </c>
      <c r="R54" s="81">
        <v>60546034.643214554</v>
      </c>
      <c r="S54" s="81">
        <v>60846088.553041071</v>
      </c>
      <c r="T54" s="81">
        <v>61116016.87596526</v>
      </c>
      <c r="U54" s="81">
        <v>61356298.823452227</v>
      </c>
      <c r="V54" s="81">
        <v>61567523.302842714</v>
      </c>
      <c r="W54" s="81">
        <v>61750392.329823539</v>
      </c>
      <c r="X54" s="81">
        <v>61905828.452153616</v>
      </c>
      <c r="Y54" s="81">
        <v>62034851.337801114</v>
      </c>
      <c r="Z54" s="81">
        <v>62138606.695588537</v>
      </c>
      <c r="AA54" s="81">
        <v>62160451.624295272</v>
      </c>
      <c r="AB54" s="81">
        <v>62160310.956450187</v>
      </c>
      <c r="AC54" s="81">
        <v>62139946.135727935</v>
      </c>
      <c r="AD54" s="81">
        <v>62101202.093168005</v>
      </c>
      <c r="AE54" s="81">
        <v>62046145.269824527</v>
      </c>
      <c r="AF54" s="81">
        <v>61976959.641018964</v>
      </c>
      <c r="AG54" s="81">
        <v>61896087.570005789</v>
      </c>
      <c r="AH54" s="81">
        <v>61806041.726838432</v>
      </c>
      <c r="AI54" s="81">
        <v>61709602.13741859</v>
      </c>
      <c r="AJ54" s="81">
        <v>61609710.326447546</v>
      </c>
      <c r="AK54" s="81">
        <v>61523671.626082197</v>
      </c>
      <c r="AL54" s="81">
        <v>61440537.338040717</v>
      </c>
      <c r="AM54" s="81">
        <v>61363820.148858927</v>
      </c>
      <c r="AN54" s="81">
        <v>61297242.096178524</v>
      </c>
      <c r="AO54" s="81">
        <v>61244797.75248304</v>
      </c>
      <c r="AP54" s="81">
        <v>61210672.670045748</v>
      </c>
      <c r="AQ54" s="81">
        <v>61199276.827570826</v>
      </c>
      <c r="AR54" s="81">
        <v>61215189.816013865</v>
      </c>
      <c r="AS54" s="81">
        <v>61263373.922986984</v>
      </c>
      <c r="AT54" s="81">
        <v>61348851.534748271</v>
      </c>
    </row>
    <row r="55" spans="1:46" ht="15.75">
      <c r="A55" s="81" t="s">
        <v>450</v>
      </c>
      <c r="B55" s="80">
        <v>220100</v>
      </c>
      <c r="C55" s="80" t="s">
        <v>434</v>
      </c>
      <c r="D55" s="84" t="s">
        <v>779</v>
      </c>
      <c r="E55" s="81">
        <v>158708727.65659764</v>
      </c>
      <c r="F55" s="81">
        <v>163290657.76612967</v>
      </c>
      <c r="G55" s="81">
        <v>166747925.82548416</v>
      </c>
      <c r="H55" s="81">
        <v>170021730.91283619</v>
      </c>
      <c r="I55" s="81">
        <v>173119732.93816134</v>
      </c>
      <c r="J55" s="81">
        <v>176049712.75611395</v>
      </c>
      <c r="K55" s="81">
        <v>178819596.51116228</v>
      </c>
      <c r="L55" s="81">
        <v>181437366.92994949</v>
      </c>
      <c r="M55" s="81">
        <v>183911087.99798048</v>
      </c>
      <c r="N55" s="81">
        <v>186248853.59575126</v>
      </c>
      <c r="O55" s="81">
        <v>188458734.06718817</v>
      </c>
      <c r="P55" s="81">
        <v>190548761.69596261</v>
      </c>
      <c r="Q55" s="81">
        <v>191713002.50306594</v>
      </c>
      <c r="R55" s="81">
        <v>192772667.11841235</v>
      </c>
      <c r="S55" s="81">
        <v>193736699.52838582</v>
      </c>
      <c r="T55" s="81">
        <v>194613612.51408422</v>
      </c>
      <c r="U55" s="81">
        <v>195411587.74940878</v>
      </c>
      <c r="V55" s="81">
        <v>196138388.06079894</v>
      </c>
      <c r="W55" s="81">
        <v>196801374.73501569</v>
      </c>
      <c r="X55" s="81">
        <v>197407395.4196144</v>
      </c>
      <c r="Y55" s="81">
        <v>197962887.87709063</v>
      </c>
      <c r="Z55" s="81">
        <v>198473723.18994096</v>
      </c>
      <c r="AA55" s="81">
        <v>198759753.08603933</v>
      </c>
      <c r="AB55" s="81">
        <v>199012308.91094539</v>
      </c>
      <c r="AC55" s="81">
        <v>199235642.84745198</v>
      </c>
      <c r="AD55" s="81">
        <v>199433450.37132886</v>
      </c>
      <c r="AE55" s="81">
        <v>199608710.2478047</v>
      </c>
      <c r="AF55" s="81">
        <v>199763726.85625964</v>
      </c>
      <c r="AG55" s="81">
        <v>199900128.47439644</v>
      </c>
      <c r="AH55" s="81">
        <v>200018795.91985372</v>
      </c>
      <c r="AI55" s="81">
        <v>200119812.65636733</v>
      </c>
      <c r="AJ55" s="81">
        <v>200202556.22999337</v>
      </c>
      <c r="AK55" s="81">
        <v>200311784.34760252</v>
      </c>
      <c r="AL55" s="81">
        <v>200398654.08471707</v>
      </c>
      <c r="AM55" s="81">
        <v>200459970.36744565</v>
      </c>
      <c r="AN55" s="81">
        <v>200491700.56149471</v>
      </c>
      <c r="AO55" s="81">
        <v>200488825.18520001</v>
      </c>
      <c r="AP55" s="81">
        <v>200445406.09576797</v>
      </c>
      <c r="AQ55" s="81">
        <v>200354508.89904124</v>
      </c>
      <c r="AR55" s="81">
        <v>200208223.4095538</v>
      </c>
      <c r="AS55" s="81">
        <v>199997534.34537685</v>
      </c>
      <c r="AT55" s="81">
        <v>199712441.89515844</v>
      </c>
    </row>
    <row r="56" spans="1:46" ht="15.75">
      <c r="A56" s="81" t="s">
        <v>450</v>
      </c>
      <c r="B56" s="80">
        <v>220200</v>
      </c>
      <c r="C56" s="80" t="s">
        <v>434</v>
      </c>
      <c r="D56" s="84" t="s">
        <v>778</v>
      </c>
      <c r="E56" s="81">
        <v>54896095.761073254</v>
      </c>
      <c r="F56" s="81">
        <v>56297748.055581167</v>
      </c>
      <c r="G56" s="81">
        <v>57317496.241377592</v>
      </c>
      <c r="H56" s="81">
        <v>58279712.213784724</v>
      </c>
      <c r="I56" s="81">
        <v>59185934.234223396</v>
      </c>
      <c r="J56" s="81">
        <v>60037684.072016515</v>
      </c>
      <c r="K56" s="81">
        <v>60836638.229898609</v>
      </c>
      <c r="L56" s="81">
        <v>61584493.725347482</v>
      </c>
      <c r="M56" s="81">
        <v>62282976.731250182</v>
      </c>
      <c r="N56" s="81">
        <v>62933921.359333664</v>
      </c>
      <c r="O56" s="81">
        <v>63539162.739494614</v>
      </c>
      <c r="P56" s="81">
        <v>64100598.992403835</v>
      </c>
      <c r="Q56" s="81">
        <v>64346962.890305951</v>
      </c>
      <c r="R56" s="81">
        <v>64554464.568786606</v>
      </c>
      <c r="S56" s="81">
        <v>64725511.08078862</v>
      </c>
      <c r="T56" s="81">
        <v>64862463.654795393</v>
      </c>
      <c r="U56" s="81">
        <v>64967651.246108338</v>
      </c>
      <c r="V56" s="81">
        <v>65043384.905550249</v>
      </c>
      <c r="W56" s="81">
        <v>65091879.440649189</v>
      </c>
      <c r="X56" s="81">
        <v>65115303.456670411</v>
      </c>
      <c r="Y56" s="81">
        <v>65115812.990605034</v>
      </c>
      <c r="Z56" s="81">
        <v>65095452.802920967</v>
      </c>
      <c r="AA56" s="81">
        <v>64995517.146729022</v>
      </c>
      <c r="AB56" s="81">
        <v>64879334.770878591</v>
      </c>
      <c r="AC56" s="81">
        <v>64748768.981653109</v>
      </c>
      <c r="AD56" s="81">
        <v>64605581.791957594</v>
      </c>
      <c r="AE56" s="81">
        <v>64451468.689971179</v>
      </c>
      <c r="AF56" s="81">
        <v>64288015.154470548</v>
      </c>
      <c r="AG56" s="81">
        <v>64116691.688397184</v>
      </c>
      <c r="AH56" s="81">
        <v>63938909.465864182</v>
      </c>
      <c r="AI56" s="81">
        <v>63755895.144290797</v>
      </c>
      <c r="AJ56" s="81">
        <v>63568786.179963022</v>
      </c>
      <c r="AK56" s="81">
        <v>63393277.974442735</v>
      </c>
      <c r="AL56" s="81">
        <v>63215377.62493442</v>
      </c>
      <c r="AM56" s="81">
        <v>63035909.872899055</v>
      </c>
      <c r="AN56" s="81">
        <v>62855468.460999705</v>
      </c>
      <c r="AO56" s="81">
        <v>62674513.746236376</v>
      </c>
      <c r="AP56" s="81">
        <v>62493431.838442154</v>
      </c>
      <c r="AQ56" s="81">
        <v>62312338.372002296</v>
      </c>
      <c r="AR56" s="81">
        <v>62131307.183825955</v>
      </c>
      <c r="AS56" s="81">
        <v>61950172.828543</v>
      </c>
      <c r="AT56" s="81">
        <v>61768632.208139747</v>
      </c>
    </row>
    <row r="57" spans="1:46" ht="15.75">
      <c r="A57" s="81" t="s">
        <v>450</v>
      </c>
      <c r="B57" s="80">
        <v>220300</v>
      </c>
      <c r="C57" s="80" t="s">
        <v>434</v>
      </c>
      <c r="D57" s="84" t="s">
        <v>777</v>
      </c>
      <c r="E57" s="81">
        <v>26023498.988455802</v>
      </c>
      <c r="F57" s="81">
        <v>26697627.231608659</v>
      </c>
      <c r="G57" s="81">
        <v>27197772.29551319</v>
      </c>
      <c r="H57" s="81">
        <v>27677167.194774661</v>
      </c>
      <c r="I57" s="81">
        <v>28135957.418665774</v>
      </c>
      <c r="J57" s="81">
        <v>28574309.088610634</v>
      </c>
      <c r="K57" s="81">
        <v>28992454.793156378</v>
      </c>
      <c r="L57" s="81">
        <v>29390631.614812244</v>
      </c>
      <c r="M57" s="81">
        <v>29769127.138876401</v>
      </c>
      <c r="N57" s="81">
        <v>30128247.464108106</v>
      </c>
      <c r="O57" s="81">
        <v>30468348.887106404</v>
      </c>
      <c r="P57" s="81">
        <v>30789805.065910965</v>
      </c>
      <c r="Q57" s="81">
        <v>30961582.323430553</v>
      </c>
      <c r="R57" s="81">
        <v>31115641.628188685</v>
      </c>
      <c r="S57" s="81">
        <v>31252651.428803157</v>
      </c>
      <c r="T57" s="81">
        <v>31373329.705495298</v>
      </c>
      <c r="U57" s="81">
        <v>31478392.692489203</v>
      </c>
      <c r="V57" s="81">
        <v>31568536.247733079</v>
      </c>
      <c r="W57" s="81">
        <v>31644540.368946351</v>
      </c>
      <c r="X57" s="81">
        <v>31707128.773236606</v>
      </c>
      <c r="Y57" s="81">
        <v>31757091.672340006</v>
      </c>
      <c r="Z57" s="81">
        <v>31795178.664910719</v>
      </c>
      <c r="AA57" s="81">
        <v>31792510.376556184</v>
      </c>
      <c r="AB57" s="81">
        <v>31779834.198796533</v>
      </c>
      <c r="AC57" s="81">
        <v>31757957.76845919</v>
      </c>
      <c r="AD57" s="81">
        <v>31727714.423207507</v>
      </c>
      <c r="AE57" s="81">
        <v>31689982.192548495</v>
      </c>
      <c r="AF57" s="81">
        <v>31645571.295435719</v>
      </c>
      <c r="AG57" s="81">
        <v>31595335.308271773</v>
      </c>
      <c r="AH57" s="81">
        <v>31540133.713730574</v>
      </c>
      <c r="AI57" s="81">
        <v>31480850.748155452</v>
      </c>
      <c r="AJ57" s="81">
        <v>31418317.98366398</v>
      </c>
      <c r="AK57" s="81">
        <v>31360647.252863545</v>
      </c>
      <c r="AL57" s="81">
        <v>31301380.85418205</v>
      </c>
      <c r="AM57" s="81">
        <v>31241400.793764278</v>
      </c>
      <c r="AN57" s="81">
        <v>31181553.218969509</v>
      </c>
      <c r="AO57" s="81">
        <v>31122746.982095297</v>
      </c>
      <c r="AP57" s="81">
        <v>31065833.893127654</v>
      </c>
      <c r="AQ57" s="81">
        <v>31011687.593370155</v>
      </c>
      <c r="AR57" s="81">
        <v>30961183.243297804</v>
      </c>
      <c r="AS57" s="81">
        <v>30915176.386321165</v>
      </c>
      <c r="AT57" s="81">
        <v>30874584.798777923</v>
      </c>
    </row>
    <row r="58" spans="1:46" ht="15.75">
      <c r="A58" s="81" t="s">
        <v>450</v>
      </c>
      <c r="B58" s="80">
        <v>220400</v>
      </c>
      <c r="C58" s="80" t="s">
        <v>434</v>
      </c>
      <c r="D58" s="84" t="s">
        <v>776</v>
      </c>
      <c r="E58" s="81">
        <v>14307928.290846443</v>
      </c>
      <c r="F58" s="81">
        <v>14665964.314788979</v>
      </c>
      <c r="G58" s="81">
        <v>14927497.058221396</v>
      </c>
      <c r="H58" s="81">
        <v>15176754.276674112</v>
      </c>
      <c r="I58" s="81">
        <v>15413765.779927956</v>
      </c>
      <c r="J58" s="81">
        <v>15638619.178994313</v>
      </c>
      <c r="K58" s="81">
        <v>15851367.984764038</v>
      </c>
      <c r="L58" s="81">
        <v>16052139.373602647</v>
      </c>
      <c r="M58" s="81">
        <v>16241056.984368891</v>
      </c>
      <c r="N58" s="81">
        <v>16418304.572050897</v>
      </c>
      <c r="O58" s="81">
        <v>16584029.20933714</v>
      </c>
      <c r="P58" s="81">
        <v>16738454.740194129</v>
      </c>
      <c r="Q58" s="81">
        <v>16810418.791069549</v>
      </c>
      <c r="R58" s="81">
        <v>16871773.366668176</v>
      </c>
      <c r="S58" s="81">
        <v>16922902.468786117</v>
      </c>
      <c r="T58" s="81">
        <v>16964226.0261112</v>
      </c>
      <c r="U58" s="81">
        <v>16996148.475999977</v>
      </c>
      <c r="V58" s="81">
        <v>17019110.291865677</v>
      </c>
      <c r="W58" s="81">
        <v>17033571.155882206</v>
      </c>
      <c r="X58" s="81">
        <v>17039974.441722754</v>
      </c>
      <c r="Y58" s="81">
        <v>17038799.985307001</v>
      </c>
      <c r="Z58" s="81">
        <v>17030528.699672308</v>
      </c>
      <c r="AA58" s="81">
        <v>16999809.865791854</v>
      </c>
      <c r="AB58" s="81">
        <v>16963207.422730464</v>
      </c>
      <c r="AC58" s="81">
        <v>16921271.852730166</v>
      </c>
      <c r="AD58" s="81">
        <v>16874533.446487885</v>
      </c>
      <c r="AE58" s="81">
        <v>16823557.484440938</v>
      </c>
      <c r="AF58" s="81">
        <v>16768926.118258966</v>
      </c>
      <c r="AG58" s="81">
        <v>16711200.472325258</v>
      </c>
      <c r="AH58" s="81">
        <v>16650996.104956361</v>
      </c>
      <c r="AI58" s="81">
        <v>16588907.317376642</v>
      </c>
      <c r="AJ58" s="81">
        <v>16525525.416093059</v>
      </c>
      <c r="AK58" s="81">
        <v>16465296.78230832</v>
      </c>
      <c r="AL58" s="81">
        <v>16404990.938949991</v>
      </c>
      <c r="AM58" s="81">
        <v>16345249.43357859</v>
      </c>
      <c r="AN58" s="81">
        <v>16286730.83044773</v>
      </c>
      <c r="AO58" s="81">
        <v>16230090.771444848</v>
      </c>
      <c r="AP58" s="81">
        <v>16176001.652053863</v>
      </c>
      <c r="AQ58" s="81">
        <v>16125173.10917661</v>
      </c>
      <c r="AR58" s="81">
        <v>16078270.886243807</v>
      </c>
      <c r="AS58" s="81">
        <v>16036018.044244593</v>
      </c>
      <c r="AT58" s="81">
        <v>15999134.174681649</v>
      </c>
    </row>
    <row r="59" spans="1:46" ht="15.75">
      <c r="A59" s="81" t="s">
        <v>450</v>
      </c>
      <c r="B59" s="80">
        <v>220500</v>
      </c>
      <c r="C59" s="80" t="s">
        <v>434</v>
      </c>
      <c r="D59" s="84" t="s">
        <v>775</v>
      </c>
      <c r="E59" s="81">
        <v>25991422.605253369</v>
      </c>
      <c r="F59" s="81">
        <v>26658933.589633048</v>
      </c>
      <c r="G59" s="81">
        <v>27147818.630789403</v>
      </c>
      <c r="H59" s="81">
        <v>27611386.364567325</v>
      </c>
      <c r="I59" s="81">
        <v>28050145.548449706</v>
      </c>
      <c r="J59" s="81">
        <v>28464559.166664235</v>
      </c>
      <c r="K59" s="81">
        <v>28855210.245944753</v>
      </c>
      <c r="L59" s="81">
        <v>29222630.743307505</v>
      </c>
      <c r="M59" s="81">
        <v>29567439.482290301</v>
      </c>
      <c r="N59" s="81">
        <v>29890246.108769678</v>
      </c>
      <c r="O59" s="81">
        <v>30191729.543655019</v>
      </c>
      <c r="P59" s="81">
        <v>30472571.879477512</v>
      </c>
      <c r="Q59" s="81">
        <v>30603534.876684923</v>
      </c>
      <c r="R59" s="81">
        <v>30715688.635229673</v>
      </c>
      <c r="S59" s="81">
        <v>30809995.741022483</v>
      </c>
      <c r="T59" s="81">
        <v>30887391.709520981</v>
      </c>
      <c r="U59" s="81">
        <v>30948887.245626532</v>
      </c>
      <c r="V59" s="81">
        <v>30995376.723873351</v>
      </c>
      <c r="W59" s="81">
        <v>31027844.881769542</v>
      </c>
      <c r="X59" s="81">
        <v>31047208.601721562</v>
      </c>
      <c r="Y59" s="81">
        <v>31054403.0466928</v>
      </c>
      <c r="Z59" s="81">
        <v>31050326.894394927</v>
      </c>
      <c r="AA59" s="81">
        <v>31006969.010479864</v>
      </c>
      <c r="AB59" s="81">
        <v>30954458.227725811</v>
      </c>
      <c r="AC59" s="81">
        <v>30893701.698483199</v>
      </c>
      <c r="AD59" s="81">
        <v>30825541.284231987</v>
      </c>
      <c r="AE59" s="81">
        <v>30750863.229740929</v>
      </c>
      <c r="AF59" s="81">
        <v>30670466.762723569</v>
      </c>
      <c r="AG59" s="81">
        <v>30585155.598766673</v>
      </c>
      <c r="AH59" s="81">
        <v>30495699.20223942</v>
      </c>
      <c r="AI59" s="81">
        <v>30402811.777983192</v>
      </c>
      <c r="AJ59" s="81">
        <v>30307246.909229886</v>
      </c>
      <c r="AK59" s="81">
        <v>30216635.220824111</v>
      </c>
      <c r="AL59" s="81">
        <v>30124566.208272632</v>
      </c>
      <c r="AM59" s="81">
        <v>30031633.487284094</v>
      </c>
      <c r="AN59" s="81">
        <v>29938426.668358598</v>
      </c>
      <c r="AO59" s="81">
        <v>29845510.73098699</v>
      </c>
      <c r="AP59" s="81">
        <v>29753343.928682704</v>
      </c>
      <c r="AQ59" s="81">
        <v>29662395.925019998</v>
      </c>
      <c r="AR59" s="81">
        <v>29573106.906601235</v>
      </c>
      <c r="AS59" s="81">
        <v>29485824.421679817</v>
      </c>
      <c r="AT59" s="81">
        <v>29400903.836498123</v>
      </c>
    </row>
    <row r="60" spans="1:46" ht="15.75">
      <c r="A60" s="81" t="s">
        <v>450</v>
      </c>
      <c r="B60" s="80">
        <v>220600</v>
      </c>
      <c r="C60" s="80" t="s">
        <v>434</v>
      </c>
      <c r="D60" s="84" t="s">
        <v>774</v>
      </c>
      <c r="E60" s="81">
        <v>13678694.409293709</v>
      </c>
      <c r="F60" s="81">
        <v>14003229.030973991</v>
      </c>
      <c r="G60" s="81">
        <v>14235526.965234127</v>
      </c>
      <c r="H60" s="81">
        <v>14456111.907979518</v>
      </c>
      <c r="I60" s="81">
        <v>14665055.681031685</v>
      </c>
      <c r="J60" s="81">
        <v>14862457.30521222</v>
      </c>
      <c r="K60" s="81">
        <v>15048459.092212675</v>
      </c>
      <c r="L60" s="81">
        <v>15223168.431919795</v>
      </c>
      <c r="M60" s="81">
        <v>15386734.711192382</v>
      </c>
      <c r="N60" s="81">
        <v>15539350.68863919</v>
      </c>
      <c r="O60" s="81">
        <v>15681204.268585544</v>
      </c>
      <c r="P60" s="81">
        <v>15812493.536444243</v>
      </c>
      <c r="Q60" s="81">
        <v>15866087.221203616</v>
      </c>
      <c r="R60" s="81">
        <v>15909939.095503449</v>
      </c>
      <c r="S60" s="81">
        <v>15944389.585568462</v>
      </c>
      <c r="T60" s="81">
        <v>15969847.619755639</v>
      </c>
      <c r="U60" s="81">
        <v>15986705.708235467</v>
      </c>
      <c r="V60" s="81">
        <v>15995356.310818955</v>
      </c>
      <c r="W60" s="81">
        <v>15996209.028829852</v>
      </c>
      <c r="X60" s="81">
        <v>15989690.77697628</v>
      </c>
      <c r="Y60" s="81">
        <v>15976191.967313543</v>
      </c>
      <c r="Z60" s="81">
        <v>15956191.520843521</v>
      </c>
      <c r="AA60" s="81">
        <v>15915220.750854701</v>
      </c>
      <c r="AB60" s="81">
        <v>15868835.41537321</v>
      </c>
      <c r="AC60" s="81">
        <v>15817467.149674624</v>
      </c>
      <c r="AD60" s="81">
        <v>15761579.855951715</v>
      </c>
      <c r="AE60" s="81">
        <v>15701670.455233494</v>
      </c>
      <c r="AF60" s="81">
        <v>15638194.070802579</v>
      </c>
      <c r="AG60" s="81">
        <v>15571638.327329207</v>
      </c>
      <c r="AH60" s="81">
        <v>15502504.955728361</v>
      </c>
      <c r="AI60" s="81">
        <v>15431232.801519647</v>
      </c>
      <c r="AJ60" s="81">
        <v>15358370.02459061</v>
      </c>
      <c r="AK60" s="81">
        <v>15287910.323727416</v>
      </c>
      <c r="AL60" s="81">
        <v>15216765.234031506</v>
      </c>
      <c r="AM60" s="81">
        <v>15145426.179820653</v>
      </c>
      <c r="AN60" s="81">
        <v>15074397.743669311</v>
      </c>
      <c r="AO60" s="81">
        <v>15004217.854618404</v>
      </c>
      <c r="AP60" s="81">
        <v>14935337.283968911</v>
      </c>
      <c r="AQ60" s="81">
        <v>14868319.866686152</v>
      </c>
      <c r="AR60" s="81">
        <v>14803641.126217972</v>
      </c>
      <c r="AS60" s="81">
        <v>14741829.33719069</v>
      </c>
      <c r="AT60" s="81">
        <v>14683383.938158125</v>
      </c>
    </row>
    <row r="61" spans="1:46" ht="15.75">
      <c r="A61" s="81" t="s">
        <v>450</v>
      </c>
      <c r="B61" s="80">
        <v>220700</v>
      </c>
      <c r="C61" s="80" t="s">
        <v>434</v>
      </c>
      <c r="D61" s="84" t="s">
        <v>773</v>
      </c>
      <c r="E61" s="81">
        <v>32262160.725479756</v>
      </c>
      <c r="F61" s="81">
        <v>33145576.925176561</v>
      </c>
      <c r="G61" s="81">
        <v>33817915.264001936</v>
      </c>
      <c r="H61" s="81">
        <v>34468988.800955936</v>
      </c>
      <c r="I61" s="81">
        <v>35098831.181210339</v>
      </c>
      <c r="J61" s="81">
        <v>35707495.491350852</v>
      </c>
      <c r="K61" s="81">
        <v>36295068.65950048</v>
      </c>
      <c r="L61" s="81">
        <v>36861687.050224699</v>
      </c>
      <c r="M61" s="81">
        <v>37407504.895931087</v>
      </c>
      <c r="N61" s="81">
        <v>37932709.255066745</v>
      </c>
      <c r="O61" s="81">
        <v>38437519.643663377</v>
      </c>
      <c r="P61" s="81">
        <v>38922187.652840719</v>
      </c>
      <c r="Q61" s="81">
        <v>39220478.148745552</v>
      </c>
      <c r="R61" s="81">
        <v>39498604.619807974</v>
      </c>
      <c r="S61" s="81">
        <v>39757151.739541881</v>
      </c>
      <c r="T61" s="81">
        <v>39996718.445588388</v>
      </c>
      <c r="U61" s="81">
        <v>40217935.013674065</v>
      </c>
      <c r="V61" s="81">
        <v>40421445.811157331</v>
      </c>
      <c r="W61" s="81">
        <v>40607855.781870522</v>
      </c>
      <c r="X61" s="81">
        <v>40777870.799578324</v>
      </c>
      <c r="Y61" s="81">
        <v>40932102.834121823</v>
      </c>
      <c r="Z61" s="81">
        <v>41071264.833815984</v>
      </c>
      <c r="AA61" s="81">
        <v>41157626.64831654</v>
      </c>
      <c r="AB61" s="81">
        <v>41230441.472963572</v>
      </c>
      <c r="AC61" s="81">
        <v>41290453.026028916</v>
      </c>
      <c r="AD61" s="81">
        <v>41338430.665139377</v>
      </c>
      <c r="AE61" s="81">
        <v>41375094.549441755</v>
      </c>
      <c r="AF61" s="81">
        <v>41401207.794838786</v>
      </c>
      <c r="AG61" s="81">
        <v>41417501.238348827</v>
      </c>
      <c r="AH61" s="81">
        <v>41424767.480756544</v>
      </c>
      <c r="AI61" s="81">
        <v>41423746.708235003</v>
      </c>
      <c r="AJ61" s="81">
        <v>41415201.953562625</v>
      </c>
      <c r="AK61" s="81">
        <v>41409436.971701257</v>
      </c>
      <c r="AL61" s="81">
        <v>41397610.426050887</v>
      </c>
      <c r="AM61" s="81">
        <v>41380471.840812854</v>
      </c>
      <c r="AN61" s="81">
        <v>41358793.015609138</v>
      </c>
      <c r="AO61" s="81">
        <v>41333328.056763709</v>
      </c>
      <c r="AP61" s="81">
        <v>41304852.638627559</v>
      </c>
      <c r="AQ61" s="81">
        <v>41274103.129015721</v>
      </c>
      <c r="AR61" s="81">
        <v>41241836.183427416</v>
      </c>
      <c r="AS61" s="81">
        <v>41208849.538821176</v>
      </c>
      <c r="AT61" s="81">
        <v>41175858.286435463</v>
      </c>
    </row>
    <row r="62" spans="1:46" ht="15.75">
      <c r="A62" s="81" t="s">
        <v>450</v>
      </c>
      <c r="B62" s="80">
        <v>220800</v>
      </c>
      <c r="C62" s="80" t="s">
        <v>434</v>
      </c>
      <c r="D62" s="84" t="s">
        <v>772</v>
      </c>
      <c r="E62" s="81">
        <v>22252309.061215468</v>
      </c>
      <c r="F62" s="81">
        <v>22823290.238995079</v>
      </c>
      <c r="G62" s="81">
        <v>23243380.549811359</v>
      </c>
      <c r="H62" s="81">
        <v>23643742.979334615</v>
      </c>
      <c r="I62" s="81">
        <v>24024628.6410207</v>
      </c>
      <c r="J62" s="81">
        <v>24386311.643005412</v>
      </c>
      <c r="K62" s="81">
        <v>24729103.506950177</v>
      </c>
      <c r="L62" s="81">
        <v>25053352.860434532</v>
      </c>
      <c r="M62" s="81">
        <v>25359412.863342997</v>
      </c>
      <c r="N62" s="81">
        <v>25647687.810338333</v>
      </c>
      <c r="O62" s="81">
        <v>25918567.642365452</v>
      </c>
      <c r="P62" s="81">
        <v>26172491.443544514</v>
      </c>
      <c r="Q62" s="81">
        <v>26298270.945996068</v>
      </c>
      <c r="R62" s="81">
        <v>26408266.895663403</v>
      </c>
      <c r="S62" s="81">
        <v>26503149.268023826</v>
      </c>
      <c r="T62" s="81">
        <v>26583619.019565426</v>
      </c>
      <c r="U62" s="81">
        <v>26650321.229748853</v>
      </c>
      <c r="V62" s="81">
        <v>26704000.104255661</v>
      </c>
      <c r="W62" s="81">
        <v>26745289.491342377</v>
      </c>
      <c r="X62" s="81">
        <v>26774903.98051545</v>
      </c>
      <c r="Y62" s="81">
        <v>26793515.316371307</v>
      </c>
      <c r="Z62" s="81">
        <v>26801822.404808432</v>
      </c>
      <c r="AA62" s="81">
        <v>26775484.454629488</v>
      </c>
      <c r="AB62" s="81">
        <v>26740456.681215908</v>
      </c>
      <c r="AC62" s="81">
        <v>26697407.268838171</v>
      </c>
      <c r="AD62" s="81">
        <v>26647025.735386048</v>
      </c>
      <c r="AE62" s="81">
        <v>26589985.585426066</v>
      </c>
      <c r="AF62" s="81">
        <v>26526924.331798609</v>
      </c>
      <c r="AG62" s="81">
        <v>26458517.845557719</v>
      </c>
      <c r="AH62" s="81">
        <v>26385366.265739962</v>
      </c>
      <c r="AI62" s="81">
        <v>26308125.90234606</v>
      </c>
      <c r="AJ62" s="81">
        <v>26227355.42173313</v>
      </c>
      <c r="AK62" s="81">
        <v>26149722.95798517</v>
      </c>
      <c r="AL62" s="81">
        <v>26069666.063639641</v>
      </c>
      <c r="AM62" s="81">
        <v>25987751.728353694</v>
      </c>
      <c r="AN62" s="81">
        <v>25904522.794208258</v>
      </c>
      <c r="AO62" s="81">
        <v>25820476.652225878</v>
      </c>
      <c r="AP62" s="81">
        <v>25736123.971277993</v>
      </c>
      <c r="AQ62" s="81">
        <v>25651927.751041774</v>
      </c>
      <c r="AR62" s="81">
        <v>25568383.332556617</v>
      </c>
      <c r="AS62" s="81">
        <v>25485916.04927212</v>
      </c>
      <c r="AT62" s="81">
        <v>25404899.33464833</v>
      </c>
    </row>
    <row r="63" spans="1:46" ht="15.75">
      <c r="A63" s="81" t="s">
        <v>450</v>
      </c>
      <c r="B63" s="80">
        <v>222400</v>
      </c>
      <c r="C63" s="80" t="s">
        <v>434</v>
      </c>
      <c r="D63" s="84" t="s">
        <v>771</v>
      </c>
      <c r="E63" s="81">
        <v>29408910.618327759</v>
      </c>
      <c r="F63" s="81">
        <v>30166144.382083669</v>
      </c>
      <c r="G63" s="81">
        <v>30711707.333578438</v>
      </c>
      <c r="H63" s="81">
        <v>31219928.755519148</v>
      </c>
      <c r="I63" s="81">
        <v>31692225.655488018</v>
      </c>
      <c r="J63" s="81">
        <v>32129966.251641184</v>
      </c>
      <c r="K63" s="81">
        <v>32534608.400643844</v>
      </c>
      <c r="L63" s="81">
        <v>32907614.081035558</v>
      </c>
      <c r="M63" s="81">
        <v>33250476.55361782</v>
      </c>
      <c r="N63" s="81">
        <v>33564681.021946214</v>
      </c>
      <c r="O63" s="81">
        <v>33851767.376341812</v>
      </c>
      <c r="P63" s="81">
        <v>34113256.605102286</v>
      </c>
      <c r="Q63" s="81">
        <v>34205414.417158395</v>
      </c>
      <c r="R63" s="81">
        <v>34275916.478045613</v>
      </c>
      <c r="S63" s="81">
        <v>34326459.718608208</v>
      </c>
      <c r="T63" s="81">
        <v>34358753.390116431</v>
      </c>
      <c r="U63" s="81">
        <v>34374407.055821724</v>
      </c>
      <c r="V63" s="81">
        <v>34374980.292796433</v>
      </c>
      <c r="W63" s="81">
        <v>34361978.857807688</v>
      </c>
      <c r="X63" s="81">
        <v>34336831.948052958</v>
      </c>
      <c r="Y63" s="81">
        <v>34300887.523591764</v>
      </c>
      <c r="Z63" s="81">
        <v>34255407.572026171</v>
      </c>
      <c r="AA63" s="81">
        <v>34169705.662793331</v>
      </c>
      <c r="AB63" s="81">
        <v>34077219.441548511</v>
      </c>
      <c r="AC63" s="81">
        <v>33978936.872156531</v>
      </c>
      <c r="AD63" s="81">
        <v>33875815.759293348</v>
      </c>
      <c r="AE63" s="81">
        <v>33768663.07758794</v>
      </c>
      <c r="AF63" s="81">
        <v>33658169.069346622</v>
      </c>
      <c r="AG63" s="81">
        <v>33544962.985181544</v>
      </c>
      <c r="AH63" s="81">
        <v>33429509.430848774</v>
      </c>
      <c r="AI63" s="81">
        <v>33312163.483807281</v>
      </c>
      <c r="AJ63" s="81">
        <v>33193146.221841779</v>
      </c>
      <c r="AK63" s="81">
        <v>33080236.396559589</v>
      </c>
      <c r="AL63" s="81">
        <v>32965611.870418109</v>
      </c>
      <c r="AM63" s="81">
        <v>32849126.742384754</v>
      </c>
      <c r="AN63" s="81">
        <v>32730462.357315395</v>
      </c>
      <c r="AO63" s="81">
        <v>32609142.747207485</v>
      </c>
      <c r="AP63" s="81">
        <v>32484550.876710188</v>
      </c>
      <c r="AQ63" s="81">
        <v>32355902.71791295</v>
      </c>
      <c r="AR63" s="81">
        <v>32222285.325913996</v>
      </c>
      <c r="AS63" s="81">
        <v>32082544.129828747</v>
      </c>
      <c r="AT63" s="81">
        <v>31935407.02634057</v>
      </c>
    </row>
    <row r="64" spans="1:46" ht="15.75">
      <c r="A64" s="81" t="s">
        <v>450</v>
      </c>
      <c r="B64" s="80">
        <v>230100</v>
      </c>
      <c r="C64" s="80" t="s">
        <v>433</v>
      </c>
      <c r="D64" s="84" t="s">
        <v>770</v>
      </c>
      <c r="E64" s="81">
        <v>175918733.14666781</v>
      </c>
      <c r="F64" s="81">
        <v>181032045.01484197</v>
      </c>
      <c r="G64" s="81">
        <v>184861103.51001248</v>
      </c>
      <c r="H64" s="81">
        <v>188452034.35657457</v>
      </c>
      <c r="I64" s="81">
        <v>191816097.53872848</v>
      </c>
      <c r="J64" s="81">
        <v>194964714.67236775</v>
      </c>
      <c r="K64" s="81">
        <v>197909480.83221665</v>
      </c>
      <c r="L64" s="81">
        <v>200662023.48088858</v>
      </c>
      <c r="M64" s="81">
        <v>203233972.01489201</v>
      </c>
      <c r="N64" s="81">
        <v>205636988.19559664</v>
      </c>
      <c r="O64" s="81">
        <v>207882639.18256873</v>
      </c>
      <c r="P64" s="81">
        <v>209982366.59711951</v>
      </c>
      <c r="Q64" s="81">
        <v>211051444.60383761</v>
      </c>
      <c r="R64" s="81">
        <v>211998234.23920318</v>
      </c>
      <c r="S64" s="81">
        <v>212834840.04933313</v>
      </c>
      <c r="T64" s="81">
        <v>213572851.94810218</v>
      </c>
      <c r="U64" s="81">
        <v>214223289.07439503</v>
      </c>
      <c r="V64" s="81">
        <v>214796477.36442366</v>
      </c>
      <c r="W64" s="81">
        <v>215302140.31334016</v>
      </c>
      <c r="X64" s="81">
        <v>215749275.96709105</v>
      </c>
      <c r="Y64" s="81">
        <v>216146162.06018731</v>
      </c>
      <c r="Z64" s="81">
        <v>216500273.58272347</v>
      </c>
      <c r="AA64" s="81">
        <v>216616083.92434525</v>
      </c>
      <c r="AB64" s="81">
        <v>216703063.16626456</v>
      </c>
      <c r="AC64" s="81">
        <v>216766156.40037939</v>
      </c>
      <c r="AD64" s="81">
        <v>216809398.46783233</v>
      </c>
      <c r="AE64" s="81">
        <v>216835810.1545001</v>
      </c>
      <c r="AF64" s="81">
        <v>216847407.3478418</v>
      </c>
      <c r="AG64" s="81">
        <v>216845141.5423488</v>
      </c>
      <c r="AH64" s="81">
        <v>216828815.49371368</v>
      </c>
      <c r="AI64" s="81">
        <v>216797162.49363807</v>
      </c>
      <c r="AJ64" s="81">
        <v>216747739.14998004</v>
      </c>
      <c r="AK64" s="81">
        <v>216726832.65101978</v>
      </c>
      <c r="AL64" s="81">
        <v>216679182.0555709</v>
      </c>
      <c r="AM64" s="81">
        <v>216598489.97552174</v>
      </c>
      <c r="AN64" s="81">
        <v>216477240.50217861</v>
      </c>
      <c r="AO64" s="81">
        <v>216306464.54458535</v>
      </c>
      <c r="AP64" s="81">
        <v>216075770.15032366</v>
      </c>
      <c r="AQ64" s="81">
        <v>215773375.41947812</v>
      </c>
      <c r="AR64" s="81">
        <v>215385892.17199883</v>
      </c>
      <c r="AS64" s="81">
        <v>214898507.84892628</v>
      </c>
      <c r="AT64" s="81">
        <v>214294716.66379198</v>
      </c>
    </row>
    <row r="65" spans="1:46" ht="15.75">
      <c r="A65" s="81" t="s">
        <v>450</v>
      </c>
      <c r="B65" s="80">
        <v>230200</v>
      </c>
      <c r="C65" s="80" t="s">
        <v>433</v>
      </c>
      <c r="D65" s="84" t="s">
        <v>769</v>
      </c>
      <c r="E65" s="81">
        <v>61820261.042918563</v>
      </c>
      <c r="F65" s="81">
        <v>63437641.270990431</v>
      </c>
      <c r="G65" s="81">
        <v>64637386.151586145</v>
      </c>
      <c r="H65" s="81">
        <v>65784061.029991224</v>
      </c>
      <c r="I65" s="81">
        <v>66878625.020791814</v>
      </c>
      <c r="J65" s="81">
        <v>67922084.158026695</v>
      </c>
      <c r="K65" s="81">
        <v>68915536.018748611</v>
      </c>
      <c r="L65" s="81">
        <v>69860099.981106043</v>
      </c>
      <c r="M65" s="81">
        <v>70756996.074751809</v>
      </c>
      <c r="N65" s="81">
        <v>71607491.743705317</v>
      </c>
      <c r="O65" s="81">
        <v>72412914.752943143</v>
      </c>
      <c r="P65" s="81">
        <v>73174596.314566761</v>
      </c>
      <c r="Q65" s="81">
        <v>73581598.305398926</v>
      </c>
      <c r="R65" s="81">
        <v>73947894.708848789</v>
      </c>
      <c r="S65" s="81">
        <v>74275445.594231457</v>
      </c>
      <c r="T65" s="81">
        <v>74566207.091961086</v>
      </c>
      <c r="U65" s="81">
        <v>74822128.606618494</v>
      </c>
      <c r="V65" s="81">
        <v>75045131.357209146</v>
      </c>
      <c r="W65" s="81">
        <v>75237123.545366526</v>
      </c>
      <c r="X65" s="81">
        <v>75399997.43866609</v>
      </c>
      <c r="Y65" s="81">
        <v>75535588.256256014</v>
      </c>
      <c r="Z65" s="81">
        <v>75645727.353641093</v>
      </c>
      <c r="AA65" s="81">
        <v>75661554.294369116</v>
      </c>
      <c r="AB65" s="81">
        <v>75656064.991657242</v>
      </c>
      <c r="AC65" s="81">
        <v>75630973.402914122</v>
      </c>
      <c r="AD65" s="81">
        <v>75587988.722634286</v>
      </c>
      <c r="AE65" s="81">
        <v>75528793.948668972</v>
      </c>
      <c r="AF65" s="81">
        <v>75454943.50039655</v>
      </c>
      <c r="AG65" s="81">
        <v>75367978.569872066</v>
      </c>
      <c r="AH65" s="81">
        <v>75269364.589132115</v>
      </c>
      <c r="AI65" s="81">
        <v>75160507.974850729</v>
      </c>
      <c r="AJ65" s="81">
        <v>75042732.505184397</v>
      </c>
      <c r="AK65" s="81">
        <v>74934569.461708397</v>
      </c>
      <c r="AL65" s="81">
        <v>74819737.894827902</v>
      </c>
      <c r="AM65" s="81">
        <v>74699310.74595882</v>
      </c>
      <c r="AN65" s="81">
        <v>74574327.90954034</v>
      </c>
      <c r="AO65" s="81">
        <v>74445666.610585824</v>
      </c>
      <c r="AP65" s="81">
        <v>74314163.743974134</v>
      </c>
      <c r="AQ65" s="81">
        <v>74180549.174361557</v>
      </c>
      <c r="AR65" s="81">
        <v>74045485.006628573</v>
      </c>
      <c r="AS65" s="81">
        <v>73909453.494929731</v>
      </c>
      <c r="AT65" s="81">
        <v>73772926.703873292</v>
      </c>
    </row>
    <row r="66" spans="1:46" ht="15.75">
      <c r="A66" s="81" t="s">
        <v>450</v>
      </c>
      <c r="B66" s="80">
        <v>230300</v>
      </c>
      <c r="C66" s="80" t="s">
        <v>433</v>
      </c>
      <c r="D66" s="84" t="s">
        <v>768</v>
      </c>
      <c r="E66" s="81">
        <v>21651219.001380809</v>
      </c>
      <c r="F66" s="81">
        <v>22179927.549305048</v>
      </c>
      <c r="G66" s="81">
        <v>22559381.152578164</v>
      </c>
      <c r="H66" s="81">
        <v>22917314.993620362</v>
      </c>
      <c r="I66" s="81">
        <v>23254127.39141763</v>
      </c>
      <c r="J66" s="81">
        <v>23570186.88598033</v>
      </c>
      <c r="K66" s="81">
        <v>23865968.960261967</v>
      </c>
      <c r="L66" s="81">
        <v>24141900.090907797</v>
      </c>
      <c r="M66" s="81">
        <v>24398480.862583518</v>
      </c>
      <c r="N66" s="81">
        <v>24636222.181224924</v>
      </c>
      <c r="O66" s="81">
        <v>24855676.124387454</v>
      </c>
      <c r="P66" s="81">
        <v>25057385.207301751</v>
      </c>
      <c r="Q66" s="81">
        <v>25135224.205615345</v>
      </c>
      <c r="R66" s="81">
        <v>25197103.233526021</v>
      </c>
      <c r="S66" s="81">
        <v>25243807.822009038</v>
      </c>
      <c r="T66" s="81">
        <v>25276140.671885412</v>
      </c>
      <c r="U66" s="81">
        <v>25294903.806686506</v>
      </c>
      <c r="V66" s="81">
        <v>25300897.518231504</v>
      </c>
      <c r="W66" s="81">
        <v>25294883.735137641</v>
      </c>
      <c r="X66" s="81">
        <v>25277691.057222161</v>
      </c>
      <c r="Y66" s="81">
        <v>25250071.968273617</v>
      </c>
      <c r="Z66" s="81">
        <v>25212808.120023247</v>
      </c>
      <c r="AA66" s="81">
        <v>25143203.59164913</v>
      </c>
      <c r="AB66" s="81">
        <v>25065788.587906674</v>
      </c>
      <c r="AC66" s="81">
        <v>24981334.344726864</v>
      </c>
      <c r="AD66" s="81">
        <v>24890598.311004933</v>
      </c>
      <c r="AE66" s="81">
        <v>24794285.407665782</v>
      </c>
      <c r="AF66" s="81">
        <v>24693121.528867729</v>
      </c>
      <c r="AG66" s="81">
        <v>24587815.535906035</v>
      </c>
      <c r="AH66" s="81">
        <v>24479000.489333123</v>
      </c>
      <c r="AI66" s="81">
        <v>24367346.695120718</v>
      </c>
      <c r="AJ66" s="81">
        <v>24253484.584427148</v>
      </c>
      <c r="AK66" s="81">
        <v>24143594.552860588</v>
      </c>
      <c r="AL66" s="81">
        <v>24032599.025165055</v>
      </c>
      <c r="AM66" s="81">
        <v>23921039.47282993</v>
      </c>
      <c r="AN66" s="81">
        <v>23809451.744672522</v>
      </c>
      <c r="AO66" s="81">
        <v>23698365.504845258</v>
      </c>
      <c r="AP66" s="81">
        <v>23588222.500036635</v>
      </c>
      <c r="AQ66" s="81">
        <v>23479454.956591513</v>
      </c>
      <c r="AR66" s="81">
        <v>23372526.110579602</v>
      </c>
      <c r="AS66" s="81">
        <v>23267786.056431539</v>
      </c>
      <c r="AT66" s="81">
        <v>23165571.891511299</v>
      </c>
    </row>
    <row r="67" spans="1:46" ht="15.75">
      <c r="A67" s="81" t="s">
        <v>450</v>
      </c>
      <c r="B67" s="80">
        <v>230400</v>
      </c>
      <c r="C67" s="80" t="s">
        <v>433</v>
      </c>
      <c r="D67" s="84" t="s">
        <v>767</v>
      </c>
      <c r="E67" s="81">
        <v>12842318.89943145</v>
      </c>
      <c r="F67" s="81">
        <v>13160976.880460231</v>
      </c>
      <c r="G67" s="81">
        <v>13390640.981993059</v>
      </c>
      <c r="H67" s="81">
        <v>13607084.203181103</v>
      </c>
      <c r="I67" s="81">
        <v>13810530.064251546</v>
      </c>
      <c r="J67" s="81">
        <v>14001193.41046029</v>
      </c>
      <c r="K67" s="81">
        <v>14179325.19340842</v>
      </c>
      <c r="L67" s="81">
        <v>14345212.950244004</v>
      </c>
      <c r="M67" s="81">
        <v>14499116.537973037</v>
      </c>
      <c r="N67" s="81">
        <v>14641362.839676991</v>
      </c>
      <c r="O67" s="81">
        <v>14772265.27971461</v>
      </c>
      <c r="P67" s="81">
        <v>14892137.967567079</v>
      </c>
      <c r="Q67" s="81">
        <v>14937946.518495806</v>
      </c>
      <c r="R67" s="81">
        <v>14973810.012465162</v>
      </c>
      <c r="S67" s="81">
        <v>15000221.825554335</v>
      </c>
      <c r="T67" s="81">
        <v>15017662.262875158</v>
      </c>
      <c r="U67" s="81">
        <v>15026614.884192172</v>
      </c>
      <c r="V67" s="81">
        <v>15027601.293753913</v>
      </c>
      <c r="W67" s="81">
        <v>15021093.143050918</v>
      </c>
      <c r="X67" s="81">
        <v>15007581.206843281</v>
      </c>
      <c r="Y67" s="81">
        <v>14987557.508161465</v>
      </c>
      <c r="Z67" s="81">
        <v>14961496.591090744</v>
      </c>
      <c r="AA67" s="81">
        <v>14915967.4243809</v>
      </c>
      <c r="AB67" s="81">
        <v>14865590.280280268</v>
      </c>
      <c r="AC67" s="81">
        <v>14810828.933913771</v>
      </c>
      <c r="AD67" s="81">
        <v>14752161.424221883</v>
      </c>
      <c r="AE67" s="81">
        <v>14690080.177200086</v>
      </c>
      <c r="AF67" s="81">
        <v>14625035.236259112</v>
      </c>
      <c r="AG67" s="81">
        <v>14557470.650082383</v>
      </c>
      <c r="AH67" s="81">
        <v>14487843.161717117</v>
      </c>
      <c r="AI67" s="81">
        <v>14416583.615694022</v>
      </c>
      <c r="AJ67" s="81">
        <v>14344115.250376856</v>
      </c>
      <c r="AK67" s="81">
        <v>14274147.432190927</v>
      </c>
      <c r="AL67" s="81">
        <v>14203736.414929736</v>
      </c>
      <c r="AM67" s="81">
        <v>14133259.970770299</v>
      </c>
      <c r="AN67" s="81">
        <v>14063105.847016005</v>
      </c>
      <c r="AO67" s="81">
        <v>13993631.538943091</v>
      </c>
      <c r="AP67" s="81">
        <v>13925183.297668846</v>
      </c>
      <c r="AQ67" s="81">
        <v>13858095.518142544</v>
      </c>
      <c r="AR67" s="81">
        <v>13792669.554960823</v>
      </c>
      <c r="AS67" s="81">
        <v>13729234.517060462</v>
      </c>
      <c r="AT67" s="81">
        <v>13668064.647731585</v>
      </c>
    </row>
    <row r="68" spans="1:46" ht="15.75">
      <c r="A68" s="81" t="s">
        <v>450</v>
      </c>
      <c r="B68" s="80">
        <v>230500</v>
      </c>
      <c r="C68" s="80" t="s">
        <v>433</v>
      </c>
      <c r="D68" s="84" t="s">
        <v>766</v>
      </c>
      <c r="E68" s="81">
        <v>17410284.558647651</v>
      </c>
      <c r="F68" s="81">
        <v>17849720.721918326</v>
      </c>
      <c r="G68" s="81">
        <v>18170939.797740292</v>
      </c>
      <c r="H68" s="81">
        <v>18476516.695774511</v>
      </c>
      <c r="I68" s="81">
        <v>18766603.10185799</v>
      </c>
      <c r="J68" s="81">
        <v>19041390.696436752</v>
      </c>
      <c r="K68" s="81">
        <v>19301048.594985932</v>
      </c>
      <c r="L68" s="81">
        <v>19545799.705093797</v>
      </c>
      <c r="M68" s="81">
        <v>19775922.261411153</v>
      </c>
      <c r="N68" s="81">
        <v>19991669.411324043</v>
      </c>
      <c r="O68" s="81">
        <v>20193315.393510263</v>
      </c>
      <c r="P68" s="81">
        <v>20381188.60167579</v>
      </c>
      <c r="Q68" s="81">
        <v>20468709.876041014</v>
      </c>
      <c r="R68" s="81">
        <v>20543433.262909167</v>
      </c>
      <c r="S68" s="81">
        <v>20605848.503424857</v>
      </c>
      <c r="T68" s="81">
        <v>20656486.02695746</v>
      </c>
      <c r="U68" s="81">
        <v>20695900.388406456</v>
      </c>
      <c r="V68" s="81">
        <v>20724635.233454023</v>
      </c>
      <c r="W68" s="81">
        <v>20743222.139588811</v>
      </c>
      <c r="X68" s="81">
        <v>20752233.206494529</v>
      </c>
      <c r="Y68" s="81">
        <v>20752209.735623244</v>
      </c>
      <c r="Z68" s="81">
        <v>20743733.150600683</v>
      </c>
      <c r="AA68" s="81">
        <v>20708022.297194239</v>
      </c>
      <c r="AB68" s="81">
        <v>20665229.687152594</v>
      </c>
      <c r="AC68" s="81">
        <v>20615925.50746477</v>
      </c>
      <c r="AD68" s="81">
        <v>20560697.993783493</v>
      </c>
      <c r="AE68" s="81">
        <v>20500153.587661788</v>
      </c>
      <c r="AF68" s="81">
        <v>20434860.20091027</v>
      </c>
      <c r="AG68" s="81">
        <v>20365402.7297423</v>
      </c>
      <c r="AH68" s="81">
        <v>20292383.199261595</v>
      </c>
      <c r="AI68" s="81">
        <v>20216362.859268066</v>
      </c>
      <c r="AJ68" s="81">
        <v>20137918.826157983</v>
      </c>
      <c r="AK68" s="81">
        <v>20062254.709929809</v>
      </c>
      <c r="AL68" s="81">
        <v>19985241.412053373</v>
      </c>
      <c r="AM68" s="81">
        <v>19907463.730018519</v>
      </c>
      <c r="AN68" s="81">
        <v>19829462.289648823</v>
      </c>
      <c r="AO68" s="81">
        <v>19751792.099820931</v>
      </c>
      <c r="AP68" s="81">
        <v>19675002.379688308</v>
      </c>
      <c r="AQ68" s="81">
        <v>19599635.992141534</v>
      </c>
      <c r="AR68" s="81">
        <v>19526228.870448072</v>
      </c>
      <c r="AS68" s="81">
        <v>19455330.141288321</v>
      </c>
      <c r="AT68" s="81">
        <v>19387418.86320461</v>
      </c>
    </row>
    <row r="69" spans="1:46" ht="15.75">
      <c r="A69" s="81" t="s">
        <v>450</v>
      </c>
      <c r="B69" s="80">
        <v>230600</v>
      </c>
      <c r="C69" s="80" t="s">
        <v>433</v>
      </c>
      <c r="D69" s="84" t="s">
        <v>765</v>
      </c>
      <c r="E69" s="81">
        <v>46676440.984683141</v>
      </c>
      <c r="F69" s="81">
        <v>47998511.869950078</v>
      </c>
      <c r="G69" s="81">
        <v>49000697.062566742</v>
      </c>
      <c r="H69" s="81">
        <v>49958570.147048712</v>
      </c>
      <c r="I69" s="81">
        <v>50873180.831539094</v>
      </c>
      <c r="J69" s="81">
        <v>51745638.202299938</v>
      </c>
      <c r="K69" s="81">
        <v>52577033.02036918</v>
      </c>
      <c r="L69" s="81">
        <v>53368596.967000365</v>
      </c>
      <c r="M69" s="81">
        <v>54121496.416144833</v>
      </c>
      <c r="N69" s="81">
        <v>54836993.402385682</v>
      </c>
      <c r="O69" s="81">
        <v>55516386.715551607</v>
      </c>
      <c r="P69" s="81">
        <v>56160948.580328099</v>
      </c>
      <c r="Q69" s="81">
        <v>56532002.542006433</v>
      </c>
      <c r="R69" s="81">
        <v>56870515.096249126</v>
      </c>
      <c r="S69" s="81">
        <v>57178235.503755018</v>
      </c>
      <c r="T69" s="81">
        <v>57456827.148789234</v>
      </c>
      <c r="U69" s="81">
        <v>57707984.499331415</v>
      </c>
      <c r="V69" s="81">
        <v>57933287.902454071</v>
      </c>
      <c r="W69" s="81">
        <v>58134363.135651402</v>
      </c>
      <c r="X69" s="81">
        <v>58312692.758969888</v>
      </c>
      <c r="Y69" s="81">
        <v>58469777.364423081</v>
      </c>
      <c r="Z69" s="81">
        <v>58607006.864797667</v>
      </c>
      <c r="AA69" s="81">
        <v>58671015.652080342</v>
      </c>
      <c r="AB69" s="81">
        <v>58718159.24825301</v>
      </c>
      <c r="AC69" s="81">
        <v>58749742.450733006</v>
      </c>
      <c r="AD69" s="81">
        <v>58766915.245384835</v>
      </c>
      <c r="AE69" s="81">
        <v>58770820.571406379</v>
      </c>
      <c r="AF69" s="81">
        <v>58762438.026295625</v>
      </c>
      <c r="AG69" s="81">
        <v>58742733.621969424</v>
      </c>
      <c r="AH69" s="81">
        <v>58712546.248970352</v>
      </c>
      <c r="AI69" s="81">
        <v>58672582.664865062</v>
      </c>
      <c r="AJ69" s="81">
        <v>58623503.47962369</v>
      </c>
      <c r="AK69" s="81">
        <v>58579394.594950728</v>
      </c>
      <c r="AL69" s="81">
        <v>58527016.020207971</v>
      </c>
      <c r="AM69" s="81">
        <v>58466683.277892441</v>
      </c>
      <c r="AN69" s="81">
        <v>58398605.852694511</v>
      </c>
      <c r="AO69" s="81">
        <v>58322859.760932609</v>
      </c>
      <c r="AP69" s="81">
        <v>58239406.545795016</v>
      </c>
      <c r="AQ69" s="81">
        <v>58148065.44221729</v>
      </c>
      <c r="AR69" s="81">
        <v>58048532.602402426</v>
      </c>
      <c r="AS69" s="81">
        <v>57940352.854015402</v>
      </c>
      <c r="AT69" s="81">
        <v>57822963.51279106</v>
      </c>
    </row>
    <row r="70" spans="1:46" ht="15.75">
      <c r="A70" s="81" t="s">
        <v>450</v>
      </c>
      <c r="B70" s="80">
        <v>230700</v>
      </c>
      <c r="C70" s="80" t="s">
        <v>433</v>
      </c>
      <c r="D70" s="84" t="s">
        <v>764</v>
      </c>
      <c r="E70" s="81">
        <v>12674704.538565276</v>
      </c>
      <c r="F70" s="81">
        <v>12977743.334161054</v>
      </c>
      <c r="G70" s="81">
        <v>13191471.842834087</v>
      </c>
      <c r="H70" s="81">
        <v>13390696.665679116</v>
      </c>
      <c r="I70" s="81">
        <v>13575710.061868111</v>
      </c>
      <c r="J70" s="81">
        <v>13746800.952746296</v>
      </c>
      <c r="K70" s="81">
        <v>13904283.992782814</v>
      </c>
      <c r="L70" s="81">
        <v>14048499.091684081</v>
      </c>
      <c r="M70" s="81">
        <v>14179810.922413006</v>
      </c>
      <c r="N70" s="81">
        <v>14298608.415113999</v>
      </c>
      <c r="O70" s="81">
        <v>14405254.436748037</v>
      </c>
      <c r="P70" s="81">
        <v>14500199.79064068</v>
      </c>
      <c r="Q70" s="81">
        <v>14522200.04975524</v>
      </c>
      <c r="R70" s="81">
        <v>14533890.717686947</v>
      </c>
      <c r="S70" s="81">
        <v>14535866.180070644</v>
      </c>
      <c r="T70" s="81">
        <v>14528676.360309765</v>
      </c>
      <c r="U70" s="81">
        <v>14512894.183178419</v>
      </c>
      <c r="V70" s="81">
        <v>14489115.804839645</v>
      </c>
      <c r="W70" s="81">
        <v>14457889.72009521</v>
      </c>
      <c r="X70" s="81">
        <v>14419821.702689184</v>
      </c>
      <c r="Y70" s="81">
        <v>14375449.987176821</v>
      </c>
      <c r="Z70" s="81">
        <v>14325351.168977879</v>
      </c>
      <c r="AA70" s="81">
        <v>14256796.179645957</v>
      </c>
      <c r="AB70" s="81">
        <v>14183860.600388838</v>
      </c>
      <c r="AC70" s="81">
        <v>14107133.562591931</v>
      </c>
      <c r="AD70" s="81">
        <v>14027184.185645511</v>
      </c>
      <c r="AE70" s="81">
        <v>13944503.944044361</v>
      </c>
      <c r="AF70" s="81">
        <v>13859693.261241725</v>
      </c>
      <c r="AG70" s="81">
        <v>13773216.628799917</v>
      </c>
      <c r="AH70" s="81">
        <v>13685628.258285282</v>
      </c>
      <c r="AI70" s="81">
        <v>13597419.96797383</v>
      </c>
      <c r="AJ70" s="81">
        <v>13509077.157141019</v>
      </c>
      <c r="AK70" s="81">
        <v>13424195.999738859</v>
      </c>
      <c r="AL70" s="81">
        <v>13340049.459544588</v>
      </c>
      <c r="AM70" s="81">
        <v>13257101.482093798</v>
      </c>
      <c r="AN70" s="81">
        <v>13175807.779433563</v>
      </c>
      <c r="AO70" s="81">
        <v>13096554.781897534</v>
      </c>
      <c r="AP70" s="81">
        <v>13019758.454080746</v>
      </c>
      <c r="AQ70" s="81">
        <v>12945824.196453646</v>
      </c>
      <c r="AR70" s="81">
        <v>12875084.53956105</v>
      </c>
      <c r="AS70" s="81">
        <v>12807899.975628009</v>
      </c>
      <c r="AT70" s="81">
        <v>12744618.021638179</v>
      </c>
    </row>
    <row r="71" spans="1:46" ht="15.75">
      <c r="A71" s="81" t="s">
        <v>450</v>
      </c>
      <c r="B71" s="80">
        <v>230800</v>
      </c>
      <c r="C71" s="80" t="s">
        <v>433</v>
      </c>
      <c r="D71" s="84" t="s">
        <v>763</v>
      </c>
      <c r="E71" s="81">
        <v>31011958.935501862</v>
      </c>
      <c r="F71" s="81">
        <v>31844271.424747154</v>
      </c>
      <c r="G71" s="81">
        <v>32463102.892828882</v>
      </c>
      <c r="H71" s="81">
        <v>33051550.618967477</v>
      </c>
      <c r="I71" s="81">
        <v>33610291.993195191</v>
      </c>
      <c r="J71" s="81">
        <v>34140040.893438175</v>
      </c>
      <c r="K71" s="81">
        <v>34641544.918923572</v>
      </c>
      <c r="L71" s="81">
        <v>35115598.547920771</v>
      </c>
      <c r="M71" s="81">
        <v>35563025.099731855</v>
      </c>
      <c r="N71" s="81">
        <v>35984624.630342148</v>
      </c>
      <c r="O71" s="81">
        <v>36381284.039307386</v>
      </c>
      <c r="P71" s="81">
        <v>36753894.127119273</v>
      </c>
      <c r="Q71" s="81">
        <v>36946497.670642897</v>
      </c>
      <c r="R71" s="81">
        <v>37117018.136164635</v>
      </c>
      <c r="S71" s="81">
        <v>37266680.378310479</v>
      </c>
      <c r="T71" s="81">
        <v>37396640.453960665</v>
      </c>
      <c r="U71" s="81">
        <v>37508033.776534297</v>
      </c>
      <c r="V71" s="81">
        <v>37602008.094168529</v>
      </c>
      <c r="W71" s="81">
        <v>37679651.437992185</v>
      </c>
      <c r="X71" s="81">
        <v>37742024.201039352</v>
      </c>
      <c r="Y71" s="81">
        <v>37790210.931469418</v>
      </c>
      <c r="Z71" s="81">
        <v>37825210.803982049</v>
      </c>
      <c r="AA71" s="81">
        <v>37812691.217476048</v>
      </c>
      <c r="AB71" s="81">
        <v>37789256.01475437</v>
      </c>
      <c r="AC71" s="81">
        <v>37755817.38817402</v>
      </c>
      <c r="AD71" s="81">
        <v>37713260.196215682</v>
      </c>
      <c r="AE71" s="81">
        <v>37662459.143718474</v>
      </c>
      <c r="AF71" s="81">
        <v>37604163.958375312</v>
      </c>
      <c r="AG71" s="81">
        <v>37539128.146345578</v>
      </c>
      <c r="AH71" s="81">
        <v>37468070.104199626</v>
      </c>
      <c r="AI71" s="81">
        <v>37391574.629637234</v>
      </c>
      <c r="AJ71" s="81">
        <v>37310263.23857215</v>
      </c>
      <c r="AK71" s="81">
        <v>37233191.802423328</v>
      </c>
      <c r="AL71" s="81">
        <v>37152165.018986322</v>
      </c>
      <c r="AM71" s="81">
        <v>37067532.556782134</v>
      </c>
      <c r="AN71" s="81">
        <v>36979614.319362424</v>
      </c>
      <c r="AO71" s="81">
        <v>36888679.016775951</v>
      </c>
      <c r="AP71" s="81">
        <v>36794861.031421095</v>
      </c>
      <c r="AQ71" s="81">
        <v>36698278.256073743</v>
      </c>
      <c r="AR71" s="81">
        <v>36598949.177261762</v>
      </c>
      <c r="AS71" s="81">
        <v>36496789.456012093</v>
      </c>
      <c r="AT71" s="81">
        <v>36391670.999093547</v>
      </c>
    </row>
    <row r="72" spans="1:46" ht="15.75">
      <c r="A72" s="81" t="s">
        <v>450</v>
      </c>
      <c r="B72" s="80">
        <v>230900</v>
      </c>
      <c r="C72" s="80" t="s">
        <v>433</v>
      </c>
      <c r="D72" s="84" t="s">
        <v>762</v>
      </c>
      <c r="E72" s="81">
        <v>9918039.9420506768</v>
      </c>
      <c r="F72" s="81">
        <v>10183195.475153701</v>
      </c>
      <c r="G72" s="81">
        <v>10381595.962469675</v>
      </c>
      <c r="H72" s="81">
        <v>10571652.126572561</v>
      </c>
      <c r="I72" s="81">
        <v>10753505.006386584</v>
      </c>
      <c r="J72" s="81">
        <v>10927243.019733572</v>
      </c>
      <c r="K72" s="81">
        <v>11092991.867608901</v>
      </c>
      <c r="L72" s="81">
        <v>11250899.867611367</v>
      </c>
      <c r="M72" s="81">
        <v>11401105.882173425</v>
      </c>
      <c r="N72" s="81">
        <v>11543770.340070488</v>
      </c>
      <c r="O72" s="81">
        <v>11679025.718108548</v>
      </c>
      <c r="P72" s="81">
        <v>11807074.548422972</v>
      </c>
      <c r="Q72" s="81">
        <v>11877666.823816393</v>
      </c>
      <c r="R72" s="81">
        <v>11941388.963977449</v>
      </c>
      <c r="S72" s="81">
        <v>11998520.708112661</v>
      </c>
      <c r="T72" s="81">
        <v>12049354.98946313</v>
      </c>
      <c r="U72" s="81">
        <v>12094128.070106909</v>
      </c>
      <c r="V72" s="81">
        <v>12133140.359549632</v>
      </c>
      <c r="W72" s="81">
        <v>12166651.952597318</v>
      </c>
      <c r="X72" s="81">
        <v>12194952.331921218</v>
      </c>
      <c r="Y72" s="81">
        <v>12218288.937849671</v>
      </c>
      <c r="Z72" s="81">
        <v>12236937.978991976</v>
      </c>
      <c r="AA72" s="81">
        <v>12239743.169164905</v>
      </c>
      <c r="AB72" s="81">
        <v>12238466.140111174</v>
      </c>
      <c r="AC72" s="81">
        <v>12233369.028513158</v>
      </c>
      <c r="AD72" s="81">
        <v>12224722.646322977</v>
      </c>
      <c r="AE72" s="81">
        <v>12212787.720535472</v>
      </c>
      <c r="AF72" s="81">
        <v>12197795.367525673</v>
      </c>
      <c r="AG72" s="81">
        <v>12179984.069898328</v>
      </c>
      <c r="AH72" s="81">
        <v>12159580.51951934</v>
      </c>
      <c r="AI72" s="81">
        <v>12136818.38658352</v>
      </c>
      <c r="AJ72" s="81">
        <v>12111918.900276454</v>
      </c>
      <c r="AK72" s="81">
        <v>12087860.370005572</v>
      </c>
      <c r="AL72" s="81">
        <v>12062055.015500659</v>
      </c>
      <c r="AM72" s="81">
        <v>12034643.070636043</v>
      </c>
      <c r="AN72" s="81">
        <v>12005849.105537072</v>
      </c>
      <c r="AO72" s="81">
        <v>11975803.393315433</v>
      </c>
      <c r="AP72" s="81">
        <v>11944680.58917491</v>
      </c>
      <c r="AQ72" s="81">
        <v>11912619.419966094</v>
      </c>
      <c r="AR72" s="81">
        <v>11879762.481752135</v>
      </c>
      <c r="AS72" s="81">
        <v>11846214.865204232</v>
      </c>
      <c r="AT72" s="81">
        <v>11812126.170399774</v>
      </c>
    </row>
    <row r="73" spans="1:46" ht="15.75">
      <c r="A73" s="81" t="s">
        <v>450</v>
      </c>
      <c r="B73" s="80">
        <v>231000</v>
      </c>
      <c r="C73" s="80" t="s">
        <v>433</v>
      </c>
      <c r="D73" s="84" t="s">
        <v>761</v>
      </c>
      <c r="E73" s="81">
        <v>32976579.416170217</v>
      </c>
      <c r="F73" s="81">
        <v>33817856.796696961</v>
      </c>
      <c r="G73" s="81">
        <v>34429275.130419485</v>
      </c>
      <c r="H73" s="81">
        <v>35005924.75551983</v>
      </c>
      <c r="I73" s="81">
        <v>35548932.611118354</v>
      </c>
      <c r="J73" s="81">
        <v>36059445.690695532</v>
      </c>
      <c r="K73" s="81">
        <v>36538641.363596596</v>
      </c>
      <c r="L73" s="81">
        <v>36987722.844599612</v>
      </c>
      <c r="M73" s="81">
        <v>37407914.578918606</v>
      </c>
      <c r="N73" s="81">
        <v>37800473.935315691</v>
      </c>
      <c r="O73" s="81">
        <v>38166654.258799039</v>
      </c>
      <c r="P73" s="81">
        <v>38507715.778069377</v>
      </c>
      <c r="Q73" s="81">
        <v>38660812.152999595</v>
      </c>
      <c r="R73" s="81">
        <v>38791909.502688304</v>
      </c>
      <c r="S73" s="81">
        <v>38902542.47442586</v>
      </c>
      <c r="T73" s="81">
        <v>38994151.807445802</v>
      </c>
      <c r="U73" s="81">
        <v>39068166.18241661</v>
      </c>
      <c r="V73" s="81">
        <v>39125982.357363231</v>
      </c>
      <c r="W73" s="81">
        <v>39168873.306647457</v>
      </c>
      <c r="X73" s="81">
        <v>39198125.072899088</v>
      </c>
      <c r="Y73" s="81">
        <v>39214927.448427044</v>
      </c>
      <c r="Z73" s="81">
        <v>39220423.374736868</v>
      </c>
      <c r="AA73" s="81">
        <v>39179096.749317877</v>
      </c>
      <c r="AB73" s="81">
        <v>39128924.87835779</v>
      </c>
      <c r="AC73" s="81">
        <v>39070814.199630097</v>
      </c>
      <c r="AD73" s="81">
        <v>39005642.650779702</v>
      </c>
      <c r="AE73" s="81">
        <v>38934163.816485949</v>
      </c>
      <c r="AF73" s="81">
        <v>38857058.943669029</v>
      </c>
      <c r="AG73" s="81">
        <v>38774914.840494379</v>
      </c>
      <c r="AH73" s="81">
        <v>38688220.19368273</v>
      </c>
      <c r="AI73" s="81">
        <v>38597342.4980129</v>
      </c>
      <c r="AJ73" s="81">
        <v>38502562.608442351</v>
      </c>
      <c r="AK73" s="81">
        <v>38412936.786118738</v>
      </c>
      <c r="AL73" s="81">
        <v>38319532.649328321</v>
      </c>
      <c r="AM73" s="81">
        <v>38222289.800583571</v>
      </c>
      <c r="AN73" s="81">
        <v>38121046.692692518</v>
      </c>
      <c r="AO73" s="81">
        <v>38015476.75510224</v>
      </c>
      <c r="AP73" s="81">
        <v>37905143.775167532</v>
      </c>
      <c r="AQ73" s="81">
        <v>37789498.406147137</v>
      </c>
      <c r="AR73" s="81">
        <v>37667812.945032343</v>
      </c>
      <c r="AS73" s="81">
        <v>37539258.51728458</v>
      </c>
      <c r="AT73" s="81">
        <v>37402839.63586735</v>
      </c>
    </row>
    <row r="74" spans="1:46" ht="15.75">
      <c r="A74" s="81" t="s">
        <v>450</v>
      </c>
      <c r="B74" s="80">
        <v>231100</v>
      </c>
      <c r="C74" s="80" t="s">
        <v>433</v>
      </c>
      <c r="D74" s="84" t="s">
        <v>760</v>
      </c>
      <c r="E74" s="81">
        <v>18525087.339654412</v>
      </c>
      <c r="F74" s="81">
        <v>18995683.522237659</v>
      </c>
      <c r="G74" s="81">
        <v>19342456.056870893</v>
      </c>
      <c r="H74" s="81">
        <v>19674505.206880942</v>
      </c>
      <c r="I74" s="81">
        <v>19991869.221114781</v>
      </c>
      <c r="J74" s="81">
        <v>20294681.550334889</v>
      </c>
      <c r="K74" s="81">
        <v>20583049.17117257</v>
      </c>
      <c r="L74" s="81">
        <v>20857144.876942232</v>
      </c>
      <c r="M74" s="81">
        <v>21117112.675833225</v>
      </c>
      <c r="N74" s="81">
        <v>21363178.889801607</v>
      </c>
      <c r="O74" s="81">
        <v>21595539.506596763</v>
      </c>
      <c r="P74" s="81">
        <v>21814440.524933107</v>
      </c>
      <c r="Q74" s="81">
        <v>21927059.150509629</v>
      </c>
      <c r="R74" s="81">
        <v>22026868.936971206</v>
      </c>
      <c r="S74" s="81">
        <v>22114354.22234365</v>
      </c>
      <c r="T74" s="81">
        <v>22189935.817548811</v>
      </c>
      <c r="U74" s="81">
        <v>22254125.263837039</v>
      </c>
      <c r="V74" s="81">
        <v>22307369.084002897</v>
      </c>
      <c r="W74" s="81">
        <v>22350187.751474153</v>
      </c>
      <c r="X74" s="81">
        <v>22383052.562498629</v>
      </c>
      <c r="Y74" s="81">
        <v>22406473.346648581</v>
      </c>
      <c r="Z74" s="81">
        <v>22420962.970416848</v>
      </c>
      <c r="AA74" s="81">
        <v>22406139.810257517</v>
      </c>
      <c r="AB74" s="81">
        <v>22383608.55161402</v>
      </c>
      <c r="AC74" s="81">
        <v>22353960.903692726</v>
      </c>
      <c r="AD74" s="81">
        <v>22317713.980640106</v>
      </c>
      <c r="AE74" s="81">
        <v>22275439.14563138</v>
      </c>
      <c r="AF74" s="81">
        <v>22227687.5739117</v>
      </c>
      <c r="AG74" s="81">
        <v>22175008.218098186</v>
      </c>
      <c r="AH74" s="81">
        <v>22117985.751981221</v>
      </c>
      <c r="AI74" s="81">
        <v>22057163.956757445</v>
      </c>
      <c r="AJ74" s="81">
        <v>21993102.362929881</v>
      </c>
      <c r="AK74" s="81">
        <v>21931437.868665721</v>
      </c>
      <c r="AL74" s="81">
        <v>21867615.297965843</v>
      </c>
      <c r="AM74" s="81">
        <v>21802181.81243895</v>
      </c>
      <c r="AN74" s="81">
        <v>21735719.813462961</v>
      </c>
      <c r="AO74" s="81">
        <v>21668767.131715588</v>
      </c>
      <c r="AP74" s="81">
        <v>21601916.566558018</v>
      </c>
      <c r="AQ74" s="81">
        <v>21535735.661981396</v>
      </c>
      <c r="AR74" s="81">
        <v>21470744.894498784</v>
      </c>
      <c r="AS74" s="81">
        <v>21407560.64596035</v>
      </c>
      <c r="AT74" s="81">
        <v>21346710.500660941</v>
      </c>
    </row>
    <row r="75" spans="1:46" ht="15.75">
      <c r="A75" s="81" t="s">
        <v>450</v>
      </c>
      <c r="B75" s="80">
        <v>231200</v>
      </c>
      <c r="C75" s="80" t="s">
        <v>433</v>
      </c>
      <c r="D75" s="84" t="s">
        <v>759</v>
      </c>
      <c r="E75" s="81">
        <v>53967493.714686625</v>
      </c>
      <c r="F75" s="81">
        <v>55466188.504635327</v>
      </c>
      <c r="G75" s="81">
        <v>56594478.898997448</v>
      </c>
      <c r="H75" s="81">
        <v>57670979.750808805</v>
      </c>
      <c r="I75" s="81">
        <v>58696854.594991177</v>
      </c>
      <c r="J75" s="81">
        <v>59673360.173471957</v>
      </c>
      <c r="K75" s="81">
        <v>60601796.280415826</v>
      </c>
      <c r="L75" s="81">
        <v>61483531.758239567</v>
      </c>
      <c r="M75" s="81">
        <v>62319968.102124825</v>
      </c>
      <c r="N75" s="81">
        <v>63112566.073245019</v>
      </c>
      <c r="O75" s="81">
        <v>63862808.287670664</v>
      </c>
      <c r="P75" s="81">
        <v>64572260.071117327</v>
      </c>
      <c r="Q75" s="81">
        <v>64966681.078331888</v>
      </c>
      <c r="R75" s="81">
        <v>65323291.664413735</v>
      </c>
      <c r="S75" s="81">
        <v>65644161.179621562</v>
      </c>
      <c r="T75" s="81">
        <v>65931344.569995545</v>
      </c>
      <c r="U75" s="81">
        <v>66186826.603470221</v>
      </c>
      <c r="V75" s="81">
        <v>66412569.371274605</v>
      </c>
      <c r="W75" s="81">
        <v>66610508.905101836</v>
      </c>
      <c r="X75" s="81">
        <v>66782515.903864212</v>
      </c>
      <c r="Y75" s="81">
        <v>66930408.904827438</v>
      </c>
      <c r="Z75" s="81">
        <v>67055986.449460976</v>
      </c>
      <c r="AA75" s="81">
        <v>67098316.816882014</v>
      </c>
      <c r="AB75" s="81">
        <v>67122162.628801197</v>
      </c>
      <c r="AC75" s="81">
        <v>67129134.04594703</v>
      </c>
      <c r="AD75" s="81">
        <v>67120817.133850992</v>
      </c>
      <c r="AE75" s="81">
        <v>67098658.741534382</v>
      </c>
      <c r="AF75" s="81">
        <v>67064055.369307995</v>
      </c>
      <c r="AG75" s="81">
        <v>67018350.351300605</v>
      </c>
      <c r="AH75" s="81">
        <v>66962696.461123474</v>
      </c>
      <c r="AI75" s="81">
        <v>66898242.016598605</v>
      </c>
      <c r="AJ75" s="81">
        <v>66826013.003011473</v>
      </c>
      <c r="AK75" s="81">
        <v>66762296.414683692</v>
      </c>
      <c r="AL75" s="81">
        <v>66692367.951298974</v>
      </c>
      <c r="AM75" s="81">
        <v>66616915.064652719</v>
      </c>
      <c r="AN75" s="81">
        <v>66536465.028326444</v>
      </c>
      <c r="AO75" s="81">
        <v>66451520.06550096</v>
      </c>
      <c r="AP75" s="81">
        <v>66362373.492329277</v>
      </c>
      <c r="AQ75" s="81">
        <v>66269224.871487841</v>
      </c>
      <c r="AR75" s="81">
        <v>66172114.949147783</v>
      </c>
      <c r="AS75" s="81">
        <v>66070961.592422031</v>
      </c>
      <c r="AT75" s="81">
        <v>65965555.648976892</v>
      </c>
    </row>
    <row r="76" spans="1:46" ht="15.75">
      <c r="A76" s="81" t="s">
        <v>450</v>
      </c>
      <c r="B76" s="80">
        <v>232700</v>
      </c>
      <c r="C76" s="80" t="s">
        <v>433</v>
      </c>
      <c r="D76" s="84" t="s">
        <v>758</v>
      </c>
      <c r="E76" s="81">
        <v>4765907.8928598538</v>
      </c>
      <c r="F76" s="81">
        <v>4891809.96776048</v>
      </c>
      <c r="G76" s="81">
        <v>4983718.652698433</v>
      </c>
      <c r="H76" s="81">
        <v>5069848.063392072</v>
      </c>
      <c r="I76" s="81">
        <v>5150332.1035917997</v>
      </c>
      <c r="J76" s="81">
        <v>5225323.2370846858</v>
      </c>
      <c r="K76" s="81">
        <v>5294976.9558548108</v>
      </c>
      <c r="L76" s="81">
        <v>5359466.9822318535</v>
      </c>
      <c r="M76" s="81">
        <v>5418969.3175712209</v>
      </c>
      <c r="N76" s="81">
        <v>5473661.4448995478</v>
      </c>
      <c r="O76" s="81">
        <v>5523721.5174660245</v>
      </c>
      <c r="P76" s="81">
        <v>5569344.3415955175</v>
      </c>
      <c r="Q76" s="81">
        <v>5586972.3343452597</v>
      </c>
      <c r="R76" s="81">
        <v>5600698.2843145914</v>
      </c>
      <c r="S76" s="81">
        <v>5610707.1553922258</v>
      </c>
      <c r="T76" s="81">
        <v>5617278.9403556939</v>
      </c>
      <c r="U76" s="81">
        <v>5620617.2272761343</v>
      </c>
      <c r="V76" s="81">
        <v>5620951.6520211697</v>
      </c>
      <c r="W76" s="81">
        <v>5618520.9035445871</v>
      </c>
      <c r="X76" s="81">
        <v>5613536.9693917269</v>
      </c>
      <c r="Y76" s="81">
        <v>5606219.9358291076</v>
      </c>
      <c r="Z76" s="81">
        <v>5596761.6557957223</v>
      </c>
      <c r="AA76" s="81">
        <v>5580152.2146060001</v>
      </c>
      <c r="AB76" s="81">
        <v>5561882.0974979531</v>
      </c>
      <c r="AC76" s="81">
        <v>5542130.6603901405</v>
      </c>
      <c r="AD76" s="81">
        <v>5521082.6922102626</v>
      </c>
      <c r="AE76" s="81">
        <v>5498928.4616411477</v>
      </c>
      <c r="AF76" s="81">
        <v>5475787.9066945137</v>
      </c>
      <c r="AG76" s="81">
        <v>5451841.7675402528</v>
      </c>
      <c r="AH76" s="81">
        <v>5427237.4390259683</v>
      </c>
      <c r="AI76" s="81">
        <v>5402068.3751379801</v>
      </c>
      <c r="AJ76" s="81">
        <v>5376489.0569100399</v>
      </c>
      <c r="AK76" s="81">
        <v>5351834.4407566087</v>
      </c>
      <c r="AL76" s="81">
        <v>5326951.6237228829</v>
      </c>
      <c r="AM76" s="81">
        <v>5301886.2151436852</v>
      </c>
      <c r="AN76" s="81">
        <v>5276745.0326307584</v>
      </c>
      <c r="AO76" s="81">
        <v>5251577.2248108871</v>
      </c>
      <c r="AP76" s="81">
        <v>5226412.8285939116</v>
      </c>
      <c r="AQ76" s="81">
        <v>5201282.5214550681</v>
      </c>
      <c r="AR76" s="81">
        <v>5176197.0606267778</v>
      </c>
      <c r="AS76" s="81">
        <v>5151146.5983386692</v>
      </c>
      <c r="AT76" s="81">
        <v>5126099.9902372034</v>
      </c>
    </row>
    <row r="77" spans="1:46" ht="15.75">
      <c r="A77" s="81" t="s">
        <v>450</v>
      </c>
      <c r="B77" s="80">
        <v>310000</v>
      </c>
      <c r="C77" s="80" t="s">
        <v>432</v>
      </c>
      <c r="D77" s="85" t="s">
        <v>432</v>
      </c>
      <c r="E77" s="81">
        <v>674027488.88086259</v>
      </c>
      <c r="F77" s="81">
        <v>682125141.32589912</v>
      </c>
      <c r="G77" s="81">
        <v>689733679.10842919</v>
      </c>
      <c r="H77" s="81">
        <v>696190648.66562831</v>
      </c>
      <c r="I77" s="81">
        <v>701592086.19877493</v>
      </c>
      <c r="J77" s="81">
        <v>706030827.22380471</v>
      </c>
      <c r="K77" s="81">
        <v>709596473.28987813</v>
      </c>
      <c r="L77" s="81">
        <v>712375247.2690351</v>
      </c>
      <c r="M77" s="81">
        <v>714449818.54929698</v>
      </c>
      <c r="N77" s="81">
        <v>715899296.82014585</v>
      </c>
      <c r="O77" s="81">
        <v>716798998.98065138</v>
      </c>
      <c r="P77" s="81">
        <v>717220384.63997483</v>
      </c>
      <c r="Q77" s="81">
        <v>718587723.98209155</v>
      </c>
      <c r="R77" s="81">
        <v>719601474.44461417</v>
      </c>
      <c r="S77" s="81">
        <v>720319136.03576231</v>
      </c>
      <c r="T77" s="81">
        <v>720794341.2489748</v>
      </c>
      <c r="U77" s="81">
        <v>721076626.44489098</v>
      </c>
      <c r="V77" s="81">
        <v>721211229.04664397</v>
      </c>
      <c r="W77" s="81">
        <v>721238972.23076022</v>
      </c>
      <c r="X77" s="81">
        <v>721195937.62705696</v>
      </c>
      <c r="Y77" s="81">
        <v>721113558.11347556</v>
      </c>
      <c r="Z77" s="81">
        <v>721018165.82414162</v>
      </c>
      <c r="AA77" s="81">
        <v>720499045.45483053</v>
      </c>
      <c r="AB77" s="81">
        <v>720007086.29765928</v>
      </c>
      <c r="AC77" s="81">
        <v>719552487.22879565</v>
      </c>
      <c r="AD77" s="81">
        <v>719139686.57801735</v>
      </c>
      <c r="AE77" s="81">
        <v>718767316.31240857</v>
      </c>
      <c r="AF77" s="81">
        <v>718427872.42695642</v>
      </c>
      <c r="AG77" s="81">
        <v>718107570.55783856</v>
      </c>
      <c r="AH77" s="81">
        <v>717786201.18354714</v>
      </c>
      <c r="AI77" s="81">
        <v>717436984.4249959</v>
      </c>
      <c r="AJ77" s="81">
        <v>717026326.67145669</v>
      </c>
      <c r="AK77" s="81">
        <v>714605668.58025157</v>
      </c>
      <c r="AL77" s="81">
        <v>712048929.47765124</v>
      </c>
      <c r="AM77" s="81">
        <v>709302566.82554328</v>
      </c>
      <c r="AN77" s="81">
        <v>706306169.2005496</v>
      </c>
      <c r="AO77" s="81">
        <v>702992362.63034368</v>
      </c>
      <c r="AP77" s="81">
        <v>699286683.7405076</v>
      </c>
      <c r="AQ77" s="81">
        <v>695107552.1724205</v>
      </c>
      <c r="AR77" s="81">
        <v>690366144.0274626</v>
      </c>
      <c r="AS77" s="81">
        <v>684966231.22972465</v>
      </c>
      <c r="AT77" s="81">
        <v>678804221.21484721</v>
      </c>
    </row>
    <row r="78" spans="1:46" ht="15.75">
      <c r="A78" s="81" t="s">
        <v>450</v>
      </c>
      <c r="B78" s="80">
        <v>320100</v>
      </c>
      <c r="C78" s="80" t="s">
        <v>431</v>
      </c>
      <c r="D78" s="84" t="s">
        <v>757</v>
      </c>
      <c r="E78" s="81">
        <v>265192033.75393426</v>
      </c>
      <c r="F78" s="81">
        <v>273701059.35918254</v>
      </c>
      <c r="G78" s="81">
        <v>280173610.7313149</v>
      </c>
      <c r="H78" s="81">
        <v>286196557.45454752</v>
      </c>
      <c r="I78" s="81">
        <v>291796840.99018425</v>
      </c>
      <c r="J78" s="81">
        <v>297001596.44408298</v>
      </c>
      <c r="K78" s="81">
        <v>301838010.72464395</v>
      </c>
      <c r="L78" s="81">
        <v>306333239.92607582</v>
      </c>
      <c r="M78" s="81">
        <v>310514327.20215559</v>
      </c>
      <c r="N78" s="81">
        <v>314408055.92699975</v>
      </c>
      <c r="O78" s="81">
        <v>318040732.40420967</v>
      </c>
      <c r="P78" s="81">
        <v>321438327.11359376</v>
      </c>
      <c r="Q78" s="81">
        <v>323253691.86805874</v>
      </c>
      <c r="R78" s="81">
        <v>324884218.20952785</v>
      </c>
      <c r="S78" s="81">
        <v>326355473.42888129</v>
      </c>
      <c r="T78" s="81">
        <v>327691680.93973041</v>
      </c>
      <c r="U78" s="81">
        <v>328915428.89046055</v>
      </c>
      <c r="V78" s="81">
        <v>330047824.07264984</v>
      </c>
      <c r="W78" s="81">
        <v>331108125.69336289</v>
      </c>
      <c r="X78" s="81">
        <v>332113863.96308357</v>
      </c>
      <c r="Y78" s="81">
        <v>333080680.11685753</v>
      </c>
      <c r="Z78" s="81">
        <v>334022198.22646517</v>
      </c>
      <c r="AA78" s="81">
        <v>333545722.47447139</v>
      </c>
      <c r="AB78" s="81">
        <v>333070563.45226854</v>
      </c>
      <c r="AC78" s="81">
        <v>332603757.1622259</v>
      </c>
      <c r="AD78" s="81">
        <v>332149903.02485591</v>
      </c>
      <c r="AE78" s="81">
        <v>331711045.11470145</v>
      </c>
      <c r="AF78" s="81">
        <v>331286699.74869502</v>
      </c>
      <c r="AG78" s="81">
        <v>330873921.66402715</v>
      </c>
      <c r="AH78" s="81">
        <v>330467074.22039872</v>
      </c>
      <c r="AI78" s="81">
        <v>330057745.16473311</v>
      </c>
      <c r="AJ78" s="81">
        <v>329635036.87427735</v>
      </c>
      <c r="AK78" s="81">
        <v>329373169.78684497</v>
      </c>
      <c r="AL78" s="81">
        <v>329066595.50564682</v>
      </c>
      <c r="AM78" s="81">
        <v>328695834.33561009</v>
      </c>
      <c r="AN78" s="81">
        <v>328238387.51044881</v>
      </c>
      <c r="AO78" s="81">
        <v>327668719.52434862</v>
      </c>
      <c r="AP78" s="81">
        <v>326958356.5294832</v>
      </c>
      <c r="AQ78" s="81">
        <v>326075640.63071138</v>
      </c>
      <c r="AR78" s="81">
        <v>324985750.70985913</v>
      </c>
      <c r="AS78" s="81">
        <v>323650608.07298326</v>
      </c>
      <c r="AT78" s="81">
        <v>322028976.34111804</v>
      </c>
    </row>
    <row r="79" spans="1:46" ht="15.75">
      <c r="A79" s="81" t="s">
        <v>450</v>
      </c>
      <c r="B79" s="80">
        <v>320200</v>
      </c>
      <c r="C79" s="80" t="s">
        <v>431</v>
      </c>
      <c r="D79" s="84" t="s">
        <v>756</v>
      </c>
      <c r="E79" s="81">
        <v>203672054.21495956</v>
      </c>
      <c r="F79" s="81">
        <v>209601773.10127172</v>
      </c>
      <c r="G79" s="81">
        <v>214035895.21487933</v>
      </c>
      <c r="H79" s="81">
        <v>218186710.33887884</v>
      </c>
      <c r="I79" s="81">
        <v>222068280.49882224</v>
      </c>
      <c r="J79" s="81">
        <v>225694974.87484866</v>
      </c>
      <c r="K79" s="81">
        <v>229081210.56383994</v>
      </c>
      <c r="L79" s="81">
        <v>232241449.6890617</v>
      </c>
      <c r="M79" s="81">
        <v>235190169.31053913</v>
      </c>
      <c r="N79" s="81">
        <v>237941832.64620024</v>
      </c>
      <c r="O79" s="81">
        <v>240510735.32675639</v>
      </c>
      <c r="P79" s="81">
        <v>242910939.4498013</v>
      </c>
      <c r="Q79" s="81">
        <v>244120013.49321979</v>
      </c>
      <c r="R79" s="81">
        <v>245189544.80737028</v>
      </c>
      <c r="S79" s="81">
        <v>246134212.71396703</v>
      </c>
      <c r="T79" s="81">
        <v>246968064.21986952</v>
      </c>
      <c r="U79" s="81">
        <v>247704271.99923268</v>
      </c>
      <c r="V79" s="81">
        <v>248355284.94300508</v>
      </c>
      <c r="W79" s="81">
        <v>248932615.63134223</v>
      </c>
      <c r="X79" s="81">
        <v>249446994.24332452</v>
      </c>
      <c r="Y79" s="81">
        <v>249908050.47861537</v>
      </c>
      <c r="Z79" s="81">
        <v>250324501.47025728</v>
      </c>
      <c r="AA79" s="81">
        <v>250470230.85602778</v>
      </c>
      <c r="AB79" s="81">
        <v>250587230.11262912</v>
      </c>
      <c r="AC79" s="81">
        <v>250680957.7210227</v>
      </c>
      <c r="AD79" s="81">
        <v>250755605.82227734</v>
      </c>
      <c r="AE79" s="81">
        <v>250814196.51026112</v>
      </c>
      <c r="AF79" s="81">
        <v>250858394.8544161</v>
      </c>
      <c r="AG79" s="81">
        <v>250888460.92078155</v>
      </c>
      <c r="AH79" s="81">
        <v>250903384.12773404</v>
      </c>
      <c r="AI79" s="81">
        <v>250900545.95213985</v>
      </c>
      <c r="AJ79" s="81">
        <v>250876000.34170619</v>
      </c>
      <c r="AK79" s="81">
        <v>250513657.11830315</v>
      </c>
      <c r="AL79" s="81">
        <v>250119308.66295874</v>
      </c>
      <c r="AM79" s="81">
        <v>249684283.47555986</v>
      </c>
      <c r="AN79" s="81">
        <v>249198215.4779076</v>
      </c>
      <c r="AO79" s="81">
        <v>248649116.48743877</v>
      </c>
      <c r="AP79" s="81">
        <v>248023337.23028043</v>
      </c>
      <c r="AQ79" s="81">
        <v>247305297.23809439</v>
      </c>
      <c r="AR79" s="81">
        <v>246477748.53597409</v>
      </c>
      <c r="AS79" s="81">
        <v>245521621.14699084</v>
      </c>
      <c r="AT79" s="81">
        <v>244415786.45153332</v>
      </c>
    </row>
    <row r="80" spans="1:46" ht="15.75">
      <c r="A80" s="81" t="s">
        <v>450</v>
      </c>
      <c r="B80" s="80">
        <v>320300</v>
      </c>
      <c r="C80" s="80" t="s">
        <v>431</v>
      </c>
      <c r="D80" s="84" t="s">
        <v>755</v>
      </c>
      <c r="E80" s="81">
        <v>249254495.5667502</v>
      </c>
      <c r="F80" s="81">
        <v>255150665.93361098</v>
      </c>
      <c r="G80" s="81">
        <v>259630525.91718513</v>
      </c>
      <c r="H80" s="81">
        <v>264145795.77782887</v>
      </c>
      <c r="I80" s="81">
        <v>268681949.67429692</v>
      </c>
      <c r="J80" s="81">
        <v>273224677.40839148</v>
      </c>
      <c r="K80" s="81">
        <v>277760029.58134925</v>
      </c>
      <c r="L80" s="81">
        <v>282274449.03820121</v>
      </c>
      <c r="M80" s="81">
        <v>286754770.14027566</v>
      </c>
      <c r="N80" s="81">
        <v>291188401.36796933</v>
      </c>
      <c r="O80" s="81">
        <v>295563328.80503583</v>
      </c>
      <c r="P80" s="81">
        <v>299868147.83411568</v>
      </c>
      <c r="Q80" s="81">
        <v>302806598.15617967</v>
      </c>
      <c r="R80" s="81">
        <v>305643669.51994985</v>
      </c>
      <c r="S80" s="81">
        <v>308371806.21283036</v>
      </c>
      <c r="T80" s="81">
        <v>310984401.4210785</v>
      </c>
      <c r="U80" s="81">
        <v>313475874.17727309</v>
      </c>
      <c r="V80" s="81">
        <v>315841748.41228628</v>
      </c>
      <c r="W80" s="81">
        <v>318078632.6589247</v>
      </c>
      <c r="X80" s="81">
        <v>320184231.16685849</v>
      </c>
      <c r="Y80" s="81">
        <v>322157628.80539012</v>
      </c>
      <c r="Z80" s="81">
        <v>323998964.42751175</v>
      </c>
      <c r="AA80" s="81">
        <v>325406029.51496118</v>
      </c>
      <c r="AB80" s="81">
        <v>326685556.47929311</v>
      </c>
      <c r="AC80" s="81">
        <v>327842087.97752017</v>
      </c>
      <c r="AD80" s="81">
        <v>328881696.83167964</v>
      </c>
      <c r="AE80" s="81">
        <v>329811926.11775178</v>
      </c>
      <c r="AF80" s="81">
        <v>330641761.42322534</v>
      </c>
      <c r="AG80" s="81">
        <v>331381745.88578606</v>
      </c>
      <c r="AH80" s="81">
        <v>332044061.99982464</v>
      </c>
      <c r="AI80" s="81">
        <v>332642541.69989616</v>
      </c>
      <c r="AJ80" s="81">
        <v>333192638.35023671</v>
      </c>
      <c r="AK80" s="81">
        <v>333298631.17658496</v>
      </c>
      <c r="AL80" s="81">
        <v>333394237.72243285</v>
      </c>
      <c r="AM80" s="81">
        <v>333500298.63993222</v>
      </c>
      <c r="AN80" s="81">
        <v>333639390.08411944</v>
      </c>
      <c r="AO80" s="81">
        <v>333835861.1221599</v>
      </c>
      <c r="AP80" s="81">
        <v>334115947.94698912</v>
      </c>
      <c r="AQ80" s="81">
        <v>334507698.45737004</v>
      </c>
      <c r="AR80" s="81">
        <v>335041202.84344238</v>
      </c>
      <c r="AS80" s="81">
        <v>335748364.03038442</v>
      </c>
      <c r="AT80" s="81">
        <v>336663246.06908733</v>
      </c>
    </row>
    <row r="81" spans="1:46" ht="15.75">
      <c r="A81" s="81" t="s">
        <v>450</v>
      </c>
      <c r="B81" s="80">
        <v>320400</v>
      </c>
      <c r="C81" s="80" t="s">
        <v>431</v>
      </c>
      <c r="D81" s="84" t="s">
        <v>754</v>
      </c>
      <c r="E81" s="81">
        <v>144244536.35736656</v>
      </c>
      <c r="F81" s="81">
        <v>148254854.44131282</v>
      </c>
      <c r="G81" s="81">
        <v>151249258.25850904</v>
      </c>
      <c r="H81" s="81">
        <v>154082207.77255851</v>
      </c>
      <c r="I81" s="81">
        <v>156759725.06540528</v>
      </c>
      <c r="J81" s="81">
        <v>159287919.35897821</v>
      </c>
      <c r="K81" s="81">
        <v>161673108.65406179</v>
      </c>
      <c r="L81" s="81">
        <v>163921678.9307234</v>
      </c>
      <c r="M81" s="81">
        <v>166040025.96473455</v>
      </c>
      <c r="N81" s="81">
        <v>168034743.7779012</v>
      </c>
      <c r="O81" s="81">
        <v>169912323.89072511</v>
      </c>
      <c r="P81" s="81">
        <v>171679344.4517481</v>
      </c>
      <c r="Q81" s="81">
        <v>172609545.60319376</v>
      </c>
      <c r="R81" s="81">
        <v>173442730.92771226</v>
      </c>
      <c r="S81" s="81">
        <v>174186450.29855961</v>
      </c>
      <c r="T81" s="81">
        <v>174847927.90661356</v>
      </c>
      <c r="U81" s="81">
        <v>175434206.52292642</v>
      </c>
      <c r="V81" s="81">
        <v>175951963.89088404</v>
      </c>
      <c r="W81" s="81">
        <v>176407591.48966265</v>
      </c>
      <c r="X81" s="81">
        <v>176807141.47089976</v>
      </c>
      <c r="Y81" s="81">
        <v>177156340.46544006</v>
      </c>
      <c r="Z81" s="81">
        <v>177460535.49331233</v>
      </c>
      <c r="AA81" s="81">
        <v>177558962.54932171</v>
      </c>
      <c r="AB81" s="81">
        <v>177623057.56808481</v>
      </c>
      <c r="AC81" s="81">
        <v>177657041.8403995</v>
      </c>
      <c r="AD81" s="81">
        <v>177664587.41094497</v>
      </c>
      <c r="AE81" s="81">
        <v>177648974.35885277</v>
      </c>
      <c r="AF81" s="81">
        <v>177612858.29063478</v>
      </c>
      <c r="AG81" s="81">
        <v>177558464.73345014</v>
      </c>
      <c r="AH81" s="81">
        <v>177487426.44114071</v>
      </c>
      <c r="AI81" s="81">
        <v>177400835.50225434</v>
      </c>
      <c r="AJ81" s="81">
        <v>177299149.9608857</v>
      </c>
      <c r="AK81" s="81">
        <v>176962952.68742436</v>
      </c>
      <c r="AL81" s="81">
        <v>176612769.14884928</v>
      </c>
      <c r="AM81" s="81">
        <v>176247184.57506236</v>
      </c>
      <c r="AN81" s="81">
        <v>175864225.63079342</v>
      </c>
      <c r="AO81" s="81">
        <v>175461193.7883963</v>
      </c>
      <c r="AP81" s="81">
        <v>175034685.04302335</v>
      </c>
      <c r="AQ81" s="81">
        <v>174580649.17654741</v>
      </c>
      <c r="AR81" s="81">
        <v>174094257.96522719</v>
      </c>
      <c r="AS81" s="81">
        <v>173569886.21826929</v>
      </c>
      <c r="AT81" s="81">
        <v>173001288.09524688</v>
      </c>
    </row>
    <row r="82" spans="1:46" ht="15.75">
      <c r="A82" s="81" t="s">
        <v>450</v>
      </c>
      <c r="B82" s="80">
        <v>320500</v>
      </c>
      <c r="C82" s="80" t="s">
        <v>431</v>
      </c>
      <c r="D82" s="84" t="s">
        <v>753</v>
      </c>
      <c r="E82" s="81">
        <v>362263557.83021319</v>
      </c>
      <c r="F82" s="81">
        <v>374592654.65878671</v>
      </c>
      <c r="G82" s="81">
        <v>384086107.26684344</v>
      </c>
      <c r="H82" s="81">
        <v>392917948.24527067</v>
      </c>
      <c r="I82" s="81">
        <v>401131276.76703763</v>
      </c>
      <c r="J82" s="81">
        <v>408769282.60600191</v>
      </c>
      <c r="K82" s="81">
        <v>415875186.19005036</v>
      </c>
      <c r="L82" s="81">
        <v>422491994.41779327</v>
      </c>
      <c r="M82" s="81">
        <v>428662312.90350461</v>
      </c>
      <c r="N82" s="81">
        <v>434428220.32350385</v>
      </c>
      <c r="O82" s="81">
        <v>439830946.36924088</v>
      </c>
      <c r="P82" s="81">
        <v>444910871.15189469</v>
      </c>
      <c r="Q82" s="81">
        <v>447806039.41051519</v>
      </c>
      <c r="R82" s="81">
        <v>450452759.89581645</v>
      </c>
      <c r="S82" s="81">
        <v>452889881.82029158</v>
      </c>
      <c r="T82" s="81">
        <v>455153894.41494155</v>
      </c>
      <c r="U82" s="81">
        <v>457278719.72736949</v>
      </c>
      <c r="V82" s="81">
        <v>459295430.16910267</v>
      </c>
      <c r="W82" s="81">
        <v>461232346.84084159</v>
      </c>
      <c r="X82" s="81">
        <v>463114755.54209799</v>
      </c>
      <c r="Y82" s="81">
        <v>464964722.17398936</v>
      </c>
      <c r="Z82" s="81">
        <v>466801049.61183661</v>
      </c>
      <c r="AA82" s="81">
        <v>466674281.35756451</v>
      </c>
      <c r="AB82" s="81">
        <v>466564156.60611761</v>
      </c>
      <c r="AC82" s="81">
        <v>466478282.85676593</v>
      </c>
      <c r="AD82" s="81">
        <v>466420293.54695541</v>
      </c>
      <c r="AE82" s="81">
        <v>466389775.53397048</v>
      </c>
      <c r="AF82" s="81">
        <v>466382085.32843202</v>
      </c>
      <c r="AG82" s="81">
        <v>466388459.91899586</v>
      </c>
      <c r="AH82" s="81">
        <v>466395833.11552799</v>
      </c>
      <c r="AI82" s="81">
        <v>466386724.13733661</v>
      </c>
      <c r="AJ82" s="81">
        <v>466339350.44320434</v>
      </c>
      <c r="AK82" s="81">
        <v>466493604.80076939</v>
      </c>
      <c r="AL82" s="81">
        <v>466551536.65719503</v>
      </c>
      <c r="AM82" s="81">
        <v>466477343.37176281</v>
      </c>
      <c r="AN82" s="81">
        <v>466230306.07626319</v>
      </c>
      <c r="AO82" s="81">
        <v>465764967.70017028</v>
      </c>
      <c r="AP82" s="81">
        <v>465030663.19447637</v>
      </c>
      <c r="AQ82" s="81">
        <v>463971851.07854384</v>
      </c>
      <c r="AR82" s="81">
        <v>462527679.32727814</v>
      </c>
      <c r="AS82" s="81">
        <v>460632087.50152349</v>
      </c>
      <c r="AT82" s="81">
        <v>458213600.45735741</v>
      </c>
    </row>
    <row r="83" spans="1:46" ht="15.75">
      <c r="A83" s="81" t="s">
        <v>450</v>
      </c>
      <c r="B83" s="80">
        <v>320600</v>
      </c>
      <c r="C83" s="80" t="s">
        <v>431</v>
      </c>
      <c r="D83" s="84" t="s">
        <v>752</v>
      </c>
      <c r="E83" s="81">
        <v>212774926.41881743</v>
      </c>
      <c r="F83" s="81">
        <v>217005491.18120804</v>
      </c>
      <c r="G83" s="81">
        <v>219794400.57644451</v>
      </c>
      <c r="H83" s="81">
        <v>222396525.36585477</v>
      </c>
      <c r="I83" s="81">
        <v>224815190.27326196</v>
      </c>
      <c r="J83" s="81">
        <v>227054030.29682902</v>
      </c>
      <c r="K83" s="81">
        <v>229117104.04193017</v>
      </c>
      <c r="L83" s="81">
        <v>231008681.80148435</v>
      </c>
      <c r="M83" s="81">
        <v>232733509.7980698</v>
      </c>
      <c r="N83" s="81">
        <v>234296502.86747909</v>
      </c>
      <c r="O83" s="81">
        <v>235703045.01684102</v>
      </c>
      <c r="P83" s="81">
        <v>236958705.9424018</v>
      </c>
      <c r="Q83" s="81">
        <v>237063057.72848296</v>
      </c>
      <c r="R83" s="81">
        <v>237039422.63551268</v>
      </c>
      <c r="S83" s="81">
        <v>236895615.4244279</v>
      </c>
      <c r="T83" s="81">
        <v>236639738.77980429</v>
      </c>
      <c r="U83" s="81">
        <v>236279885.56569648</v>
      </c>
      <c r="V83" s="81">
        <v>235824330.05103397</v>
      </c>
      <c r="W83" s="81">
        <v>235281458.0089964</v>
      </c>
      <c r="X83" s="81">
        <v>234659761.72377288</v>
      </c>
      <c r="Y83" s="81">
        <v>233967800.54583484</v>
      </c>
      <c r="Z83" s="81">
        <v>233214367.52961475</v>
      </c>
      <c r="AA83" s="81">
        <v>232191432.63334286</v>
      </c>
      <c r="AB83" s="81">
        <v>231128343.19484606</v>
      </c>
      <c r="AC83" s="81">
        <v>230034160.28473282</v>
      </c>
      <c r="AD83" s="81">
        <v>228917880.79921749</v>
      </c>
      <c r="AE83" s="81">
        <v>227788643.7350533</v>
      </c>
      <c r="AF83" s="81">
        <v>226655584.33034846</v>
      </c>
      <c r="AG83" s="81">
        <v>225527900.24310228</v>
      </c>
      <c r="AH83" s="81">
        <v>224414737.7566998</v>
      </c>
      <c r="AI83" s="81">
        <v>223325331.17624876</v>
      </c>
      <c r="AJ83" s="81">
        <v>222268925.70004645</v>
      </c>
      <c r="AK83" s="81">
        <v>220980893.42303833</v>
      </c>
      <c r="AL83" s="81">
        <v>219748761.08947858</v>
      </c>
      <c r="AM83" s="81">
        <v>218581389.45491913</v>
      </c>
      <c r="AN83" s="81">
        <v>217487811.02889875</v>
      </c>
      <c r="AO83" s="81">
        <v>216476850.53091946</v>
      </c>
      <c r="AP83" s="81">
        <v>215557345.41424689</v>
      </c>
      <c r="AQ83" s="81">
        <v>214738065.88434663</v>
      </c>
      <c r="AR83" s="81">
        <v>214027671.10825643</v>
      </c>
      <c r="AS83" s="81">
        <v>213434780.78464541</v>
      </c>
      <c r="AT83" s="81">
        <v>212967931.86854205</v>
      </c>
    </row>
    <row r="84" spans="1:46" ht="15.75">
      <c r="A84" s="81" t="s">
        <v>450</v>
      </c>
      <c r="B84" s="80">
        <v>320700</v>
      </c>
      <c r="C84" s="80" t="s">
        <v>431</v>
      </c>
      <c r="D84" s="84" t="s">
        <v>751</v>
      </c>
      <c r="E84" s="81">
        <v>120212899.58231364</v>
      </c>
      <c r="F84" s="81">
        <v>123237679.6081443</v>
      </c>
      <c r="G84" s="81">
        <v>125586399.88762403</v>
      </c>
      <c r="H84" s="81">
        <v>127957787.0876592</v>
      </c>
      <c r="I84" s="81">
        <v>130343297.5541711</v>
      </c>
      <c r="J84" s="81">
        <v>132734614.35315973</v>
      </c>
      <c r="K84" s="81">
        <v>135123629.1395613</v>
      </c>
      <c r="L84" s="81">
        <v>137502507.18310434</v>
      </c>
      <c r="M84" s="81">
        <v>139863637.70551634</v>
      </c>
      <c r="N84" s="81">
        <v>142199786.29056349</v>
      </c>
      <c r="O84" s="81">
        <v>144504045.97537118</v>
      </c>
      <c r="P84" s="81">
        <v>146769934.65698165</v>
      </c>
      <c r="Q84" s="81">
        <v>148361508.79068807</v>
      </c>
      <c r="R84" s="81">
        <v>149896636.85595122</v>
      </c>
      <c r="S84" s="81">
        <v>151371061.07098529</v>
      </c>
      <c r="T84" s="81">
        <v>152781213.17615715</v>
      </c>
      <c r="U84" s="81">
        <v>154124086.46899596</v>
      </c>
      <c r="V84" s="81">
        <v>155397388.67292175</v>
      </c>
      <c r="W84" s="81">
        <v>156599410.81756181</v>
      </c>
      <c r="X84" s="81">
        <v>157729279.04275784</v>
      </c>
      <c r="Y84" s="81">
        <v>158786725.78442353</v>
      </c>
      <c r="Z84" s="81">
        <v>159772377.5347521</v>
      </c>
      <c r="AA84" s="81">
        <v>160537699.36150438</v>
      </c>
      <c r="AB84" s="81">
        <v>161234621.34328076</v>
      </c>
      <c r="AC84" s="81">
        <v>161866421.27828079</v>
      </c>
      <c r="AD84" s="81">
        <v>162437106.61430719</v>
      </c>
      <c r="AE84" s="81">
        <v>162951743.92357394</v>
      </c>
      <c r="AF84" s="81">
        <v>163416181.64485601</v>
      </c>
      <c r="AG84" s="81">
        <v>163837280.28093433</v>
      </c>
      <c r="AH84" s="81">
        <v>164222837.28503114</v>
      </c>
      <c r="AI84" s="81">
        <v>164581753.80413967</v>
      </c>
      <c r="AJ84" s="81">
        <v>164923783.12958628</v>
      </c>
      <c r="AK84" s="81">
        <v>165298057.23625571</v>
      </c>
      <c r="AL84" s="81">
        <v>165678291.89412448</v>
      </c>
      <c r="AM84" s="81">
        <v>166077645.14470315</v>
      </c>
      <c r="AN84" s="81">
        <v>166510356.6132929</v>
      </c>
      <c r="AO84" s="81">
        <v>166991921.45093629</v>
      </c>
      <c r="AP84" s="81">
        <v>167539012.72206181</v>
      </c>
      <c r="AQ84" s="81">
        <v>168169547.89361009</v>
      </c>
      <c r="AR84" s="81">
        <v>168902794.3989242</v>
      </c>
      <c r="AS84" s="81">
        <v>169759215.49323609</v>
      </c>
      <c r="AT84" s="81">
        <v>170760687.07590374</v>
      </c>
    </row>
    <row r="85" spans="1:46" ht="15.75">
      <c r="A85" s="81" t="s">
        <v>450</v>
      </c>
      <c r="B85" s="80">
        <v>320800</v>
      </c>
      <c r="C85" s="80" t="s">
        <v>431</v>
      </c>
      <c r="D85" s="84" t="s">
        <v>750</v>
      </c>
      <c r="E85" s="81">
        <v>119182570.58182228</v>
      </c>
      <c r="F85" s="81">
        <v>122081929.50734302</v>
      </c>
      <c r="G85" s="81">
        <v>124276734.21450728</v>
      </c>
      <c r="H85" s="81">
        <v>126461410.97576639</v>
      </c>
      <c r="I85" s="81">
        <v>128629439.88844568</v>
      </c>
      <c r="J85" s="81">
        <v>130774375.33829135</v>
      </c>
      <c r="K85" s="81">
        <v>132890067.15813588</v>
      </c>
      <c r="L85" s="81">
        <v>134970578.71828285</v>
      </c>
      <c r="M85" s="81">
        <v>137010331.55587918</v>
      </c>
      <c r="N85" s="81">
        <v>139003991.6830053</v>
      </c>
      <c r="O85" s="81">
        <v>140946555.97847527</v>
      </c>
      <c r="P85" s="81">
        <v>142833474.0010756</v>
      </c>
      <c r="Q85" s="81">
        <v>144049034.12042096</v>
      </c>
      <c r="R85" s="81">
        <v>145197688.16464943</v>
      </c>
      <c r="S85" s="81">
        <v>146277031.38184229</v>
      </c>
      <c r="T85" s="81">
        <v>147285286.18187696</v>
      </c>
      <c r="U85" s="81">
        <v>148221169.71853271</v>
      </c>
      <c r="V85" s="81">
        <v>149083914.20551363</v>
      </c>
      <c r="W85" s="81">
        <v>149873416.52262357</v>
      </c>
      <c r="X85" s="81">
        <v>150590101.4967503</v>
      </c>
      <c r="Y85" s="81">
        <v>151235105.54619059</v>
      </c>
      <c r="Z85" s="81">
        <v>151810137.91068056</v>
      </c>
      <c r="AA85" s="81">
        <v>152175583.31524265</v>
      </c>
      <c r="AB85" s="81">
        <v>152477183.0442296</v>
      </c>
      <c r="AC85" s="81">
        <v>152718925.01884192</v>
      </c>
      <c r="AD85" s="81">
        <v>152905542.83652216</v>
      </c>
      <c r="AE85" s="81">
        <v>153042503.54979971</v>
      </c>
      <c r="AF85" s="81">
        <v>153136063.09122312</v>
      </c>
      <c r="AG85" s="81">
        <v>153193288.64285308</v>
      </c>
      <c r="AH85" s="81">
        <v>153221976.57773447</v>
      </c>
      <c r="AI85" s="81">
        <v>153230847.3014155</v>
      </c>
      <c r="AJ85" s="81">
        <v>153229429.18021658</v>
      </c>
      <c r="AK85" s="81">
        <v>153263557.33753031</v>
      </c>
      <c r="AL85" s="81">
        <v>153308910.45733264</v>
      </c>
      <c r="AM85" s="81">
        <v>153377805.13625783</v>
      </c>
      <c r="AN85" s="81">
        <v>153483431.62346917</v>
      </c>
      <c r="AO85" s="81">
        <v>153640057.93309206</v>
      </c>
      <c r="AP85" s="81">
        <v>153862873.36383933</v>
      </c>
      <c r="AQ85" s="81">
        <v>154168195.50506255</v>
      </c>
      <c r="AR85" s="81">
        <v>154573274.40207908</v>
      </c>
      <c r="AS85" s="81">
        <v>155096613.92837685</v>
      </c>
      <c r="AT85" s="81">
        <v>155757662.43959758</v>
      </c>
    </row>
    <row r="86" spans="1:46" ht="15.75">
      <c r="A86" s="81" t="s">
        <v>450</v>
      </c>
      <c r="B86" s="80">
        <v>320900</v>
      </c>
      <c r="C86" s="80" t="s">
        <v>431</v>
      </c>
      <c r="D86" s="84" t="s">
        <v>749</v>
      </c>
      <c r="E86" s="81">
        <v>176073352.07725891</v>
      </c>
      <c r="F86" s="81">
        <v>179778135.40776935</v>
      </c>
      <c r="G86" s="81">
        <v>182389685.53137037</v>
      </c>
      <c r="H86" s="81">
        <v>184939068.28342262</v>
      </c>
      <c r="I86" s="81">
        <v>187421655.20115352</v>
      </c>
      <c r="J86" s="81">
        <v>189833046.86888206</v>
      </c>
      <c r="K86" s="81">
        <v>192169094.15147546</v>
      </c>
      <c r="L86" s="81">
        <v>194425919.73471695</v>
      </c>
      <c r="M86" s="81">
        <v>196599998.71703613</v>
      </c>
      <c r="N86" s="81">
        <v>198688125.01633298</v>
      </c>
      <c r="O86" s="81">
        <v>200687373.61877337</v>
      </c>
      <c r="P86" s="81">
        <v>202595302.6079337</v>
      </c>
      <c r="Q86" s="81">
        <v>203545630.98956874</v>
      </c>
      <c r="R86" s="81">
        <v>204402625.03921697</v>
      </c>
      <c r="S86" s="81">
        <v>205166108.45329976</v>
      </c>
      <c r="T86" s="81">
        <v>205836521.3422839</v>
      </c>
      <c r="U86" s="81">
        <v>206414626.04973948</v>
      </c>
      <c r="V86" s="81">
        <v>206901774.18348831</v>
      </c>
      <c r="W86" s="81">
        <v>207299734.27706105</v>
      </c>
      <c r="X86" s="81">
        <v>207610770.64005309</v>
      </c>
      <c r="Y86" s="81">
        <v>207837758.2105957</v>
      </c>
      <c r="Z86" s="81">
        <v>207984004.89391249</v>
      </c>
      <c r="AA86" s="81">
        <v>207859434.61017925</v>
      </c>
      <c r="AB86" s="81">
        <v>207664470.77361459</v>
      </c>
      <c r="AC86" s="81">
        <v>207404373.93454784</v>
      </c>
      <c r="AD86" s="81">
        <v>207084981.22423148</v>
      </c>
      <c r="AE86" s="81">
        <v>206712755.86105499</v>
      </c>
      <c r="AF86" s="81">
        <v>206294769.35769361</v>
      </c>
      <c r="AG86" s="81">
        <v>205838682.48501202</v>
      </c>
      <c r="AH86" s="81">
        <v>205352864.49150899</v>
      </c>
      <c r="AI86" s="81">
        <v>204846341.09583944</v>
      </c>
      <c r="AJ86" s="81">
        <v>204328810.52055821</v>
      </c>
      <c r="AK86" s="81">
        <v>203857778.51638252</v>
      </c>
      <c r="AL86" s="81">
        <v>203396707.99668819</v>
      </c>
      <c r="AM86" s="81">
        <v>202957506.00084728</v>
      </c>
      <c r="AN86" s="81">
        <v>202552867.09257185</v>
      </c>
      <c r="AO86" s="81">
        <v>202196145.72079083</v>
      </c>
      <c r="AP86" s="81">
        <v>201901627.82696959</v>
      </c>
      <c r="AQ86" s="81">
        <v>201684331.09881452</v>
      </c>
      <c r="AR86" s="81">
        <v>201560169.63352019</v>
      </c>
      <c r="AS86" s="81">
        <v>201545824.17716464</v>
      </c>
      <c r="AT86" s="81">
        <v>201658946.89310205</v>
      </c>
    </row>
    <row r="87" spans="1:46" ht="15.75">
      <c r="A87" s="81" t="s">
        <v>450</v>
      </c>
      <c r="B87" s="80">
        <v>321000</v>
      </c>
      <c r="C87" s="80" t="s">
        <v>431</v>
      </c>
      <c r="D87" s="84" t="s">
        <v>748</v>
      </c>
      <c r="E87" s="81">
        <v>119367752.79077215</v>
      </c>
      <c r="F87" s="81">
        <v>122173978.97745021</v>
      </c>
      <c r="G87" s="81">
        <v>124172900.70417286</v>
      </c>
      <c r="H87" s="81">
        <v>126067891.44533816</v>
      </c>
      <c r="I87" s="81">
        <v>127860352.91986394</v>
      </c>
      <c r="J87" s="81">
        <v>129551769.22339283</v>
      </c>
      <c r="K87" s="81">
        <v>131143869.43166797</v>
      </c>
      <c r="L87" s="81">
        <v>132638542.39534673</v>
      </c>
      <c r="M87" s="81">
        <v>134037862.28538847</v>
      </c>
      <c r="N87" s="81">
        <v>135344056.79022998</v>
      </c>
      <c r="O87" s="81">
        <v>136559563.3477962</v>
      </c>
      <c r="P87" s="81">
        <v>137686937.30551508</v>
      </c>
      <c r="Q87" s="81">
        <v>138142517.32297778</v>
      </c>
      <c r="R87" s="81">
        <v>138518606.41331038</v>
      </c>
      <c r="S87" s="81">
        <v>138819153.1549257</v>
      </c>
      <c r="T87" s="81">
        <v>139048247.76019037</v>
      </c>
      <c r="U87" s="81">
        <v>139210059.05185735</v>
      </c>
      <c r="V87" s="81">
        <v>139308736.36714545</v>
      </c>
      <c r="W87" s="81">
        <v>139348597.22152653</v>
      </c>
      <c r="X87" s="81">
        <v>139333933.84003982</v>
      </c>
      <c r="Y87" s="81">
        <v>139269171.00484201</v>
      </c>
      <c r="Z87" s="81">
        <v>139158734.2256493</v>
      </c>
      <c r="AA87" s="81">
        <v>138877540.57420638</v>
      </c>
      <c r="AB87" s="81">
        <v>138561397.2952784</v>
      </c>
      <c r="AC87" s="81">
        <v>138214942.95633435</v>
      </c>
      <c r="AD87" s="81">
        <v>137842919.98276189</v>
      </c>
      <c r="AE87" s="81">
        <v>137450072.13829547</v>
      </c>
      <c r="AF87" s="81">
        <v>137041106.65376654</v>
      </c>
      <c r="AG87" s="81">
        <v>136620862.79018602</v>
      </c>
      <c r="AH87" s="81">
        <v>136194138.54777616</v>
      </c>
      <c r="AI87" s="81">
        <v>135765685.92341956</v>
      </c>
      <c r="AJ87" s="81">
        <v>135340418.19311309</v>
      </c>
      <c r="AK87" s="81">
        <v>134954237.53011501</v>
      </c>
      <c r="AL87" s="81">
        <v>134580518.44700104</v>
      </c>
      <c r="AM87" s="81">
        <v>134224097.71895012</v>
      </c>
      <c r="AN87" s="81">
        <v>133889862.34082301</v>
      </c>
      <c r="AO87" s="81">
        <v>133582674.9103853</v>
      </c>
      <c r="AP87" s="81">
        <v>133307406.47723156</v>
      </c>
      <c r="AQ87" s="81">
        <v>133069007.90276475</v>
      </c>
      <c r="AR87" s="81">
        <v>132872248.3060589</v>
      </c>
      <c r="AS87" s="81">
        <v>132722081.66255572</v>
      </c>
      <c r="AT87" s="81">
        <v>132623309.78427824</v>
      </c>
    </row>
    <row r="88" spans="1:46" ht="15.75">
      <c r="A88" s="81" t="s">
        <v>450</v>
      </c>
      <c r="B88" s="80">
        <v>321100</v>
      </c>
      <c r="C88" s="80" t="s">
        <v>431</v>
      </c>
      <c r="D88" s="84" t="s">
        <v>747</v>
      </c>
      <c r="E88" s="81">
        <v>83778339.394262657</v>
      </c>
      <c r="F88" s="81">
        <v>86019975.238746569</v>
      </c>
      <c r="G88" s="81">
        <v>87662289.85661386</v>
      </c>
      <c r="H88" s="81">
        <v>89201632.027324483</v>
      </c>
      <c r="I88" s="81">
        <v>90641563.972488105</v>
      </c>
      <c r="J88" s="81">
        <v>91985758.689464435</v>
      </c>
      <c r="K88" s="81">
        <v>93237986.556408301</v>
      </c>
      <c r="L88" s="81">
        <v>94402159.680145994</v>
      </c>
      <c r="M88" s="81">
        <v>95482204.230106458</v>
      </c>
      <c r="N88" s="81">
        <v>96482131.804417446</v>
      </c>
      <c r="O88" s="81">
        <v>97405996.770416677</v>
      </c>
      <c r="P88" s="81">
        <v>98257912.109201103</v>
      </c>
      <c r="Q88" s="81">
        <v>98623323.062446997</v>
      </c>
      <c r="R88" s="81">
        <v>98926795.426595867</v>
      </c>
      <c r="S88" s="81">
        <v>99173132.628938645</v>
      </c>
      <c r="T88" s="81">
        <v>99367045.578597009</v>
      </c>
      <c r="U88" s="81">
        <v>99513079.665186092</v>
      </c>
      <c r="V88" s="81">
        <v>99615698.635612056</v>
      </c>
      <c r="W88" s="81">
        <v>99679114.777566731</v>
      </c>
      <c r="X88" s="81">
        <v>99707469.049898744</v>
      </c>
      <c r="Y88" s="81">
        <v>99704692.490028739</v>
      </c>
      <c r="Z88" s="81">
        <v>99674559.551931068</v>
      </c>
      <c r="AA88" s="81">
        <v>99527738.741596028</v>
      </c>
      <c r="AB88" s="81">
        <v>99361513.533392683</v>
      </c>
      <c r="AC88" s="81">
        <v>99179088.156241819</v>
      </c>
      <c r="AD88" s="81">
        <v>98983386.697374895</v>
      </c>
      <c r="AE88" s="81">
        <v>98777109.57047689</v>
      </c>
      <c r="AF88" s="81">
        <v>98562654.98083882</v>
      </c>
      <c r="AG88" s="81">
        <v>98342176.081979334</v>
      </c>
      <c r="AH88" s="81">
        <v>98117571.044028729</v>
      </c>
      <c r="AI88" s="81">
        <v>97890402.792893246</v>
      </c>
      <c r="AJ88" s="81">
        <v>97661921.87173298</v>
      </c>
      <c r="AK88" s="81">
        <v>97455617.64108704</v>
      </c>
      <c r="AL88" s="81">
        <v>97249336.459903315</v>
      </c>
      <c r="AM88" s="81">
        <v>97043399.146774709</v>
      </c>
      <c r="AN88" s="81">
        <v>96837733.207631826</v>
      </c>
      <c r="AO88" s="81">
        <v>96631932.445678443</v>
      </c>
      <c r="AP88" s="81">
        <v>96425172.123801738</v>
      </c>
      <c r="AQ88" s="81">
        <v>96216306.380597487</v>
      </c>
      <c r="AR88" s="81">
        <v>96003746.085703403</v>
      </c>
      <c r="AS88" s="81">
        <v>95785482.368912533</v>
      </c>
      <c r="AT88" s="81">
        <v>95559111.519110844</v>
      </c>
    </row>
    <row r="89" spans="1:46" ht="15.75">
      <c r="A89" s="81" t="s">
        <v>450</v>
      </c>
      <c r="B89" s="80">
        <v>321200</v>
      </c>
      <c r="C89" s="80" t="s">
        <v>431</v>
      </c>
      <c r="D89" s="84" t="s">
        <v>746</v>
      </c>
      <c r="E89" s="81">
        <v>101282847.98103686</v>
      </c>
      <c r="F89" s="81">
        <v>103383132.99937843</v>
      </c>
      <c r="G89" s="81">
        <v>104823258.33221102</v>
      </c>
      <c r="H89" s="81">
        <v>106198452.46475871</v>
      </c>
      <c r="I89" s="81">
        <v>107508139.13142592</v>
      </c>
      <c r="J89" s="81">
        <v>108751909.59464647</v>
      </c>
      <c r="K89" s="81">
        <v>109929577.7553868</v>
      </c>
      <c r="L89" s="81">
        <v>111041065.56705092</v>
      </c>
      <c r="M89" s="81">
        <v>112086429.68105187</v>
      </c>
      <c r="N89" s="81">
        <v>113065966.31966543</v>
      </c>
      <c r="O89" s="81">
        <v>113980117.83864576</v>
      </c>
      <c r="P89" s="81">
        <v>114829502.04188739</v>
      </c>
      <c r="Q89" s="81">
        <v>115126228.15414885</v>
      </c>
      <c r="R89" s="81">
        <v>115363127.59510021</v>
      </c>
      <c r="S89" s="81">
        <v>115542087.38291536</v>
      </c>
      <c r="T89" s="81">
        <v>115665142.99740404</v>
      </c>
      <c r="U89" s="81">
        <v>115734562.98578967</v>
      </c>
      <c r="V89" s="81">
        <v>115752691.16405499</v>
      </c>
      <c r="W89" s="81">
        <v>115722112.09801073</v>
      </c>
      <c r="X89" s="81">
        <v>115645518.56488143</v>
      </c>
      <c r="Y89" s="81">
        <v>115525796.70530134</v>
      </c>
      <c r="Z89" s="81">
        <v>115366058.64727291</v>
      </c>
      <c r="AA89" s="81">
        <v>115062156.00158758</v>
      </c>
      <c r="AB89" s="81">
        <v>114726381.60027914</v>
      </c>
      <c r="AC89" s="81">
        <v>114362468.92561583</v>
      </c>
      <c r="AD89" s="81">
        <v>113974292.6283844</v>
      </c>
      <c r="AE89" s="81">
        <v>113565870.47700344</v>
      </c>
      <c r="AF89" s="81">
        <v>113141483.01754212</v>
      </c>
      <c r="AG89" s="81">
        <v>112705531.3953881</v>
      </c>
      <c r="AH89" s="81">
        <v>112262657.65657111</v>
      </c>
      <c r="AI89" s="81">
        <v>111817629.66288371</v>
      </c>
      <c r="AJ89" s="81">
        <v>111375523.46883096</v>
      </c>
      <c r="AK89" s="81">
        <v>110967127.16950582</v>
      </c>
      <c r="AL89" s="81">
        <v>110571900.81751201</v>
      </c>
      <c r="AM89" s="81">
        <v>110195494.02973615</v>
      </c>
      <c r="AN89" s="81">
        <v>109843763.61148876</v>
      </c>
      <c r="AO89" s="81">
        <v>109522745.5806202</v>
      </c>
      <c r="AP89" s="81">
        <v>109238814.84476188</v>
      </c>
      <c r="AQ89" s="81">
        <v>108998470.90867479</v>
      </c>
      <c r="AR89" s="81">
        <v>108808497.60440423</v>
      </c>
      <c r="AS89" s="81">
        <v>108675840.11756253</v>
      </c>
      <c r="AT89" s="81">
        <v>108607832.62327076</v>
      </c>
    </row>
    <row r="90" spans="1:46" ht="15.75">
      <c r="A90" s="81" t="s">
        <v>450</v>
      </c>
      <c r="B90" s="80">
        <v>321300</v>
      </c>
      <c r="C90" s="80" t="s">
        <v>431</v>
      </c>
      <c r="D90" s="84" t="s">
        <v>745</v>
      </c>
      <c r="E90" s="81">
        <v>130297051.1741951</v>
      </c>
      <c r="F90" s="81">
        <v>133601592.42167565</v>
      </c>
      <c r="G90" s="81">
        <v>136172338.98111856</v>
      </c>
      <c r="H90" s="81">
        <v>138766431.16710702</v>
      </c>
      <c r="I90" s="81">
        <v>141374500.90425643</v>
      </c>
      <c r="J90" s="81">
        <v>143987479.33917275</v>
      </c>
      <c r="K90" s="81">
        <v>146596471.12707922</v>
      </c>
      <c r="L90" s="81">
        <v>149192819.06550851</v>
      </c>
      <c r="M90" s="81">
        <v>151768289.01715371</v>
      </c>
      <c r="N90" s="81">
        <v>154314850.20397416</v>
      </c>
      <c r="O90" s="81">
        <v>156824978.11266708</v>
      </c>
      <c r="P90" s="81">
        <v>159291520.7818327</v>
      </c>
      <c r="Q90" s="81">
        <v>161024269.73038438</v>
      </c>
      <c r="R90" s="81">
        <v>162693689.2901715</v>
      </c>
      <c r="S90" s="81">
        <v>164295145.67151114</v>
      </c>
      <c r="T90" s="81">
        <v>165824687.1061832</v>
      </c>
      <c r="U90" s="81">
        <v>167279106.36614487</v>
      </c>
      <c r="V90" s="81">
        <v>168655813.09736207</v>
      </c>
      <c r="W90" s="81">
        <v>169953053.79845911</v>
      </c>
      <c r="X90" s="81">
        <v>171169751.05109408</v>
      </c>
      <c r="Y90" s="81">
        <v>172305694.45076934</v>
      </c>
      <c r="Z90" s="81">
        <v>173361541.35275695</v>
      </c>
      <c r="AA90" s="81">
        <v>174176129.04668459</v>
      </c>
      <c r="AB90" s="81">
        <v>174914421.99882022</v>
      </c>
      <c r="AC90" s="81">
        <v>175579943.50100812</v>
      </c>
      <c r="AD90" s="81">
        <v>176177126.23832566</v>
      </c>
      <c r="AE90" s="81">
        <v>176711476.7149466</v>
      </c>
      <c r="AF90" s="81">
        <v>177189401.36768839</v>
      </c>
      <c r="AG90" s="81">
        <v>177618405.73289934</v>
      </c>
      <c r="AH90" s="81">
        <v>178007056.69628111</v>
      </c>
      <c r="AI90" s="81">
        <v>178365012.46282911</v>
      </c>
      <c r="AJ90" s="81">
        <v>178703052.80438963</v>
      </c>
      <c r="AK90" s="81">
        <v>179074402.0126147</v>
      </c>
      <c r="AL90" s="81">
        <v>179450760.9264147</v>
      </c>
      <c r="AM90" s="81">
        <v>179846472.90207803</v>
      </c>
      <c r="AN90" s="81">
        <v>180277176.99918348</v>
      </c>
      <c r="AO90" s="81">
        <v>180759732.35392228</v>
      </c>
      <c r="AP90" s="81">
        <v>181312432.97076347</v>
      </c>
      <c r="AQ90" s="81">
        <v>181954822.47806439</v>
      </c>
      <c r="AR90" s="81">
        <v>182707985.38573834</v>
      </c>
      <c r="AS90" s="81">
        <v>183594323.1444999</v>
      </c>
      <c r="AT90" s="81">
        <v>184637698.20943511</v>
      </c>
    </row>
    <row r="91" spans="1:46" ht="15.75">
      <c r="A91" s="81" t="s">
        <v>450</v>
      </c>
      <c r="B91" s="80">
        <v>330100</v>
      </c>
      <c r="C91" s="80" t="s">
        <v>430</v>
      </c>
      <c r="D91" s="84" t="s">
        <v>744</v>
      </c>
      <c r="E91" s="81">
        <v>363910474.66685492</v>
      </c>
      <c r="F91" s="81">
        <v>374472376.4721607</v>
      </c>
      <c r="G91" s="81">
        <v>382422434.82880688</v>
      </c>
      <c r="H91" s="81">
        <v>389923509.79073822</v>
      </c>
      <c r="I91" s="81">
        <v>396997788.59903264</v>
      </c>
      <c r="J91" s="81">
        <v>403667733.98415893</v>
      </c>
      <c r="K91" s="81">
        <v>409955924.79465139</v>
      </c>
      <c r="L91" s="81">
        <v>415884991.62735319</v>
      </c>
      <c r="M91" s="81">
        <v>421477587.76218671</v>
      </c>
      <c r="N91" s="81">
        <v>426756189.53291893</v>
      </c>
      <c r="O91" s="81">
        <v>431743098.77403945</v>
      </c>
      <c r="P91" s="81">
        <v>436460237.24751425</v>
      </c>
      <c r="Q91" s="81">
        <v>439065162.86000776</v>
      </c>
      <c r="R91" s="81">
        <v>441442033.1396634</v>
      </c>
      <c r="S91" s="81">
        <v>443613809.43805569</v>
      </c>
      <c r="T91" s="81">
        <v>445602229.82768881</v>
      </c>
      <c r="U91" s="81">
        <v>447427733.33856905</v>
      </c>
      <c r="V91" s="81">
        <v>449109570.64956069</v>
      </c>
      <c r="W91" s="81">
        <v>450665431.65220088</v>
      </c>
      <c r="X91" s="81">
        <v>452111667.03158027</v>
      </c>
      <c r="Y91" s="81">
        <v>453463024.34535056</v>
      </c>
      <c r="Z91" s="81">
        <v>454732606.2709918</v>
      </c>
      <c r="AA91" s="81">
        <v>454074777.10908419</v>
      </c>
      <c r="AB91" s="81">
        <v>453364685.57536954</v>
      </c>
      <c r="AC91" s="81">
        <v>452610578.09455383</v>
      </c>
      <c r="AD91" s="81">
        <v>451818747.86866325</v>
      </c>
      <c r="AE91" s="81">
        <v>450993221.048235</v>
      </c>
      <c r="AF91" s="81">
        <v>450136069.46500862</v>
      </c>
      <c r="AG91" s="81">
        <v>449247016.57018691</v>
      </c>
      <c r="AH91" s="81">
        <v>448323752.50531352</v>
      </c>
      <c r="AI91" s="81">
        <v>447361537.16460079</v>
      </c>
      <c r="AJ91" s="81">
        <v>446353477.48001903</v>
      </c>
      <c r="AK91" s="81">
        <v>445028261.03593063</v>
      </c>
      <c r="AL91" s="81">
        <v>443637685.46859175</v>
      </c>
      <c r="AM91" s="81">
        <v>442167739.51556408</v>
      </c>
      <c r="AN91" s="81">
        <v>440602095.65055132</v>
      </c>
      <c r="AO91" s="81">
        <v>438921955.52640748</v>
      </c>
      <c r="AP91" s="81">
        <v>437105974.94549042</v>
      </c>
      <c r="AQ91" s="81">
        <v>435130270.06574643</v>
      </c>
      <c r="AR91" s="81">
        <v>432968547.65688914</v>
      </c>
      <c r="AS91" s="81">
        <v>430591743.54919589</v>
      </c>
      <c r="AT91" s="81">
        <v>427968316.82548076</v>
      </c>
    </row>
    <row r="92" spans="1:46" ht="15.75">
      <c r="A92" s="81" t="s">
        <v>450</v>
      </c>
      <c r="B92" s="80">
        <v>330200</v>
      </c>
      <c r="C92" s="80" t="s">
        <v>430</v>
      </c>
      <c r="D92" s="84" t="s">
        <v>743</v>
      </c>
      <c r="E92" s="81">
        <v>271152014.64499366</v>
      </c>
      <c r="F92" s="81">
        <v>278686871.54990649</v>
      </c>
      <c r="G92" s="81">
        <v>284317393.20973253</v>
      </c>
      <c r="H92" s="81">
        <v>289650464.98243636</v>
      </c>
      <c r="I92" s="81">
        <v>294698027.62984854</v>
      </c>
      <c r="J92" s="81">
        <v>299472109.70769393</v>
      </c>
      <c r="K92" s="81">
        <v>303985021.24554181</v>
      </c>
      <c r="L92" s="81">
        <v>308249085.00172818</v>
      </c>
      <c r="M92" s="81">
        <v>312276804.36254162</v>
      </c>
      <c r="N92" s="81">
        <v>316080587.03703713</v>
      </c>
      <c r="O92" s="81">
        <v>319672883.55014729</v>
      </c>
      <c r="P92" s="81">
        <v>323065968.70102096</v>
      </c>
      <c r="Q92" s="81">
        <v>324892828.06556368</v>
      </c>
      <c r="R92" s="81">
        <v>326545014.98549855</v>
      </c>
      <c r="S92" s="81">
        <v>328036225.31436032</v>
      </c>
      <c r="T92" s="81">
        <v>329379622.0209831</v>
      </c>
      <c r="U92" s="81">
        <v>330587691.89758593</v>
      </c>
      <c r="V92" s="81">
        <v>331672273.73907739</v>
      </c>
      <c r="W92" s="81">
        <v>332644446.63089913</v>
      </c>
      <c r="X92" s="81">
        <v>333514630.14448231</v>
      </c>
      <c r="Y92" s="81">
        <v>334292328.29586881</v>
      </c>
      <c r="Z92" s="81">
        <v>334986374.2860955</v>
      </c>
      <c r="AA92" s="81">
        <v>335291579.10827917</v>
      </c>
      <c r="AB92" s="81">
        <v>335529903.21262771</v>
      </c>
      <c r="AC92" s="81">
        <v>335707473.68784833</v>
      </c>
      <c r="AD92" s="81">
        <v>335829369.34123802</v>
      </c>
      <c r="AE92" s="81">
        <v>335899618.05311668</v>
      </c>
      <c r="AF92" s="81">
        <v>335921043.00427854</v>
      </c>
      <c r="AG92" s="81">
        <v>335895410.40721005</v>
      </c>
      <c r="AH92" s="81">
        <v>335823237.34782922</v>
      </c>
      <c r="AI92" s="81">
        <v>335703864.87148809</v>
      </c>
      <c r="AJ92" s="81">
        <v>335535300.74656826</v>
      </c>
      <c r="AK92" s="81">
        <v>334995374.60492688</v>
      </c>
      <c r="AL92" s="81">
        <v>334401103.43643665</v>
      </c>
      <c r="AM92" s="81">
        <v>333746578.48380244</v>
      </c>
      <c r="AN92" s="81">
        <v>333024449.65301746</v>
      </c>
      <c r="AO92" s="81">
        <v>332225887.49035835</v>
      </c>
      <c r="AP92" s="81">
        <v>331340585.28685582</v>
      </c>
      <c r="AQ92" s="81">
        <v>330356640.23176956</v>
      </c>
      <c r="AR92" s="81">
        <v>329260636.00371271</v>
      </c>
      <c r="AS92" s="81">
        <v>328037523.53534079</v>
      </c>
      <c r="AT92" s="81">
        <v>326670581.44227499</v>
      </c>
    </row>
    <row r="93" spans="1:46" ht="15.75">
      <c r="A93" s="81" t="s">
        <v>450</v>
      </c>
      <c r="B93" s="80">
        <v>330300</v>
      </c>
      <c r="C93" s="80" t="s">
        <v>430</v>
      </c>
      <c r="D93" s="84" t="s">
        <v>742</v>
      </c>
      <c r="E93" s="81">
        <v>264746021.15504393</v>
      </c>
      <c r="F93" s="81">
        <v>272457414.04508752</v>
      </c>
      <c r="G93" s="81">
        <v>278437193.10206676</v>
      </c>
      <c r="H93" s="81">
        <v>284246544.30528688</v>
      </c>
      <c r="I93" s="81">
        <v>289889313.58338147</v>
      </c>
      <c r="J93" s="81">
        <v>295369358.70239174</v>
      </c>
      <c r="K93" s="81">
        <v>300690700.63450515</v>
      </c>
      <c r="L93" s="81">
        <v>305857472.95922977</v>
      </c>
      <c r="M93" s="81">
        <v>310873837.3085891</v>
      </c>
      <c r="N93" s="81">
        <v>315743988.42012858</v>
      </c>
      <c r="O93" s="81">
        <v>320472225.11974317</v>
      </c>
      <c r="P93" s="81">
        <v>325062736.51456213</v>
      </c>
      <c r="Q93" s="81">
        <v>328126715.41170967</v>
      </c>
      <c r="R93" s="81">
        <v>331051099.1148693</v>
      </c>
      <c r="S93" s="81">
        <v>333841786.04969132</v>
      </c>
      <c r="T93" s="81">
        <v>336504422.16393256</v>
      </c>
      <c r="U93" s="81">
        <v>339044382.36079502</v>
      </c>
      <c r="V93" s="81">
        <v>341466785.69192433</v>
      </c>
      <c r="W93" s="81">
        <v>343776511.93308288</v>
      </c>
      <c r="X93" s="81">
        <v>345977977.75564235</v>
      </c>
      <c r="Y93" s="81">
        <v>348075390.3016417</v>
      </c>
      <c r="Z93" s="81">
        <v>350072522.33011138</v>
      </c>
      <c r="AA93" s="81">
        <v>351644617.99213988</v>
      </c>
      <c r="AB93" s="81">
        <v>353122773.02624696</v>
      </c>
      <c r="AC93" s="81">
        <v>354509869.28152931</v>
      </c>
      <c r="AD93" s="81">
        <v>355808330.01380956</v>
      </c>
      <c r="AE93" s="81">
        <v>357020101.37711227</v>
      </c>
      <c r="AF93" s="81">
        <v>358146706.82581532</v>
      </c>
      <c r="AG93" s="81">
        <v>359189046.67836684</v>
      </c>
      <c r="AH93" s="81">
        <v>360147597.60965258</v>
      </c>
      <c r="AI93" s="81">
        <v>361022285.18452549</v>
      </c>
      <c r="AJ93" s="81">
        <v>361812389.29191196</v>
      </c>
      <c r="AK93" s="81">
        <v>362600394.33910424</v>
      </c>
      <c r="AL93" s="81">
        <v>363300497.22757703</v>
      </c>
      <c r="AM93" s="81">
        <v>363910162.40844613</v>
      </c>
      <c r="AN93" s="81">
        <v>364426240.38540435</v>
      </c>
      <c r="AO93" s="81">
        <v>364844908.98999411</v>
      </c>
      <c r="AP93" s="81">
        <v>365161651.9919436</v>
      </c>
      <c r="AQ93" s="81">
        <v>365371276.87398779</v>
      </c>
      <c r="AR93" s="81">
        <v>365467815.06642836</v>
      </c>
      <c r="AS93" s="81">
        <v>365444618.32278329</v>
      </c>
      <c r="AT93" s="81">
        <v>365294178.46677351</v>
      </c>
    </row>
    <row r="94" spans="1:46" ht="15.75">
      <c r="A94" s="81" t="s">
        <v>450</v>
      </c>
      <c r="B94" s="80">
        <v>330400</v>
      </c>
      <c r="C94" s="80" t="s">
        <v>430</v>
      </c>
      <c r="D94" s="84" t="s">
        <v>741</v>
      </c>
      <c r="E94" s="81">
        <v>136635549.61501324</v>
      </c>
      <c r="F94" s="81">
        <v>140386058.52981505</v>
      </c>
      <c r="G94" s="81">
        <v>143182738.98889688</v>
      </c>
      <c r="H94" s="81">
        <v>145834016.37002692</v>
      </c>
      <c r="I94" s="81">
        <v>148344710.69756675</v>
      </c>
      <c r="J94" s="81">
        <v>150719757.93601346</v>
      </c>
      <c r="K94" s="81">
        <v>152964188.50743607</v>
      </c>
      <c r="L94" s="81">
        <v>155083217.9410339</v>
      </c>
      <c r="M94" s="81">
        <v>157082117.8560077</v>
      </c>
      <c r="N94" s="81">
        <v>158966279.9266941</v>
      </c>
      <c r="O94" s="81">
        <v>160741139.90942314</v>
      </c>
      <c r="P94" s="81">
        <v>162412185.71388137</v>
      </c>
      <c r="Q94" s="81">
        <v>163291720.20570141</v>
      </c>
      <c r="R94" s="81">
        <v>164078985.34569895</v>
      </c>
      <c r="S94" s="81">
        <v>164780543.7696017</v>
      </c>
      <c r="T94" s="81">
        <v>165402797.3549799</v>
      </c>
      <c r="U94" s="81">
        <v>165951972.7094298</v>
      </c>
      <c r="V94" s="81">
        <v>166434044.35816866</v>
      </c>
      <c r="W94" s="81">
        <v>166854779.97480896</v>
      </c>
      <c r="X94" s="81">
        <v>167219788.36964497</v>
      </c>
      <c r="Y94" s="81">
        <v>167534347.68628386</v>
      </c>
      <c r="Z94" s="81">
        <v>167803482.31785315</v>
      </c>
      <c r="AA94" s="81">
        <v>167875305.90605527</v>
      </c>
      <c r="AB94" s="81">
        <v>167912142.26165128</v>
      </c>
      <c r="AC94" s="81">
        <v>167918231.86667848</v>
      </c>
      <c r="AD94" s="81">
        <v>167897449.01582995</v>
      </c>
      <c r="AE94" s="81">
        <v>167853352.44889238</v>
      </c>
      <c r="AF94" s="81">
        <v>167789038.20253947</v>
      </c>
      <c r="AG94" s="81">
        <v>167707356.6169737</v>
      </c>
      <c r="AH94" s="81">
        <v>167610631.10777965</v>
      </c>
      <c r="AI94" s="81">
        <v>167500774.69127226</v>
      </c>
      <c r="AJ94" s="81">
        <v>167379343.18886793</v>
      </c>
      <c r="AK94" s="81">
        <v>167285991.3028217</v>
      </c>
      <c r="AL94" s="81">
        <v>167182310.00491861</v>
      </c>
      <c r="AM94" s="81">
        <v>167068481.82965636</v>
      </c>
      <c r="AN94" s="81">
        <v>166944096.35388851</v>
      </c>
      <c r="AO94" s="81">
        <v>166808200.84790906</v>
      </c>
      <c r="AP94" s="81">
        <v>166659317.88582972</v>
      </c>
      <c r="AQ94" s="81">
        <v>166495500.18353742</v>
      </c>
      <c r="AR94" s="81">
        <v>166314170.95302352</v>
      </c>
      <c r="AS94" s="81">
        <v>166112140.51670268</v>
      </c>
      <c r="AT94" s="81">
        <v>165885624.19056824</v>
      </c>
    </row>
    <row r="95" spans="1:46" ht="15.75">
      <c r="A95" s="81" t="s">
        <v>450</v>
      </c>
      <c r="B95" s="80">
        <v>330500</v>
      </c>
      <c r="C95" s="80" t="s">
        <v>430</v>
      </c>
      <c r="D95" s="84" t="s">
        <v>740</v>
      </c>
      <c r="E95" s="81">
        <v>82165058.217418253</v>
      </c>
      <c r="F95" s="81">
        <v>84263700.548861712</v>
      </c>
      <c r="G95" s="81">
        <v>85797265.076525256</v>
      </c>
      <c r="H95" s="81">
        <v>87250963.878557593</v>
      </c>
      <c r="I95" s="81">
        <v>88626701.280486748</v>
      </c>
      <c r="J95" s="81">
        <v>89926512.212307632</v>
      </c>
      <c r="K95" s="81">
        <v>91152530.301766753</v>
      </c>
      <c r="L95" s="81">
        <v>92306980.849747315</v>
      </c>
      <c r="M95" s="81">
        <v>93392146.232494235</v>
      </c>
      <c r="N95" s="81">
        <v>94410467.959932268</v>
      </c>
      <c r="O95" s="81">
        <v>95364403.821173564</v>
      </c>
      <c r="P95" s="81">
        <v>96256445.27227287</v>
      </c>
      <c r="Q95" s="81">
        <v>96678767.14140144</v>
      </c>
      <c r="R95" s="81">
        <v>97045613.06365326</v>
      </c>
      <c r="S95" s="81">
        <v>97360312.915779367</v>
      </c>
      <c r="T95" s="81">
        <v>97626101.268277332</v>
      </c>
      <c r="U95" s="81">
        <v>97846287.283398911</v>
      </c>
      <c r="V95" s="81">
        <v>98024044.424249813</v>
      </c>
      <c r="W95" s="81">
        <v>98162521.59050265</v>
      </c>
      <c r="X95" s="81">
        <v>98264838.385453582</v>
      </c>
      <c r="Y95" s="81">
        <v>98333988.484686419</v>
      </c>
      <c r="Z95" s="81">
        <v>98372954.56513983</v>
      </c>
      <c r="AA95" s="81">
        <v>98292889.292156935</v>
      </c>
      <c r="AB95" s="81">
        <v>98189291.586528942</v>
      </c>
      <c r="AC95" s="81">
        <v>98064878.330407888</v>
      </c>
      <c r="AD95" s="81">
        <v>97922353.339443907</v>
      </c>
      <c r="AE95" s="81">
        <v>97764277.150509477</v>
      </c>
      <c r="AF95" s="81">
        <v>97593092.276894629</v>
      </c>
      <c r="AG95" s="81">
        <v>97411117.334748119</v>
      </c>
      <c r="AH95" s="81">
        <v>97220541.104704246</v>
      </c>
      <c r="AI95" s="81">
        <v>97023416.528695226</v>
      </c>
      <c r="AJ95" s="81">
        <v>96821720.661244839</v>
      </c>
      <c r="AK95" s="81">
        <v>96639487.706605896</v>
      </c>
      <c r="AL95" s="81">
        <v>96455847.683520794</v>
      </c>
      <c r="AM95" s="81">
        <v>96272253.484552249</v>
      </c>
      <c r="AN95" s="81">
        <v>96089992.326196626</v>
      </c>
      <c r="AO95" s="81">
        <v>95910281.604775786</v>
      </c>
      <c r="AP95" s="81">
        <v>95734024.986891344</v>
      </c>
      <c r="AQ95" s="81">
        <v>95562077.988532811</v>
      </c>
      <c r="AR95" s="81">
        <v>95395036.70285666</v>
      </c>
      <c r="AS95" s="81">
        <v>95233263.686101556</v>
      </c>
      <c r="AT95" s="81">
        <v>95077021.114223346</v>
      </c>
    </row>
    <row r="96" spans="1:46" ht="15.75">
      <c r="A96" s="81" t="s">
        <v>450</v>
      </c>
      <c r="B96" s="80">
        <v>330600</v>
      </c>
      <c r="C96" s="80" t="s">
        <v>430</v>
      </c>
      <c r="D96" s="84" t="s">
        <v>739</v>
      </c>
      <c r="E96" s="81">
        <v>136489841.75320789</v>
      </c>
      <c r="F96" s="81">
        <v>139993260.90551218</v>
      </c>
      <c r="G96" s="81">
        <v>142585872.82167709</v>
      </c>
      <c r="H96" s="81">
        <v>145071146.2852813</v>
      </c>
      <c r="I96" s="81">
        <v>147449687.9080044</v>
      </c>
      <c r="J96" s="81">
        <v>149722391.32078087</v>
      </c>
      <c r="K96" s="81">
        <v>151890272.32502815</v>
      </c>
      <c r="L96" s="81">
        <v>153954520.78363898</v>
      </c>
      <c r="M96" s="81">
        <v>155916615.05085158</v>
      </c>
      <c r="N96" s="81">
        <v>157778120.89039564</v>
      </c>
      <c r="O96" s="81">
        <v>159540862.92127019</v>
      </c>
      <c r="P96" s="81">
        <v>161206776.82812649</v>
      </c>
      <c r="Q96" s="81">
        <v>162089971.58922073</v>
      </c>
      <c r="R96" s="81">
        <v>162881360.8394081</v>
      </c>
      <c r="S96" s="81">
        <v>163584609.06742516</v>
      </c>
      <c r="T96" s="81">
        <v>164203460.48040318</v>
      </c>
      <c r="U96" s="81">
        <v>164741768.50720945</v>
      </c>
      <c r="V96" s="81">
        <v>165203431.57917634</v>
      </c>
      <c r="W96" s="81">
        <v>165592517.74792308</v>
      </c>
      <c r="X96" s="81">
        <v>165913169.67788675</v>
      </c>
      <c r="Y96" s="81">
        <v>166169570.03909081</v>
      </c>
      <c r="Z96" s="81">
        <v>166366036.31075731</v>
      </c>
      <c r="AA96" s="81">
        <v>166351671.48997924</v>
      </c>
      <c r="AB96" s="81">
        <v>166287668.09146383</v>
      </c>
      <c r="AC96" s="81">
        <v>166178622.29067335</v>
      </c>
      <c r="AD96" s="81">
        <v>166029340.99644724</v>
      </c>
      <c r="AE96" s="81">
        <v>165844574.32480159</v>
      </c>
      <c r="AF96" s="81">
        <v>165629248.75920123</v>
      </c>
      <c r="AG96" s="81">
        <v>165388297.80658567</v>
      </c>
      <c r="AH96" s="81">
        <v>165126658.60042924</v>
      </c>
      <c r="AI96" s="81">
        <v>164849442.482292</v>
      </c>
      <c r="AJ96" s="81">
        <v>164561727.10195395</v>
      </c>
      <c r="AK96" s="81">
        <v>164306577.35782531</v>
      </c>
      <c r="AL96" s="81">
        <v>164050932.87656167</v>
      </c>
      <c r="AM96" s="81">
        <v>163800042.41431382</v>
      </c>
      <c r="AN96" s="81">
        <v>163559258.30836651</v>
      </c>
      <c r="AO96" s="81">
        <v>163333927.64857191</v>
      </c>
      <c r="AP96" s="81">
        <v>163129461.50844923</v>
      </c>
      <c r="AQ96" s="81">
        <v>162951370.33869499</v>
      </c>
      <c r="AR96" s="81">
        <v>162805189.84379697</v>
      </c>
      <c r="AS96" s="81">
        <v>162696478.35015267</v>
      </c>
      <c r="AT96" s="81">
        <v>162630814.13738346</v>
      </c>
    </row>
    <row r="97" spans="1:46" ht="15.75">
      <c r="A97" s="81" t="s">
        <v>450</v>
      </c>
      <c r="B97" s="80">
        <v>330700</v>
      </c>
      <c r="C97" s="80" t="s">
        <v>430</v>
      </c>
      <c r="D97" s="84" t="s">
        <v>738</v>
      </c>
      <c r="E97" s="81">
        <v>186324972.91610351</v>
      </c>
      <c r="F97" s="81">
        <v>191257235.00557265</v>
      </c>
      <c r="G97" s="81">
        <v>194984465.62642518</v>
      </c>
      <c r="H97" s="81">
        <v>198603110.34812778</v>
      </c>
      <c r="I97" s="81">
        <v>202113557.75461143</v>
      </c>
      <c r="J97" s="81">
        <v>205516353.4413434</v>
      </c>
      <c r="K97" s="81">
        <v>208812167.34875557</v>
      </c>
      <c r="L97" s="81">
        <v>212001846.81143898</v>
      </c>
      <c r="M97" s="81">
        <v>215086355.06590509</v>
      </c>
      <c r="N97" s="81">
        <v>218066795.47411364</v>
      </c>
      <c r="O97" s="81">
        <v>220944407.40762562</v>
      </c>
      <c r="P97" s="81">
        <v>223720592.90680599</v>
      </c>
      <c r="Q97" s="81">
        <v>225439737.07800388</v>
      </c>
      <c r="R97" s="81">
        <v>227056861.82938007</v>
      </c>
      <c r="S97" s="81">
        <v>228574920.29504225</v>
      </c>
      <c r="T97" s="81">
        <v>229997025.56595296</v>
      </c>
      <c r="U97" s="81">
        <v>231326227.33247349</v>
      </c>
      <c r="V97" s="81">
        <v>232565699.0169943</v>
      </c>
      <c r="W97" s="81">
        <v>233718509.45297593</v>
      </c>
      <c r="X97" s="81">
        <v>234787844.60468361</v>
      </c>
      <c r="Y97" s="81">
        <v>235776875.06870121</v>
      </c>
      <c r="Z97" s="81">
        <v>236688751.07758582</v>
      </c>
      <c r="AA97" s="81">
        <v>237305148.54257315</v>
      </c>
      <c r="AB97" s="81">
        <v>237851495.50667259</v>
      </c>
      <c r="AC97" s="81">
        <v>238331132.93445328</v>
      </c>
      <c r="AD97" s="81">
        <v>238747383.36483014</v>
      </c>
      <c r="AE97" s="81">
        <v>239103581.91381839</v>
      </c>
      <c r="AF97" s="81">
        <v>239402969.27980083</v>
      </c>
      <c r="AG97" s="81">
        <v>239648826.00152493</v>
      </c>
      <c r="AH97" s="81">
        <v>239844259.20528126</v>
      </c>
      <c r="AI97" s="81">
        <v>239992514.01196581</v>
      </c>
      <c r="AJ97" s="81">
        <v>240096653.55432165</v>
      </c>
      <c r="AK97" s="81">
        <v>240215204.98172268</v>
      </c>
      <c r="AL97" s="81">
        <v>240295375.95005259</v>
      </c>
      <c r="AM97" s="81">
        <v>240340059.73443669</v>
      </c>
      <c r="AN97" s="81">
        <v>240352130.77347699</v>
      </c>
      <c r="AO97" s="81">
        <v>240334441.71395281</v>
      </c>
      <c r="AP97" s="81">
        <v>240289708.58847484</v>
      </c>
      <c r="AQ97" s="81">
        <v>240220579.06726041</v>
      </c>
      <c r="AR97" s="81">
        <v>240129628.10286173</v>
      </c>
      <c r="AS97" s="81">
        <v>240019391.55854905</v>
      </c>
      <c r="AT97" s="81">
        <v>239892248.15968081</v>
      </c>
    </row>
    <row r="98" spans="1:46" ht="15.75">
      <c r="A98" s="81" t="s">
        <v>450</v>
      </c>
      <c r="B98" s="80">
        <v>330800</v>
      </c>
      <c r="C98" s="80" t="s">
        <v>430</v>
      </c>
      <c r="D98" s="84" t="s">
        <v>737</v>
      </c>
      <c r="E98" s="81">
        <v>49786080.689660639</v>
      </c>
      <c r="F98" s="81">
        <v>50692781.785714187</v>
      </c>
      <c r="G98" s="81">
        <v>51316252.809126638</v>
      </c>
      <c r="H98" s="81">
        <v>51945729.576308183</v>
      </c>
      <c r="I98" s="81">
        <v>52577645.823024176</v>
      </c>
      <c r="J98" s="81">
        <v>53208474.939903677</v>
      </c>
      <c r="K98" s="81">
        <v>53834766.844229162</v>
      </c>
      <c r="L98" s="81">
        <v>54453211.020348243</v>
      </c>
      <c r="M98" s="81">
        <v>55060630.269933596</v>
      </c>
      <c r="N98" s="81">
        <v>55653972.870195225</v>
      </c>
      <c r="O98" s="81">
        <v>56230278.071451262</v>
      </c>
      <c r="P98" s="81">
        <v>56786866.235313378</v>
      </c>
      <c r="Q98" s="81">
        <v>57078893.51601091</v>
      </c>
      <c r="R98" s="81">
        <v>57346543.491930567</v>
      </c>
      <c r="S98" s="81">
        <v>57588089.962760381</v>
      </c>
      <c r="T98" s="81">
        <v>57801975.05903428</v>
      </c>
      <c r="U98" s="81">
        <v>57986975.687175527</v>
      </c>
      <c r="V98" s="81">
        <v>58142084.982910842</v>
      </c>
      <c r="W98" s="81">
        <v>58266709.409662232</v>
      </c>
      <c r="X98" s="81">
        <v>58360415.346146584</v>
      </c>
      <c r="Y98" s="81">
        <v>58423235.216911457</v>
      </c>
      <c r="Z98" s="81">
        <v>58455411.173841149</v>
      </c>
      <c r="AA98" s="81">
        <v>58403079.260061353</v>
      </c>
      <c r="AB98" s="81">
        <v>58322392.91961506</v>
      </c>
      <c r="AC98" s="81">
        <v>58214744.729821675</v>
      </c>
      <c r="AD98" s="81">
        <v>58081999.327579163</v>
      </c>
      <c r="AE98" s="81">
        <v>57926337.754009068</v>
      </c>
      <c r="AF98" s="81">
        <v>57750352.460404597</v>
      </c>
      <c r="AG98" s="81">
        <v>57557145.87590196</v>
      </c>
      <c r="AH98" s="81">
        <v>57350113.66851142</v>
      </c>
      <c r="AI98" s="81">
        <v>57133156.612450913</v>
      </c>
      <c r="AJ98" s="81">
        <v>56910606.90191064</v>
      </c>
      <c r="AK98" s="81">
        <v>56700355.078936055</v>
      </c>
      <c r="AL98" s="81">
        <v>56494388.064581856</v>
      </c>
      <c r="AM98" s="81">
        <v>56298502.71054168</v>
      </c>
      <c r="AN98" s="81">
        <v>56118922.152000532</v>
      </c>
      <c r="AO98" s="81">
        <v>55962488.725317992</v>
      </c>
      <c r="AP98" s="81">
        <v>55836497.117333822</v>
      </c>
      <c r="AQ98" s="81">
        <v>55748828.358840831</v>
      </c>
      <c r="AR98" s="81">
        <v>55707871.745513119</v>
      </c>
      <c r="AS98" s="81">
        <v>55722661.744520992</v>
      </c>
      <c r="AT98" s="81">
        <v>55802737.082830481</v>
      </c>
    </row>
    <row r="99" spans="1:46" ht="15.75">
      <c r="A99" s="81" t="s">
        <v>450</v>
      </c>
      <c r="B99" s="80">
        <v>330900</v>
      </c>
      <c r="C99" s="80" t="s">
        <v>430</v>
      </c>
      <c r="D99" s="84" t="s">
        <v>736</v>
      </c>
      <c r="E99" s="81">
        <v>31494854.575458501</v>
      </c>
      <c r="F99" s="81">
        <v>32249336.988899324</v>
      </c>
      <c r="G99" s="81">
        <v>32782501.218957506</v>
      </c>
      <c r="H99" s="81">
        <v>33280825.434758149</v>
      </c>
      <c r="I99" s="81">
        <v>33745506.607382715</v>
      </c>
      <c r="J99" s="81">
        <v>34177754.824736528</v>
      </c>
      <c r="K99" s="81">
        <v>34578846.813128024</v>
      </c>
      <c r="L99" s="81">
        <v>34950003.106765687</v>
      </c>
      <c r="M99" s="81">
        <v>35292591.731371224</v>
      </c>
      <c r="N99" s="81">
        <v>35607853.313520044</v>
      </c>
      <c r="O99" s="81">
        <v>35897168.750677839</v>
      </c>
      <c r="P99" s="81">
        <v>36161808.863664128</v>
      </c>
      <c r="Q99" s="81">
        <v>36249226.867310315</v>
      </c>
      <c r="R99" s="81">
        <v>36315693.367174804</v>
      </c>
      <c r="S99" s="81">
        <v>36362684.165259734</v>
      </c>
      <c r="T99" s="81">
        <v>36391701.767101355</v>
      </c>
      <c r="U99" s="81">
        <v>36404208.633180663</v>
      </c>
      <c r="V99" s="81">
        <v>36401557.247625761</v>
      </c>
      <c r="W99" s="81">
        <v>36385084.670766778</v>
      </c>
      <c r="X99" s="81">
        <v>36356042.767298862</v>
      </c>
      <c r="Y99" s="81">
        <v>36315593.35046836</v>
      </c>
      <c r="Z99" s="81">
        <v>36264906.2944405</v>
      </c>
      <c r="AA99" s="81">
        <v>36171255.509117968</v>
      </c>
      <c r="AB99" s="81">
        <v>36069833.728295878</v>
      </c>
      <c r="AC99" s="81">
        <v>35961553.596083142</v>
      </c>
      <c r="AD99" s="81">
        <v>35847178.478506438</v>
      </c>
      <c r="AE99" s="81">
        <v>35727458.834464781</v>
      </c>
      <c r="AF99" s="81">
        <v>35603023.881816626</v>
      </c>
      <c r="AG99" s="81">
        <v>35474412.968457043</v>
      </c>
      <c r="AH99" s="81">
        <v>35341999.57465902</v>
      </c>
      <c r="AI99" s="81">
        <v>35206094.868227474</v>
      </c>
      <c r="AJ99" s="81">
        <v>35066908.609100379</v>
      </c>
      <c r="AK99" s="81">
        <v>34932607.536682799</v>
      </c>
      <c r="AL99" s="81">
        <v>34794893.361588866</v>
      </c>
      <c r="AM99" s="81">
        <v>34653684.041858815</v>
      </c>
      <c r="AN99" s="81">
        <v>34508593.514586523</v>
      </c>
      <c r="AO99" s="81">
        <v>34359263.589530788</v>
      </c>
      <c r="AP99" s="81">
        <v>34205097.21145314</v>
      </c>
      <c r="AQ99" s="81">
        <v>34045366.23869621</v>
      </c>
      <c r="AR99" s="81">
        <v>33879246.221051782</v>
      </c>
      <c r="AS99" s="81">
        <v>33705696.480757527</v>
      </c>
      <c r="AT99" s="81">
        <v>33523571.364691444</v>
      </c>
    </row>
    <row r="100" spans="1:46" ht="15.75">
      <c r="A100" s="81" t="s">
        <v>450</v>
      </c>
      <c r="B100" s="80">
        <v>331000</v>
      </c>
      <c r="C100" s="80" t="s">
        <v>430</v>
      </c>
      <c r="D100" s="84" t="s">
        <v>735</v>
      </c>
      <c r="E100" s="81">
        <v>163985657.62391067</v>
      </c>
      <c r="F100" s="81">
        <v>167863821.8882623</v>
      </c>
      <c r="G100" s="81">
        <v>170736130.78466451</v>
      </c>
      <c r="H100" s="81">
        <v>173563679.40291449</v>
      </c>
      <c r="I100" s="81">
        <v>176342907.84714061</v>
      </c>
      <c r="J100" s="81">
        <v>179070266.67748967</v>
      </c>
      <c r="K100" s="81">
        <v>181742465.37922108</v>
      </c>
      <c r="L100" s="81">
        <v>184356273.52618939</v>
      </c>
      <c r="M100" s="81">
        <v>186908610.93200096</v>
      </c>
      <c r="N100" s="81">
        <v>189396644.2768904</v>
      </c>
      <c r="O100" s="81">
        <v>191817633.85718524</v>
      </c>
      <c r="P100" s="81">
        <v>194169085.0811004</v>
      </c>
      <c r="Q100" s="81">
        <v>195618225.30975068</v>
      </c>
      <c r="R100" s="81">
        <v>196990497.74026063</v>
      </c>
      <c r="S100" s="81">
        <v>198285023.12985763</v>
      </c>
      <c r="T100" s="81">
        <v>199501270.52144405</v>
      </c>
      <c r="U100" s="81">
        <v>200638860.45688048</v>
      </c>
      <c r="V100" s="81">
        <v>201697721.61451668</v>
      </c>
      <c r="W100" s="81">
        <v>202678010.56150928</v>
      </c>
      <c r="X100" s="81">
        <v>203580181.08897319</v>
      </c>
      <c r="Y100" s="81">
        <v>204404963.5233247</v>
      </c>
      <c r="Z100" s="81">
        <v>205153342.6824297</v>
      </c>
      <c r="AA100" s="81">
        <v>205634707.41761601</v>
      </c>
      <c r="AB100" s="81">
        <v>206043363.17622873</v>
      </c>
      <c r="AC100" s="81">
        <v>206381489.65334788</v>
      </c>
      <c r="AD100" s="81">
        <v>206651515.63883841</v>
      </c>
      <c r="AE100" s="81">
        <v>206856189.95940682</v>
      </c>
      <c r="AF100" s="81">
        <v>206998655.10319662</v>
      </c>
      <c r="AG100" s="81">
        <v>207082326.91943899</v>
      </c>
      <c r="AH100" s="81">
        <v>207111033.07363042</v>
      </c>
      <c r="AI100" s="81">
        <v>207088891.14848718</v>
      </c>
      <c r="AJ100" s="81">
        <v>207020449.01003456</v>
      </c>
      <c r="AK100" s="81">
        <v>206958425.55088347</v>
      </c>
      <c r="AL100" s="81">
        <v>206859876.31836566</v>
      </c>
      <c r="AM100" s="81">
        <v>206730548.35627535</v>
      </c>
      <c r="AN100" s="81">
        <v>206576528.93310711</v>
      </c>
      <c r="AO100" s="81">
        <v>206404287.41267666</v>
      </c>
      <c r="AP100" s="81">
        <v>206220753.41978115</v>
      </c>
      <c r="AQ100" s="81">
        <v>206033397.89713749</v>
      </c>
      <c r="AR100" s="81">
        <v>205849964.07017118</v>
      </c>
      <c r="AS100" s="81">
        <v>205678791.32037759</v>
      </c>
      <c r="AT100" s="81">
        <v>205528615.26775441</v>
      </c>
    </row>
    <row r="101" spans="1:46" ht="15.75">
      <c r="A101" s="81" t="s">
        <v>450</v>
      </c>
      <c r="B101" s="80">
        <v>331100</v>
      </c>
      <c r="C101" s="80" t="s">
        <v>430</v>
      </c>
      <c r="D101" s="84" t="s">
        <v>734</v>
      </c>
      <c r="E101" s="81">
        <v>59049447.556913942</v>
      </c>
      <c r="F101" s="81">
        <v>60203377.423677489</v>
      </c>
      <c r="G101" s="81">
        <v>61025644.641472816</v>
      </c>
      <c r="H101" s="81">
        <v>61859587.990448222</v>
      </c>
      <c r="I101" s="81">
        <v>62701065.10700617</v>
      </c>
      <c r="J101" s="81">
        <v>63546056.313346207</v>
      </c>
      <c r="K101" s="81">
        <v>64390659.422936499</v>
      </c>
      <c r="L101" s="81">
        <v>65231004.909520894</v>
      </c>
      <c r="M101" s="81">
        <v>66063347.602564774</v>
      </c>
      <c r="N101" s="81">
        <v>66884137.974943392</v>
      </c>
      <c r="O101" s="81">
        <v>67689908.792710468</v>
      </c>
      <c r="P101" s="81">
        <v>68477425.252965629</v>
      </c>
      <c r="Q101" s="81">
        <v>68950881.491441146</v>
      </c>
      <c r="R101" s="81">
        <v>69399370.752526194</v>
      </c>
      <c r="S101" s="81">
        <v>69820608.309525445</v>
      </c>
      <c r="T101" s="81">
        <v>70212561.957758918</v>
      </c>
      <c r="U101" s="81">
        <v>70573549.357218415</v>
      </c>
      <c r="V101" s="81">
        <v>70902081.440142497</v>
      </c>
      <c r="W101" s="81">
        <v>71197073.658002883</v>
      </c>
      <c r="X101" s="81">
        <v>71457688.095310017</v>
      </c>
      <c r="Y101" s="81">
        <v>71683490.599397033</v>
      </c>
      <c r="Z101" s="81">
        <v>71874378.11791724</v>
      </c>
      <c r="AA101" s="81">
        <v>71963386.336001143</v>
      </c>
      <c r="AB101" s="81">
        <v>72018809.842780605</v>
      </c>
      <c r="AC101" s="81">
        <v>72041673.044374213</v>
      </c>
      <c r="AD101" s="81">
        <v>72033558.801026776</v>
      </c>
      <c r="AE101" s="81">
        <v>71996320.067669556</v>
      </c>
      <c r="AF101" s="81">
        <v>71932365.202245563</v>
      </c>
      <c r="AG101" s="81">
        <v>71844395.739941031</v>
      </c>
      <c r="AH101" s="81">
        <v>71735695.661636233</v>
      </c>
      <c r="AI101" s="81">
        <v>71609928.603170037</v>
      </c>
      <c r="AJ101" s="81">
        <v>71471243.157356605</v>
      </c>
      <c r="AK101" s="81">
        <v>71340782.804420516</v>
      </c>
      <c r="AL101" s="81">
        <v>71207064.2205998</v>
      </c>
      <c r="AM101" s="81">
        <v>71075744.451244086</v>
      </c>
      <c r="AN101" s="81">
        <v>70953025.139299184</v>
      </c>
      <c r="AO101" s="81">
        <v>70845699.859787077</v>
      </c>
      <c r="AP101" s="81">
        <v>70761037.937647805</v>
      </c>
      <c r="AQ101" s="81">
        <v>70706962.035932094</v>
      </c>
      <c r="AR101" s="81">
        <v>70691965.007512376</v>
      </c>
      <c r="AS101" s="81">
        <v>70725157.533311561</v>
      </c>
      <c r="AT101" s="81">
        <v>70816249.448949113</v>
      </c>
    </row>
    <row r="102" spans="1:46" ht="15.75">
      <c r="A102" s="81" t="s">
        <v>450</v>
      </c>
      <c r="B102" s="80">
        <v>340100</v>
      </c>
      <c r="C102" s="80" t="s">
        <v>429</v>
      </c>
      <c r="D102" s="84" t="s">
        <v>733</v>
      </c>
      <c r="E102" s="81">
        <v>245139691.65610632</v>
      </c>
      <c r="F102" s="81">
        <v>252571419.32166317</v>
      </c>
      <c r="G102" s="81">
        <v>258342635.81012353</v>
      </c>
      <c r="H102" s="81">
        <v>263900649.36160734</v>
      </c>
      <c r="I102" s="81">
        <v>269250789.38279879</v>
      </c>
      <c r="J102" s="81">
        <v>274398723.43264002</v>
      </c>
      <c r="K102" s="81">
        <v>279350324.2622866</v>
      </c>
      <c r="L102" s="81">
        <v>284111702.5467062</v>
      </c>
      <c r="M102" s="81">
        <v>288689184.53228486</v>
      </c>
      <c r="N102" s="81">
        <v>293089319.17250293</v>
      </c>
      <c r="O102" s="81">
        <v>297318796.18559927</v>
      </c>
      <c r="P102" s="81">
        <v>301384389.8211596</v>
      </c>
      <c r="Q102" s="81">
        <v>304002544.99532127</v>
      </c>
      <c r="R102" s="81">
        <v>306463450.48335987</v>
      </c>
      <c r="S102" s="81">
        <v>308776246.16494226</v>
      </c>
      <c r="T102" s="81">
        <v>310949802.31621957</v>
      </c>
      <c r="U102" s="81">
        <v>312992952.4824847</v>
      </c>
      <c r="V102" s="81">
        <v>314914287.47209173</v>
      </c>
      <c r="W102" s="81">
        <v>316722167.14829034</v>
      </c>
      <c r="X102" s="81">
        <v>318424798.9268499</v>
      </c>
      <c r="Y102" s="81">
        <v>320030056.86550307</v>
      </c>
      <c r="Z102" s="81">
        <v>321545658.33792722</v>
      </c>
      <c r="AA102" s="81">
        <v>322677772.60030282</v>
      </c>
      <c r="AB102" s="81">
        <v>323735124.98151666</v>
      </c>
      <c r="AC102" s="81">
        <v>324724703.7580322</v>
      </c>
      <c r="AD102" s="81">
        <v>325653035.20748383</v>
      </c>
      <c r="AE102" s="81">
        <v>326526403.03930813</v>
      </c>
      <c r="AF102" s="81">
        <v>327350592.69308835</v>
      </c>
      <c r="AG102" s="81">
        <v>328131009.06270951</v>
      </c>
      <c r="AH102" s="81">
        <v>328872589.08533913</v>
      </c>
      <c r="AI102" s="81">
        <v>329579817.29177779</v>
      </c>
      <c r="AJ102" s="81">
        <v>330256742.56329703</v>
      </c>
      <c r="AK102" s="81">
        <v>330317290.09649467</v>
      </c>
      <c r="AL102" s="81">
        <v>330356109.45709139</v>
      </c>
      <c r="AM102" s="81">
        <v>330375740.98173976</v>
      </c>
      <c r="AN102" s="81">
        <v>330378233.46673125</v>
      </c>
      <c r="AO102" s="81">
        <v>330364985.66185743</v>
      </c>
      <c r="AP102" s="81">
        <v>330336839.69929451</v>
      </c>
      <c r="AQ102" s="81">
        <v>330293956.89538372</v>
      </c>
      <c r="AR102" s="81">
        <v>330235985.92899573</v>
      </c>
      <c r="AS102" s="81">
        <v>330161827.75721246</v>
      </c>
      <c r="AT102" s="81">
        <v>330069767.1629253</v>
      </c>
    </row>
    <row r="103" spans="1:46" ht="15.75">
      <c r="A103" s="81" t="s">
        <v>450</v>
      </c>
      <c r="B103" s="80">
        <v>340200</v>
      </c>
      <c r="C103" s="80" t="s">
        <v>429</v>
      </c>
      <c r="D103" s="84" t="s">
        <v>732</v>
      </c>
      <c r="E103" s="81">
        <v>83957094.563450307</v>
      </c>
      <c r="F103" s="81">
        <v>86213182.989593729</v>
      </c>
      <c r="G103" s="81">
        <v>87912929.134541422</v>
      </c>
      <c r="H103" s="81">
        <v>89550298.471127093</v>
      </c>
      <c r="I103" s="81">
        <v>91125437.079311669</v>
      </c>
      <c r="J103" s="81">
        <v>92638585.96098347</v>
      </c>
      <c r="K103" s="81">
        <v>94090155.634861678</v>
      </c>
      <c r="L103" s="81">
        <v>95480678.571803987</v>
      </c>
      <c r="M103" s="81">
        <v>96810731.769651324</v>
      </c>
      <c r="N103" s="81">
        <v>98081142.24246718</v>
      </c>
      <c r="O103" s="81">
        <v>99292756.252295926</v>
      </c>
      <c r="P103" s="81">
        <v>100446648.39758858</v>
      </c>
      <c r="Q103" s="81">
        <v>101114678.78881085</v>
      </c>
      <c r="R103" s="81">
        <v>101726694.23301433</v>
      </c>
      <c r="S103" s="81">
        <v>102284780.39647605</v>
      </c>
      <c r="T103" s="81">
        <v>102791152.5131226</v>
      </c>
      <c r="U103" s="81">
        <v>103248073.4448195</v>
      </c>
      <c r="V103" s="81">
        <v>103657880.7644572</v>
      </c>
      <c r="W103" s="81">
        <v>104023015.16417558</v>
      </c>
      <c r="X103" s="81">
        <v>104345992.78148808</v>
      </c>
      <c r="Y103" s="81">
        <v>104629405.1042237</v>
      </c>
      <c r="Z103" s="81">
        <v>104875918.86290613</v>
      </c>
      <c r="AA103" s="81">
        <v>104990271.05583857</v>
      </c>
      <c r="AB103" s="81">
        <v>105073967.40620098</v>
      </c>
      <c r="AC103" s="81">
        <v>105129970.58179872</v>
      </c>
      <c r="AD103" s="81">
        <v>105161335.65812182</v>
      </c>
      <c r="AE103" s="81">
        <v>105171241.10013187</v>
      </c>
      <c r="AF103" s="81">
        <v>105162808.29086395</v>
      </c>
      <c r="AG103" s="81">
        <v>105139372.50563566</v>
      </c>
      <c r="AH103" s="81">
        <v>105104272.24795188</v>
      </c>
      <c r="AI103" s="81">
        <v>105060846.956484</v>
      </c>
      <c r="AJ103" s="81">
        <v>105012653.13133286</v>
      </c>
      <c r="AK103" s="81">
        <v>104987447.65127766</v>
      </c>
      <c r="AL103" s="81">
        <v>104964407.07677297</v>
      </c>
      <c r="AM103" s="81">
        <v>104947220.41002223</v>
      </c>
      <c r="AN103" s="81">
        <v>104939706.55443156</v>
      </c>
      <c r="AO103" s="81">
        <v>104945687.05450162</v>
      </c>
      <c r="AP103" s="81">
        <v>104969048.64806993</v>
      </c>
      <c r="AQ103" s="81">
        <v>105013775.69099562</v>
      </c>
      <c r="AR103" s="81">
        <v>105083950.94390278</v>
      </c>
      <c r="AS103" s="81">
        <v>105183690.02147947</v>
      </c>
      <c r="AT103" s="81">
        <v>105317173.35357168</v>
      </c>
    </row>
    <row r="104" spans="1:46" ht="15.75">
      <c r="A104" s="81" t="s">
        <v>450</v>
      </c>
      <c r="B104" s="80">
        <v>340300</v>
      </c>
      <c r="C104" s="80" t="s">
        <v>429</v>
      </c>
      <c r="D104" s="84" t="s">
        <v>731</v>
      </c>
      <c r="E104" s="81">
        <v>64642696.629284687</v>
      </c>
      <c r="F104" s="81">
        <v>66285392.679676771</v>
      </c>
      <c r="G104" s="81">
        <v>67554816.624434173</v>
      </c>
      <c r="H104" s="81">
        <v>68827437.223027438</v>
      </c>
      <c r="I104" s="81">
        <v>70099431.531379998</v>
      </c>
      <c r="J104" s="81">
        <v>71367087.233393252</v>
      </c>
      <c r="K104" s="81">
        <v>72626798.457012504</v>
      </c>
      <c r="L104" s="81">
        <v>73875060.187417492</v>
      </c>
      <c r="M104" s="81">
        <v>75108505.337307215</v>
      </c>
      <c r="N104" s="81">
        <v>76323943.734468922</v>
      </c>
      <c r="O104" s="81">
        <v>77518335.232448474</v>
      </c>
      <c r="P104" s="81">
        <v>78688805.466798484</v>
      </c>
      <c r="Q104" s="81">
        <v>79495206.543949515</v>
      </c>
      <c r="R104" s="81">
        <v>80269559.842505544</v>
      </c>
      <c r="S104" s="81">
        <v>81010156.739832163</v>
      </c>
      <c r="T104" s="81">
        <v>81715491.739929885</v>
      </c>
      <c r="U104" s="81">
        <v>82384414.715875313</v>
      </c>
      <c r="V104" s="81">
        <v>83016025.860847533</v>
      </c>
      <c r="W104" s="81">
        <v>83609758.790048286</v>
      </c>
      <c r="X104" s="81">
        <v>84165345.181866869</v>
      </c>
      <c r="Y104" s="81">
        <v>84682826.455095649</v>
      </c>
      <c r="Z104" s="81">
        <v>85162639.953402042</v>
      </c>
      <c r="AA104" s="81">
        <v>85525698.505431026</v>
      </c>
      <c r="AB104" s="81">
        <v>85853010.181409389</v>
      </c>
      <c r="AC104" s="81">
        <v>86146150.817355081</v>
      </c>
      <c r="AD104" s="81">
        <v>86407161.95756571</v>
      </c>
      <c r="AE104" s="81">
        <v>86638360.009593815</v>
      </c>
      <c r="AF104" s="81">
        <v>86842602.080688611</v>
      </c>
      <c r="AG104" s="81">
        <v>87023094.323007047</v>
      </c>
      <c r="AH104" s="81">
        <v>87183453.800000086</v>
      </c>
      <c r="AI104" s="81">
        <v>87327825.24819158</v>
      </c>
      <c r="AJ104" s="81">
        <v>87460736.893301934</v>
      </c>
      <c r="AK104" s="81">
        <v>87607409.01841034</v>
      </c>
      <c r="AL104" s="81">
        <v>87753060.607408613</v>
      </c>
      <c r="AM104" s="81">
        <v>87903682.750010923</v>
      </c>
      <c r="AN104" s="81">
        <v>88065811.145587802</v>
      </c>
      <c r="AO104" s="81">
        <v>88246485.539129794</v>
      </c>
      <c r="AP104" s="81">
        <v>88453262.323684573</v>
      </c>
      <c r="AQ104" s="81">
        <v>88694255.074327305</v>
      </c>
      <c r="AR104" s="81">
        <v>88978204.323567629</v>
      </c>
      <c r="AS104" s="81">
        <v>89314324.150894389</v>
      </c>
      <c r="AT104" s="81">
        <v>89712539.49684687</v>
      </c>
    </row>
    <row r="105" spans="1:46" ht="15.75">
      <c r="A105" s="81" t="s">
        <v>450</v>
      </c>
      <c r="B105" s="80">
        <v>340400</v>
      </c>
      <c r="C105" s="80" t="s">
        <v>429</v>
      </c>
      <c r="D105" s="84" t="s">
        <v>730</v>
      </c>
      <c r="E105" s="81">
        <v>68516192.141598806</v>
      </c>
      <c r="F105" s="81">
        <v>70203248.53025575</v>
      </c>
      <c r="G105" s="81">
        <v>71471639.956862301</v>
      </c>
      <c r="H105" s="81">
        <v>72721966.484073415</v>
      </c>
      <c r="I105" s="81">
        <v>73951843.802632645</v>
      </c>
      <c r="J105" s="81">
        <v>75158983.363350958</v>
      </c>
      <c r="K105" s="81">
        <v>76341153.3603881</v>
      </c>
      <c r="L105" s="81">
        <v>77496286.296843097</v>
      </c>
      <c r="M105" s="81">
        <v>78622391.44743897</v>
      </c>
      <c r="N105" s="81">
        <v>79717588.212017238</v>
      </c>
      <c r="O105" s="81">
        <v>80780167.546220183</v>
      </c>
      <c r="P105" s="81">
        <v>81808578.413671687</v>
      </c>
      <c r="Q105" s="81">
        <v>82451384.206485525</v>
      </c>
      <c r="R105" s="81">
        <v>83055915.373311833</v>
      </c>
      <c r="S105" s="81">
        <v>83621592.635215715</v>
      </c>
      <c r="T105" s="81">
        <v>84148114.445552051</v>
      </c>
      <c r="U105" s="81">
        <v>84635303.473976046</v>
      </c>
      <c r="V105" s="81">
        <v>85083194.138046354</v>
      </c>
      <c r="W105" s="81">
        <v>85492096.2797876</v>
      </c>
      <c r="X105" s="81">
        <v>85862436.877134651</v>
      </c>
      <c r="Y105" s="81">
        <v>86194933.59723115</v>
      </c>
      <c r="Z105" s="81">
        <v>86490548.142522618</v>
      </c>
      <c r="AA105" s="81">
        <v>86669562.686748683</v>
      </c>
      <c r="AB105" s="81">
        <v>86814641.887311712</v>
      </c>
      <c r="AC105" s="81">
        <v>86927640.869521081</v>
      </c>
      <c r="AD105" s="81">
        <v>87010508.22607927</v>
      </c>
      <c r="AE105" s="81">
        <v>87065612.327600881</v>
      </c>
      <c r="AF105" s="81">
        <v>87095516.12332724</v>
      </c>
      <c r="AG105" s="81">
        <v>87103041.657561198</v>
      </c>
      <c r="AH105" s="81">
        <v>87091367.165070519</v>
      </c>
      <c r="AI105" s="81">
        <v>87063915.581437722</v>
      </c>
      <c r="AJ105" s="81">
        <v>87024390.922339723</v>
      </c>
      <c r="AK105" s="81">
        <v>86996985.884079769</v>
      </c>
      <c r="AL105" s="81">
        <v>86965785.842840657</v>
      </c>
      <c r="AM105" s="81">
        <v>86935509.759182334</v>
      </c>
      <c r="AN105" s="81">
        <v>86911162.199103907</v>
      </c>
      <c r="AO105" s="81">
        <v>86898134.502150699</v>
      </c>
      <c r="AP105" s="81">
        <v>86902182.648980066</v>
      </c>
      <c r="AQ105" s="81">
        <v>86929371.910806924</v>
      </c>
      <c r="AR105" s="81">
        <v>86986180.145229444</v>
      </c>
      <c r="AS105" s="81">
        <v>87079442.798561335</v>
      </c>
      <c r="AT105" s="81">
        <v>87216393.384344131</v>
      </c>
    </row>
    <row r="106" spans="1:46" ht="15.75">
      <c r="A106" s="81" t="s">
        <v>450</v>
      </c>
      <c r="B106" s="80">
        <v>340500</v>
      </c>
      <c r="C106" s="80" t="s">
        <v>429</v>
      </c>
      <c r="D106" s="84" t="s">
        <v>729</v>
      </c>
      <c r="E106" s="81">
        <v>52130767.354659237</v>
      </c>
      <c r="F106" s="81">
        <v>53483661.774397865</v>
      </c>
      <c r="G106" s="81">
        <v>54497987.261742242</v>
      </c>
      <c r="H106" s="81">
        <v>55479757.943656415</v>
      </c>
      <c r="I106" s="81">
        <v>56428313.690625608</v>
      </c>
      <c r="J106" s="81">
        <v>57343136.958147921</v>
      </c>
      <c r="K106" s="81">
        <v>58223780.877329297</v>
      </c>
      <c r="L106" s="81">
        <v>59069844.863964364</v>
      </c>
      <c r="M106" s="81">
        <v>59881056.760250911</v>
      </c>
      <c r="N106" s="81">
        <v>60657278.737136342</v>
      </c>
      <c r="O106" s="81">
        <v>61398401.914672412</v>
      </c>
      <c r="P106" s="81">
        <v>62104458.169163987</v>
      </c>
      <c r="Q106" s="81">
        <v>62510253.393478744</v>
      </c>
      <c r="R106" s="81">
        <v>62881002.453528076</v>
      </c>
      <c r="S106" s="81">
        <v>63217541.552448638</v>
      </c>
      <c r="T106" s="81">
        <v>63520755.38004107</v>
      </c>
      <c r="U106" s="81">
        <v>63791636.325770162</v>
      </c>
      <c r="V106" s="81">
        <v>64031316.925443105</v>
      </c>
      <c r="W106" s="81">
        <v>64241014.293180153</v>
      </c>
      <c r="X106" s="81">
        <v>64422001.810121819</v>
      </c>
      <c r="Y106" s="81">
        <v>64575730.861821279</v>
      </c>
      <c r="Z106" s="81">
        <v>64703714.051636845</v>
      </c>
      <c r="AA106" s="81">
        <v>64747209.559601344</v>
      </c>
      <c r="AB106" s="81">
        <v>64768799.589852892</v>
      </c>
      <c r="AC106" s="81">
        <v>64770488.473652333</v>
      </c>
      <c r="AD106" s="81">
        <v>64754249.397255473</v>
      </c>
      <c r="AE106" s="81">
        <v>64722306.054031931</v>
      </c>
      <c r="AF106" s="81">
        <v>64676948.77185525</v>
      </c>
      <c r="AG106" s="81">
        <v>64620535.083232358</v>
      </c>
      <c r="AH106" s="81">
        <v>64555619.227584578</v>
      </c>
      <c r="AI106" s="81">
        <v>64484859.695564933</v>
      </c>
      <c r="AJ106" s="81">
        <v>64411053.577543661</v>
      </c>
      <c r="AK106" s="81">
        <v>64351892.262207143</v>
      </c>
      <c r="AL106" s="81">
        <v>64295539.461833097</v>
      </c>
      <c r="AM106" s="81">
        <v>64245096.365210712</v>
      </c>
      <c r="AN106" s="81">
        <v>64203914.097371019</v>
      </c>
      <c r="AO106" s="81">
        <v>64175464.905827798</v>
      </c>
      <c r="AP106" s="81">
        <v>64163378.049768656</v>
      </c>
      <c r="AQ106" s="81">
        <v>64171408.563559748</v>
      </c>
      <c r="AR106" s="81">
        <v>64203439.148540005</v>
      </c>
      <c r="AS106" s="81">
        <v>64263586.233818792</v>
      </c>
      <c r="AT106" s="81">
        <v>64356065.565700173</v>
      </c>
    </row>
    <row r="107" spans="1:46" ht="15.75">
      <c r="A107" s="81" t="s">
        <v>450</v>
      </c>
      <c r="B107" s="80">
        <v>340600</v>
      </c>
      <c r="C107" s="80" t="s">
        <v>429</v>
      </c>
      <c r="D107" s="84" t="s">
        <v>728</v>
      </c>
      <c r="E107" s="81">
        <v>44356323.111800127</v>
      </c>
      <c r="F107" s="81">
        <v>45652432.276979879</v>
      </c>
      <c r="G107" s="81">
        <v>46672312.640090957</v>
      </c>
      <c r="H107" s="81">
        <v>47675584.221074641</v>
      </c>
      <c r="I107" s="81">
        <v>48661065.401313759</v>
      </c>
      <c r="J107" s="81">
        <v>49627585.192500018</v>
      </c>
      <c r="K107" s="81">
        <v>50574009.561304092</v>
      </c>
      <c r="L107" s="81">
        <v>51499319.857183911</v>
      </c>
      <c r="M107" s="81">
        <v>52402544.689698234</v>
      </c>
      <c r="N107" s="81">
        <v>53282840.428415343</v>
      </c>
      <c r="O107" s="81">
        <v>54139395.259560458</v>
      </c>
      <c r="P107" s="81">
        <v>54971536.517398924</v>
      </c>
      <c r="Q107" s="81">
        <v>55542838.037033737</v>
      </c>
      <c r="R107" s="81">
        <v>56086471.370408423</v>
      </c>
      <c r="S107" s="81">
        <v>56602469.37632636</v>
      </c>
      <c r="T107" s="81">
        <v>57090857.1955458</v>
      </c>
      <c r="U107" s="81">
        <v>57551898.552771777</v>
      </c>
      <c r="V107" s="81">
        <v>57985910.999340847</v>
      </c>
      <c r="W107" s="81">
        <v>58393323.114748187</v>
      </c>
      <c r="X107" s="81">
        <v>58774678.12887869</v>
      </c>
      <c r="Y107" s="81">
        <v>59130665.926502705</v>
      </c>
      <c r="Z107" s="81">
        <v>59462099.28953936</v>
      </c>
      <c r="AA107" s="81">
        <v>59714176.481151655</v>
      </c>
      <c r="AB107" s="81">
        <v>59943754.477021456</v>
      </c>
      <c r="AC107" s="81">
        <v>60152067.710265137</v>
      </c>
      <c r="AD107" s="81">
        <v>60340540.546310768</v>
      </c>
      <c r="AE107" s="81">
        <v>60510703.980218142</v>
      </c>
      <c r="AF107" s="81">
        <v>60664317.0962338</v>
      </c>
      <c r="AG107" s="81">
        <v>60803163.805327035</v>
      </c>
      <c r="AH107" s="81">
        <v>60929263.443378195</v>
      </c>
      <c r="AI107" s="81">
        <v>61044755.847917527</v>
      </c>
      <c r="AJ107" s="81">
        <v>61151965.027153492</v>
      </c>
      <c r="AK107" s="81">
        <v>61267512.714210384</v>
      </c>
      <c r="AL107" s="81">
        <v>61379853.816072017</v>
      </c>
      <c r="AM107" s="81">
        <v>61491766.231123403</v>
      </c>
      <c r="AN107" s="81">
        <v>61606261.462663107</v>
      </c>
      <c r="AO107" s="81">
        <v>61726527.343952633</v>
      </c>
      <c r="AP107" s="81">
        <v>61855900.087713681</v>
      </c>
      <c r="AQ107" s="81">
        <v>61997899.190666735</v>
      </c>
      <c r="AR107" s="81">
        <v>62156328.196849242</v>
      </c>
      <c r="AS107" s="81">
        <v>62335054.505554549</v>
      </c>
      <c r="AT107" s="81">
        <v>62538270.705453925</v>
      </c>
    </row>
    <row r="108" spans="1:46" ht="15.75">
      <c r="A108" s="81" t="s">
        <v>450</v>
      </c>
      <c r="B108" s="80">
        <v>340700</v>
      </c>
      <c r="C108" s="80" t="s">
        <v>429</v>
      </c>
      <c r="D108" s="84" t="s">
        <v>727</v>
      </c>
      <c r="E108" s="81">
        <v>25903559.731286805</v>
      </c>
      <c r="F108" s="81">
        <v>26570659.279851571</v>
      </c>
      <c r="G108" s="81">
        <v>27077313.966752902</v>
      </c>
      <c r="H108" s="81">
        <v>27574935.726291724</v>
      </c>
      <c r="I108" s="81">
        <v>28062524.156685218</v>
      </c>
      <c r="J108" s="81">
        <v>28539114.1330918</v>
      </c>
      <c r="K108" s="81">
        <v>29003844.649674941</v>
      </c>
      <c r="L108" s="81">
        <v>29455835.477044698</v>
      </c>
      <c r="M108" s="81">
        <v>29894320.228265136</v>
      </c>
      <c r="N108" s="81">
        <v>30318542.266947735</v>
      </c>
      <c r="O108" s="81">
        <v>30727824.365763549</v>
      </c>
      <c r="P108" s="81">
        <v>31121597.414460965</v>
      </c>
      <c r="Q108" s="81">
        <v>31366156.460731108</v>
      </c>
      <c r="R108" s="81">
        <v>31593691.775194306</v>
      </c>
      <c r="S108" s="81">
        <v>31804028.970074855</v>
      </c>
      <c r="T108" s="81">
        <v>31997165.470088787</v>
      </c>
      <c r="U108" s="81">
        <v>32173061.231132675</v>
      </c>
      <c r="V108" s="81">
        <v>32331903.127365157</v>
      </c>
      <c r="W108" s="81">
        <v>32473845.439591695</v>
      </c>
      <c r="X108" s="81">
        <v>32599278.525195017</v>
      </c>
      <c r="Y108" s="81">
        <v>32708540.380303666</v>
      </c>
      <c r="Z108" s="81">
        <v>32802188.649934441</v>
      </c>
      <c r="AA108" s="81">
        <v>32850193.106344547</v>
      </c>
      <c r="AB108" s="81">
        <v>32884087.288088158</v>
      </c>
      <c r="AC108" s="81">
        <v>32904827.186846107</v>
      </c>
      <c r="AD108" s="81">
        <v>32913349.122944452</v>
      </c>
      <c r="AE108" s="81">
        <v>32910800.83441117</v>
      </c>
      <c r="AF108" s="81">
        <v>32898417.798731636</v>
      </c>
      <c r="AG108" s="81">
        <v>32877551.487458602</v>
      </c>
      <c r="AH108" s="81">
        <v>32849698.695291769</v>
      </c>
      <c r="AI108" s="81">
        <v>32816478.870360933</v>
      </c>
      <c r="AJ108" s="81">
        <v>32779610.415509097</v>
      </c>
      <c r="AK108" s="81">
        <v>32748578.378300138</v>
      </c>
      <c r="AL108" s="81">
        <v>32717763.033522401</v>
      </c>
      <c r="AM108" s="81">
        <v>32689307.807642628</v>
      </c>
      <c r="AN108" s="81">
        <v>32665578.586403124</v>
      </c>
      <c r="AO108" s="81">
        <v>32649003.912013557</v>
      </c>
      <c r="AP108" s="81">
        <v>32642242.505852543</v>
      </c>
      <c r="AQ108" s="81">
        <v>32648077.333946805</v>
      </c>
      <c r="AR108" s="81">
        <v>32669418.046962481</v>
      </c>
      <c r="AS108" s="81">
        <v>32709417.037432298</v>
      </c>
      <c r="AT108" s="81">
        <v>32771361.354406763</v>
      </c>
    </row>
    <row r="109" spans="1:46" ht="15.75">
      <c r="A109" s="81" t="s">
        <v>450</v>
      </c>
      <c r="B109" s="80">
        <v>340800</v>
      </c>
      <c r="C109" s="80" t="s">
        <v>429</v>
      </c>
      <c r="D109" s="84" t="s">
        <v>726</v>
      </c>
      <c r="E109" s="81">
        <v>71926983.030949548</v>
      </c>
      <c r="F109" s="81">
        <v>73801527.283335462</v>
      </c>
      <c r="G109" s="81">
        <v>75236010.615186706</v>
      </c>
      <c r="H109" s="81">
        <v>76650202.779273957</v>
      </c>
      <c r="I109" s="81">
        <v>78040748.88877441</v>
      </c>
      <c r="J109" s="81">
        <v>79404456.62316604</v>
      </c>
      <c r="K109" s="81">
        <v>80738294.41737932</v>
      </c>
      <c r="L109" s="81">
        <v>82039388.431752756</v>
      </c>
      <c r="M109" s="81">
        <v>83305018.279113606</v>
      </c>
      <c r="N109" s="81">
        <v>84532690.168309167</v>
      </c>
      <c r="O109" s="81">
        <v>85720095.212547913</v>
      </c>
      <c r="P109" s="81">
        <v>86865164.339616939</v>
      </c>
      <c r="Q109" s="81">
        <v>87594204.265274152</v>
      </c>
      <c r="R109" s="81">
        <v>88275605.086193219</v>
      </c>
      <c r="S109" s="81">
        <v>88908716.319557562</v>
      </c>
      <c r="T109" s="81">
        <v>89493146.840251893</v>
      </c>
      <c r="U109" s="81">
        <v>90028859.094057456</v>
      </c>
      <c r="V109" s="81">
        <v>90516076.944101736</v>
      </c>
      <c r="W109" s="81">
        <v>90955337.965473309</v>
      </c>
      <c r="X109" s="81">
        <v>91347547.873559013</v>
      </c>
      <c r="Y109" s="81">
        <v>91693950.411130235</v>
      </c>
      <c r="Z109" s="81">
        <v>91996073.485532269</v>
      </c>
      <c r="AA109" s="81">
        <v>92169899.078425646</v>
      </c>
      <c r="AB109" s="81">
        <v>92304206.199818</v>
      </c>
      <c r="AC109" s="81">
        <v>92401827.334061518</v>
      </c>
      <c r="AD109" s="81">
        <v>92465957.422837913</v>
      </c>
      <c r="AE109" s="81">
        <v>92500231.651197791</v>
      </c>
      <c r="AF109" s="81">
        <v>92508669.541165307</v>
      </c>
      <c r="AG109" s="81">
        <v>92495753.856686831</v>
      </c>
      <c r="AH109" s="81">
        <v>92466327.859685302</v>
      </c>
      <c r="AI109" s="81">
        <v>92425766.66963011</v>
      </c>
      <c r="AJ109" s="81">
        <v>92379851.352064237</v>
      </c>
      <c r="AK109" s="81">
        <v>92356187.421275675</v>
      </c>
      <c r="AL109" s="81">
        <v>92339996.505771846</v>
      </c>
      <c r="AM109" s="81">
        <v>92338590.203379616</v>
      </c>
      <c r="AN109" s="81">
        <v>92359690.932184651</v>
      </c>
      <c r="AO109" s="81">
        <v>92411610.185540974</v>
      </c>
      <c r="AP109" s="81">
        <v>92503165.905131787</v>
      </c>
      <c r="AQ109" s="81">
        <v>92643743.118654206</v>
      </c>
      <c r="AR109" s="81">
        <v>92843282.620772913</v>
      </c>
      <c r="AS109" s="81">
        <v>93112318.462636247</v>
      </c>
      <c r="AT109" s="81">
        <v>93461916.506615803</v>
      </c>
    </row>
    <row r="110" spans="1:46" ht="15.75">
      <c r="A110" s="81" t="s">
        <v>450</v>
      </c>
      <c r="B110" s="80">
        <v>341000</v>
      </c>
      <c r="C110" s="80" t="s">
        <v>429</v>
      </c>
      <c r="D110" s="84" t="s">
        <v>725</v>
      </c>
      <c r="E110" s="81">
        <v>24155516.578217205</v>
      </c>
      <c r="F110" s="81">
        <v>24725882.815422188</v>
      </c>
      <c r="G110" s="81">
        <v>25141788.042997062</v>
      </c>
      <c r="H110" s="81">
        <v>25544781.247327507</v>
      </c>
      <c r="I110" s="81">
        <v>25934309.44004738</v>
      </c>
      <c r="J110" s="81">
        <v>26309877.336897958</v>
      </c>
      <c r="K110" s="81">
        <v>26671031.406030722</v>
      </c>
      <c r="L110" s="81">
        <v>27017342.424739115</v>
      </c>
      <c r="M110" s="81">
        <v>27348468.004432749</v>
      </c>
      <c r="N110" s="81">
        <v>27664075.393340662</v>
      </c>
      <c r="O110" s="81">
        <v>27963946.113908853</v>
      </c>
      <c r="P110" s="81">
        <v>28247834.615661386</v>
      </c>
      <c r="Q110" s="81">
        <v>28395071.108174581</v>
      </c>
      <c r="R110" s="81">
        <v>28526260.255569804</v>
      </c>
      <c r="S110" s="81">
        <v>28641622.953457359</v>
      </c>
      <c r="T110" s="81">
        <v>28741374.968825717</v>
      </c>
      <c r="U110" s="81">
        <v>28825858.396715496</v>
      </c>
      <c r="V110" s="81">
        <v>28895413.034484483</v>
      </c>
      <c r="W110" s="81">
        <v>28950532.353579745</v>
      </c>
      <c r="X110" s="81">
        <v>28991688.584211297</v>
      </c>
      <c r="Y110" s="81">
        <v>29019490.311749272</v>
      </c>
      <c r="Z110" s="81">
        <v>29034595.527245633</v>
      </c>
      <c r="AA110" s="81">
        <v>29010632.346998487</v>
      </c>
      <c r="AB110" s="81">
        <v>28975838.203720093</v>
      </c>
      <c r="AC110" s="81">
        <v>28931076.85199137</v>
      </c>
      <c r="AD110" s="81">
        <v>28877357.323741741</v>
      </c>
      <c r="AE110" s="81">
        <v>28815767.048632521</v>
      </c>
      <c r="AF110" s="81">
        <v>28747449.859539114</v>
      </c>
      <c r="AG110" s="81">
        <v>28673679.161898591</v>
      </c>
      <c r="AH110" s="81">
        <v>28595764.688823294</v>
      </c>
      <c r="AI110" s="81">
        <v>28515125.863095075</v>
      </c>
      <c r="AJ110" s="81">
        <v>28433245.512309786</v>
      </c>
      <c r="AK110" s="81">
        <v>28358314.444126219</v>
      </c>
      <c r="AL110" s="81">
        <v>28285372.514216367</v>
      </c>
      <c r="AM110" s="81">
        <v>28216231.084876657</v>
      </c>
      <c r="AN110" s="81">
        <v>28152774.507397279</v>
      </c>
      <c r="AO110" s="81">
        <v>28096986.738433018</v>
      </c>
      <c r="AP110" s="81">
        <v>28050978.995689459</v>
      </c>
      <c r="AQ110" s="81">
        <v>28016967.045775291</v>
      </c>
      <c r="AR110" s="81">
        <v>27997247.480207395</v>
      </c>
      <c r="AS110" s="81">
        <v>27994277.1916386</v>
      </c>
      <c r="AT110" s="81">
        <v>28010546.151270829</v>
      </c>
    </row>
    <row r="111" spans="1:46" ht="15.75">
      <c r="A111" s="81" t="s">
        <v>450</v>
      </c>
      <c r="B111" s="80">
        <v>341100</v>
      </c>
      <c r="C111" s="80" t="s">
        <v>429</v>
      </c>
      <c r="D111" s="84" t="s">
        <v>724</v>
      </c>
      <c r="E111" s="81">
        <v>73449561.815043464</v>
      </c>
      <c r="F111" s="81">
        <v>75313148.177855253</v>
      </c>
      <c r="G111" s="81">
        <v>76739294.721945748</v>
      </c>
      <c r="H111" s="81">
        <v>78155670.750454605</v>
      </c>
      <c r="I111" s="81">
        <v>79557914.877002165</v>
      </c>
      <c r="J111" s="81">
        <v>80941814.442795977</v>
      </c>
      <c r="K111" s="81">
        <v>82303325.568360627</v>
      </c>
      <c r="L111" s="81">
        <v>83638532.178890929</v>
      </c>
      <c r="M111" s="81">
        <v>84943745.554181829</v>
      </c>
      <c r="N111" s="81">
        <v>86215484.641788006</v>
      </c>
      <c r="O111" s="81">
        <v>87450495.984220639</v>
      </c>
      <c r="P111" s="81">
        <v>88645773.934637308</v>
      </c>
      <c r="Q111" s="81">
        <v>89418995.313453376</v>
      </c>
      <c r="R111" s="81">
        <v>90145109.767815158</v>
      </c>
      <c r="S111" s="81">
        <v>90822692.493367702</v>
      </c>
      <c r="T111" s="81">
        <v>91450613.926382571</v>
      </c>
      <c r="U111" s="81">
        <v>92028074.557375804</v>
      </c>
      <c r="V111" s="81">
        <v>92554708.661372483</v>
      </c>
      <c r="W111" s="81">
        <v>93030487.768168062</v>
      </c>
      <c r="X111" s="81">
        <v>93455848.186141312</v>
      </c>
      <c r="Y111" s="81">
        <v>93831546.796338841</v>
      </c>
      <c r="Z111" s="81">
        <v>94158858.757736996</v>
      </c>
      <c r="AA111" s="81">
        <v>94351428.560265154</v>
      </c>
      <c r="AB111" s="81">
        <v>94499861.285785422</v>
      </c>
      <c r="AC111" s="81">
        <v>94606916.161881566</v>
      </c>
      <c r="AD111" s="81">
        <v>94675852.349327952</v>
      </c>
      <c r="AE111" s="81">
        <v>94710347.202568859</v>
      </c>
      <c r="AF111" s="81">
        <v>94714677.625441685</v>
      </c>
      <c r="AG111" s="81">
        <v>94693566.460655928</v>
      </c>
      <c r="AH111" s="81">
        <v>94652317.213345215</v>
      </c>
      <c r="AI111" s="81">
        <v>94596805.301070675</v>
      </c>
      <c r="AJ111" s="81">
        <v>94533393.699874371</v>
      </c>
      <c r="AK111" s="81">
        <v>94490927.946301177</v>
      </c>
      <c r="AL111" s="81">
        <v>94455034.470387906</v>
      </c>
      <c r="AM111" s="81">
        <v>94433886.410064861</v>
      </c>
      <c r="AN111" s="81">
        <v>94436361.886665657</v>
      </c>
      <c r="AO111" s="81">
        <v>94471985.002068385</v>
      </c>
      <c r="AP111" s="81">
        <v>94550915.775407284</v>
      </c>
      <c r="AQ111" s="81">
        <v>94684017.569267347</v>
      </c>
      <c r="AR111" s="81">
        <v>94882821.51824522</v>
      </c>
      <c r="AS111" s="81">
        <v>95159674.390409172</v>
      </c>
      <c r="AT111" s="81">
        <v>95527518.608871832</v>
      </c>
    </row>
    <row r="112" spans="1:46" ht="15.75">
      <c r="A112" s="81" t="s">
        <v>450</v>
      </c>
      <c r="B112" s="80">
        <v>341200</v>
      </c>
      <c r="C112" s="80" t="s">
        <v>429</v>
      </c>
      <c r="D112" s="84" t="s">
        <v>723</v>
      </c>
      <c r="E112" s="81">
        <v>159197825.17165861</v>
      </c>
      <c r="F112" s="81">
        <v>162650709.61740538</v>
      </c>
      <c r="G112" s="81">
        <v>165331225.97179526</v>
      </c>
      <c r="H112" s="81">
        <v>168155814.80987412</v>
      </c>
      <c r="I112" s="81">
        <v>171104324.38046834</v>
      </c>
      <c r="J112" s="81">
        <v>174156810.89708263</v>
      </c>
      <c r="K112" s="81">
        <v>177293620.32322088</v>
      </c>
      <c r="L112" s="81">
        <v>180495471.50195596</v>
      </c>
      <c r="M112" s="81">
        <v>183743475.39962184</v>
      </c>
      <c r="N112" s="81">
        <v>187019304.84672943</v>
      </c>
      <c r="O112" s="81">
        <v>190305238.4567816</v>
      </c>
      <c r="P112" s="81">
        <v>193584247.70830879</v>
      </c>
      <c r="Q112" s="81">
        <v>196008001.67345658</v>
      </c>
      <c r="R112" s="81">
        <v>198381804.7425451</v>
      </c>
      <c r="S112" s="81">
        <v>200692289.3799364</v>
      </c>
      <c r="T112" s="81">
        <v>202927281.96036878</v>
      </c>
      <c r="U112" s="81">
        <v>205075909.89712569</v>
      </c>
      <c r="V112" s="81">
        <v>207128664.34925327</v>
      </c>
      <c r="W112" s="81">
        <v>209077559.20720753</v>
      </c>
      <c r="X112" s="81">
        <v>210915982.39075017</v>
      </c>
      <c r="Y112" s="81">
        <v>212638950.16197214</v>
      </c>
      <c r="Z112" s="81">
        <v>214243126.7258203</v>
      </c>
      <c r="AA112" s="81">
        <v>215525681.04016277</v>
      </c>
      <c r="AB112" s="81">
        <v>216687304.01689214</v>
      </c>
      <c r="AC112" s="81">
        <v>217730269.37352791</v>
      </c>
      <c r="AD112" s="81">
        <v>218658774.79508156</v>
      </c>
      <c r="AE112" s="81">
        <v>219478878.0047943</v>
      </c>
      <c r="AF112" s="81">
        <v>220198683.06255135</v>
      </c>
      <c r="AG112" s="81">
        <v>220828378.51226005</v>
      </c>
      <c r="AH112" s="81">
        <v>221380249.29099679</v>
      </c>
      <c r="AI112" s="81">
        <v>221868765.14742205</v>
      </c>
      <c r="AJ112" s="81">
        <v>222310670.69297004</v>
      </c>
      <c r="AK112" s="81">
        <v>222776490.97384861</v>
      </c>
      <c r="AL112" s="81">
        <v>223236069.58045775</v>
      </c>
      <c r="AM112" s="81">
        <v>223713329.68416044</v>
      </c>
      <c r="AN112" s="81">
        <v>224234730.07715213</v>
      </c>
      <c r="AO112" s="81">
        <v>224829388.75572091</v>
      </c>
      <c r="AP112" s="81">
        <v>225529018.54320371</v>
      </c>
      <c r="AQ112" s="81">
        <v>226368159.70882174</v>
      </c>
      <c r="AR112" s="81">
        <v>227384143.58554918</v>
      </c>
      <c r="AS112" s="81">
        <v>228617219.27920249</v>
      </c>
      <c r="AT112" s="81">
        <v>230110571.25145784</v>
      </c>
    </row>
    <row r="113" spans="1:46" ht="15.75">
      <c r="A113" s="81" t="s">
        <v>450</v>
      </c>
      <c r="B113" s="80">
        <v>341300</v>
      </c>
      <c r="C113" s="80" t="s">
        <v>429</v>
      </c>
      <c r="D113" s="84" t="s">
        <v>722</v>
      </c>
      <c r="E113" s="81">
        <v>78402680.345248267</v>
      </c>
      <c r="F113" s="81">
        <v>80425318.249075025</v>
      </c>
      <c r="G113" s="81">
        <v>82013478.963059306</v>
      </c>
      <c r="H113" s="81">
        <v>83622149.69350481</v>
      </c>
      <c r="I113" s="81">
        <v>85245041.481329352</v>
      </c>
      <c r="J113" s="81">
        <v>86876066.857795626</v>
      </c>
      <c r="K113" s="81">
        <v>88509242.195341304</v>
      </c>
      <c r="L113" s="81">
        <v>90138743.986586079</v>
      </c>
      <c r="M113" s="81">
        <v>91759001.138230085</v>
      </c>
      <c r="N113" s="81">
        <v>93364608.270005867</v>
      </c>
      <c r="O113" s="81">
        <v>94950434.347410381</v>
      </c>
      <c r="P113" s="81">
        <v>96511652.093311623</v>
      </c>
      <c r="Q113" s="81">
        <v>97629253.239232197</v>
      </c>
      <c r="R113" s="81">
        <v>98708704.777558148</v>
      </c>
      <c r="S113" s="81">
        <v>99746740.059937075</v>
      </c>
      <c r="T113" s="81">
        <v>100740600.07634769</v>
      </c>
      <c r="U113" s="81">
        <v>101687913.10832605</v>
      </c>
      <c r="V113" s="81">
        <v>102586802.3732827</v>
      </c>
      <c r="W113" s="81">
        <v>103435889.04202874</v>
      </c>
      <c r="X113" s="81">
        <v>104234294.63155624</v>
      </c>
      <c r="Y113" s="81">
        <v>104981698.19800557</v>
      </c>
      <c r="Z113" s="81">
        <v>105678302.37776518</v>
      </c>
      <c r="AA113" s="81">
        <v>106225732.77713712</v>
      </c>
      <c r="AB113" s="81">
        <v>106724415.17839094</v>
      </c>
      <c r="AC113" s="81">
        <v>107176473.29407255</v>
      </c>
      <c r="AD113" s="81">
        <v>107584683.86430447</v>
      </c>
      <c r="AE113" s="81">
        <v>107952458.34490447</v>
      </c>
      <c r="AF113" s="81">
        <v>108283862.02614357</v>
      </c>
      <c r="AG113" s="81">
        <v>108583691.92856191</v>
      </c>
      <c r="AH113" s="81">
        <v>108857399.94323041</v>
      </c>
      <c r="AI113" s="81">
        <v>109111210.16659419</v>
      </c>
      <c r="AJ113" s="81">
        <v>109352041.10301641</v>
      </c>
      <c r="AK113" s="81">
        <v>109612941.9660797</v>
      </c>
      <c r="AL113" s="81">
        <v>109877023.97758546</v>
      </c>
      <c r="AM113" s="81">
        <v>110153639.14081094</v>
      </c>
      <c r="AN113" s="81">
        <v>110452924.825348</v>
      </c>
      <c r="AO113" s="81">
        <v>110785947.68006964</v>
      </c>
      <c r="AP113" s="81">
        <v>111164582.90344013</v>
      </c>
      <c r="AQ113" s="81">
        <v>111601638.62726377</v>
      </c>
      <c r="AR113" s="81">
        <v>112110900.53813379</v>
      </c>
      <c r="AS113" s="81">
        <v>112707008.11861631</v>
      </c>
      <c r="AT113" s="81">
        <v>113405687.61831668</v>
      </c>
    </row>
    <row r="114" spans="1:46" ht="15.75">
      <c r="A114" s="81" t="s">
        <v>450</v>
      </c>
      <c r="B114" s="80">
        <v>341500</v>
      </c>
      <c r="C114" s="80" t="s">
        <v>429</v>
      </c>
      <c r="D114" s="84" t="s">
        <v>721</v>
      </c>
      <c r="E114" s="81">
        <v>70980081.38312979</v>
      </c>
      <c r="F114" s="81">
        <v>72716303.354400516</v>
      </c>
      <c r="G114" s="81">
        <v>74036104.641253665</v>
      </c>
      <c r="H114" s="81">
        <v>75352995.481305763</v>
      </c>
      <c r="I114" s="81">
        <v>76662950.656002715</v>
      </c>
      <c r="J114" s="81">
        <v>77962037.229972988</v>
      </c>
      <c r="K114" s="81">
        <v>79246448.398159266</v>
      </c>
      <c r="L114" s="81">
        <v>80512538.96152173</v>
      </c>
      <c r="M114" s="81">
        <v>81756789.882166833</v>
      </c>
      <c r="N114" s="81">
        <v>82975915.951291338</v>
      </c>
      <c r="O114" s="81">
        <v>84166775.994389206</v>
      </c>
      <c r="P114" s="81">
        <v>85326444.54769899</v>
      </c>
      <c r="Q114" s="81">
        <v>86086826.310714513</v>
      </c>
      <c r="R114" s="81">
        <v>86808629.581567213</v>
      </c>
      <c r="S114" s="81">
        <v>87490273.462022945</v>
      </c>
      <c r="T114" s="81">
        <v>88130443.126156718</v>
      </c>
      <c r="U114" s="81">
        <v>88728140.602526203</v>
      </c>
      <c r="V114" s="81">
        <v>89282717.797947332</v>
      </c>
      <c r="W114" s="81">
        <v>89793830.895275071</v>
      </c>
      <c r="X114" s="81">
        <v>90261572.85731785</v>
      </c>
      <c r="Y114" s="81">
        <v>90686287.826045737</v>
      </c>
      <c r="Z114" s="81">
        <v>91068804.677602738</v>
      </c>
      <c r="AA114" s="81">
        <v>91325041.645547479</v>
      </c>
      <c r="AB114" s="81">
        <v>91542143.319506049</v>
      </c>
      <c r="AC114" s="81">
        <v>91722195.104663327</v>
      </c>
      <c r="AD114" s="81">
        <v>91867774.672620922</v>
      </c>
      <c r="AE114" s="81">
        <v>91981861.297167048</v>
      </c>
      <c r="AF114" s="81">
        <v>92067911.096737489</v>
      </c>
      <c r="AG114" s="81">
        <v>92129806.565491617</v>
      </c>
      <c r="AH114" s="81">
        <v>92171975.994893879</v>
      </c>
      <c r="AI114" s="81">
        <v>92199278.761223421</v>
      </c>
      <c r="AJ114" s="81">
        <v>92217103.873997524</v>
      </c>
      <c r="AK114" s="81">
        <v>92252674.898879722</v>
      </c>
      <c r="AL114" s="81">
        <v>92290991.936132178</v>
      </c>
      <c r="AM114" s="81">
        <v>92339081.042836741</v>
      </c>
      <c r="AN114" s="81">
        <v>92404471.476830959</v>
      </c>
      <c r="AO114" s="81">
        <v>92495320.899560347</v>
      </c>
      <c r="AP114" s="81">
        <v>92620408.81321983</v>
      </c>
      <c r="AQ114" s="81">
        <v>92789060.530260608</v>
      </c>
      <c r="AR114" s="81">
        <v>93011275.045796618</v>
      </c>
      <c r="AS114" s="81">
        <v>93297648.800399795</v>
      </c>
      <c r="AT114" s="81">
        <v>93659506.115033209</v>
      </c>
    </row>
    <row r="115" spans="1:46" ht="15.75">
      <c r="A115" s="81" t="s">
        <v>450</v>
      </c>
      <c r="B115" s="80">
        <v>341600</v>
      </c>
      <c r="C115" s="80" t="s">
        <v>429</v>
      </c>
      <c r="D115" s="84" t="s">
        <v>720</v>
      </c>
      <c r="E115" s="81">
        <v>70693555.433522731</v>
      </c>
      <c r="F115" s="81">
        <v>72286783.606898561</v>
      </c>
      <c r="G115" s="81">
        <v>73538162.675918683</v>
      </c>
      <c r="H115" s="81">
        <v>74855040.075056762</v>
      </c>
      <c r="I115" s="81">
        <v>76228868.22685501</v>
      </c>
      <c r="J115" s="81">
        <v>77651163.378270224</v>
      </c>
      <c r="K115" s="81">
        <v>79113523.482061833</v>
      </c>
      <c r="L115" s="81">
        <v>80607739.370618105</v>
      </c>
      <c r="M115" s="81">
        <v>82125706.348837942</v>
      </c>
      <c r="N115" s="81">
        <v>83659567.596577287</v>
      </c>
      <c r="O115" s="81">
        <v>85201687.699094012</v>
      </c>
      <c r="P115" s="81">
        <v>86744720.680794403</v>
      </c>
      <c r="Q115" s="81">
        <v>87908402.923964828</v>
      </c>
      <c r="R115" s="81">
        <v>89053479.965986699</v>
      </c>
      <c r="S115" s="81">
        <v>90174031.934188619</v>
      </c>
      <c r="T115" s="81">
        <v>91264678.240209296</v>
      </c>
      <c r="U115" s="81">
        <v>92320553.230050057</v>
      </c>
      <c r="V115" s="81">
        <v>93337366.103902668</v>
      </c>
      <c r="W115" s="81">
        <v>94311427.945797518</v>
      </c>
      <c r="X115" s="81">
        <v>95239643.950685725</v>
      </c>
      <c r="Y115" s="81">
        <v>96119557.395021915</v>
      </c>
      <c r="Z115" s="81">
        <v>96949394.741933763</v>
      </c>
      <c r="AA115" s="81">
        <v>97636953.133457392</v>
      </c>
      <c r="AB115" s="81">
        <v>98272540.853654698</v>
      </c>
      <c r="AC115" s="81">
        <v>98856715.403156191</v>
      </c>
      <c r="AD115" s="81">
        <v>99390805.671402961</v>
      </c>
      <c r="AE115" s="81">
        <v>99876937.234287724</v>
      </c>
      <c r="AF115" s="81">
        <v>100318039.32133348</v>
      </c>
      <c r="AG115" s="81">
        <v>100717944.80866842</v>
      </c>
      <c r="AH115" s="81">
        <v>101081323.99175325</v>
      </c>
      <c r="AI115" s="81">
        <v>101413766.50145611</v>
      </c>
      <c r="AJ115" s="81">
        <v>101721770.31524569</v>
      </c>
      <c r="AK115" s="81">
        <v>102036412.63821499</v>
      </c>
      <c r="AL115" s="81">
        <v>102342532.67902832</v>
      </c>
      <c r="AM115" s="81">
        <v>102649631.50773136</v>
      </c>
      <c r="AN115" s="81">
        <v>102968237.36042812</v>
      </c>
      <c r="AO115" s="81">
        <v>103309933.83556278</v>
      </c>
      <c r="AP115" s="81">
        <v>103687487.75138971</v>
      </c>
      <c r="AQ115" s="81">
        <v>104114721.10358635</v>
      </c>
      <c r="AR115" s="81">
        <v>104606658.93978645</v>
      </c>
      <c r="AS115" s="81">
        <v>105179540.34926616</v>
      </c>
      <c r="AT115" s="81">
        <v>105850808.50069086</v>
      </c>
    </row>
    <row r="116" spans="1:46" ht="15.75">
      <c r="A116" s="81" t="s">
        <v>450</v>
      </c>
      <c r="B116" s="80">
        <v>341700</v>
      </c>
      <c r="C116" s="80" t="s">
        <v>429</v>
      </c>
      <c r="D116" s="84" t="s">
        <v>719</v>
      </c>
      <c r="E116" s="81">
        <v>25663813.619800296</v>
      </c>
      <c r="F116" s="81">
        <v>26295911.315225337</v>
      </c>
      <c r="G116" s="81">
        <v>26772712.96291893</v>
      </c>
      <c r="H116" s="81">
        <v>27243970.874113254</v>
      </c>
      <c r="I116" s="81">
        <v>27708454.625340682</v>
      </c>
      <c r="J116" s="81">
        <v>28164968.431085229</v>
      </c>
      <c r="K116" s="81">
        <v>28612418.804640003</v>
      </c>
      <c r="L116" s="81">
        <v>29049675.229794022</v>
      </c>
      <c r="M116" s="81">
        <v>29475762.992965207</v>
      </c>
      <c r="N116" s="81">
        <v>29889679.460547198</v>
      </c>
      <c r="O116" s="81">
        <v>30290547.930608913</v>
      </c>
      <c r="P116" s="81">
        <v>30677560.164298136</v>
      </c>
      <c r="Q116" s="81">
        <v>30918701.013703629</v>
      </c>
      <c r="R116" s="81">
        <v>31144056.039826598</v>
      </c>
      <c r="S116" s="81">
        <v>31353289.864695389</v>
      </c>
      <c r="T116" s="81">
        <v>31546158.376704752</v>
      </c>
      <c r="U116" s="81">
        <v>31722489.239523027</v>
      </c>
      <c r="V116" s="81">
        <v>31882278.307635497</v>
      </c>
      <c r="W116" s="81">
        <v>32025578.305963974</v>
      </c>
      <c r="X116" s="81">
        <v>32152572.12472197</v>
      </c>
      <c r="Y116" s="81">
        <v>32263601.599984329</v>
      </c>
      <c r="Z116" s="81">
        <v>32359076.75109192</v>
      </c>
      <c r="AA116" s="81">
        <v>32409297.902204223</v>
      </c>
      <c r="AB116" s="81">
        <v>32445393.371479593</v>
      </c>
      <c r="AC116" s="81">
        <v>32468203.424458921</v>
      </c>
      <c r="AD116" s="81">
        <v>32478770.548859145</v>
      </c>
      <c r="AE116" s="81">
        <v>32478195.714656934</v>
      </c>
      <c r="AF116" s="81">
        <v>32467790.423999935</v>
      </c>
      <c r="AG116" s="81">
        <v>32448931.022100072</v>
      </c>
      <c r="AH116" s="81">
        <v>32423263.822149023</v>
      </c>
      <c r="AI116" s="81">
        <v>32392507.836806368</v>
      </c>
      <c r="AJ116" s="81">
        <v>32358559.366897028</v>
      </c>
      <c r="AK116" s="81">
        <v>32330958.260702178</v>
      </c>
      <c r="AL116" s="81">
        <v>32304390.301703494</v>
      </c>
      <c r="AM116" s="81">
        <v>32281261.34957223</v>
      </c>
      <c r="AN116" s="81">
        <v>32264201.095482841</v>
      </c>
      <c r="AO116" s="81">
        <v>32255935.359982632</v>
      </c>
      <c r="AP116" s="81">
        <v>32259449.039315891</v>
      </c>
      <c r="AQ116" s="81">
        <v>32277911.762553852</v>
      </c>
      <c r="AR116" s="81">
        <v>32314654.882253312</v>
      </c>
      <c r="AS116" s="81">
        <v>32373229.778529216</v>
      </c>
      <c r="AT116" s="81">
        <v>32457385.466985647</v>
      </c>
    </row>
    <row r="117" spans="1:46" ht="15.75">
      <c r="A117" s="81" t="s">
        <v>450</v>
      </c>
      <c r="B117" s="80">
        <v>341800</v>
      </c>
      <c r="C117" s="80" t="s">
        <v>429</v>
      </c>
      <c r="D117" s="84" t="s">
        <v>718</v>
      </c>
      <c r="E117" s="81">
        <v>47708692.116005488</v>
      </c>
      <c r="F117" s="81">
        <v>48812877.443085574</v>
      </c>
      <c r="G117" s="81">
        <v>49617931.126221985</v>
      </c>
      <c r="H117" s="81">
        <v>50403088.511451215</v>
      </c>
      <c r="I117" s="81">
        <v>51166979.146070547</v>
      </c>
      <c r="J117" s="81">
        <v>51908246.617984205</v>
      </c>
      <c r="K117" s="81">
        <v>52625676.215942532</v>
      </c>
      <c r="L117" s="81">
        <v>53318121.049693294</v>
      </c>
      <c r="M117" s="81">
        <v>53984528.813793309</v>
      </c>
      <c r="N117" s="81">
        <v>54623926.911301494</v>
      </c>
      <c r="O117" s="81">
        <v>55235449.926342003</v>
      </c>
      <c r="P117" s="81">
        <v>55818368.824091002</v>
      </c>
      <c r="Q117" s="81">
        <v>56133729.157182544</v>
      </c>
      <c r="R117" s="81">
        <v>56419417.978526488</v>
      </c>
      <c r="S117" s="81">
        <v>56675420.650941826</v>
      </c>
      <c r="T117" s="81">
        <v>56901900.661898509</v>
      </c>
      <c r="U117" s="81">
        <v>57099090.585815474</v>
      </c>
      <c r="V117" s="81">
        <v>57267410.827125795</v>
      </c>
      <c r="W117" s="81">
        <v>57407405.862637095</v>
      </c>
      <c r="X117" s="81">
        <v>57519795.691411942</v>
      </c>
      <c r="Y117" s="81">
        <v>57605410.145249732</v>
      </c>
      <c r="Z117" s="81">
        <v>57665264.319238015</v>
      </c>
      <c r="AA117" s="81">
        <v>57646753.3539887</v>
      </c>
      <c r="AB117" s="81">
        <v>57605475.431384087</v>
      </c>
      <c r="AC117" s="81">
        <v>57543038.800022744</v>
      </c>
      <c r="AD117" s="81">
        <v>57461203.08842665</v>
      </c>
      <c r="AE117" s="81">
        <v>57361833.31217733</v>
      </c>
      <c r="AF117" s="81">
        <v>57247077.581782304</v>
      </c>
      <c r="AG117" s="81">
        <v>57119198.4911208</v>
      </c>
      <c r="AH117" s="81">
        <v>56980677.024199523</v>
      </c>
      <c r="AI117" s="81">
        <v>56834167.050270759</v>
      </c>
      <c r="AJ117" s="81">
        <v>56682550.847044341</v>
      </c>
      <c r="AK117" s="81">
        <v>56541942.135380857</v>
      </c>
      <c r="AL117" s="81">
        <v>56402437.935591653</v>
      </c>
      <c r="AM117" s="81">
        <v>56267485.593016364</v>
      </c>
      <c r="AN117" s="81">
        <v>56140862.746827587</v>
      </c>
      <c r="AO117" s="81">
        <v>56026499.634236753</v>
      </c>
      <c r="AP117" s="81">
        <v>55928589.037660427</v>
      </c>
      <c r="AQ117" s="81">
        <v>55851511.510575578</v>
      </c>
      <c r="AR117" s="81">
        <v>55799974.938368298</v>
      </c>
      <c r="AS117" s="81">
        <v>55778858.45670341</v>
      </c>
      <c r="AT117" s="81">
        <v>55793353.008030348</v>
      </c>
    </row>
    <row r="118" spans="1:46" ht="15.75">
      <c r="A118" s="81" t="s">
        <v>450</v>
      </c>
      <c r="B118" s="80">
        <v>350100</v>
      </c>
      <c r="C118" s="80" t="s">
        <v>428</v>
      </c>
      <c r="D118" s="84" t="s">
        <v>717</v>
      </c>
      <c r="E118" s="81">
        <v>234846998.19769362</v>
      </c>
      <c r="F118" s="81">
        <v>241778250.70402035</v>
      </c>
      <c r="G118" s="81">
        <v>247131644.21226746</v>
      </c>
      <c r="H118" s="81">
        <v>252294841.88376886</v>
      </c>
      <c r="I118" s="81">
        <v>257273982.57467079</v>
      </c>
      <c r="J118" s="81">
        <v>262075346.32899615</v>
      </c>
      <c r="K118" s="81">
        <v>266705355.21008101</v>
      </c>
      <c r="L118" s="81">
        <v>271170607.5595336</v>
      </c>
      <c r="M118" s="81">
        <v>275477692.83551002</v>
      </c>
      <c r="N118" s="81">
        <v>279633317.4836939</v>
      </c>
      <c r="O118" s="81">
        <v>283644278.56655526</v>
      </c>
      <c r="P118" s="81">
        <v>287517237.75091469</v>
      </c>
      <c r="Q118" s="81">
        <v>290027638.12738299</v>
      </c>
      <c r="R118" s="81">
        <v>292406082.31992608</v>
      </c>
      <c r="S118" s="81">
        <v>294660763.6104728</v>
      </c>
      <c r="T118" s="81">
        <v>296799608.14033359</v>
      </c>
      <c r="U118" s="81">
        <v>298830149.98700106</v>
      </c>
      <c r="V118" s="81">
        <v>300759679.68760484</v>
      </c>
      <c r="W118" s="81">
        <v>302595049.6101073</v>
      </c>
      <c r="X118" s="81">
        <v>304342718.4770928</v>
      </c>
      <c r="Y118" s="81">
        <v>306008798.91802806</v>
      </c>
      <c r="Z118" s="81">
        <v>307598892.37324977</v>
      </c>
      <c r="AA118" s="81">
        <v>308829924.60374594</v>
      </c>
      <c r="AB118" s="81">
        <v>309994953.74445778</v>
      </c>
      <c r="AC118" s="81">
        <v>311098317.79895192</v>
      </c>
      <c r="AD118" s="81">
        <v>312143835.41997737</v>
      </c>
      <c r="AE118" s="81">
        <v>313134710.20173359</v>
      </c>
      <c r="AF118" s="81">
        <v>314073581.53189093</v>
      </c>
      <c r="AG118" s="81">
        <v>314962427.40442967</v>
      </c>
      <c r="AH118" s="81">
        <v>315802615.79769421</v>
      </c>
      <c r="AI118" s="81">
        <v>316594767.78781283</v>
      </c>
      <c r="AJ118" s="81">
        <v>317338962.05730182</v>
      </c>
      <c r="AK118" s="81">
        <v>318107860.03777838</v>
      </c>
      <c r="AL118" s="81">
        <v>318826396.47861785</v>
      </c>
      <c r="AM118" s="81">
        <v>319492312.23544323</v>
      </c>
      <c r="AN118" s="81">
        <v>320102514.69961435</v>
      </c>
      <c r="AO118" s="81">
        <v>320653209.82876951</v>
      </c>
      <c r="AP118" s="81">
        <v>321139679.72501475</v>
      </c>
      <c r="AQ118" s="81">
        <v>321556334.28445947</v>
      </c>
      <c r="AR118" s="81">
        <v>321896684.59157562</v>
      </c>
      <c r="AS118" s="81">
        <v>322153397.83083183</v>
      </c>
      <c r="AT118" s="81">
        <v>322318067.10201627</v>
      </c>
    </row>
    <row r="119" spans="1:46" ht="15.75">
      <c r="A119" s="81" t="s">
        <v>450</v>
      </c>
      <c r="B119" s="80">
        <v>350200</v>
      </c>
      <c r="C119" s="80" t="s">
        <v>428</v>
      </c>
      <c r="D119" s="84" t="s">
        <v>716</v>
      </c>
      <c r="E119" s="81">
        <v>145327896.59744382</v>
      </c>
      <c r="F119" s="81">
        <v>150594125.69591537</v>
      </c>
      <c r="G119" s="81">
        <v>154782552.43725359</v>
      </c>
      <c r="H119" s="81">
        <v>158762549.67218584</v>
      </c>
      <c r="I119" s="81">
        <v>162548349.92631701</v>
      </c>
      <c r="J119" s="81">
        <v>166154316.63044032</v>
      </c>
      <c r="K119" s="81">
        <v>169594577.36138526</v>
      </c>
      <c r="L119" s="81">
        <v>172883168.39096811</v>
      </c>
      <c r="M119" s="81">
        <v>176033875.36838862</v>
      </c>
      <c r="N119" s="81">
        <v>179060259.84845054</v>
      </c>
      <c r="O119" s="81">
        <v>181975429.78434667</v>
      </c>
      <c r="P119" s="81">
        <v>184792062.17783463</v>
      </c>
      <c r="Q119" s="81">
        <v>186729680.78534365</v>
      </c>
      <c r="R119" s="81">
        <v>188585135.13065937</v>
      </c>
      <c r="S119" s="81">
        <v>190370410.23984414</v>
      </c>
      <c r="T119" s="81">
        <v>192096493.46214181</v>
      </c>
      <c r="U119" s="81">
        <v>193773459.21818835</v>
      </c>
      <c r="V119" s="81">
        <v>195410211.35560766</v>
      </c>
      <c r="W119" s="81">
        <v>197014706.53845605</v>
      </c>
      <c r="X119" s="81">
        <v>198593659.4198657</v>
      </c>
      <c r="Y119" s="81">
        <v>200152627.92059982</v>
      </c>
      <c r="Z119" s="81">
        <v>201695888.85373649</v>
      </c>
      <c r="AA119" s="81">
        <v>203036926.42660764</v>
      </c>
      <c r="AB119" s="81">
        <v>204365854.78007177</v>
      </c>
      <c r="AC119" s="81">
        <v>205682999.61932454</v>
      </c>
      <c r="AD119" s="81">
        <v>206987039.71618035</v>
      </c>
      <c r="AE119" s="81">
        <v>208275285.36627486</v>
      </c>
      <c r="AF119" s="81">
        <v>209543408.09843114</v>
      </c>
      <c r="AG119" s="81">
        <v>210785387.06187183</v>
      </c>
      <c r="AH119" s="81">
        <v>211993606.71996102</v>
      </c>
      <c r="AI119" s="81">
        <v>213158730.84259799</v>
      </c>
      <c r="AJ119" s="81">
        <v>214269572.95664588</v>
      </c>
      <c r="AK119" s="81">
        <v>215362898.48409557</v>
      </c>
      <c r="AL119" s="81">
        <v>216374181.41699162</v>
      </c>
      <c r="AM119" s="81">
        <v>217286559.33748522</v>
      </c>
      <c r="AN119" s="81">
        <v>218081124.18533871</v>
      </c>
      <c r="AO119" s="81">
        <v>218736903.51749009</v>
      </c>
      <c r="AP119" s="81">
        <v>219230722.61524436</v>
      </c>
      <c r="AQ119" s="81">
        <v>219537345.20791623</v>
      </c>
      <c r="AR119" s="81">
        <v>219629215.62827995</v>
      </c>
      <c r="AS119" s="81">
        <v>219476396.73479974</v>
      </c>
      <c r="AT119" s="81">
        <v>219046713.06692711</v>
      </c>
    </row>
    <row r="120" spans="1:46" ht="15.75">
      <c r="A120" s="81" t="s">
        <v>450</v>
      </c>
      <c r="B120" s="80">
        <v>350300</v>
      </c>
      <c r="C120" s="80" t="s">
        <v>428</v>
      </c>
      <c r="D120" s="84" t="s">
        <v>715</v>
      </c>
      <c r="E120" s="81">
        <v>86942348.634520188</v>
      </c>
      <c r="F120" s="81">
        <v>89319320.582879707</v>
      </c>
      <c r="G120" s="81">
        <v>91173582.358156726</v>
      </c>
      <c r="H120" s="81">
        <v>93013121.832201585</v>
      </c>
      <c r="I120" s="81">
        <v>94834441.380379766</v>
      </c>
      <c r="J120" s="81">
        <v>96634123.223440856</v>
      </c>
      <c r="K120" s="81">
        <v>98408930.732678995</v>
      </c>
      <c r="L120" s="81">
        <v>100155796.42425476</v>
      </c>
      <c r="M120" s="81">
        <v>101871746.90429436</v>
      </c>
      <c r="N120" s="81">
        <v>103554006.36013748</v>
      </c>
      <c r="O120" s="81">
        <v>105200044.6931816</v>
      </c>
      <c r="P120" s="81">
        <v>106807469.90573668</v>
      </c>
      <c r="Q120" s="81">
        <v>107916035.27476922</v>
      </c>
      <c r="R120" s="81">
        <v>108977719.66425641</v>
      </c>
      <c r="S120" s="81">
        <v>109991588.63082413</v>
      </c>
      <c r="T120" s="81">
        <v>110956905.57675266</v>
      </c>
      <c r="U120" s="81">
        <v>111873304.59647442</v>
      </c>
      <c r="V120" s="81">
        <v>112740605.73425595</v>
      </c>
      <c r="W120" s="81">
        <v>113558989.37555182</v>
      </c>
      <c r="X120" s="81">
        <v>114328942.32274818</v>
      </c>
      <c r="Y120" s="81">
        <v>115051302.91557689</v>
      </c>
      <c r="Z120" s="81">
        <v>115727170.67644444</v>
      </c>
      <c r="AA120" s="81">
        <v>116249607.30596621</v>
      </c>
      <c r="AB120" s="81">
        <v>116728927.63837831</v>
      </c>
      <c r="AC120" s="81">
        <v>117167470.52251786</v>
      </c>
      <c r="AD120" s="81">
        <v>117568009.35966794</v>
      </c>
      <c r="AE120" s="81">
        <v>117933587.37040651</v>
      </c>
      <c r="AF120" s="81">
        <v>118267774.52901866</v>
      </c>
      <c r="AG120" s="81">
        <v>118574431.09252121</v>
      </c>
      <c r="AH120" s="81">
        <v>118857931.88004087</v>
      </c>
      <c r="AI120" s="81">
        <v>119122998.33868128</v>
      </c>
      <c r="AJ120" s="81">
        <v>119374853.7281726</v>
      </c>
      <c r="AK120" s="81">
        <v>119646738.52610731</v>
      </c>
      <c r="AL120" s="81">
        <v>119917046.54885712</v>
      </c>
      <c r="AM120" s="81">
        <v>120192435.68909737</v>
      </c>
      <c r="AN120" s="81">
        <v>120479896.00788996</v>
      </c>
      <c r="AO120" s="81">
        <v>120787098.12756401</v>
      </c>
      <c r="AP120" s="81">
        <v>121122067.43341409</v>
      </c>
      <c r="AQ120" s="81">
        <v>121493460.30832466</v>
      </c>
      <c r="AR120" s="81">
        <v>121910463.82849094</v>
      </c>
      <c r="AS120" s="81">
        <v>122382690.925189</v>
      </c>
      <c r="AT120" s="81">
        <v>122920542.15867071</v>
      </c>
    </row>
    <row r="121" spans="1:46" ht="15.75">
      <c r="A121" s="81" t="s">
        <v>450</v>
      </c>
      <c r="B121" s="80">
        <v>350400</v>
      </c>
      <c r="C121" s="80" t="s">
        <v>428</v>
      </c>
      <c r="D121" s="84" t="s">
        <v>714</v>
      </c>
      <c r="E121" s="81">
        <v>61033051.311938293</v>
      </c>
      <c r="F121" s="81">
        <v>62502322.902541973</v>
      </c>
      <c r="G121" s="81">
        <v>63605810.438276</v>
      </c>
      <c r="H121" s="81">
        <v>64700018.294204444</v>
      </c>
      <c r="I121" s="81">
        <v>65782410.983564951</v>
      </c>
      <c r="J121" s="81">
        <v>66850537.240458399</v>
      </c>
      <c r="K121" s="81">
        <v>67901987.350929379</v>
      </c>
      <c r="L121" s="81">
        <v>68934482.500171229</v>
      </c>
      <c r="M121" s="81">
        <v>69945805.205264017</v>
      </c>
      <c r="N121" s="81">
        <v>70933863.147489488</v>
      </c>
      <c r="O121" s="81">
        <v>71896616.062107027</v>
      </c>
      <c r="P121" s="81">
        <v>72832282.557287157</v>
      </c>
      <c r="Q121" s="81">
        <v>73427350.690999582</v>
      </c>
      <c r="R121" s="81">
        <v>73990453.35753499</v>
      </c>
      <c r="S121" s="81">
        <v>74520670.797864795</v>
      </c>
      <c r="T121" s="81">
        <v>75017133.240568191</v>
      </c>
      <c r="U121" s="81">
        <v>75479231.795222849</v>
      </c>
      <c r="V121" s="81">
        <v>75906539.072544575</v>
      </c>
      <c r="W121" s="81">
        <v>76298816.429527402</v>
      </c>
      <c r="X121" s="81">
        <v>76656021.29467988</v>
      </c>
      <c r="Y121" s="81">
        <v>76978345.324031129</v>
      </c>
      <c r="Z121" s="81">
        <v>77266192.103091344</v>
      </c>
      <c r="AA121" s="81">
        <v>77447858.53869313</v>
      </c>
      <c r="AB121" s="81">
        <v>77596819.26470989</v>
      </c>
      <c r="AC121" s="81">
        <v>77714306.821819499</v>
      </c>
      <c r="AD121" s="81">
        <v>77801664.263552129</v>
      </c>
      <c r="AE121" s="81">
        <v>77860668.422850519</v>
      </c>
      <c r="AF121" s="81">
        <v>77893220.537148386</v>
      </c>
      <c r="AG121" s="81">
        <v>77901511.468504563</v>
      </c>
      <c r="AH121" s="81">
        <v>77888095.340540692</v>
      </c>
      <c r="AI121" s="81">
        <v>77855669.418377623</v>
      </c>
      <c r="AJ121" s="81">
        <v>77807375.413513213</v>
      </c>
      <c r="AK121" s="81">
        <v>77764458.878965989</v>
      </c>
      <c r="AL121" s="81">
        <v>77712481.130434349</v>
      </c>
      <c r="AM121" s="81">
        <v>77655437.51618439</v>
      </c>
      <c r="AN121" s="81">
        <v>77597605.095736355</v>
      </c>
      <c r="AO121" s="81">
        <v>77543652.299123347</v>
      </c>
      <c r="AP121" s="81">
        <v>77498511.024033189</v>
      </c>
      <c r="AQ121" s="81">
        <v>77467521.441636652</v>
      </c>
      <c r="AR121" s="81">
        <v>77456372.400944188</v>
      </c>
      <c r="AS121" s="81">
        <v>77471039.109718025</v>
      </c>
      <c r="AT121" s="81">
        <v>77518037.383898988</v>
      </c>
    </row>
    <row r="122" spans="1:46" ht="15.75">
      <c r="A122" s="81" t="s">
        <v>450</v>
      </c>
      <c r="B122" s="80">
        <v>350500</v>
      </c>
      <c r="C122" s="80" t="s">
        <v>428</v>
      </c>
      <c r="D122" s="84" t="s">
        <v>713</v>
      </c>
      <c r="E122" s="81">
        <v>248113316.29940233</v>
      </c>
      <c r="F122" s="81">
        <v>256106791.33715844</v>
      </c>
      <c r="G122" s="81">
        <v>262444252.61054251</v>
      </c>
      <c r="H122" s="81">
        <v>268590865.98274136</v>
      </c>
      <c r="I122" s="81">
        <v>274552101.73404998</v>
      </c>
      <c r="J122" s="81">
        <v>280333659.93653667</v>
      </c>
      <c r="K122" s="81">
        <v>285941352.74880993</v>
      </c>
      <c r="L122" s="81">
        <v>291381010.52562034</v>
      </c>
      <c r="M122" s="81">
        <v>296658638.22862965</v>
      </c>
      <c r="N122" s="81">
        <v>301780165.04400766</v>
      </c>
      <c r="O122" s="81">
        <v>306751602.53571332</v>
      </c>
      <c r="P122" s="81">
        <v>311578918.21731269</v>
      </c>
      <c r="Q122" s="81">
        <v>314931035.32197332</v>
      </c>
      <c r="R122" s="81">
        <v>318137508.2521503</v>
      </c>
      <c r="S122" s="81">
        <v>321205950.12438601</v>
      </c>
      <c r="T122" s="81">
        <v>324143632.66804278</v>
      </c>
      <c r="U122" s="81">
        <v>326957496.78292561</v>
      </c>
      <c r="V122" s="81">
        <v>329654094.77039361</v>
      </c>
      <c r="W122" s="81">
        <v>332239600.83564496</v>
      </c>
      <c r="X122" s="81">
        <v>334719787.55755186</v>
      </c>
      <c r="Y122" s="81">
        <v>337099895.0457232</v>
      </c>
      <c r="Z122" s="81">
        <v>339384746.42768228</v>
      </c>
      <c r="AA122" s="81">
        <v>341260170.0261308</v>
      </c>
      <c r="AB122" s="81">
        <v>343047670.60510725</v>
      </c>
      <c r="AC122" s="81">
        <v>344750773.70908952</v>
      </c>
      <c r="AD122" s="81">
        <v>346372400.68783063</v>
      </c>
      <c r="AE122" s="81">
        <v>347914882.02026653</v>
      </c>
      <c r="AF122" s="81">
        <v>349379784.63623166</v>
      </c>
      <c r="AG122" s="81">
        <v>350768223.09977025</v>
      </c>
      <c r="AH122" s="81">
        <v>352080462.98091727</v>
      </c>
      <c r="AI122" s="81">
        <v>353316081.9827792</v>
      </c>
      <c r="AJ122" s="81">
        <v>354474061.48830205</v>
      </c>
      <c r="AK122" s="81">
        <v>355634493.53264385</v>
      </c>
      <c r="AL122" s="81">
        <v>356712623.1031701</v>
      </c>
      <c r="AM122" s="81">
        <v>357704939.00720769</v>
      </c>
      <c r="AN122" s="81">
        <v>358606997.73431075</v>
      </c>
      <c r="AO122" s="81">
        <v>359413672.08321631</v>
      </c>
      <c r="AP122" s="81">
        <v>360118809.72667032</v>
      </c>
      <c r="AQ122" s="81">
        <v>360715362.70756185</v>
      </c>
      <c r="AR122" s="81">
        <v>361195360.68062776</v>
      </c>
      <c r="AS122" s="81">
        <v>361549883.89823586</v>
      </c>
      <c r="AT122" s="81">
        <v>361768953.62073249</v>
      </c>
    </row>
    <row r="123" spans="1:46" ht="15.75">
      <c r="A123" s="81" t="s">
        <v>450</v>
      </c>
      <c r="B123" s="80">
        <v>350600</v>
      </c>
      <c r="C123" s="80" t="s">
        <v>428</v>
      </c>
      <c r="D123" s="84" t="s">
        <v>712</v>
      </c>
      <c r="E123" s="81">
        <v>136926660.99780905</v>
      </c>
      <c r="F123" s="81">
        <v>140609717.26287231</v>
      </c>
      <c r="G123" s="81">
        <v>143449004.99982807</v>
      </c>
      <c r="H123" s="81">
        <v>146246458.10134357</v>
      </c>
      <c r="I123" s="81">
        <v>148998644.96594709</v>
      </c>
      <c r="J123" s="81">
        <v>151702192.58815399</v>
      </c>
      <c r="K123" s="81">
        <v>154353912.77021047</v>
      </c>
      <c r="L123" s="81">
        <v>156950787.14729598</v>
      </c>
      <c r="M123" s="81">
        <v>159490011.09356779</v>
      </c>
      <c r="N123" s="81">
        <v>161968916.60884514</v>
      </c>
      <c r="O123" s="81">
        <v>164385107.31294149</v>
      </c>
      <c r="P123" s="81">
        <v>166736349.64890727</v>
      </c>
      <c r="Q123" s="81">
        <v>168306174.44611138</v>
      </c>
      <c r="R123" s="81">
        <v>169802164.08043632</v>
      </c>
      <c r="S123" s="81">
        <v>171223925.41852751</v>
      </c>
      <c r="T123" s="81">
        <v>172571232.32621032</v>
      </c>
      <c r="U123" s="81">
        <v>173844262.20557025</v>
      </c>
      <c r="V123" s="81">
        <v>175043345.13677293</v>
      </c>
      <c r="W123" s="81">
        <v>176169169.47736397</v>
      </c>
      <c r="X123" s="81">
        <v>177222726.94471589</v>
      </c>
      <c r="Y123" s="81">
        <v>178205356.72837111</v>
      </c>
      <c r="Z123" s="81">
        <v>179118619.81280079</v>
      </c>
      <c r="AA123" s="81">
        <v>179796644.02202928</v>
      </c>
      <c r="AB123" s="81">
        <v>180409765.96442795</v>
      </c>
      <c r="AC123" s="81">
        <v>180960816.88819462</v>
      </c>
      <c r="AD123" s="81">
        <v>181452943.74394676</v>
      </c>
      <c r="AE123" s="81">
        <v>181889688.295077</v>
      </c>
      <c r="AF123" s="81">
        <v>182274961.99489513</v>
      </c>
      <c r="AG123" s="81">
        <v>182612983.541924</v>
      </c>
      <c r="AH123" s="81">
        <v>182908467.10645771</v>
      </c>
      <c r="AI123" s="81">
        <v>183166416.88707092</v>
      </c>
      <c r="AJ123" s="81">
        <v>183392353.41035381</v>
      </c>
      <c r="AK123" s="81">
        <v>183634522.72170979</v>
      </c>
      <c r="AL123" s="81">
        <v>183856637.50783646</v>
      </c>
      <c r="AM123" s="81">
        <v>184065457.72157195</v>
      </c>
      <c r="AN123" s="81">
        <v>184268160.29025647</v>
      </c>
      <c r="AO123" s="81">
        <v>184472424.36015528</v>
      </c>
      <c r="AP123" s="81">
        <v>184686328.55686879</v>
      </c>
      <c r="AQ123" s="81">
        <v>184918513.11625779</v>
      </c>
      <c r="AR123" s="81">
        <v>185178077.06844163</v>
      </c>
      <c r="AS123" s="81">
        <v>185474665.89251995</v>
      </c>
      <c r="AT123" s="81">
        <v>185818405.30886051</v>
      </c>
    </row>
    <row r="124" spans="1:46" ht="15.75">
      <c r="A124" s="81" t="s">
        <v>450</v>
      </c>
      <c r="B124" s="80">
        <v>350700</v>
      </c>
      <c r="C124" s="80" t="s">
        <v>428</v>
      </c>
      <c r="D124" s="84" t="s">
        <v>711</v>
      </c>
      <c r="E124" s="81">
        <v>66072892.197583072</v>
      </c>
      <c r="F124" s="81">
        <v>67382929.376104116</v>
      </c>
      <c r="G124" s="81">
        <v>68329141.710566401</v>
      </c>
      <c r="H124" s="81">
        <v>69294709.479887739</v>
      </c>
      <c r="I124" s="81">
        <v>70274081.057326242</v>
      </c>
      <c r="J124" s="81">
        <v>71261784.75436227</v>
      </c>
      <c r="K124" s="81">
        <v>72252451.07738167</v>
      </c>
      <c r="L124" s="81">
        <v>73240916.960657448</v>
      </c>
      <c r="M124" s="81">
        <v>74222033.548173398</v>
      </c>
      <c r="N124" s="81">
        <v>75190959.859349623</v>
      </c>
      <c r="O124" s="81">
        <v>76142912.681408167</v>
      </c>
      <c r="P124" s="81">
        <v>77073467.952155799</v>
      </c>
      <c r="Q124" s="81">
        <v>77648693.782190397</v>
      </c>
      <c r="R124" s="81">
        <v>78193118.90248242</v>
      </c>
      <c r="S124" s="81">
        <v>78703490.350863054</v>
      </c>
      <c r="T124" s="81">
        <v>79176942.661872685</v>
      </c>
      <c r="U124" s="81">
        <v>79610956.52258268</v>
      </c>
      <c r="V124" s="81">
        <v>80003434.905546352</v>
      </c>
      <c r="W124" s="81">
        <v>80352721.7187372</v>
      </c>
      <c r="X124" s="81">
        <v>80657498.63002865</v>
      </c>
      <c r="Y124" s="81">
        <v>80916983.830125824</v>
      </c>
      <c r="Z124" s="81">
        <v>81130798.743314624</v>
      </c>
      <c r="AA124" s="81">
        <v>81223258.424014002</v>
      </c>
      <c r="AB124" s="81">
        <v>81271362.991105944</v>
      </c>
      <c r="AC124" s="81">
        <v>81276318.397693306</v>
      </c>
      <c r="AD124" s="81">
        <v>81239954.50222373</v>
      </c>
      <c r="AE124" s="81">
        <v>81164616.749647558</v>
      </c>
      <c r="AF124" s="81">
        <v>81053214.259095997</v>
      </c>
      <c r="AG124" s="81">
        <v>80909171.863104954</v>
      </c>
      <c r="AH124" s="81">
        <v>80736641.455896124</v>
      </c>
      <c r="AI124" s="81">
        <v>80540326.092429236</v>
      </c>
      <c r="AJ124" s="81">
        <v>80325495.334896669</v>
      </c>
      <c r="AK124" s="81">
        <v>80116690.904588744</v>
      </c>
      <c r="AL124" s="81">
        <v>79901813.692870334</v>
      </c>
      <c r="AM124" s="81">
        <v>79688207.56146121</v>
      </c>
      <c r="AN124" s="81">
        <v>79483962.344424158</v>
      </c>
      <c r="AO124" s="81">
        <v>79297831.123052672</v>
      </c>
      <c r="AP124" s="81">
        <v>79139350.763439387</v>
      </c>
      <c r="AQ124" s="81">
        <v>79018827.695965782</v>
      </c>
      <c r="AR124" s="81">
        <v>78947392.49771364</v>
      </c>
      <c r="AS124" s="81">
        <v>78936915.077094987</v>
      </c>
      <c r="AT124" s="81">
        <v>79000164.169302747</v>
      </c>
    </row>
    <row r="125" spans="1:46" ht="15.75">
      <c r="A125" s="81" t="s">
        <v>450</v>
      </c>
      <c r="B125" s="80">
        <v>350800</v>
      </c>
      <c r="C125" s="80" t="s">
        <v>428</v>
      </c>
      <c r="D125" s="84" t="s">
        <v>710</v>
      </c>
      <c r="E125" s="81">
        <v>66916946.27179005</v>
      </c>
      <c r="F125" s="81">
        <v>68463089.559803724</v>
      </c>
      <c r="G125" s="81">
        <v>69616322.291785315</v>
      </c>
      <c r="H125" s="81">
        <v>70767132.195736796</v>
      </c>
      <c r="I125" s="81">
        <v>71912353.768310159</v>
      </c>
      <c r="J125" s="81">
        <v>73048939.665867358</v>
      </c>
      <c r="K125" s="81">
        <v>74173868.96124655</v>
      </c>
      <c r="L125" s="81">
        <v>75284210.514947772</v>
      </c>
      <c r="M125" s="81">
        <v>76377108.022650003</v>
      </c>
      <c r="N125" s="81">
        <v>77449902.679845795</v>
      </c>
      <c r="O125" s="81">
        <v>78499953.629567221</v>
      </c>
      <c r="P125" s="81">
        <v>79524844.381422147</v>
      </c>
      <c r="Q125" s="81">
        <v>80181863.125502154</v>
      </c>
      <c r="R125" s="81">
        <v>80807533.66147548</v>
      </c>
      <c r="S125" s="81">
        <v>81400328.280623004</v>
      </c>
      <c r="T125" s="81">
        <v>81958956.337572455</v>
      </c>
      <c r="U125" s="81">
        <v>82482285.340423867</v>
      </c>
      <c r="V125" s="81">
        <v>82969468.086937368</v>
      </c>
      <c r="W125" s="81">
        <v>83419833.462046713</v>
      </c>
      <c r="X125" s="81">
        <v>83833015.686449111</v>
      </c>
      <c r="Y125" s="81">
        <v>84208843.421776831</v>
      </c>
      <c r="Z125" s="81">
        <v>84547409.160879195</v>
      </c>
      <c r="AA125" s="81">
        <v>84770011.681628942</v>
      </c>
      <c r="AB125" s="81">
        <v>84956683.887681514</v>
      </c>
      <c r="AC125" s="81">
        <v>85108464.053342462</v>
      </c>
      <c r="AD125" s="81">
        <v>85226751.871115759</v>
      </c>
      <c r="AE125" s="81">
        <v>85313127.267269239</v>
      </c>
      <c r="AF125" s="81">
        <v>85369581.208525702</v>
      </c>
      <c r="AG125" s="81">
        <v>85398398.175478637</v>
      </c>
      <c r="AH125" s="81">
        <v>85402131.672032177</v>
      </c>
      <c r="AI125" s="81">
        <v>85383776.138145193</v>
      </c>
      <c r="AJ125" s="81">
        <v>85346613.923411369</v>
      </c>
      <c r="AK125" s="81">
        <v>85314012.156507343</v>
      </c>
      <c r="AL125" s="81">
        <v>85270104.336229295</v>
      </c>
      <c r="AM125" s="81">
        <v>85219284.986963674</v>
      </c>
      <c r="AN125" s="81">
        <v>85166378.408946782</v>
      </c>
      <c r="AO125" s="81">
        <v>85116547.204743505</v>
      </c>
      <c r="AP125" s="81">
        <v>85075438.530397102</v>
      </c>
      <c r="AQ125" s="81">
        <v>85048988.247619376</v>
      </c>
      <c r="AR125" s="81">
        <v>85043741.925967306</v>
      </c>
      <c r="AS125" s="81">
        <v>85066589.399480417</v>
      </c>
      <c r="AT125" s="81">
        <v>85124842.976742491</v>
      </c>
    </row>
    <row r="126" spans="1:46" ht="15.75">
      <c r="A126" s="81" t="s">
        <v>450</v>
      </c>
      <c r="B126" s="80">
        <v>350900</v>
      </c>
      <c r="C126" s="80" t="s">
        <v>428</v>
      </c>
      <c r="D126" s="84" t="s">
        <v>709</v>
      </c>
      <c r="E126" s="81">
        <v>85376224.46818684</v>
      </c>
      <c r="F126" s="81">
        <v>87539564.851965487</v>
      </c>
      <c r="G126" s="81">
        <v>89186612.491414621</v>
      </c>
      <c r="H126" s="81">
        <v>90816396.887268677</v>
      </c>
      <c r="I126" s="81">
        <v>92425687.839731738</v>
      </c>
      <c r="J126" s="81">
        <v>94011434.629820406</v>
      </c>
      <c r="K126" s="81">
        <v>95570605.694743112</v>
      </c>
      <c r="L126" s="81">
        <v>97100375.996646225</v>
      </c>
      <c r="M126" s="81">
        <v>98598023.478713065</v>
      </c>
      <c r="N126" s="81">
        <v>100060970.87540562</v>
      </c>
      <c r="O126" s="81">
        <v>101486892.57744767</v>
      </c>
      <c r="P126" s="81">
        <v>102873512.06777474</v>
      </c>
      <c r="Q126" s="81">
        <v>103778329.21763326</v>
      </c>
      <c r="R126" s="81">
        <v>104637406.48820081</v>
      </c>
      <c r="S126" s="81">
        <v>105449794.76091908</v>
      </c>
      <c r="T126" s="81">
        <v>106214838.49377327</v>
      </c>
      <c r="U126" s="81">
        <v>106932088.70601048</v>
      </c>
      <c r="V126" s="81">
        <v>107601344.29073234</v>
      </c>
      <c r="W126" s="81">
        <v>108222695.00402808</v>
      </c>
      <c r="X126" s="81">
        <v>108796532.38582979</v>
      </c>
      <c r="Y126" s="81">
        <v>109323492.73471646</v>
      </c>
      <c r="Z126" s="81">
        <v>109804568.48828511</v>
      </c>
      <c r="AA126" s="81">
        <v>110138172.30274011</v>
      </c>
      <c r="AB126" s="81">
        <v>110428992.3779773</v>
      </c>
      <c r="AC126" s="81">
        <v>110679058.55388157</v>
      </c>
      <c r="AD126" s="81">
        <v>110890790.76861721</v>
      </c>
      <c r="AE126" s="81">
        <v>111066833.0476435</v>
      </c>
      <c r="AF126" s="81">
        <v>111210273.41844232</v>
      </c>
      <c r="AG126" s="81">
        <v>111324512.8449029</v>
      </c>
      <c r="AH126" s="81">
        <v>111413345.75258009</v>
      </c>
      <c r="AI126" s="81">
        <v>111480970.62767114</v>
      </c>
      <c r="AJ126" s="81">
        <v>111531927.3135421</v>
      </c>
      <c r="AK126" s="81">
        <v>111596897.39404051</v>
      </c>
      <c r="AL126" s="81">
        <v>111655403.74654815</v>
      </c>
      <c r="AM126" s="81">
        <v>111713216.03504498</v>
      </c>
      <c r="AN126" s="81">
        <v>111776526.39984542</v>
      </c>
      <c r="AO126" s="81">
        <v>111852073.67314082</v>
      </c>
      <c r="AP126" s="81">
        <v>111946966.47810918</v>
      </c>
      <c r="AQ126" s="81">
        <v>112068806.61538577</v>
      </c>
      <c r="AR126" s="81">
        <v>112225662.18832146</v>
      </c>
      <c r="AS126" s="81">
        <v>112426156.29083183</v>
      </c>
      <c r="AT126" s="81">
        <v>112679323.31232141</v>
      </c>
    </row>
    <row r="127" spans="1:46" ht="15.75">
      <c r="A127" s="81" t="s">
        <v>450</v>
      </c>
      <c r="B127" s="80">
        <v>360100</v>
      </c>
      <c r="C127" s="80" t="s">
        <v>427</v>
      </c>
      <c r="D127" s="84" t="s">
        <v>708</v>
      </c>
      <c r="E127" s="81">
        <v>188320837.4696117</v>
      </c>
      <c r="F127" s="81">
        <v>194141298.94176236</v>
      </c>
      <c r="G127" s="81">
        <v>198782183.98595828</v>
      </c>
      <c r="H127" s="81">
        <v>203347184.27419317</v>
      </c>
      <c r="I127" s="81">
        <v>207832197.63543785</v>
      </c>
      <c r="J127" s="81">
        <v>212233426.67226249</v>
      </c>
      <c r="K127" s="81">
        <v>216547365.59210828</v>
      </c>
      <c r="L127" s="81">
        <v>220770751.13457739</v>
      </c>
      <c r="M127" s="81">
        <v>224900712.68752843</v>
      </c>
      <c r="N127" s="81">
        <v>228934726.25651932</v>
      </c>
      <c r="O127" s="81">
        <v>232870528.60694218</v>
      </c>
      <c r="P127" s="81">
        <v>236706377.06455165</v>
      </c>
      <c r="Q127" s="81">
        <v>239424335.09587288</v>
      </c>
      <c r="R127" s="81">
        <v>242028506.53749603</v>
      </c>
      <c r="S127" s="81">
        <v>244519800.64904383</v>
      </c>
      <c r="T127" s="81">
        <v>246899744.9529196</v>
      </c>
      <c r="U127" s="81">
        <v>249170139.14344022</v>
      </c>
      <c r="V127" s="81">
        <v>251333247.7595858</v>
      </c>
      <c r="W127" s="81">
        <v>253391814.91098091</v>
      </c>
      <c r="X127" s="81">
        <v>255348966.14093122</v>
      </c>
      <c r="Y127" s="81">
        <v>257208294.92305222</v>
      </c>
      <c r="Z127" s="81">
        <v>258973952.83942157</v>
      </c>
      <c r="AA127" s="81">
        <v>260407469.12160388</v>
      </c>
      <c r="AB127" s="81">
        <v>261756357.34347931</v>
      </c>
      <c r="AC127" s="81">
        <v>263026525.483217</v>
      </c>
      <c r="AD127" s="81">
        <v>264224315.5126819</v>
      </c>
      <c r="AE127" s="81">
        <v>265356552.76865682</v>
      </c>
      <c r="AF127" s="81">
        <v>266430636.87530282</v>
      </c>
      <c r="AG127" s="81">
        <v>267454555.72696969</v>
      </c>
      <c r="AH127" s="81">
        <v>268436778.38882792</v>
      </c>
      <c r="AI127" s="81">
        <v>269386346.60190427</v>
      </c>
      <c r="AJ127" s="81">
        <v>270312928.68571919</v>
      </c>
      <c r="AK127" s="81">
        <v>270821948.69413739</v>
      </c>
      <c r="AL127" s="81">
        <v>271329225.02417511</v>
      </c>
      <c r="AM127" s="81">
        <v>271846259.26737934</v>
      </c>
      <c r="AN127" s="81">
        <v>272384997.06287634</v>
      </c>
      <c r="AO127" s="81">
        <v>272957960.88937843</v>
      </c>
      <c r="AP127" s="81">
        <v>273578344.5257054</v>
      </c>
      <c r="AQ127" s="81">
        <v>274259813.11980253</v>
      </c>
      <c r="AR127" s="81">
        <v>275016723.3631711</v>
      </c>
      <c r="AS127" s="81">
        <v>275864050.12765729</v>
      </c>
      <c r="AT127" s="81">
        <v>276817310.59106421</v>
      </c>
    </row>
    <row r="128" spans="1:46" ht="15.75">
      <c r="A128" s="81" t="s">
        <v>450</v>
      </c>
      <c r="B128" s="80">
        <v>360200</v>
      </c>
      <c r="C128" s="80" t="s">
        <v>427</v>
      </c>
      <c r="D128" s="84" t="s">
        <v>707</v>
      </c>
      <c r="E128" s="81">
        <v>43974747.340348594</v>
      </c>
      <c r="F128" s="81">
        <v>45133511.501888335</v>
      </c>
      <c r="G128" s="81">
        <v>46043172.763974823</v>
      </c>
      <c r="H128" s="81">
        <v>46959456.580618553</v>
      </c>
      <c r="I128" s="81">
        <v>47879347.29924389</v>
      </c>
      <c r="J128" s="81">
        <v>48799968.609048977</v>
      </c>
      <c r="K128" s="81">
        <v>49718422.286434084</v>
      </c>
      <c r="L128" s="81">
        <v>50631915.002633587</v>
      </c>
      <c r="M128" s="81">
        <v>51537802.875557892</v>
      </c>
      <c r="N128" s="81">
        <v>52433421.939020805</v>
      </c>
      <c r="O128" s="81">
        <v>53316343.50578358</v>
      </c>
      <c r="P128" s="81">
        <v>54184172.500767447</v>
      </c>
      <c r="Q128" s="81">
        <v>54802033.566488221</v>
      </c>
      <c r="R128" s="81">
        <v>55397950.674293078</v>
      </c>
      <c r="S128" s="81">
        <v>55970288.684333369</v>
      </c>
      <c r="T128" s="81">
        <v>56517735.609894209</v>
      </c>
      <c r="U128" s="81">
        <v>57039052.478140615</v>
      </c>
      <c r="V128" s="81">
        <v>57533376.822483189</v>
      </c>
      <c r="W128" s="81">
        <v>57999902.744558215</v>
      </c>
      <c r="X128" s="81">
        <v>58438120.366978362</v>
      </c>
      <c r="Y128" s="81">
        <v>58847827.826053672</v>
      </c>
      <c r="Z128" s="81">
        <v>59228937.179868646</v>
      </c>
      <c r="AA128" s="81">
        <v>59526190.025531098</v>
      </c>
      <c r="AB128" s="81">
        <v>59795531.923872471</v>
      </c>
      <c r="AC128" s="81">
        <v>60037893.609345004</v>
      </c>
      <c r="AD128" s="81">
        <v>60254384.416239366</v>
      </c>
      <c r="AE128" s="81">
        <v>60446475.233673945</v>
      </c>
      <c r="AF128" s="81">
        <v>60615866.509949304</v>
      </c>
      <c r="AG128" s="81">
        <v>60764602.875964403</v>
      </c>
      <c r="AH128" s="81">
        <v>60895083.33256378</v>
      </c>
      <c r="AI128" s="81">
        <v>61009998.474111736</v>
      </c>
      <c r="AJ128" s="81">
        <v>61112338.427855097</v>
      </c>
      <c r="AK128" s="81">
        <v>61219603.580474555</v>
      </c>
      <c r="AL128" s="81">
        <v>61321375.345577911</v>
      </c>
      <c r="AM128" s="81">
        <v>61421744.911623076</v>
      </c>
      <c r="AN128" s="81">
        <v>61525143.517024688</v>
      </c>
      <c r="AO128" s="81">
        <v>61636427.20737154</v>
      </c>
      <c r="AP128" s="81">
        <v>61760888.147499174</v>
      </c>
      <c r="AQ128" s="81">
        <v>61904188.904748715</v>
      </c>
      <c r="AR128" s="81">
        <v>62072332.547637299</v>
      </c>
      <c r="AS128" s="81">
        <v>62271904.859306298</v>
      </c>
      <c r="AT128" s="81">
        <v>62509853.855313025</v>
      </c>
    </row>
    <row r="129" spans="1:46" ht="15.75">
      <c r="A129" s="81" t="s">
        <v>450</v>
      </c>
      <c r="B129" s="80">
        <v>360300</v>
      </c>
      <c r="C129" s="80" t="s">
        <v>427</v>
      </c>
      <c r="D129" s="84" t="s">
        <v>706</v>
      </c>
      <c r="E129" s="81">
        <v>50824098.52715715</v>
      </c>
      <c r="F129" s="81">
        <v>52015890.772870623</v>
      </c>
      <c r="G129" s="81">
        <v>52928590.107659362</v>
      </c>
      <c r="H129" s="81">
        <v>53857037.397097602</v>
      </c>
      <c r="I129" s="81">
        <v>54797074.950771116</v>
      </c>
      <c r="J129" s="81">
        <v>55744615.778002061</v>
      </c>
      <c r="K129" s="81">
        <v>56695691.520351149</v>
      </c>
      <c r="L129" s="81">
        <v>57646409.480157368</v>
      </c>
      <c r="M129" s="81">
        <v>58592968.323640093</v>
      </c>
      <c r="N129" s="81">
        <v>59531738.022945583</v>
      </c>
      <c r="O129" s="81">
        <v>60459150.500448637</v>
      </c>
      <c r="P129" s="81">
        <v>61371941.694712132</v>
      </c>
      <c r="Q129" s="81">
        <v>62003657.369671836</v>
      </c>
      <c r="R129" s="81">
        <v>62612192.647477686</v>
      </c>
      <c r="S129" s="81">
        <v>63195184.082275249</v>
      </c>
      <c r="T129" s="81">
        <v>63750512.895213805</v>
      </c>
      <c r="U129" s="81">
        <v>64276350.857368708</v>
      </c>
      <c r="V129" s="81">
        <v>64771173.518619709</v>
      </c>
      <c r="W129" s="81">
        <v>65233704.179877952</v>
      </c>
      <c r="X129" s="81">
        <v>65663099.576385356</v>
      </c>
      <c r="Y129" s="81">
        <v>66058720.894732215</v>
      </c>
      <c r="Z129" s="81">
        <v>66420390.813919604</v>
      </c>
      <c r="AA129" s="81">
        <v>66685947.703355178</v>
      </c>
      <c r="AB129" s="81">
        <v>66918210.946290769</v>
      </c>
      <c r="AC129" s="81">
        <v>67118174.480929077</v>
      </c>
      <c r="AD129" s="81">
        <v>67287201.96779184</v>
      </c>
      <c r="AE129" s="81">
        <v>67427075.104970038</v>
      </c>
      <c r="AF129" s="81">
        <v>67539969.519273877</v>
      </c>
      <c r="AG129" s="81">
        <v>67628541.077426299</v>
      </c>
      <c r="AH129" s="81">
        <v>67695827.739509702</v>
      </c>
      <c r="AI129" s="81">
        <v>67745411.391581699</v>
      </c>
      <c r="AJ129" s="81">
        <v>67781205.640136063</v>
      </c>
      <c r="AK129" s="81">
        <v>67823461.490172431</v>
      </c>
      <c r="AL129" s="81">
        <v>67861311.25417158</v>
      </c>
      <c r="AM129" s="81">
        <v>67900349.373023108</v>
      </c>
      <c r="AN129" s="81">
        <v>67946480.050336868</v>
      </c>
      <c r="AO129" s="81">
        <v>68006356.569194779</v>
      </c>
      <c r="AP129" s="81">
        <v>68087085.759669274</v>
      </c>
      <c r="AQ129" s="81">
        <v>68196358.425554276</v>
      </c>
      <c r="AR129" s="81">
        <v>68342424.131636396</v>
      </c>
      <c r="AS129" s="81">
        <v>68534226.146066546</v>
      </c>
      <c r="AT129" s="81">
        <v>68781215.929297417</v>
      </c>
    </row>
    <row r="130" spans="1:46" ht="15.75">
      <c r="A130" s="81" t="s">
        <v>450</v>
      </c>
      <c r="B130" s="80">
        <v>360400</v>
      </c>
      <c r="C130" s="80" t="s">
        <v>427</v>
      </c>
      <c r="D130" s="84" t="s">
        <v>705</v>
      </c>
      <c r="E130" s="81">
        <v>101155212.49948376</v>
      </c>
      <c r="F130" s="81">
        <v>103791782.58162619</v>
      </c>
      <c r="G130" s="81">
        <v>105867731.31057309</v>
      </c>
      <c r="H130" s="81">
        <v>107970587.75829762</v>
      </c>
      <c r="I130" s="81">
        <v>110092820.06064369</v>
      </c>
      <c r="J130" s="81">
        <v>112227083.24611625</v>
      </c>
      <c r="K130" s="81">
        <v>114366060.54953802</v>
      </c>
      <c r="L130" s="81">
        <v>116502729.77939676</v>
      </c>
      <c r="M130" s="81">
        <v>118630228.45255366</v>
      </c>
      <c r="N130" s="81">
        <v>120741906.63904394</v>
      </c>
      <c r="O130" s="81">
        <v>122831432.86700483</v>
      </c>
      <c r="P130" s="81">
        <v>124892726.4329118</v>
      </c>
      <c r="Q130" s="81">
        <v>126383584.36041754</v>
      </c>
      <c r="R130" s="81">
        <v>127828502.1933513</v>
      </c>
      <c r="S130" s="81">
        <v>129223311.11800493</v>
      </c>
      <c r="T130" s="81">
        <v>130564244.93614244</v>
      </c>
      <c r="U130" s="81">
        <v>131848119.88544883</v>
      </c>
      <c r="V130" s="81">
        <v>133072198.94498976</v>
      </c>
      <c r="W130" s="81">
        <v>134234374.72962093</v>
      </c>
      <c r="X130" s="81">
        <v>135333004.38284397</v>
      </c>
      <c r="Y130" s="81">
        <v>136367177.28217751</v>
      </c>
      <c r="Z130" s="81">
        <v>137336521.7959924</v>
      </c>
      <c r="AA130" s="81">
        <v>138112387.06196362</v>
      </c>
      <c r="AB130" s="81">
        <v>138824368.01034975</v>
      </c>
      <c r="AC130" s="81">
        <v>139474303.6513724</v>
      </c>
      <c r="AD130" s="81">
        <v>140064739.714791</v>
      </c>
      <c r="AE130" s="81">
        <v>140598950.7474114</v>
      </c>
      <c r="AF130" s="81">
        <v>141080933.44838721</v>
      </c>
      <c r="AG130" s="81">
        <v>141515486.56152639</v>
      </c>
      <c r="AH130" s="81">
        <v>141908234.59025159</v>
      </c>
      <c r="AI130" s="81">
        <v>142265563.04111898</v>
      </c>
      <c r="AJ130" s="81">
        <v>142594758.67468235</v>
      </c>
      <c r="AK130" s="81">
        <v>142936932.94035247</v>
      </c>
      <c r="AL130" s="81">
        <v>143268028.38466421</v>
      </c>
      <c r="AM130" s="81">
        <v>143597971.42004657</v>
      </c>
      <c r="AN130" s="81">
        <v>143937635.72555888</v>
      </c>
      <c r="AO130" s="81">
        <v>144298929.00885797</v>
      </c>
      <c r="AP130" s="81">
        <v>144694665.47483096</v>
      </c>
      <c r="AQ130" s="81">
        <v>145138713.18253803</v>
      </c>
      <c r="AR130" s="81">
        <v>145646052.37049496</v>
      </c>
      <c r="AS130" s="81">
        <v>146232677.11816162</v>
      </c>
      <c r="AT130" s="81">
        <v>146915683.2542443</v>
      </c>
    </row>
    <row r="131" spans="1:46" ht="15.75">
      <c r="A131" s="81" t="s">
        <v>450</v>
      </c>
      <c r="B131" s="80">
        <v>360500</v>
      </c>
      <c r="C131" s="80" t="s">
        <v>427</v>
      </c>
      <c r="D131" s="84" t="s">
        <v>704</v>
      </c>
      <c r="E131" s="81">
        <v>34743028.408044882</v>
      </c>
      <c r="F131" s="81">
        <v>35584641.417772129</v>
      </c>
      <c r="G131" s="81">
        <v>36230468.070022956</v>
      </c>
      <c r="H131" s="81">
        <v>36882417.665553898</v>
      </c>
      <c r="I131" s="81">
        <v>37538127.541474462</v>
      </c>
      <c r="J131" s="81">
        <v>38195140.927539133</v>
      </c>
      <c r="K131" s="81">
        <v>38851160.466911964</v>
      </c>
      <c r="L131" s="81">
        <v>39503905.102634825</v>
      </c>
      <c r="M131" s="81">
        <v>40151149.491256028</v>
      </c>
      <c r="N131" s="81">
        <v>40790766.011883937</v>
      </c>
      <c r="O131" s="81">
        <v>41420736.142732993</v>
      </c>
      <c r="P131" s="81">
        <v>42039060.9521937</v>
      </c>
      <c r="Q131" s="81">
        <v>42463667.38796597</v>
      </c>
      <c r="R131" s="81">
        <v>42871523.47012464</v>
      </c>
      <c r="S131" s="81">
        <v>43261302.982172452</v>
      </c>
      <c r="T131" s="81">
        <v>43631822.274256535</v>
      </c>
      <c r="U131" s="81">
        <v>43982046.986505516</v>
      </c>
      <c r="V131" s="81">
        <v>44311169.554970421</v>
      </c>
      <c r="W131" s="81">
        <v>44618476.373084612</v>
      </c>
      <c r="X131" s="81">
        <v>44903495.610438898</v>
      </c>
      <c r="Y131" s="81">
        <v>45165934.68707598</v>
      </c>
      <c r="Z131" s="81">
        <v>45405687.410652712</v>
      </c>
      <c r="AA131" s="81">
        <v>45580367.006579459</v>
      </c>
      <c r="AB131" s="81">
        <v>45732866.463554516</v>
      </c>
      <c r="AC131" s="81">
        <v>45863780.790820479</v>
      </c>
      <c r="AD131" s="81">
        <v>45974030.453057721</v>
      </c>
      <c r="AE131" s="81">
        <v>46064607.552263103</v>
      </c>
      <c r="AF131" s="81">
        <v>46136881.456847429</v>
      </c>
      <c r="AG131" s="81">
        <v>46192381.087665036</v>
      </c>
      <c r="AH131" s="81">
        <v>46232991.767284244</v>
      </c>
      <c r="AI131" s="81">
        <v>46260733.300273016</v>
      </c>
      <c r="AJ131" s="81">
        <v>46278036.306171164</v>
      </c>
      <c r="AK131" s="81">
        <v>46298164.347856075</v>
      </c>
      <c r="AL131" s="81">
        <v>46313290.803295806</v>
      </c>
      <c r="AM131" s="81">
        <v>46326701.369206622</v>
      </c>
      <c r="AN131" s="81">
        <v>46341812.886968032</v>
      </c>
      <c r="AO131" s="81">
        <v>46362579.378887214</v>
      </c>
      <c r="AP131" s="81">
        <v>46393060.560464568</v>
      </c>
      <c r="AQ131" s="81">
        <v>46437791.164127395</v>
      </c>
      <c r="AR131" s="81">
        <v>46501588.134982832</v>
      </c>
      <c r="AS131" s="81">
        <v>46589640.094102338</v>
      </c>
      <c r="AT131" s="81">
        <v>46707433.11232511</v>
      </c>
    </row>
    <row r="132" spans="1:46" ht="15.75">
      <c r="A132" s="81" t="s">
        <v>450</v>
      </c>
      <c r="B132" s="80">
        <v>360600</v>
      </c>
      <c r="C132" s="80" t="s">
        <v>427</v>
      </c>
      <c r="D132" s="84" t="s">
        <v>703</v>
      </c>
      <c r="E132" s="81">
        <v>27974824.124808118</v>
      </c>
      <c r="F132" s="81">
        <v>28620897.644797165</v>
      </c>
      <c r="G132" s="81">
        <v>29121531.541162714</v>
      </c>
      <c r="H132" s="81">
        <v>29638462.179737918</v>
      </c>
      <c r="I132" s="81">
        <v>30168940.986845408</v>
      </c>
      <c r="J132" s="81">
        <v>30710210.354041032</v>
      </c>
      <c r="K132" s="81">
        <v>31259538.416891061</v>
      </c>
      <c r="L132" s="81">
        <v>31814229.200962503</v>
      </c>
      <c r="M132" s="81">
        <v>32371714.476796664</v>
      </c>
      <c r="N132" s="81">
        <v>32929431.798624661</v>
      </c>
      <c r="O132" s="81">
        <v>33484971.092344079</v>
      </c>
      <c r="P132" s="81">
        <v>34035921.372245304</v>
      </c>
      <c r="Q132" s="81">
        <v>34433923.883237056</v>
      </c>
      <c r="R132" s="81">
        <v>34821223.132806852</v>
      </c>
      <c r="S132" s="81">
        <v>35196050.977784216</v>
      </c>
      <c r="T132" s="81">
        <v>35556765.029027753</v>
      </c>
      <c r="U132" s="81">
        <v>35901884.624095879</v>
      </c>
      <c r="V132" s="81">
        <v>36230187.534501083</v>
      </c>
      <c r="W132" s="81">
        <v>36540542.283169322</v>
      </c>
      <c r="X132" s="81">
        <v>36832123.310554862</v>
      </c>
      <c r="Y132" s="81">
        <v>37104241.844579153</v>
      </c>
      <c r="Z132" s="81">
        <v>37356443.472939357</v>
      </c>
      <c r="AA132" s="81">
        <v>37553493.556743518</v>
      </c>
      <c r="AB132" s="81">
        <v>37730440.792404078</v>
      </c>
      <c r="AC132" s="81">
        <v>37887553.934523322</v>
      </c>
      <c r="AD132" s="81">
        <v>38025463.284611456</v>
      </c>
      <c r="AE132" s="81">
        <v>38145014.431376681</v>
      </c>
      <c r="AF132" s="81">
        <v>38247306.759346269</v>
      </c>
      <c r="AG132" s="81">
        <v>38333765.372558877</v>
      </c>
      <c r="AH132" s="81">
        <v>38406086.57369414</v>
      </c>
      <c r="AI132" s="81">
        <v>38466213.336313404</v>
      </c>
      <c r="AJ132" s="81">
        <v>38516440.390717298</v>
      </c>
      <c r="AK132" s="81">
        <v>38568325.570987001</v>
      </c>
      <c r="AL132" s="81">
        <v>38615789.765897013</v>
      </c>
      <c r="AM132" s="81">
        <v>38662107.987491958</v>
      </c>
      <c r="AN132" s="81">
        <v>38710881.308974564</v>
      </c>
      <c r="AO132" s="81">
        <v>38766045.624108575</v>
      </c>
      <c r="AP132" s="81">
        <v>38831948.635079004</v>
      </c>
      <c r="AQ132" s="81">
        <v>38913223.855552495</v>
      </c>
      <c r="AR132" s="81">
        <v>39015004.527629107</v>
      </c>
      <c r="AS132" s="81">
        <v>39142693.967470974</v>
      </c>
      <c r="AT132" s="81">
        <v>39302181.263913259</v>
      </c>
    </row>
    <row r="133" spans="1:46" ht="15.75">
      <c r="A133" s="81" t="s">
        <v>450</v>
      </c>
      <c r="B133" s="80">
        <v>360700</v>
      </c>
      <c r="C133" s="80" t="s">
        <v>427</v>
      </c>
      <c r="D133" s="84" t="s">
        <v>702</v>
      </c>
      <c r="E133" s="81">
        <v>179008774.00418276</v>
      </c>
      <c r="F133" s="81">
        <v>183288682.57590672</v>
      </c>
      <c r="G133" s="81">
        <v>186696461.30842933</v>
      </c>
      <c r="H133" s="81">
        <v>190262012.82563239</v>
      </c>
      <c r="I133" s="81">
        <v>193962274.67868412</v>
      </c>
      <c r="J133" s="81">
        <v>197774321.60462651</v>
      </c>
      <c r="K133" s="81">
        <v>201675669.52605182</v>
      </c>
      <c r="L133" s="81">
        <v>205644155.6770961</v>
      </c>
      <c r="M133" s="81">
        <v>209658228.85688469</v>
      </c>
      <c r="N133" s="81">
        <v>213696893.58652371</v>
      </c>
      <c r="O133" s="81">
        <v>217739919.4662565</v>
      </c>
      <c r="P133" s="81">
        <v>221767828.04917258</v>
      </c>
      <c r="Q133" s="81">
        <v>224807785.82917967</v>
      </c>
      <c r="R133" s="81">
        <v>227781454.65942234</v>
      </c>
      <c r="S133" s="81">
        <v>230673743.60165432</v>
      </c>
      <c r="T133" s="81">
        <v>233470952.95604235</v>
      </c>
      <c r="U133" s="81">
        <v>236160940.51514864</v>
      </c>
      <c r="V133" s="81">
        <v>238733146.82691431</v>
      </c>
      <c r="W133" s="81">
        <v>241178643.59812966</v>
      </c>
      <c r="X133" s="81">
        <v>243490206.57372946</v>
      </c>
      <c r="Y133" s="81">
        <v>245662464.2392661</v>
      </c>
      <c r="Z133" s="81">
        <v>247691899.74223298</v>
      </c>
      <c r="AA133" s="81">
        <v>249344146.6116792</v>
      </c>
      <c r="AB133" s="81">
        <v>250851530.86985335</v>
      </c>
      <c r="AC133" s="81">
        <v>252216988.83656925</v>
      </c>
      <c r="AD133" s="81">
        <v>253445671.48659971</v>
      </c>
      <c r="AE133" s="81">
        <v>254544938.00572968</v>
      </c>
      <c r="AF133" s="81">
        <v>255524451.8461358</v>
      </c>
      <c r="AG133" s="81">
        <v>256396278.52372098</v>
      </c>
      <c r="AH133" s="81">
        <v>257174878.7791338</v>
      </c>
      <c r="AI133" s="81">
        <v>257877286.65793589</v>
      </c>
      <c r="AJ133" s="81">
        <v>258523049.96088797</v>
      </c>
      <c r="AK133" s="81">
        <v>259194283.11531711</v>
      </c>
      <c r="AL133" s="81">
        <v>259856058.21779153</v>
      </c>
      <c r="AM133" s="81">
        <v>260536164.63447022</v>
      </c>
      <c r="AN133" s="81">
        <v>261265368.08714318</v>
      </c>
      <c r="AO133" s="81">
        <v>262077408.65998754</v>
      </c>
      <c r="AP133" s="81">
        <v>263009136.55500957</v>
      </c>
      <c r="AQ133" s="81">
        <v>264100537.77547467</v>
      </c>
      <c r="AR133" s="81">
        <v>265394786.73159495</v>
      </c>
      <c r="AS133" s="81">
        <v>266938498.97233081</v>
      </c>
      <c r="AT133" s="81">
        <v>268781616.5978412</v>
      </c>
    </row>
    <row r="134" spans="1:46" ht="15.75">
      <c r="A134" s="81" t="s">
        <v>450</v>
      </c>
      <c r="B134" s="80">
        <v>360800</v>
      </c>
      <c r="C134" s="80" t="s">
        <v>427</v>
      </c>
      <c r="D134" s="84" t="s">
        <v>701</v>
      </c>
      <c r="E134" s="81">
        <v>90334844.195121974</v>
      </c>
      <c r="F134" s="81">
        <v>92509678.559465334</v>
      </c>
      <c r="G134" s="81">
        <v>94207550.99208127</v>
      </c>
      <c r="H134" s="81">
        <v>95951593.198117122</v>
      </c>
      <c r="I134" s="81">
        <v>97733496.136828914</v>
      </c>
      <c r="J134" s="81">
        <v>99545048.341606796</v>
      </c>
      <c r="K134" s="81">
        <v>101378168.63449095</v>
      </c>
      <c r="L134" s="81">
        <v>103224894.57026467</v>
      </c>
      <c r="M134" s="81">
        <v>105077504.09707879</v>
      </c>
      <c r="N134" s="81">
        <v>106928437.84187724</v>
      </c>
      <c r="O134" s="81">
        <v>108770422.67847663</v>
      </c>
      <c r="P134" s="81">
        <v>110596461.4056249</v>
      </c>
      <c r="Q134" s="81">
        <v>111924692.97218138</v>
      </c>
      <c r="R134" s="81">
        <v>113218011.15604524</v>
      </c>
      <c r="S134" s="81">
        <v>114471082.27836856</v>
      </c>
      <c r="T134" s="81">
        <v>115679059.24750306</v>
      </c>
      <c r="U134" s="81">
        <v>116837679.26582219</v>
      </c>
      <c r="V134" s="81">
        <v>117943167.52743927</v>
      </c>
      <c r="W134" s="81">
        <v>118992359.65395002</v>
      </c>
      <c r="X134" s="81">
        <v>119982653.27772158</v>
      </c>
      <c r="Y134" s="81">
        <v>120912133.61052294</v>
      </c>
      <c r="Z134" s="81">
        <v>121779499.90319696</v>
      </c>
      <c r="AA134" s="81">
        <v>122469768.93571654</v>
      </c>
      <c r="AB134" s="81">
        <v>123097137.6235442</v>
      </c>
      <c r="AC134" s="81">
        <v>123662554.27286263</v>
      </c>
      <c r="AD134" s="81">
        <v>124167780.80029267</v>
      </c>
      <c r="AE134" s="81">
        <v>124615313.47343725</v>
      </c>
      <c r="AF134" s="81">
        <v>125008485.70905846</v>
      </c>
      <c r="AG134" s="81">
        <v>125351386.97788219</v>
      </c>
      <c r="AH134" s="81">
        <v>125649020.13328567</v>
      </c>
      <c r="AI134" s="81">
        <v>125907274.50205341</v>
      </c>
      <c r="AJ134" s="81">
        <v>126132815.14275827</v>
      </c>
      <c r="AK134" s="81">
        <v>126362542.01104292</v>
      </c>
      <c r="AL134" s="81">
        <v>126575801.51754411</v>
      </c>
      <c r="AM134" s="81">
        <v>126782141.91811912</v>
      </c>
      <c r="AN134" s="81">
        <v>126992219.47946119</v>
      </c>
      <c r="AO134" s="81">
        <v>127217631.55904299</v>
      </c>
      <c r="AP134" s="81">
        <v>127471111.70930301</v>
      </c>
      <c r="AQ134" s="81">
        <v>127766474.18794143</v>
      </c>
      <c r="AR134" s="81">
        <v>128118612.93583564</v>
      </c>
      <c r="AS134" s="81">
        <v>128543644.75398634</v>
      </c>
      <c r="AT134" s="81">
        <v>129058794.42991622</v>
      </c>
    </row>
    <row r="135" spans="1:46" ht="15.75">
      <c r="A135" s="81" t="s">
        <v>450</v>
      </c>
      <c r="B135" s="80">
        <v>360900</v>
      </c>
      <c r="C135" s="80" t="s">
        <v>427</v>
      </c>
      <c r="D135" s="84" t="s">
        <v>700</v>
      </c>
      <c r="E135" s="81">
        <v>98620529.876353219</v>
      </c>
      <c r="F135" s="81">
        <v>101021630.79786722</v>
      </c>
      <c r="G135" s="81">
        <v>102907995.03285474</v>
      </c>
      <c r="H135" s="81">
        <v>104849528.63363232</v>
      </c>
      <c r="I135" s="81">
        <v>106836043.67598204</v>
      </c>
      <c r="J135" s="81">
        <v>108857493.93564315</v>
      </c>
      <c r="K135" s="81">
        <v>110903930.22362459</v>
      </c>
      <c r="L135" s="81">
        <v>112965689.84594341</v>
      </c>
      <c r="M135" s="81">
        <v>115033333.0926346</v>
      </c>
      <c r="N135" s="81">
        <v>117097683.97380088</v>
      </c>
      <c r="O135" s="81">
        <v>119149962.30589771</v>
      </c>
      <c r="P135" s="81">
        <v>121181716.5943718</v>
      </c>
      <c r="Q135" s="81">
        <v>122664192.64753836</v>
      </c>
      <c r="R135" s="81">
        <v>124103858.04286452</v>
      </c>
      <c r="S135" s="81">
        <v>125494443.79726495</v>
      </c>
      <c r="T135" s="81">
        <v>126830268.96521251</v>
      </c>
      <c r="U135" s="81">
        <v>128106389.14360903</v>
      </c>
      <c r="V135" s="81">
        <v>129318485.95793179</v>
      </c>
      <c r="W135" s="81">
        <v>130463065.82770336</v>
      </c>
      <c r="X135" s="81">
        <v>131537373.34277228</v>
      </c>
      <c r="Y135" s="81">
        <v>132539422.63472918</v>
      </c>
      <c r="Z135" s="81">
        <v>133468128.58846138</v>
      </c>
      <c r="AA135" s="81">
        <v>134197923.21063539</v>
      </c>
      <c r="AB135" s="81">
        <v>134854521.89813587</v>
      </c>
      <c r="AC135" s="81">
        <v>135439724.15995076</v>
      </c>
      <c r="AD135" s="81">
        <v>135956253.54325038</v>
      </c>
      <c r="AE135" s="81">
        <v>136407889.99307838</v>
      </c>
      <c r="AF135" s="81">
        <v>136799321.68697608</v>
      </c>
      <c r="AG135" s="81">
        <v>137136407.18395007</v>
      </c>
      <c r="AH135" s="81">
        <v>137426027.16516727</v>
      </c>
      <c r="AI135" s="81">
        <v>137676167.03618833</v>
      </c>
      <c r="AJ135" s="81">
        <v>137895975.31557092</v>
      </c>
      <c r="AK135" s="81">
        <v>138127701.43451333</v>
      </c>
      <c r="AL135" s="81">
        <v>138350809.68261006</v>
      </c>
      <c r="AM135" s="81">
        <v>138578166.70031446</v>
      </c>
      <c r="AN135" s="81">
        <v>138823812.75495982</v>
      </c>
      <c r="AO135" s="81">
        <v>139103130.25621691</v>
      </c>
      <c r="AP135" s="81">
        <v>139432934.98193401</v>
      </c>
      <c r="AQ135" s="81">
        <v>139831346.60902241</v>
      </c>
      <c r="AR135" s="81">
        <v>140317989.98320976</v>
      </c>
      <c r="AS135" s="81">
        <v>140913892.33013484</v>
      </c>
      <c r="AT135" s="81">
        <v>141641659.87543994</v>
      </c>
    </row>
    <row r="136" spans="1:46" ht="15.75">
      <c r="A136" s="81" t="s">
        <v>450</v>
      </c>
      <c r="B136" s="80">
        <v>361000</v>
      </c>
      <c r="C136" s="80" t="s">
        <v>427</v>
      </c>
      <c r="D136" s="84" t="s">
        <v>699</v>
      </c>
      <c r="E136" s="81">
        <v>71303834.319595978</v>
      </c>
      <c r="F136" s="81">
        <v>73139094.364042774</v>
      </c>
      <c r="G136" s="81">
        <v>74592439.717970029</v>
      </c>
      <c r="H136" s="81">
        <v>76076985.735906377</v>
      </c>
      <c r="I136" s="81">
        <v>77586348.911045775</v>
      </c>
      <c r="J136" s="81">
        <v>79114249.357499614</v>
      </c>
      <c r="K136" s="81">
        <v>80654472.353004485</v>
      </c>
      <c r="L136" s="81">
        <v>82200956.640677512</v>
      </c>
      <c r="M136" s="81">
        <v>83747821.631726891</v>
      </c>
      <c r="N136" s="81">
        <v>85289305.188720882</v>
      </c>
      <c r="O136" s="81">
        <v>86819922.466149077</v>
      </c>
      <c r="P136" s="81">
        <v>88334405.067962855</v>
      </c>
      <c r="Q136" s="81">
        <v>89447949.883324578</v>
      </c>
      <c r="R136" s="81">
        <v>90530402.43601802</v>
      </c>
      <c r="S136" s="81">
        <v>91577872.109187797</v>
      </c>
      <c r="T136" s="81">
        <v>92586841.496513292</v>
      </c>
      <c r="U136" s="81">
        <v>93554232.567741469</v>
      </c>
      <c r="V136" s="81">
        <v>94477378.668300927</v>
      </c>
      <c r="W136" s="81">
        <v>95354116.260295853</v>
      </c>
      <c r="X136" s="81">
        <v>96182708.462950692</v>
      </c>
      <c r="Y136" s="81">
        <v>96961887.936606675</v>
      </c>
      <c r="Z136" s="81">
        <v>97690951.027805537</v>
      </c>
      <c r="AA136" s="81">
        <v>98277940.543550014</v>
      </c>
      <c r="AB136" s="81">
        <v>98814715.627297267</v>
      </c>
      <c r="AC136" s="81">
        <v>99302330.267884567</v>
      </c>
      <c r="AD136" s="81">
        <v>99742427.360958636</v>
      </c>
      <c r="AE136" s="81">
        <v>100137283.29486944</v>
      </c>
      <c r="AF136" s="81">
        <v>100489801.79941329</v>
      </c>
      <c r="AG136" s="81">
        <v>100803454.61431971</v>
      </c>
      <c r="AH136" s="81">
        <v>101082456.19804199</v>
      </c>
      <c r="AI136" s="81">
        <v>101331679.8236987</v>
      </c>
      <c r="AJ136" s="81">
        <v>101556676.39236157</v>
      </c>
      <c r="AK136" s="81">
        <v>101787238.30803275</v>
      </c>
      <c r="AL136" s="81">
        <v>102006826.69138099</v>
      </c>
      <c r="AM136" s="81">
        <v>102223249.54888497</v>
      </c>
      <c r="AN136" s="81">
        <v>102445052.82195768</v>
      </c>
      <c r="AO136" s="81">
        <v>102681622.76724793</v>
      </c>
      <c r="AP136" s="81">
        <v>102943208.47344331</v>
      </c>
      <c r="AQ136" s="81">
        <v>103240860.61316921</v>
      </c>
      <c r="AR136" s="81">
        <v>103586507.9037627</v>
      </c>
      <c r="AS136" s="81">
        <v>103993007.64502507</v>
      </c>
      <c r="AT136" s="81">
        <v>104474083.36291987</v>
      </c>
    </row>
    <row r="137" spans="1:46" ht="15.75">
      <c r="A137" s="81" t="s">
        <v>450</v>
      </c>
      <c r="B137" s="80">
        <v>361100</v>
      </c>
      <c r="C137" s="80" t="s">
        <v>427</v>
      </c>
      <c r="D137" s="84" t="s">
        <v>698</v>
      </c>
      <c r="E137" s="81">
        <v>134294819.27538899</v>
      </c>
      <c r="F137" s="81">
        <v>137514005.96022624</v>
      </c>
      <c r="G137" s="81">
        <v>140057553.4333902</v>
      </c>
      <c r="H137" s="81">
        <v>142700211.87061894</v>
      </c>
      <c r="I137" s="81">
        <v>145426748.81345612</v>
      </c>
      <c r="J137" s="81">
        <v>148222113.69783917</v>
      </c>
      <c r="K137" s="81">
        <v>151071386.57381573</v>
      </c>
      <c r="L137" s="81">
        <v>153960062.9417628</v>
      </c>
      <c r="M137" s="81">
        <v>156873823.07856029</v>
      </c>
      <c r="N137" s="81">
        <v>159798890.85116896</v>
      </c>
      <c r="O137" s="81">
        <v>162721892.63704219</v>
      </c>
      <c r="P137" s="81">
        <v>165630014.70942652</v>
      </c>
      <c r="Q137" s="81">
        <v>167798671.90008041</v>
      </c>
      <c r="R137" s="81">
        <v>169918149.40506056</v>
      </c>
      <c r="S137" s="81">
        <v>171978578.12799454</v>
      </c>
      <c r="T137" s="81">
        <v>173970979.38197073</v>
      </c>
      <c r="U137" s="81">
        <v>175887359.59092742</v>
      </c>
      <c r="V137" s="81">
        <v>177720782.62088493</v>
      </c>
      <c r="W137" s="81">
        <v>179465418.36182708</v>
      </c>
      <c r="X137" s="81">
        <v>181116463.31183311</v>
      </c>
      <c r="Y137" s="81">
        <v>182670418.44399801</v>
      </c>
      <c r="Z137" s="81">
        <v>184124934.56303594</v>
      </c>
      <c r="AA137" s="81">
        <v>185305934.88485467</v>
      </c>
      <c r="AB137" s="81">
        <v>186386096.23837093</v>
      </c>
      <c r="AC137" s="81">
        <v>187367304.66757923</v>
      </c>
      <c r="AD137" s="81">
        <v>188252910.63399944</v>
      </c>
      <c r="AE137" s="81">
        <v>189047722.40404502</v>
      </c>
      <c r="AF137" s="81">
        <v>189758052.12222767</v>
      </c>
      <c r="AG137" s="81">
        <v>190391707.54946417</v>
      </c>
      <c r="AH137" s="81">
        <v>190958175.06884784</v>
      </c>
      <c r="AI137" s="81">
        <v>191468531.06080377</v>
      </c>
      <c r="AJ137" s="81">
        <v>191935571.7584607</v>
      </c>
      <c r="AK137" s="81">
        <v>192418241.94614452</v>
      </c>
      <c r="AL137" s="81">
        <v>192888332.79887745</v>
      </c>
      <c r="AM137" s="81">
        <v>193363986.0129762</v>
      </c>
      <c r="AN137" s="81">
        <v>193865306.79959428</v>
      </c>
      <c r="AO137" s="81">
        <v>194414302.18159029</v>
      </c>
      <c r="AP137" s="81">
        <v>195035018.86845943</v>
      </c>
      <c r="AQ137" s="81">
        <v>195753538.58904687</v>
      </c>
      <c r="AR137" s="81">
        <v>196598089.56749102</v>
      </c>
      <c r="AS137" s="81">
        <v>197599071.73424625</v>
      </c>
      <c r="AT137" s="81">
        <v>198789051.33458897</v>
      </c>
    </row>
    <row r="138" spans="1:46" ht="15.75">
      <c r="A138" s="81" t="s">
        <v>450</v>
      </c>
      <c r="B138" s="80">
        <v>370100</v>
      </c>
      <c r="C138" s="80" t="s">
        <v>145</v>
      </c>
      <c r="D138" s="84" t="s">
        <v>146</v>
      </c>
      <c r="E138" s="81">
        <v>273138801.62121463</v>
      </c>
      <c r="F138" s="81">
        <v>280838508.16628247</v>
      </c>
      <c r="G138" s="81">
        <v>286650114.39082038</v>
      </c>
      <c r="H138" s="81">
        <v>292191520.05475754</v>
      </c>
      <c r="I138" s="81">
        <v>297473915.91274643</v>
      </c>
      <c r="J138" s="81">
        <v>302508722.51467168</v>
      </c>
      <c r="K138" s="81">
        <v>307307478.92167646</v>
      </c>
      <c r="L138" s="81">
        <v>311881890.64721346</v>
      </c>
      <c r="M138" s="81">
        <v>316243717.07334614</v>
      </c>
      <c r="N138" s="81">
        <v>320404754.57153028</v>
      </c>
      <c r="O138" s="81">
        <v>324376752.703771</v>
      </c>
      <c r="P138" s="81">
        <v>328171396.47425473</v>
      </c>
      <c r="Q138" s="81">
        <v>328998465.75126195</v>
      </c>
      <c r="R138" s="81">
        <v>329664947.42132473</v>
      </c>
      <c r="S138" s="81">
        <v>330185715.47003639</v>
      </c>
      <c r="T138" s="81">
        <v>330574874.82236189</v>
      </c>
      <c r="U138" s="81">
        <v>330845671.61232775</v>
      </c>
      <c r="V138" s="81">
        <v>331010615.0678165</v>
      </c>
      <c r="W138" s="81">
        <v>331081281.36367959</v>
      </c>
      <c r="X138" s="81">
        <v>331068471.58347535</v>
      </c>
      <c r="Y138" s="81">
        <v>330982050.01352191</v>
      </c>
      <c r="Z138" s="81">
        <v>330830995.6880576</v>
      </c>
      <c r="AA138" s="81">
        <v>330716230.08209604</v>
      </c>
      <c r="AB138" s="81">
        <v>330551606.59984261</v>
      </c>
      <c r="AC138" s="81">
        <v>330343334.09921658</v>
      </c>
      <c r="AD138" s="81">
        <v>330096518.09334987</v>
      </c>
      <c r="AE138" s="81">
        <v>329815357.7373119</v>
      </c>
      <c r="AF138" s="81">
        <v>329503015.13276297</v>
      </c>
      <c r="AG138" s="81">
        <v>329161593.28022748</v>
      </c>
      <c r="AH138" s="81">
        <v>328792188.50666058</v>
      </c>
      <c r="AI138" s="81">
        <v>328394757.38989031</v>
      </c>
      <c r="AJ138" s="81">
        <v>327968244.01090097</v>
      </c>
      <c r="AK138" s="81">
        <v>327202314.80795115</v>
      </c>
      <c r="AL138" s="81">
        <v>326403042.66073316</v>
      </c>
      <c r="AM138" s="81">
        <v>325565973.91423893</v>
      </c>
      <c r="AN138" s="81">
        <v>324685462.3518306</v>
      </c>
      <c r="AO138" s="81">
        <v>323754766.52893859</v>
      </c>
      <c r="AP138" s="81">
        <v>322765881.24758488</v>
      </c>
      <c r="AQ138" s="81">
        <v>321709558.22819692</v>
      </c>
      <c r="AR138" s="81">
        <v>320575365.96960384</v>
      </c>
      <c r="AS138" s="81">
        <v>319351557.89717197</v>
      </c>
      <c r="AT138" s="81">
        <v>318025209.57047635</v>
      </c>
    </row>
    <row r="139" spans="1:46" ht="15.75">
      <c r="A139" s="81" t="s">
        <v>450</v>
      </c>
      <c r="B139" s="80">
        <v>370200</v>
      </c>
      <c r="C139" s="80" t="s">
        <v>145</v>
      </c>
      <c r="D139" s="84" t="s">
        <v>147</v>
      </c>
      <c r="E139" s="81">
        <v>271009446.28384244</v>
      </c>
      <c r="F139" s="81">
        <v>278140842.34457654</v>
      </c>
      <c r="G139" s="81">
        <v>283442847.69626498</v>
      </c>
      <c r="H139" s="81">
        <v>288516538.2676245</v>
      </c>
      <c r="I139" s="81">
        <v>293368764.72283363</v>
      </c>
      <c r="J139" s="81">
        <v>298006610.10370737</v>
      </c>
      <c r="K139" s="81">
        <v>302437419.87127662</v>
      </c>
      <c r="L139" s="81">
        <v>306668686.53948683</v>
      </c>
      <c r="M139" s="81">
        <v>310708078.25688684</v>
      </c>
      <c r="N139" s="81">
        <v>314563318.14372504</v>
      </c>
      <c r="O139" s="81">
        <v>318242304.50011849</v>
      </c>
      <c r="P139" s="81">
        <v>321752959.16267562</v>
      </c>
      <c r="Q139" s="81">
        <v>323728972.47649235</v>
      </c>
      <c r="R139" s="81">
        <v>325551449.55798668</v>
      </c>
      <c r="S139" s="81">
        <v>327230206.90696084</v>
      </c>
      <c r="T139" s="81">
        <v>328774692.17596596</v>
      </c>
      <c r="U139" s="81">
        <v>330194153.39197558</v>
      </c>
      <c r="V139" s="81">
        <v>331497454.3261106</v>
      </c>
      <c r="W139" s="81">
        <v>332693214.27468842</v>
      </c>
      <c r="X139" s="81">
        <v>333789620.21998161</v>
      </c>
      <c r="Y139" s="81">
        <v>334794467.27517724</v>
      </c>
      <c r="Z139" s="81">
        <v>335715236.02957964</v>
      </c>
      <c r="AA139" s="81">
        <v>336245026.53402895</v>
      </c>
      <c r="AB139" s="81">
        <v>336705861.80611581</v>
      </c>
      <c r="AC139" s="81">
        <v>337104016.72908318</v>
      </c>
      <c r="AD139" s="81">
        <v>337445122.96009958</v>
      </c>
      <c r="AE139" s="81">
        <v>337734353.48708522</v>
      </c>
      <c r="AF139" s="81">
        <v>337976225.32554358</v>
      </c>
      <c r="AG139" s="81">
        <v>338174716.19816822</v>
      </c>
      <c r="AH139" s="81">
        <v>338333206.9598332</v>
      </c>
      <c r="AI139" s="81">
        <v>338454313.78017253</v>
      </c>
      <c r="AJ139" s="81">
        <v>338540078.60265946</v>
      </c>
      <c r="AK139" s="81">
        <v>338445753.35899889</v>
      </c>
      <c r="AL139" s="81">
        <v>338319134.56508756</v>
      </c>
      <c r="AM139" s="81">
        <v>338160067.54635555</v>
      </c>
      <c r="AN139" s="81">
        <v>337967654.0288378</v>
      </c>
      <c r="AO139" s="81">
        <v>337740229.21732551</v>
      </c>
      <c r="AP139" s="81">
        <v>337475300.85970205</v>
      </c>
      <c r="AQ139" s="81">
        <v>337169600.81598228</v>
      </c>
      <c r="AR139" s="81">
        <v>336818871.32737756</v>
      </c>
      <c r="AS139" s="81">
        <v>336418067.59038335</v>
      </c>
      <c r="AT139" s="81">
        <v>335961181.15894592</v>
      </c>
    </row>
    <row r="140" spans="1:46" ht="15.75">
      <c r="A140" s="81" t="s">
        <v>450</v>
      </c>
      <c r="B140" s="80">
        <v>370300</v>
      </c>
      <c r="C140" s="80" t="s">
        <v>145</v>
      </c>
      <c r="D140" s="84" t="s">
        <v>148</v>
      </c>
      <c r="E140" s="81">
        <v>122592057.97838713</v>
      </c>
      <c r="F140" s="81">
        <v>125599154.70321456</v>
      </c>
      <c r="G140" s="81">
        <v>127815315.62790699</v>
      </c>
      <c r="H140" s="81">
        <v>129960368.49017474</v>
      </c>
      <c r="I140" s="81">
        <v>132033035.96050982</v>
      </c>
      <c r="J140" s="81">
        <v>134032129.31033449</v>
      </c>
      <c r="K140" s="81">
        <v>135956721.00018862</v>
      </c>
      <c r="L140" s="81">
        <v>137806041.61731791</v>
      </c>
      <c r="M140" s="81">
        <v>139579485.12092131</v>
      </c>
      <c r="N140" s="81">
        <v>141276673.42170852</v>
      </c>
      <c r="O140" s="81">
        <v>142897405.44583032</v>
      </c>
      <c r="P140" s="81">
        <v>144441723.35379699</v>
      </c>
      <c r="Q140" s="81">
        <v>145293021.64588702</v>
      </c>
      <c r="R140" s="81">
        <v>146068458.64460278</v>
      </c>
      <c r="S140" s="81">
        <v>146769638.01274434</v>
      </c>
      <c r="T140" s="81">
        <v>147398418.11981598</v>
      </c>
      <c r="U140" s="81">
        <v>147956761.17161188</v>
      </c>
      <c r="V140" s="81">
        <v>148446893.79436162</v>
      </c>
      <c r="W140" s="81">
        <v>148871218.0266366</v>
      </c>
      <c r="X140" s="81">
        <v>149232412.23196277</v>
      </c>
      <c r="Y140" s="81">
        <v>149533242.68461376</v>
      </c>
      <c r="Z140" s="81">
        <v>149776793.92970264</v>
      </c>
      <c r="AA140" s="81">
        <v>149826453.92250821</v>
      </c>
      <c r="AB140" s="81">
        <v>149826737.20964688</v>
      </c>
      <c r="AC140" s="81">
        <v>149781437.69620231</v>
      </c>
      <c r="AD140" s="81">
        <v>149694674.23731911</v>
      </c>
      <c r="AE140" s="81">
        <v>149570694.2373172</v>
      </c>
      <c r="AF140" s="81">
        <v>149414011.93087336</v>
      </c>
      <c r="AG140" s="81">
        <v>149229414.12621686</v>
      </c>
      <c r="AH140" s="81">
        <v>149021896.48362088</v>
      </c>
      <c r="AI140" s="81">
        <v>148796667.02095577</v>
      </c>
      <c r="AJ140" s="81">
        <v>148559220.08658293</v>
      </c>
      <c r="AK140" s="81">
        <v>148349508.45295903</v>
      </c>
      <c r="AL140" s="81">
        <v>148139002.17886975</v>
      </c>
      <c r="AM140" s="81">
        <v>147933879.82271761</v>
      </c>
      <c r="AN140" s="81">
        <v>147740702.65761775</v>
      </c>
      <c r="AO140" s="81">
        <v>147566314.09262344</v>
      </c>
      <c r="AP140" s="81">
        <v>147417734.72522348</v>
      </c>
      <c r="AQ140" s="81">
        <v>147302422.35691324</v>
      </c>
      <c r="AR140" s="81">
        <v>147227947.45502982</v>
      </c>
      <c r="AS140" s="81">
        <v>147202366.52558029</v>
      </c>
      <c r="AT140" s="81">
        <v>147233856.74353686</v>
      </c>
    </row>
    <row r="141" spans="1:46" ht="15.75">
      <c r="A141" s="81" t="s">
        <v>450</v>
      </c>
      <c r="B141" s="80">
        <v>370400</v>
      </c>
      <c r="C141" s="80" t="s">
        <v>145</v>
      </c>
      <c r="D141" s="84" t="s">
        <v>149</v>
      </c>
      <c r="E141" s="81">
        <v>80856668.811198711</v>
      </c>
      <c r="F141" s="81">
        <v>83019842.510101885</v>
      </c>
      <c r="G141" s="81">
        <v>84677148.774492308</v>
      </c>
      <c r="H141" s="81">
        <v>86302852.05347909</v>
      </c>
      <c r="I141" s="81">
        <v>87895637.149133474</v>
      </c>
      <c r="J141" s="81">
        <v>89454225.644827545</v>
      </c>
      <c r="K141" s="81">
        <v>90977446.79023537</v>
      </c>
      <c r="L141" s="81">
        <v>92464267.168887824</v>
      </c>
      <c r="M141" s="81">
        <v>93913704.228350446</v>
      </c>
      <c r="N141" s="81">
        <v>95324900.0199835</v>
      </c>
      <c r="O141" s="81">
        <v>96697103.574843407</v>
      </c>
      <c r="P141" s="81">
        <v>98029700.560659662</v>
      </c>
      <c r="Q141" s="81">
        <v>98902328.288993835</v>
      </c>
      <c r="R141" s="81">
        <v>99731863.14614664</v>
      </c>
      <c r="S141" s="81">
        <v>100518618.78869402</v>
      </c>
      <c r="T141" s="81">
        <v>101263099.07756558</v>
      </c>
      <c r="U141" s="81">
        <v>101965877.02074206</v>
      </c>
      <c r="V141" s="81">
        <v>102627724.90071248</v>
      </c>
      <c r="W141" s="81">
        <v>103249465.34304032</v>
      </c>
      <c r="X141" s="81">
        <v>103832102.52899161</v>
      </c>
      <c r="Y141" s="81">
        <v>104376827.89582746</v>
      </c>
      <c r="Z141" s="81">
        <v>104884893.15546751</v>
      </c>
      <c r="AA141" s="81">
        <v>105259488.53010377</v>
      </c>
      <c r="AB141" s="81">
        <v>105600611.23175596</v>
      </c>
      <c r="AC141" s="81">
        <v>105910117.93450241</v>
      </c>
      <c r="AD141" s="81">
        <v>106189984.31993999</v>
      </c>
      <c r="AE141" s="81">
        <v>106442389.91352087</v>
      </c>
      <c r="AF141" s="81">
        <v>106669612.70544191</v>
      </c>
      <c r="AG141" s="81">
        <v>106874142.06886092</v>
      </c>
      <c r="AH141" s="81">
        <v>107058628.01042613</v>
      </c>
      <c r="AI141" s="81">
        <v>107225884.64553669</v>
      </c>
      <c r="AJ141" s="81">
        <v>107378893.70148936</v>
      </c>
      <c r="AK141" s="81">
        <v>107545656.76185483</v>
      </c>
      <c r="AL141" s="81">
        <v>107704607.1015514</v>
      </c>
      <c r="AM141" s="81">
        <v>107859278.87947638</v>
      </c>
      <c r="AN141" s="81">
        <v>108013421.54441218</v>
      </c>
      <c r="AO141" s="81">
        <v>108170945.85097072</v>
      </c>
      <c r="AP141" s="81">
        <v>108335985.88405538</v>
      </c>
      <c r="AQ141" s="81">
        <v>108512933.71070082</v>
      </c>
      <c r="AR141" s="81">
        <v>108706295.3374882</v>
      </c>
      <c r="AS141" s="81">
        <v>108920872.7814879</v>
      </c>
      <c r="AT141" s="81">
        <v>109161619.08879898</v>
      </c>
    </row>
    <row r="142" spans="1:46" ht="15.75">
      <c r="A142" s="81" t="s">
        <v>450</v>
      </c>
      <c r="B142" s="80">
        <v>370500</v>
      </c>
      <c r="C142" s="80" t="s">
        <v>145</v>
      </c>
      <c r="D142" s="84" t="s">
        <v>150</v>
      </c>
      <c r="E142" s="81">
        <v>55143632.656844243</v>
      </c>
      <c r="F142" s="81">
        <v>56541777.304839015</v>
      </c>
      <c r="G142" s="81">
        <v>57583676.2398469</v>
      </c>
      <c r="H142" s="81">
        <v>58593727.043234438</v>
      </c>
      <c r="I142" s="81">
        <v>59571961.529487438</v>
      </c>
      <c r="J142" s="81">
        <v>60518403.19281587</v>
      </c>
      <c r="K142" s="81">
        <v>61433200.607349917</v>
      </c>
      <c r="L142" s="81">
        <v>62316492.497908443</v>
      </c>
      <c r="M142" s="81">
        <v>63168488.142610386</v>
      </c>
      <c r="N142" s="81">
        <v>63989439.724566668</v>
      </c>
      <c r="O142" s="81">
        <v>64779699.445622645</v>
      </c>
      <c r="P142" s="81">
        <v>65539575.587269902</v>
      </c>
      <c r="Q142" s="81">
        <v>65989332.292674907</v>
      </c>
      <c r="R142" s="81">
        <v>66408985.974648416</v>
      </c>
      <c r="S142" s="81">
        <v>66799344.870315611</v>
      </c>
      <c r="T142" s="81">
        <v>67161352.924152523</v>
      </c>
      <c r="U142" s="81">
        <v>67495941.1655128</v>
      </c>
      <c r="V142" s="81">
        <v>67804056.561430976</v>
      </c>
      <c r="W142" s="81">
        <v>68086630.235182956</v>
      </c>
      <c r="X142" s="81">
        <v>68344700.62033613</v>
      </c>
      <c r="Y142" s="81">
        <v>68579258.726300657</v>
      </c>
      <c r="Z142" s="81">
        <v>68791340.234155595</v>
      </c>
      <c r="AA142" s="81">
        <v>68917661.616689622</v>
      </c>
      <c r="AB142" s="81">
        <v>69023995.337688044</v>
      </c>
      <c r="AC142" s="81">
        <v>69111399.28559795</v>
      </c>
      <c r="AD142" s="81">
        <v>69181098.601503432</v>
      </c>
      <c r="AE142" s="81">
        <v>69234260.26697652</v>
      </c>
      <c r="AF142" s="81">
        <v>69272023.224910334</v>
      </c>
      <c r="AG142" s="81">
        <v>69295629.793610051</v>
      </c>
      <c r="AH142" s="81">
        <v>69306226.910516053</v>
      </c>
      <c r="AI142" s="81">
        <v>69305098.411959976</v>
      </c>
      <c r="AJ142" s="81">
        <v>69293430.698239788</v>
      </c>
      <c r="AK142" s="81">
        <v>69288470.546303108</v>
      </c>
      <c r="AL142" s="81">
        <v>69275365.202945843</v>
      </c>
      <c r="AM142" s="81">
        <v>69255335.64697133</v>
      </c>
      <c r="AN142" s="81">
        <v>69229638.400761649</v>
      </c>
      <c r="AO142" s="81">
        <v>69199601.014821038</v>
      </c>
      <c r="AP142" s="81">
        <v>69166446.454785869</v>
      </c>
      <c r="AQ142" s="81">
        <v>69131466.930908456</v>
      </c>
      <c r="AR142" s="81">
        <v>69095989.475055918</v>
      </c>
      <c r="AS142" s="81">
        <v>69061267.804066524</v>
      </c>
      <c r="AT142" s="81">
        <v>69028660.894949973</v>
      </c>
    </row>
    <row r="143" spans="1:46" ht="15.75">
      <c r="A143" s="81" t="s">
        <v>450</v>
      </c>
      <c r="B143" s="80">
        <v>370600</v>
      </c>
      <c r="C143" s="80" t="s">
        <v>145</v>
      </c>
      <c r="D143" s="84" t="s">
        <v>151</v>
      </c>
      <c r="E143" s="81">
        <v>166531495.74811658</v>
      </c>
      <c r="F143" s="81">
        <v>170756160.07927611</v>
      </c>
      <c r="G143" s="81">
        <v>173805055.27376035</v>
      </c>
      <c r="H143" s="81">
        <v>176663902.6392321</v>
      </c>
      <c r="I143" s="81">
        <v>179338925.3205336</v>
      </c>
      <c r="J143" s="81">
        <v>181836517.45273659</v>
      </c>
      <c r="K143" s="81">
        <v>184163398.27139848</v>
      </c>
      <c r="L143" s="81">
        <v>186326363.37775549</v>
      </c>
      <c r="M143" s="81">
        <v>188332465.67680266</v>
      </c>
      <c r="N143" s="81">
        <v>190188891.60863197</v>
      </c>
      <c r="O143" s="81">
        <v>191902937.05318198</v>
      </c>
      <c r="P143" s="81">
        <v>193481982.79893515</v>
      </c>
      <c r="Q143" s="81">
        <v>194109505.79266229</v>
      </c>
      <c r="R143" s="81">
        <v>194621299.31310698</v>
      </c>
      <c r="S143" s="81">
        <v>195026219.37986064</v>
      </c>
      <c r="T143" s="81">
        <v>195332937.22084314</v>
      </c>
      <c r="U143" s="81">
        <v>195550006.69282147</v>
      </c>
      <c r="V143" s="81">
        <v>195685677.04171443</v>
      </c>
      <c r="W143" s="81">
        <v>195748044.66164491</v>
      </c>
      <c r="X143" s="81">
        <v>195744950.19377884</v>
      </c>
      <c r="Y143" s="81">
        <v>195683988.92557666</v>
      </c>
      <c r="Z143" s="81">
        <v>195572492.69073391</v>
      </c>
      <c r="AA143" s="81">
        <v>195235206.34722465</v>
      </c>
      <c r="AB143" s="81">
        <v>194863236.42692867</v>
      </c>
      <c r="AC143" s="81">
        <v>194463003.9099285</v>
      </c>
      <c r="AD143" s="81">
        <v>194040627.46471328</v>
      </c>
      <c r="AE143" s="81">
        <v>193601693.74694034</v>
      </c>
      <c r="AF143" s="81">
        <v>193151512.89411944</v>
      </c>
      <c r="AG143" s="81">
        <v>192694887.61492863</v>
      </c>
      <c r="AH143" s="81">
        <v>192236248.92588148</v>
      </c>
      <c r="AI143" s="81">
        <v>191779482.88655746</v>
      </c>
      <c r="AJ143" s="81">
        <v>191328036.31818789</v>
      </c>
      <c r="AK143" s="81">
        <v>190928963.5417597</v>
      </c>
      <c r="AL143" s="81">
        <v>190540096.38585681</v>
      </c>
      <c r="AM143" s="81">
        <v>190163341.99257904</v>
      </c>
      <c r="AN143" s="81">
        <v>189800063.66810068</v>
      </c>
      <c r="AO143" s="81">
        <v>189451028.45276219</v>
      </c>
      <c r="AP143" s="81">
        <v>189116419.2391738</v>
      </c>
      <c r="AQ143" s="81">
        <v>188795781.48981914</v>
      </c>
      <c r="AR143" s="81">
        <v>188488068.87479103</v>
      </c>
      <c r="AS143" s="81">
        <v>188191556.54438427</v>
      </c>
      <c r="AT143" s="81">
        <v>187903819.38460389</v>
      </c>
    </row>
    <row r="144" spans="1:46" ht="15.75">
      <c r="A144" s="81" t="s">
        <v>450</v>
      </c>
      <c r="B144" s="80">
        <v>370700</v>
      </c>
      <c r="C144" s="80" t="s">
        <v>145</v>
      </c>
      <c r="D144" s="84" t="s">
        <v>152</v>
      </c>
      <c r="E144" s="81">
        <v>206540567.46094081</v>
      </c>
      <c r="F144" s="81">
        <v>211642230.97377208</v>
      </c>
      <c r="G144" s="81">
        <v>215422352.19816512</v>
      </c>
      <c r="H144" s="81">
        <v>219093871.07522798</v>
      </c>
      <c r="I144" s="81">
        <v>222654816.92650989</v>
      </c>
      <c r="J144" s="81">
        <v>226103479.08079526</v>
      </c>
      <c r="K144" s="81">
        <v>229438368.73423687</v>
      </c>
      <c r="L144" s="81">
        <v>232658347.98811549</v>
      </c>
      <c r="M144" s="81">
        <v>235762447.05149898</v>
      </c>
      <c r="N144" s="81">
        <v>238750117.05508712</v>
      </c>
      <c r="O144" s="81">
        <v>241621020.24637169</v>
      </c>
      <c r="P144" s="81">
        <v>244375188.21951199</v>
      </c>
      <c r="Q144" s="81">
        <v>245968728.58491132</v>
      </c>
      <c r="R144" s="81">
        <v>247444929.28883895</v>
      </c>
      <c r="S144" s="81">
        <v>248806241.15962127</v>
      </c>
      <c r="T144" s="81">
        <v>250055451.93528464</v>
      </c>
      <c r="U144" s="81">
        <v>251195641.89738175</v>
      </c>
      <c r="V144" s="81">
        <v>252230110.08752453</v>
      </c>
      <c r="W144" s="81">
        <v>253162568.2353099</v>
      </c>
      <c r="X144" s="81">
        <v>253996905.88792557</v>
      </c>
      <c r="Y144" s="81">
        <v>254737440.46588868</v>
      </c>
      <c r="Z144" s="81">
        <v>255388762.03806102</v>
      </c>
      <c r="AA144" s="81">
        <v>255717063.2883895</v>
      </c>
      <c r="AB144" s="81">
        <v>255967718.32339418</v>
      </c>
      <c r="AC144" s="81">
        <v>256146579.09373182</v>
      </c>
      <c r="AD144" s="81">
        <v>256259658.29653344</v>
      </c>
      <c r="AE144" s="81">
        <v>256313475.23154765</v>
      </c>
      <c r="AF144" s="81">
        <v>256314749.62540737</v>
      </c>
      <c r="AG144" s="81">
        <v>256270607.4362115</v>
      </c>
      <c r="AH144" s="81">
        <v>256188501.39273351</v>
      </c>
      <c r="AI144" s="81">
        <v>256076246.24791703</v>
      </c>
      <c r="AJ144" s="81">
        <v>255942055.25570628</v>
      </c>
      <c r="AK144" s="81">
        <v>255853505.73019445</v>
      </c>
      <c r="AL144" s="81">
        <v>255760028.25650844</v>
      </c>
      <c r="AM144" s="81">
        <v>255670931.14331692</v>
      </c>
      <c r="AN144" s="81">
        <v>255595926.8295252</v>
      </c>
      <c r="AO144" s="81">
        <v>255545139.16762805</v>
      </c>
      <c r="AP144" s="81">
        <v>255529110.75913742</v>
      </c>
      <c r="AQ144" s="81">
        <v>255558779.14846018</v>
      </c>
      <c r="AR144" s="81">
        <v>255645514.61681268</v>
      </c>
      <c r="AS144" s="81">
        <v>255801159.28088596</v>
      </c>
      <c r="AT144" s="81">
        <v>256037940.21016681</v>
      </c>
    </row>
    <row r="145" spans="1:46" ht="15.75">
      <c r="A145" s="81" t="s">
        <v>450</v>
      </c>
      <c r="B145" s="80">
        <v>370800</v>
      </c>
      <c r="C145" s="80" t="s">
        <v>145</v>
      </c>
      <c r="D145" s="84" t="s">
        <v>153</v>
      </c>
      <c r="E145" s="81">
        <v>175036586.83582497</v>
      </c>
      <c r="F145" s="81">
        <v>179264705.18970898</v>
      </c>
      <c r="G145" s="81">
        <v>182432578.27943918</v>
      </c>
      <c r="H145" s="81">
        <v>185565591.10695615</v>
      </c>
      <c r="I145" s="81">
        <v>188659390.04450965</v>
      </c>
      <c r="J145" s="81">
        <v>191709770.5671145</v>
      </c>
      <c r="K145" s="81">
        <v>194712648.03484869</v>
      </c>
      <c r="L145" s="81">
        <v>197664141.22209886</v>
      </c>
      <c r="M145" s="81">
        <v>200560520.35320613</v>
      </c>
      <c r="N145" s="81">
        <v>203398269.06551042</v>
      </c>
      <c r="O145" s="81">
        <v>206174005.51353854</v>
      </c>
      <c r="P145" s="81">
        <v>208884713.86044279</v>
      </c>
      <c r="Q145" s="81">
        <v>210633278.47271574</v>
      </c>
      <c r="R145" s="81">
        <v>212306485.16789842</v>
      </c>
      <c r="S145" s="81">
        <v>213903082.69194952</v>
      </c>
      <c r="T145" s="81">
        <v>215422030.59435603</v>
      </c>
      <c r="U145" s="81">
        <v>216862685.50212884</v>
      </c>
      <c r="V145" s="81">
        <v>218224662.91038254</v>
      </c>
      <c r="W145" s="81">
        <v>219507924.25092432</v>
      </c>
      <c r="X145" s="81">
        <v>220712737.5854052</v>
      </c>
      <c r="Y145" s="81">
        <v>221839740.92217511</v>
      </c>
      <c r="Z145" s="81">
        <v>222889955.23337209</v>
      </c>
      <c r="AA145" s="81">
        <v>223655942.42166945</v>
      </c>
      <c r="AB145" s="81">
        <v>224348623.05962476</v>
      </c>
      <c r="AC145" s="81">
        <v>224970354.99977538</v>
      </c>
      <c r="AD145" s="81">
        <v>225523862.30181625</v>
      </c>
      <c r="AE145" s="81">
        <v>226012300.0617688</v>
      </c>
      <c r="AF145" s="81">
        <v>226439211.36802399</v>
      </c>
      <c r="AG145" s="81">
        <v>226808648.53710657</v>
      </c>
      <c r="AH145" s="81">
        <v>227124991.80092478</v>
      </c>
      <c r="AI145" s="81">
        <v>227393181.86780408</v>
      </c>
      <c r="AJ145" s="81">
        <v>227618565.43487146</v>
      </c>
      <c r="AK145" s="81">
        <v>227859577.39096928</v>
      </c>
      <c r="AL145" s="81">
        <v>228069657.57956457</v>
      </c>
      <c r="AM145" s="81">
        <v>228255650.92476374</v>
      </c>
      <c r="AN145" s="81">
        <v>228424860.88689464</v>
      </c>
      <c r="AO145" s="81">
        <v>228585177.13115349</v>
      </c>
      <c r="AP145" s="81">
        <v>228745031.19689032</v>
      </c>
      <c r="AQ145" s="81">
        <v>228913349.90846527</v>
      </c>
      <c r="AR145" s="81">
        <v>229099685.73824322</v>
      </c>
      <c r="AS145" s="81">
        <v>229314201.69836611</v>
      </c>
      <c r="AT145" s="81">
        <v>229567594.60737026</v>
      </c>
    </row>
    <row r="146" spans="1:46" ht="15.75">
      <c r="A146" s="81" t="s">
        <v>450</v>
      </c>
      <c r="B146" s="80">
        <v>370900</v>
      </c>
      <c r="C146" s="80" t="s">
        <v>145</v>
      </c>
      <c r="D146" s="84" t="s">
        <v>154</v>
      </c>
      <c r="E146" s="81">
        <v>122392838.95587173</v>
      </c>
      <c r="F146" s="81">
        <v>125269537.08402911</v>
      </c>
      <c r="G146" s="81">
        <v>127365361.14124148</v>
      </c>
      <c r="H146" s="81">
        <v>129399897.93095191</v>
      </c>
      <c r="I146" s="81">
        <v>131372842.3057577</v>
      </c>
      <c r="J146" s="81">
        <v>133283911.1356914</v>
      </c>
      <c r="K146" s="81">
        <v>135132936.54631326</v>
      </c>
      <c r="L146" s="81">
        <v>136919867.57936221</v>
      </c>
      <c r="M146" s="81">
        <v>138644771.85340735</v>
      </c>
      <c r="N146" s="81">
        <v>140307786.39625403</v>
      </c>
      <c r="O146" s="81">
        <v>141909141.82598838</v>
      </c>
      <c r="P146" s="81">
        <v>143449240.54347369</v>
      </c>
      <c r="Q146" s="81">
        <v>144315870.10233811</v>
      </c>
      <c r="R146" s="81">
        <v>145121817.67915076</v>
      </c>
      <c r="S146" s="81">
        <v>145868529.74854952</v>
      </c>
      <c r="T146" s="81">
        <v>146557509.57161391</v>
      </c>
      <c r="U146" s="81">
        <v>147190317.00662279</v>
      </c>
      <c r="V146" s="81">
        <v>147768595.65589723</v>
      </c>
      <c r="W146" s="81">
        <v>148294073.74110407</v>
      </c>
      <c r="X146" s="81">
        <v>148768481.62477022</v>
      </c>
      <c r="Y146" s="81">
        <v>149193689.41463938</v>
      </c>
      <c r="Z146" s="81">
        <v>149571625.34411728</v>
      </c>
      <c r="AA146" s="81">
        <v>149764418.64209017</v>
      </c>
      <c r="AB146" s="81">
        <v>149914802.65766037</v>
      </c>
      <c r="AC146" s="81">
        <v>150024951.63156754</v>
      </c>
      <c r="AD146" s="81">
        <v>150097173.22189236</v>
      </c>
      <c r="AE146" s="81">
        <v>150133794.33443865</v>
      </c>
      <c r="AF146" s="81">
        <v>150137248.03309387</v>
      </c>
      <c r="AG146" s="81">
        <v>150109927.20688647</v>
      </c>
      <c r="AH146" s="81">
        <v>150054389.85632458</v>
      </c>
      <c r="AI146" s="81">
        <v>149973212.75057113</v>
      </c>
      <c r="AJ146" s="81">
        <v>149869050.49270079</v>
      </c>
      <c r="AK146" s="81">
        <v>149779112.02291825</v>
      </c>
      <c r="AL146" s="81">
        <v>149671314.54520601</v>
      </c>
      <c r="AM146" s="81">
        <v>149548478.90866587</v>
      </c>
      <c r="AN146" s="81">
        <v>149413476.50754645</v>
      </c>
      <c r="AO146" s="81">
        <v>149269228.91751316</v>
      </c>
      <c r="AP146" s="81">
        <v>149118738.97916958</v>
      </c>
      <c r="AQ146" s="81">
        <v>148965059.80464041</v>
      </c>
      <c r="AR146" s="81">
        <v>148811326.27234188</v>
      </c>
      <c r="AS146" s="81">
        <v>148660691.50285488</v>
      </c>
      <c r="AT146" s="81">
        <v>148516454.62960169</v>
      </c>
    </row>
    <row r="147" spans="1:46" ht="15.75">
      <c r="A147" s="81" t="s">
        <v>450</v>
      </c>
      <c r="B147" s="80">
        <v>371000</v>
      </c>
      <c r="C147" s="80" t="s">
        <v>145</v>
      </c>
      <c r="D147" s="84" t="s">
        <v>155</v>
      </c>
      <c r="E147" s="81">
        <v>71240759.770761222</v>
      </c>
      <c r="F147" s="81">
        <v>73073717.302127123</v>
      </c>
      <c r="G147" s="81">
        <v>74391544.225942358</v>
      </c>
      <c r="H147" s="81">
        <v>75616796.853834838</v>
      </c>
      <c r="I147" s="81">
        <v>76753052.002234206</v>
      </c>
      <c r="J147" s="81">
        <v>77803964.034666613</v>
      </c>
      <c r="K147" s="81">
        <v>78773250.527215213</v>
      </c>
      <c r="L147" s="81">
        <v>79664759.302674085</v>
      </c>
      <c r="M147" s="81">
        <v>80482403.695368975</v>
      </c>
      <c r="N147" s="81">
        <v>81230121.317963213</v>
      </c>
      <c r="O147" s="81">
        <v>81911915.265951902</v>
      </c>
      <c r="P147" s="81">
        <v>82531870.694731504</v>
      </c>
      <c r="Q147" s="81">
        <v>82742705.505254522</v>
      </c>
      <c r="R147" s="81">
        <v>82902053.335314304</v>
      </c>
      <c r="S147" s="81">
        <v>83014576.584292129</v>
      </c>
      <c r="T147" s="81">
        <v>83084673.958864853</v>
      </c>
      <c r="U147" s="81">
        <v>83116762.422588721</v>
      </c>
      <c r="V147" s="81">
        <v>83115092.656911314</v>
      </c>
      <c r="W147" s="81">
        <v>83083707.223879352</v>
      </c>
      <c r="X147" s="81">
        <v>83026549.720811248</v>
      </c>
      <c r="Y147" s="81">
        <v>82947425.773721531</v>
      </c>
      <c r="Z147" s="81">
        <v>82849931.474172041</v>
      </c>
      <c r="AA147" s="81">
        <v>82660311.911542341</v>
      </c>
      <c r="AB147" s="81">
        <v>82459950.403121188</v>
      </c>
      <c r="AC147" s="81">
        <v>82251849.130271405</v>
      </c>
      <c r="AD147" s="81">
        <v>82038871.547947615</v>
      </c>
      <c r="AE147" s="81">
        <v>81823510.998962596</v>
      </c>
      <c r="AF147" s="81">
        <v>81608102.204882726</v>
      </c>
      <c r="AG147" s="81">
        <v>81394749.176931515</v>
      </c>
      <c r="AH147" s="81">
        <v>81185184.971376672</v>
      </c>
      <c r="AI147" s="81">
        <v>80980955.553263739</v>
      </c>
      <c r="AJ147" s="81">
        <v>80783312.937877446</v>
      </c>
      <c r="AK147" s="81">
        <v>80611741.796070769</v>
      </c>
      <c r="AL147" s="81">
        <v>80448060.760875612</v>
      </c>
      <c r="AM147" s="81">
        <v>80292615.471645758</v>
      </c>
      <c r="AN147" s="81">
        <v>80145346.592697784</v>
      </c>
      <c r="AO147" s="81">
        <v>80005878.88336283</v>
      </c>
      <c r="AP147" s="81">
        <v>79873545.211890966</v>
      </c>
      <c r="AQ147" s="81">
        <v>79747203.163871467</v>
      </c>
      <c r="AR147" s="81">
        <v>79625394.711941436</v>
      </c>
      <c r="AS147" s="81">
        <v>79506301.264387608</v>
      </c>
      <c r="AT147" s="81">
        <v>79387661.720171779</v>
      </c>
    </row>
    <row r="148" spans="1:46" ht="15.75">
      <c r="A148" s="81" t="s">
        <v>450</v>
      </c>
      <c r="B148" s="80">
        <v>371100</v>
      </c>
      <c r="C148" s="80" t="s">
        <v>145</v>
      </c>
      <c r="D148" s="84" t="s">
        <v>156</v>
      </c>
      <c r="E148" s="81">
        <v>63993623.886649057</v>
      </c>
      <c r="F148" s="81">
        <v>65477739.665548772</v>
      </c>
      <c r="G148" s="81">
        <v>66570265.462640792</v>
      </c>
      <c r="H148" s="81">
        <v>67645640.877789855</v>
      </c>
      <c r="I148" s="81">
        <v>68701891.840840682</v>
      </c>
      <c r="J148" s="81">
        <v>69737077.697585866</v>
      </c>
      <c r="K148" s="81">
        <v>70749367.424122319</v>
      </c>
      <c r="L148" s="81">
        <v>71737073.678247526</v>
      </c>
      <c r="M148" s="81">
        <v>72698519.572165713</v>
      </c>
      <c r="N148" s="81">
        <v>73632212.87510705</v>
      </c>
      <c r="O148" s="81">
        <v>74536785.276603669</v>
      </c>
      <c r="P148" s="81">
        <v>75410976.458399758</v>
      </c>
      <c r="Q148" s="81">
        <v>75931343.766686961</v>
      </c>
      <c r="R148" s="81">
        <v>76418477.784679621</v>
      </c>
      <c r="S148" s="81">
        <v>76872057.522250563</v>
      </c>
      <c r="T148" s="81">
        <v>77291876.087521061</v>
      </c>
      <c r="U148" s="81">
        <v>77677897.297390819</v>
      </c>
      <c r="V148" s="81">
        <v>78030314.84375228</v>
      </c>
      <c r="W148" s="81">
        <v>78349428.105740488</v>
      </c>
      <c r="X148" s="81">
        <v>78635833.022833407</v>
      </c>
      <c r="Y148" s="81">
        <v>78890217.103644162</v>
      </c>
      <c r="Z148" s="81">
        <v>79113525.130804062</v>
      </c>
      <c r="AA148" s="81">
        <v>79232979.386272699</v>
      </c>
      <c r="AB148" s="81">
        <v>79324280.182188615</v>
      </c>
      <c r="AC148" s="81">
        <v>79389150.746786967</v>
      </c>
      <c r="AD148" s="81">
        <v>79429456.162335232</v>
      </c>
      <c r="AE148" s="81">
        <v>79447319.292013362</v>
      </c>
      <c r="AF148" s="81">
        <v>79445099.652254879</v>
      </c>
      <c r="AG148" s="81">
        <v>79425428.249730051</v>
      </c>
      <c r="AH148" s="81">
        <v>79391128.768574163</v>
      </c>
      <c r="AI148" s="81">
        <v>79345337.708428726</v>
      </c>
      <c r="AJ148" s="81">
        <v>79291425.494726107</v>
      </c>
      <c r="AK148" s="81">
        <v>79251350.813452378</v>
      </c>
      <c r="AL148" s="81">
        <v>79210589.794046506</v>
      </c>
      <c r="AM148" s="81">
        <v>79173314.017679468</v>
      </c>
      <c r="AN148" s="81">
        <v>79144076.797123253</v>
      </c>
      <c r="AO148" s="81">
        <v>79127702.821822986</v>
      </c>
      <c r="AP148" s="81">
        <v>79129263.940956071</v>
      </c>
      <c r="AQ148" s="81">
        <v>79154206.360039875</v>
      </c>
      <c r="AR148" s="81">
        <v>79208329.188367024</v>
      </c>
      <c r="AS148" s="81">
        <v>79297669.044408441</v>
      </c>
      <c r="AT148" s="81">
        <v>79428659.996442452</v>
      </c>
    </row>
    <row r="149" spans="1:46" ht="15.75">
      <c r="A149" s="81" t="s">
        <v>450</v>
      </c>
      <c r="B149" s="80">
        <v>371300</v>
      </c>
      <c r="C149" s="80" t="s">
        <v>145</v>
      </c>
      <c r="D149" s="84" t="s">
        <v>157</v>
      </c>
      <c r="E149" s="81">
        <v>233461362.93207741</v>
      </c>
      <c r="F149" s="81">
        <v>238791373.17131293</v>
      </c>
      <c r="G149" s="81">
        <v>242764184.40492365</v>
      </c>
      <c r="H149" s="81">
        <v>246742859.20725602</v>
      </c>
      <c r="I149" s="81">
        <v>250717077.30580443</v>
      </c>
      <c r="J149" s="81">
        <v>254676702.98225883</v>
      </c>
      <c r="K149" s="81">
        <v>258611801.06727749</v>
      </c>
      <c r="L149" s="81">
        <v>262512792.48739702</v>
      </c>
      <c r="M149" s="81">
        <v>266370310.61799413</v>
      </c>
      <c r="N149" s="81">
        <v>270175428.75750256</v>
      </c>
      <c r="O149" s="81">
        <v>273919561.64656156</v>
      </c>
      <c r="P149" s="81">
        <v>277594628.05635965</v>
      </c>
      <c r="Q149" s="81">
        <v>280004255.25398469</v>
      </c>
      <c r="R149" s="81">
        <v>282322817.45360947</v>
      </c>
      <c r="S149" s="81">
        <v>284545119.16135824</v>
      </c>
      <c r="T149" s="81">
        <v>286666622.52064443</v>
      </c>
      <c r="U149" s="81">
        <v>288683477.17881757</v>
      </c>
      <c r="V149" s="81">
        <v>290592576.39033943</v>
      </c>
      <c r="W149" s="81">
        <v>292391588.60483992</v>
      </c>
      <c r="X149" s="81">
        <v>294078936.80325192</v>
      </c>
      <c r="Y149" s="81">
        <v>295653881.7465204</v>
      </c>
      <c r="Z149" s="81">
        <v>297116581.33921301</v>
      </c>
      <c r="AA149" s="81">
        <v>298189640.11803216</v>
      </c>
      <c r="AB149" s="81">
        <v>299153801.75659674</v>
      </c>
      <c r="AC149" s="81">
        <v>300012213.84292847</v>
      </c>
      <c r="AD149" s="81">
        <v>300769006.1719377</v>
      </c>
      <c r="AE149" s="81">
        <v>301429348.53512996</v>
      </c>
      <c r="AF149" s="81">
        <v>301999342.91599369</v>
      </c>
      <c r="AG149" s="81">
        <v>302486274.64130944</v>
      </c>
      <c r="AH149" s="81">
        <v>302898393.24573451</v>
      </c>
      <c r="AI149" s="81">
        <v>303245137.85339803</v>
      </c>
      <c r="AJ149" s="81">
        <v>303537056.28344733</v>
      </c>
      <c r="AK149" s="81">
        <v>303856047.32545751</v>
      </c>
      <c r="AL149" s="81">
        <v>304144591.63980156</v>
      </c>
      <c r="AM149" s="81">
        <v>304416857.45762897</v>
      </c>
      <c r="AN149" s="81">
        <v>304688348.62746799</v>
      </c>
      <c r="AO149" s="81">
        <v>304975851.14877278</v>
      </c>
      <c r="AP149" s="81">
        <v>305297555.11098951</v>
      </c>
      <c r="AQ149" s="81">
        <v>305673030.62660217</v>
      </c>
      <c r="AR149" s="81">
        <v>306123231.84896863</v>
      </c>
      <c r="AS149" s="81">
        <v>306670621.62409478</v>
      </c>
      <c r="AT149" s="81">
        <v>307339147.13725913</v>
      </c>
    </row>
    <row r="150" spans="1:46" ht="15.75">
      <c r="A150" s="81" t="s">
        <v>450</v>
      </c>
      <c r="B150" s="80">
        <v>371400</v>
      </c>
      <c r="C150" s="80" t="s">
        <v>145</v>
      </c>
      <c r="D150" s="84" t="s">
        <v>158</v>
      </c>
      <c r="E150" s="81">
        <v>114524702.67451145</v>
      </c>
      <c r="F150" s="81">
        <v>117207540.71669109</v>
      </c>
      <c r="G150" s="81">
        <v>119191298.24513733</v>
      </c>
      <c r="H150" s="81">
        <v>121147215.76876248</v>
      </c>
      <c r="I150" s="81">
        <v>123072773.15370476</v>
      </c>
      <c r="J150" s="81">
        <v>124965547.2440279</v>
      </c>
      <c r="K150" s="81">
        <v>126823199.16156897</v>
      </c>
      <c r="L150" s="81">
        <v>128643505.22189265</v>
      </c>
      <c r="M150" s="81">
        <v>130424321.02270871</v>
      </c>
      <c r="N150" s="81">
        <v>132163658.11331064</v>
      </c>
      <c r="O150" s="81">
        <v>133859625.14898959</v>
      </c>
      <c r="P150" s="81">
        <v>135510530.34126541</v>
      </c>
      <c r="Q150" s="81">
        <v>136535146.1368511</v>
      </c>
      <c r="R150" s="81">
        <v>137509466.85844722</v>
      </c>
      <c r="S150" s="81">
        <v>138432875.06855109</v>
      </c>
      <c r="T150" s="81">
        <v>139305011.16283175</v>
      </c>
      <c r="U150" s="81">
        <v>140125610.14634866</v>
      </c>
      <c r="V150" s="81">
        <v>140894629.65407926</v>
      </c>
      <c r="W150" s="81">
        <v>141612207.89697632</v>
      </c>
      <c r="X150" s="81">
        <v>142278670.00771856</v>
      </c>
      <c r="Y150" s="81">
        <v>142894585.55769661</v>
      </c>
      <c r="Z150" s="81">
        <v>143460674.03206983</v>
      </c>
      <c r="AA150" s="81">
        <v>143843665.96775281</v>
      </c>
      <c r="AB150" s="81">
        <v>144179446.18658733</v>
      </c>
      <c r="AC150" s="81">
        <v>144469602.65559345</v>
      </c>
      <c r="AD150" s="81">
        <v>144715865.02578002</v>
      </c>
      <c r="AE150" s="81">
        <v>144920267.78064492</v>
      </c>
      <c r="AF150" s="81">
        <v>145085078.46512607</v>
      </c>
      <c r="AG150" s="81">
        <v>145212803.76082954</v>
      </c>
      <c r="AH150" s="81">
        <v>145306222.80513409</v>
      </c>
      <c r="AI150" s="81">
        <v>145368339.54188862</v>
      </c>
      <c r="AJ150" s="81">
        <v>145402470.71534786</v>
      </c>
      <c r="AK150" s="81">
        <v>145445737.73945141</v>
      </c>
      <c r="AL150" s="81">
        <v>145468254.42107967</v>
      </c>
      <c r="AM150" s="81">
        <v>145474088.30895734</v>
      </c>
      <c r="AN150" s="81">
        <v>145467735.85436419</v>
      </c>
      <c r="AO150" s="81">
        <v>145453905.90698755</v>
      </c>
      <c r="AP150" s="81">
        <v>145437695.90183038</v>
      </c>
      <c r="AQ150" s="81">
        <v>145424486.07409349</v>
      </c>
      <c r="AR150" s="81">
        <v>145419945.4635089</v>
      </c>
      <c r="AS150" s="81">
        <v>145430184.40158129</v>
      </c>
      <c r="AT150" s="81">
        <v>145461559.12580228</v>
      </c>
    </row>
    <row r="151" spans="1:46" ht="15.75">
      <c r="A151" s="81" t="s">
        <v>450</v>
      </c>
      <c r="B151" s="80">
        <v>371500</v>
      </c>
      <c r="C151" s="80" t="s">
        <v>145</v>
      </c>
      <c r="D151" s="84" t="s">
        <v>159</v>
      </c>
      <c r="E151" s="81">
        <v>109786517.17637914</v>
      </c>
      <c r="F151" s="81">
        <v>112442576.68752009</v>
      </c>
      <c r="G151" s="81">
        <v>114432118.48333864</v>
      </c>
      <c r="H151" s="81">
        <v>116398923.52908242</v>
      </c>
      <c r="I151" s="81">
        <v>118340855.47217551</v>
      </c>
      <c r="J151" s="81">
        <v>120255853.71742778</v>
      </c>
      <c r="K151" s="81">
        <v>122141940.91810872</v>
      </c>
      <c r="L151" s="81">
        <v>123997210.1299714</v>
      </c>
      <c r="M151" s="81">
        <v>125819831.20407775</v>
      </c>
      <c r="N151" s="81">
        <v>127608036.29748899</v>
      </c>
      <c r="O151" s="81">
        <v>129360231.30787352</v>
      </c>
      <c r="P151" s="81">
        <v>131074857.32634027</v>
      </c>
      <c r="Q151" s="81">
        <v>132189323.13874933</v>
      </c>
      <c r="R151" s="81">
        <v>133260271.63826193</v>
      </c>
      <c r="S151" s="81">
        <v>134287128.00989515</v>
      </c>
      <c r="T151" s="81">
        <v>135269461.02793562</v>
      </c>
      <c r="U151" s="81">
        <v>136206966.19836712</v>
      </c>
      <c r="V151" s="81">
        <v>137099447.88724321</v>
      </c>
      <c r="W151" s="81">
        <v>137946914.16136715</v>
      </c>
      <c r="X151" s="81">
        <v>138749446.71359199</v>
      </c>
      <c r="Y151" s="81">
        <v>139507364.77426502</v>
      </c>
      <c r="Z151" s="81">
        <v>140221047.30646062</v>
      </c>
      <c r="AA151" s="81">
        <v>140759751.13798392</v>
      </c>
      <c r="AB151" s="81">
        <v>141255715.01648203</v>
      </c>
      <c r="AC151" s="81">
        <v>141710034.63808301</v>
      </c>
      <c r="AD151" s="81">
        <v>142123925.13976076</v>
      </c>
      <c r="AE151" s="81">
        <v>142498796.28258672</v>
      </c>
      <c r="AF151" s="81">
        <v>142836233.54789343</v>
      </c>
      <c r="AG151" s="81">
        <v>143138051.57813573</v>
      </c>
      <c r="AH151" s="81">
        <v>143406177.49731979</v>
      </c>
      <c r="AI151" s="81">
        <v>143642826.40614751</v>
      </c>
      <c r="AJ151" s="81">
        <v>143850359.87152177</v>
      </c>
      <c r="AK151" s="81">
        <v>144064587.41522908</v>
      </c>
      <c r="AL151" s="81">
        <v>144254953.38847634</v>
      </c>
      <c r="AM151" s="81">
        <v>144424472.6615456</v>
      </c>
      <c r="AN151" s="81">
        <v>144576302.01893798</v>
      </c>
      <c r="AO151" s="81">
        <v>144713974.7448957</v>
      </c>
      <c r="AP151" s="81">
        <v>144841177.38201874</v>
      </c>
      <c r="AQ151" s="81">
        <v>144961856.87812287</v>
      </c>
      <c r="AR151" s="81">
        <v>145080174.10543168</v>
      </c>
      <c r="AS151" s="81">
        <v>145200614.23804265</v>
      </c>
      <c r="AT151" s="81">
        <v>145327888.09904516</v>
      </c>
    </row>
    <row r="152" spans="1:46" ht="15.75">
      <c r="A152" s="81" t="s">
        <v>450</v>
      </c>
      <c r="B152" s="80">
        <v>371600</v>
      </c>
      <c r="C152" s="80" t="s">
        <v>145</v>
      </c>
      <c r="D152" s="84" t="s">
        <v>160</v>
      </c>
      <c r="E152" s="81">
        <v>84626969.136332422</v>
      </c>
      <c r="F152" s="81">
        <v>86616387.728271335</v>
      </c>
      <c r="G152" s="81">
        <v>88078298.037276968</v>
      </c>
      <c r="H152" s="81">
        <v>89509053.615077734</v>
      </c>
      <c r="I152" s="81">
        <v>90907119.4310233</v>
      </c>
      <c r="J152" s="81">
        <v>92271069.884918526</v>
      </c>
      <c r="K152" s="81">
        <v>93599596.520689249</v>
      </c>
      <c r="L152" s="81">
        <v>94891468.121607885</v>
      </c>
      <c r="M152" s="81">
        <v>96145535.565778002</v>
      </c>
      <c r="N152" s="81">
        <v>97360785.698676527</v>
      </c>
      <c r="O152" s="81">
        <v>98536349.411598042</v>
      </c>
      <c r="P152" s="81">
        <v>99671459.629918888</v>
      </c>
      <c r="Q152" s="81">
        <v>100339488.43645211</v>
      </c>
      <c r="R152" s="81">
        <v>100965050.40199326</v>
      </c>
      <c r="S152" s="81">
        <v>101548368.32640889</v>
      </c>
      <c r="T152" s="81">
        <v>102089776.32823953</v>
      </c>
      <c r="U152" s="81">
        <v>102589697.22689626</v>
      </c>
      <c r="V152" s="81">
        <v>103048776.74477333</v>
      </c>
      <c r="W152" s="81">
        <v>103467785.07951647</v>
      </c>
      <c r="X152" s="81">
        <v>103847620.5458132</v>
      </c>
      <c r="Y152" s="81">
        <v>104189394.16628596</v>
      </c>
      <c r="Z152" s="81">
        <v>104494327.83114854</v>
      </c>
      <c r="AA152" s="81">
        <v>104666136.90678687</v>
      </c>
      <c r="AB152" s="81">
        <v>104804608.32328589</v>
      </c>
      <c r="AC152" s="81">
        <v>104911621.31054257</v>
      </c>
      <c r="AD152" s="81">
        <v>104989147.25090639</v>
      </c>
      <c r="AE152" s="81">
        <v>105039448.08380209</v>
      </c>
      <c r="AF152" s="81">
        <v>105064829.65133004</v>
      </c>
      <c r="AG152" s="81">
        <v>105067897.9422535</v>
      </c>
      <c r="AH152" s="81">
        <v>105051395.18595146</v>
      </c>
      <c r="AI152" s="81">
        <v>105018289.12517546</v>
      </c>
      <c r="AJ152" s="81">
        <v>104971749.44187483</v>
      </c>
      <c r="AK152" s="81">
        <v>104939341.68473122</v>
      </c>
      <c r="AL152" s="81">
        <v>104900214.19829777</v>
      </c>
      <c r="AM152" s="81">
        <v>104858169.04263239</v>
      </c>
      <c r="AN152" s="81">
        <v>104817232.47503839</v>
      </c>
      <c r="AO152" s="81">
        <v>104781599.70059592</v>
      </c>
      <c r="AP152" s="81">
        <v>104755789.30226241</v>
      </c>
      <c r="AQ152" s="81">
        <v>104744468.30090486</v>
      </c>
      <c r="AR152" s="81">
        <v>104752607.68254209</v>
      </c>
      <c r="AS152" s="81">
        <v>104785396.80477725</v>
      </c>
      <c r="AT152" s="81">
        <v>104848340.86585437</v>
      </c>
    </row>
    <row r="153" spans="1:46" ht="15.75">
      <c r="A153" s="81" t="s">
        <v>450</v>
      </c>
      <c r="B153" s="80">
        <v>371700</v>
      </c>
      <c r="C153" s="80" t="s">
        <v>145</v>
      </c>
      <c r="D153" s="84" t="s">
        <v>161</v>
      </c>
      <c r="E153" s="81">
        <v>158978316.82537916</v>
      </c>
      <c r="F153" s="81">
        <v>162364120.65140682</v>
      </c>
      <c r="G153" s="81">
        <v>164914402.80720177</v>
      </c>
      <c r="H153" s="81">
        <v>167550772.60022455</v>
      </c>
      <c r="I153" s="81">
        <v>170259532.52685431</v>
      </c>
      <c r="J153" s="81">
        <v>173027117.51829788</v>
      </c>
      <c r="K153" s="81">
        <v>175840187.99688655</v>
      </c>
      <c r="L153" s="81">
        <v>178685567.05613428</v>
      </c>
      <c r="M153" s="81">
        <v>181550412.13020256</v>
      </c>
      <c r="N153" s="81">
        <v>184422191.83242315</v>
      </c>
      <c r="O153" s="81">
        <v>187288802.75547907</v>
      </c>
      <c r="P153" s="81">
        <v>190138586.74032718</v>
      </c>
      <c r="Q153" s="81">
        <v>192144682.73957366</v>
      </c>
      <c r="R153" s="81">
        <v>194104128.20733827</v>
      </c>
      <c r="S153" s="81">
        <v>196007865.63218275</v>
      </c>
      <c r="T153" s="81">
        <v>197847556.58848363</v>
      </c>
      <c r="U153" s="81">
        <v>199615793.65722412</v>
      </c>
      <c r="V153" s="81">
        <v>201306034.49777433</v>
      </c>
      <c r="W153" s="81">
        <v>202912664.54216981</v>
      </c>
      <c r="X153" s="81">
        <v>204431106.02704573</v>
      </c>
      <c r="Y153" s="81">
        <v>205857727.45514855</v>
      </c>
      <c r="Z153" s="81">
        <v>207190043.04454368</v>
      </c>
      <c r="AA153" s="81">
        <v>208232244.19412625</v>
      </c>
      <c r="AB153" s="81">
        <v>209178278.91448605</v>
      </c>
      <c r="AC153" s="81">
        <v>210029338.2924481</v>
      </c>
      <c r="AD153" s="81">
        <v>210787903.27537286</v>
      </c>
      <c r="AE153" s="81">
        <v>211457668.98334965</v>
      </c>
      <c r="AF153" s="81">
        <v>212043701.73318616</v>
      </c>
      <c r="AG153" s="81">
        <v>212552362.55531254</v>
      </c>
      <c r="AH153" s="81">
        <v>212991490.62499672</v>
      </c>
      <c r="AI153" s="81">
        <v>213370302.58888948</v>
      </c>
      <c r="AJ153" s="81">
        <v>213699481.30754745</v>
      </c>
      <c r="AK153" s="81">
        <v>214040689.19998935</v>
      </c>
      <c r="AL153" s="81">
        <v>214358115.54548597</v>
      </c>
      <c r="AM153" s="81">
        <v>214667169.06311047</v>
      </c>
      <c r="AN153" s="81">
        <v>214984912.78560817</v>
      </c>
      <c r="AO153" s="81">
        <v>215330159.72355089</v>
      </c>
      <c r="AP153" s="81">
        <v>215723418.79436135</v>
      </c>
      <c r="AQ153" s="81">
        <v>216187066.91898316</v>
      </c>
      <c r="AR153" s="81">
        <v>216745320.99457106</v>
      </c>
      <c r="AS153" s="81">
        <v>217424284.85463458</v>
      </c>
      <c r="AT153" s="81">
        <v>218251996.64698142</v>
      </c>
    </row>
    <row r="154" spans="1:46" ht="15.75">
      <c r="A154" s="81" t="s">
        <v>450</v>
      </c>
      <c r="B154" s="80">
        <v>410100</v>
      </c>
      <c r="C154" s="80" t="s">
        <v>426</v>
      </c>
      <c r="D154" s="84" t="s">
        <v>697</v>
      </c>
      <c r="E154" s="81">
        <v>344944106.91521567</v>
      </c>
      <c r="F154" s="81">
        <v>355860022.72865635</v>
      </c>
      <c r="G154" s="81">
        <v>364479681.13358438</v>
      </c>
      <c r="H154" s="81">
        <v>372840491.61406636</v>
      </c>
      <c r="I154" s="81">
        <v>380950647.58888853</v>
      </c>
      <c r="J154" s="81">
        <v>388818567.74561465</v>
      </c>
      <c r="K154" s="81">
        <v>396452885.61617267</v>
      </c>
      <c r="L154" s="81">
        <v>403862471.30964112</v>
      </c>
      <c r="M154" s="81">
        <v>411056209.57418376</v>
      </c>
      <c r="N154" s="81">
        <v>418043139.19814843</v>
      </c>
      <c r="O154" s="81">
        <v>424832320.11424142</v>
      </c>
      <c r="P154" s="81">
        <v>431432789.09997505</v>
      </c>
      <c r="Q154" s="81">
        <v>436002631.70542908</v>
      </c>
      <c r="R154" s="81">
        <v>440383913.25942928</v>
      </c>
      <c r="S154" s="81">
        <v>444587977.2886377</v>
      </c>
      <c r="T154" s="81">
        <v>448625665.49359381</v>
      </c>
      <c r="U154" s="81">
        <v>452507416.66227549</v>
      </c>
      <c r="V154" s="81">
        <v>456243202.86566705</v>
      </c>
      <c r="W154" s="81">
        <v>459842463.6514551</v>
      </c>
      <c r="X154" s="81">
        <v>463314106.76820397</v>
      </c>
      <c r="Y154" s="81">
        <v>466666440.99887341</v>
      </c>
      <c r="Z154" s="81">
        <v>469907176.59743905</v>
      </c>
      <c r="AA154" s="81">
        <v>472602233.70451373</v>
      </c>
      <c r="AB154" s="81">
        <v>475197833.98984092</v>
      </c>
      <c r="AC154" s="81">
        <v>477699964.78399783</v>
      </c>
      <c r="AD154" s="81">
        <v>480113783.47707415</v>
      </c>
      <c r="AE154" s="81">
        <v>482443656.17232794</v>
      </c>
      <c r="AF154" s="81">
        <v>484693162.64344484</v>
      </c>
      <c r="AG154" s="81">
        <v>486864956.36922878</v>
      </c>
      <c r="AH154" s="81">
        <v>488960803.63605613</v>
      </c>
      <c r="AI154" s="81">
        <v>490981551.22873116</v>
      </c>
      <c r="AJ154" s="81">
        <v>492927131.04701936</v>
      </c>
      <c r="AK154" s="81">
        <v>494910559.69398713</v>
      </c>
      <c r="AL154" s="81">
        <v>496815571.29563332</v>
      </c>
      <c r="AM154" s="81">
        <v>498638870.69731075</v>
      </c>
      <c r="AN154" s="81">
        <v>500376109.8272289</v>
      </c>
      <c r="AO154" s="81">
        <v>502021737.83003664</v>
      </c>
      <c r="AP154" s="81">
        <v>503569079.01120579</v>
      </c>
      <c r="AQ154" s="81">
        <v>505010219.76733691</v>
      </c>
      <c r="AR154" s="81">
        <v>506335970.68951589</v>
      </c>
      <c r="AS154" s="81">
        <v>507535907.49458975</v>
      </c>
      <c r="AT154" s="81">
        <v>508598295.18230969</v>
      </c>
    </row>
    <row r="155" spans="1:46" ht="15.75">
      <c r="A155" s="81" t="s">
        <v>450</v>
      </c>
      <c r="B155" s="80">
        <v>410200</v>
      </c>
      <c r="C155" s="80" t="s">
        <v>426</v>
      </c>
      <c r="D155" s="84" t="s">
        <v>696</v>
      </c>
      <c r="E155" s="81">
        <v>86725645.830759183</v>
      </c>
      <c r="F155" s="81">
        <v>88921435.948457941</v>
      </c>
      <c r="G155" s="81">
        <v>90642929.430492908</v>
      </c>
      <c r="H155" s="81">
        <v>92393731.10729596</v>
      </c>
      <c r="I155" s="81">
        <v>94167247.605510592</v>
      </c>
      <c r="J155" s="81">
        <v>95957021.141159669</v>
      </c>
      <c r="K155" s="81">
        <v>97756718.84962745</v>
      </c>
      <c r="L155" s="81">
        <v>99560139.45827961</v>
      </c>
      <c r="M155" s="81">
        <v>101361299.66722749</v>
      </c>
      <c r="N155" s="81">
        <v>103154402.78969748</v>
      </c>
      <c r="O155" s="81">
        <v>104933927.52721734</v>
      </c>
      <c r="P155" s="81">
        <v>106694553.9668075</v>
      </c>
      <c r="Q155" s="81">
        <v>107972984.09615524</v>
      </c>
      <c r="R155" s="81">
        <v>109217160.96743616</v>
      </c>
      <c r="S155" s="81">
        <v>110423361.03092058</v>
      </c>
      <c r="T155" s="81">
        <v>111588307.7418904</v>
      </c>
      <c r="U155" s="81">
        <v>112709170.65437336</v>
      </c>
      <c r="V155" s="81">
        <v>113783563.71139066</v>
      </c>
      <c r="W155" s="81">
        <v>114809631.50512013</v>
      </c>
      <c r="X155" s="81">
        <v>115786004.69363829</v>
      </c>
      <c r="Y155" s="81">
        <v>116711842.6900738</v>
      </c>
      <c r="Z155" s="81">
        <v>117586923.09430052</v>
      </c>
      <c r="AA155" s="81">
        <v>118301098.36018352</v>
      </c>
      <c r="AB155" s="81">
        <v>118965387.64468464</v>
      </c>
      <c r="AC155" s="81">
        <v>119581421.88857748</v>
      </c>
      <c r="AD155" s="81">
        <v>120151575.68130332</v>
      </c>
      <c r="AE155" s="81">
        <v>120678755.74086103</v>
      </c>
      <c r="AF155" s="81">
        <v>121166629.88153754</v>
      </c>
      <c r="AG155" s="81">
        <v>121619554.91768166</v>
      </c>
      <c r="AH155" s="81">
        <v>122042548.93155287</v>
      </c>
      <c r="AI155" s="81">
        <v>122441406.73374538</v>
      </c>
      <c r="AJ155" s="81">
        <v>122822722.1050785</v>
      </c>
      <c r="AK155" s="81">
        <v>123222201.43286386</v>
      </c>
      <c r="AL155" s="81">
        <v>123619544.81018162</v>
      </c>
      <c r="AM155" s="81">
        <v>124023680.01896362</v>
      </c>
      <c r="AN155" s="81">
        <v>124444453.47531879</v>
      </c>
      <c r="AO155" s="81">
        <v>124892504.23920639</v>
      </c>
      <c r="AP155" s="81">
        <v>125379410.75571206</v>
      </c>
      <c r="AQ155" s="81">
        <v>125917689.89500481</v>
      </c>
      <c r="AR155" s="81">
        <v>126520769.51141538</v>
      </c>
      <c r="AS155" s="81">
        <v>127203062.5307638</v>
      </c>
      <c r="AT155" s="81">
        <v>127979939.23426203</v>
      </c>
    </row>
    <row r="156" spans="1:46" ht="15.75">
      <c r="A156" s="81" t="s">
        <v>450</v>
      </c>
      <c r="B156" s="80">
        <v>410300</v>
      </c>
      <c r="C156" s="80" t="s">
        <v>426</v>
      </c>
      <c r="D156" s="84" t="s">
        <v>695</v>
      </c>
      <c r="E156" s="81">
        <v>149330424.80467623</v>
      </c>
      <c r="F156" s="81">
        <v>153393292.32299206</v>
      </c>
      <c r="G156" s="81">
        <v>156599228.87742978</v>
      </c>
      <c r="H156" s="81">
        <v>159816348.09064952</v>
      </c>
      <c r="I156" s="81">
        <v>163034320.00758547</v>
      </c>
      <c r="J156" s="81">
        <v>166243065.11787352</v>
      </c>
      <c r="K156" s="81">
        <v>169432844.52552038</v>
      </c>
      <c r="L156" s="81">
        <v>172594213.26554337</v>
      </c>
      <c r="M156" s="81">
        <v>175718110.05270272</v>
      </c>
      <c r="N156" s="81">
        <v>178795903.0570215</v>
      </c>
      <c r="O156" s="81">
        <v>181819485.23801097</v>
      </c>
      <c r="P156" s="81">
        <v>184781176.09424594</v>
      </c>
      <c r="Q156" s="81">
        <v>186880605.47924122</v>
      </c>
      <c r="R156" s="81">
        <v>188895912.75171548</v>
      </c>
      <c r="S156" s="81">
        <v>190822529.86287916</v>
      </c>
      <c r="T156" s="81">
        <v>192656744.95300135</v>
      </c>
      <c r="U156" s="81">
        <v>194395559.31648546</v>
      </c>
      <c r="V156" s="81">
        <v>196036795.82379588</v>
      </c>
      <c r="W156" s="81">
        <v>197579159.06175879</v>
      </c>
      <c r="X156" s="81">
        <v>199022244.33498278</v>
      </c>
      <c r="Y156" s="81">
        <v>200366519.21893871</v>
      </c>
      <c r="Z156" s="81">
        <v>201613490.5847367</v>
      </c>
      <c r="AA156" s="81">
        <v>202576509.88251293</v>
      </c>
      <c r="AB156" s="81">
        <v>203448014.25466004</v>
      </c>
      <c r="AC156" s="81">
        <v>204232821.10255989</v>
      </c>
      <c r="AD156" s="81">
        <v>204936771.97624758</v>
      </c>
      <c r="AE156" s="81">
        <v>205566874.03752774</v>
      </c>
      <c r="AF156" s="81">
        <v>206131222.98201966</v>
      </c>
      <c r="AG156" s="81">
        <v>206639146.61399862</v>
      </c>
      <c r="AH156" s="81">
        <v>207101070.30063355</v>
      </c>
      <c r="AI156" s="81">
        <v>207528803.19454479</v>
      </c>
      <c r="AJ156" s="81">
        <v>207935347.53233221</v>
      </c>
      <c r="AK156" s="81">
        <v>208383079.849536</v>
      </c>
      <c r="AL156" s="81">
        <v>208839463.21500239</v>
      </c>
      <c r="AM156" s="81">
        <v>209321556.30297726</v>
      </c>
      <c r="AN156" s="81">
        <v>209847879.61710629</v>
      </c>
      <c r="AO156" s="81">
        <v>210438364.36302155</v>
      </c>
      <c r="AP156" s="81">
        <v>211114477.26805836</v>
      </c>
      <c r="AQ156" s="81">
        <v>211899229.05296344</v>
      </c>
      <c r="AR156" s="81">
        <v>212817182.03131384</v>
      </c>
      <c r="AS156" s="81">
        <v>213894578.73167396</v>
      </c>
      <c r="AT156" s="81">
        <v>215159259.73991582</v>
      </c>
    </row>
    <row r="157" spans="1:46" ht="15.75">
      <c r="A157" s="81" t="s">
        <v>450</v>
      </c>
      <c r="B157" s="80">
        <v>410400</v>
      </c>
      <c r="C157" s="80" t="s">
        <v>426</v>
      </c>
      <c r="D157" s="84" t="s">
        <v>694</v>
      </c>
      <c r="E157" s="81">
        <v>99262547.808528036</v>
      </c>
      <c r="F157" s="81">
        <v>101494927.58581664</v>
      </c>
      <c r="G157" s="81">
        <v>103198767.90437604</v>
      </c>
      <c r="H157" s="81">
        <v>104950014.43850315</v>
      </c>
      <c r="I157" s="81">
        <v>106740710.27952339</v>
      </c>
      <c r="J157" s="81">
        <v>108562892.06852102</v>
      </c>
      <c r="K157" s="81">
        <v>110408789.13229179</v>
      </c>
      <c r="L157" s="81">
        <v>112270684.17174503</v>
      </c>
      <c r="M157" s="81">
        <v>114141095.56899968</v>
      </c>
      <c r="N157" s="81">
        <v>116012655.76599118</v>
      </c>
      <c r="O157" s="81">
        <v>117878344.26795335</v>
      </c>
      <c r="P157" s="81">
        <v>119731273.25335674</v>
      </c>
      <c r="Q157" s="81">
        <v>121051053.11121924</v>
      </c>
      <c r="R157" s="81">
        <v>122339803.46232703</v>
      </c>
      <c r="S157" s="81">
        <v>123592256.37654464</v>
      </c>
      <c r="T157" s="81">
        <v>124803595.34834923</v>
      </c>
      <c r="U157" s="81">
        <v>125969478.00547531</v>
      </c>
      <c r="V157" s="81">
        <v>127086083.40052977</v>
      </c>
      <c r="W157" s="81">
        <v>128150160.73440349</v>
      </c>
      <c r="X157" s="81">
        <v>129158956.02310149</v>
      </c>
      <c r="Y157" s="81">
        <v>130110408.22855401</v>
      </c>
      <c r="Z157" s="81">
        <v>131002952.3959291</v>
      </c>
      <c r="AA157" s="81">
        <v>131712818.24331099</v>
      </c>
      <c r="AB157" s="81">
        <v>132362500.60638766</v>
      </c>
      <c r="AC157" s="81">
        <v>132952637.44817965</v>
      </c>
      <c r="AD157" s="81">
        <v>133484632.08436665</v>
      </c>
      <c r="AE157" s="81">
        <v>133960548.34132421</v>
      </c>
      <c r="AF157" s="81">
        <v>134383235.92450997</v>
      </c>
      <c r="AG157" s="81">
        <v>134756302.33823887</v>
      </c>
      <c r="AH157" s="81">
        <v>135084215.37418187</v>
      </c>
      <c r="AI157" s="81">
        <v>135372222.33523679</v>
      </c>
      <c r="AJ157" s="81">
        <v>135626399.46358094</v>
      </c>
      <c r="AK157" s="81">
        <v>135885090.16443133</v>
      </c>
      <c r="AL157" s="81">
        <v>136124709.06499588</v>
      </c>
      <c r="AM157" s="81">
        <v>136354013.82743549</v>
      </c>
      <c r="AN157" s="81">
        <v>136582807.87407428</v>
      </c>
      <c r="AO157" s="81">
        <v>136821775.20279637</v>
      </c>
      <c r="AP157" s="81">
        <v>137082699.10083452</v>
      </c>
      <c r="AQ157" s="81">
        <v>137378322.97831142</v>
      </c>
      <c r="AR157" s="81">
        <v>137722488.1002838</v>
      </c>
      <c r="AS157" s="81">
        <v>138130161.95770699</v>
      </c>
      <c r="AT157" s="81">
        <v>138617380.71718225</v>
      </c>
    </row>
    <row r="158" spans="1:46" ht="15.75">
      <c r="A158" s="81" t="s">
        <v>450</v>
      </c>
      <c r="B158" s="80">
        <v>410500</v>
      </c>
      <c r="C158" s="80" t="s">
        <v>426</v>
      </c>
      <c r="D158" s="84" t="s">
        <v>693</v>
      </c>
      <c r="E158" s="81">
        <v>104117783.61505882</v>
      </c>
      <c r="F158" s="81">
        <v>106585888.22906598</v>
      </c>
      <c r="G158" s="81">
        <v>108505207.30337502</v>
      </c>
      <c r="H158" s="81">
        <v>110479078.73967177</v>
      </c>
      <c r="I158" s="81">
        <v>112498354.81271048</v>
      </c>
      <c r="J158" s="81">
        <v>114553934.99089494</v>
      </c>
      <c r="K158" s="81">
        <v>116636902.29191035</v>
      </c>
      <c r="L158" s="81">
        <v>118738478.7341179</v>
      </c>
      <c r="M158" s="81">
        <v>120850102.89819911</v>
      </c>
      <c r="N158" s="81">
        <v>122963511.31065591</v>
      </c>
      <c r="O158" s="81">
        <v>125070626.82543392</v>
      </c>
      <c r="P158" s="81">
        <v>127163790.50049739</v>
      </c>
      <c r="Q158" s="81">
        <v>128689307.01150231</v>
      </c>
      <c r="R158" s="81">
        <v>130179688.96907443</v>
      </c>
      <c r="S158" s="81">
        <v>131629050.60995021</v>
      </c>
      <c r="T158" s="81">
        <v>133032098.01851264</v>
      </c>
      <c r="U158" s="81">
        <v>134384111.8653976</v>
      </c>
      <c r="V158" s="81">
        <v>135680998.01143464</v>
      </c>
      <c r="W158" s="81">
        <v>136919292.68079221</v>
      </c>
      <c r="X158" s="81">
        <v>138096237.70004281</v>
      </c>
      <c r="Y158" s="81">
        <v>139209715.47643036</v>
      </c>
      <c r="Z158" s="81">
        <v>140258395.73794752</v>
      </c>
      <c r="AA158" s="81">
        <v>141109973.41240513</v>
      </c>
      <c r="AB158" s="81">
        <v>141895949.42070204</v>
      </c>
      <c r="AC158" s="81">
        <v>142617554.43318471</v>
      </c>
      <c r="AD158" s="81">
        <v>143276796.28828144</v>
      </c>
      <c r="AE158" s="81">
        <v>143876633.82154816</v>
      </c>
      <c r="AF158" s="81">
        <v>144420882.09381422</v>
      </c>
      <c r="AG158" s="81">
        <v>144914213.4902418</v>
      </c>
      <c r="AH158" s="81">
        <v>145362386.01245397</v>
      </c>
      <c r="AI158" s="81">
        <v>145772020.99509782</v>
      </c>
      <c r="AJ158" s="81">
        <v>146150807.27896762</v>
      </c>
      <c r="AK158" s="81">
        <v>146541248.3416374</v>
      </c>
      <c r="AL158" s="81">
        <v>146919267.71437272</v>
      </c>
      <c r="AM158" s="81">
        <v>147295701.97226626</v>
      </c>
      <c r="AN158" s="81">
        <v>147682558.09103724</v>
      </c>
      <c r="AO158" s="81">
        <v>148093018.99061581</v>
      </c>
      <c r="AP158" s="81">
        <v>148541421.55720645</v>
      </c>
      <c r="AQ158" s="81">
        <v>149043367.38407505</v>
      </c>
      <c r="AR158" s="81">
        <v>149615701.53911144</v>
      </c>
      <c r="AS158" s="81">
        <v>150276571.2952351</v>
      </c>
      <c r="AT158" s="81">
        <v>151045458.76866904</v>
      </c>
    </row>
    <row r="159" spans="1:46" ht="15.75">
      <c r="A159" s="81" t="s">
        <v>450</v>
      </c>
      <c r="B159" s="80">
        <v>410600</v>
      </c>
      <c r="C159" s="80" t="s">
        <v>426</v>
      </c>
      <c r="D159" s="84" t="s">
        <v>692</v>
      </c>
      <c r="E159" s="81">
        <v>34871758.070118323</v>
      </c>
      <c r="F159" s="81">
        <v>35785953.17425932</v>
      </c>
      <c r="G159" s="81">
        <v>36513499.209751844</v>
      </c>
      <c r="H159" s="81">
        <v>37256256.223395087</v>
      </c>
      <c r="I159" s="81">
        <v>38011029.187348157</v>
      </c>
      <c r="J159" s="81">
        <v>38774609.70751901</v>
      </c>
      <c r="K159" s="81">
        <v>39543858.160338886</v>
      </c>
      <c r="L159" s="81">
        <v>40315742.218015067</v>
      </c>
      <c r="M159" s="81">
        <v>41087277.302275784</v>
      </c>
      <c r="N159" s="81">
        <v>41855613.740897588</v>
      </c>
      <c r="O159" s="81">
        <v>42617950.046393819</v>
      </c>
      <c r="P159" s="81">
        <v>43371698.820217304</v>
      </c>
      <c r="Q159" s="81">
        <v>43927889.099219151</v>
      </c>
      <c r="R159" s="81">
        <v>44467984.48198159</v>
      </c>
      <c r="S159" s="81">
        <v>44990140.698581629</v>
      </c>
      <c r="T159" s="81">
        <v>45492627.02589789</v>
      </c>
      <c r="U159" s="81">
        <v>45974021.929603919</v>
      </c>
      <c r="V159" s="81">
        <v>46433008.38027373</v>
      </c>
      <c r="W159" s="81">
        <v>46868626.682524025</v>
      </c>
      <c r="X159" s="81">
        <v>47280067.648254782</v>
      </c>
      <c r="Y159" s="81">
        <v>47666874.741265021</v>
      </c>
      <c r="Z159" s="81">
        <v>48028761.090033121</v>
      </c>
      <c r="AA159" s="81">
        <v>48320680.807385303</v>
      </c>
      <c r="AB159" s="81">
        <v>48587964.449940301</v>
      </c>
      <c r="AC159" s="81">
        <v>48831241.878406011</v>
      </c>
      <c r="AD159" s="81">
        <v>49051547.256640993</v>
      </c>
      <c r="AE159" s="81">
        <v>49250215.499510624</v>
      </c>
      <c r="AF159" s="81">
        <v>49428862.15698313</v>
      </c>
      <c r="AG159" s="81">
        <v>49589509.932734028</v>
      </c>
      <c r="AH159" s="81">
        <v>49734422.595603354</v>
      </c>
      <c r="AI159" s="81">
        <v>49866321.115895256</v>
      </c>
      <c r="AJ159" s="81">
        <v>49988276.667772263</v>
      </c>
      <c r="AK159" s="81">
        <v>50115195.214569703</v>
      </c>
      <c r="AL159" s="81">
        <v>50239376.222958133</v>
      </c>
      <c r="AM159" s="81">
        <v>50365001.276969157</v>
      </c>
      <c r="AN159" s="81">
        <v>50496676.624187343</v>
      </c>
      <c r="AO159" s="81">
        <v>50639444.666625232</v>
      </c>
      <c r="AP159" s="81">
        <v>50798764.155207865</v>
      </c>
      <c r="AQ159" s="81">
        <v>50980584.059800975</v>
      </c>
      <c r="AR159" s="81">
        <v>51191260.953340597</v>
      </c>
      <c r="AS159" s="81">
        <v>51437632.871167988</v>
      </c>
      <c r="AT159" s="81">
        <v>51727063.569527239</v>
      </c>
    </row>
    <row r="160" spans="1:46" ht="15.75">
      <c r="A160" s="81" t="s">
        <v>450</v>
      </c>
      <c r="B160" s="80">
        <v>410700</v>
      </c>
      <c r="C160" s="80" t="s">
        <v>426</v>
      </c>
      <c r="D160" s="84" t="s">
        <v>691</v>
      </c>
      <c r="E160" s="81">
        <v>123242024.93055704</v>
      </c>
      <c r="F160" s="81">
        <v>126353472.26639056</v>
      </c>
      <c r="G160" s="81">
        <v>128786526.70159863</v>
      </c>
      <c r="H160" s="81">
        <v>131257357.01635015</v>
      </c>
      <c r="I160" s="81">
        <v>133757171.61431788</v>
      </c>
      <c r="J160" s="81">
        <v>136277244.19981983</v>
      </c>
      <c r="K160" s="81">
        <v>138809073.85737672</v>
      </c>
      <c r="L160" s="81">
        <v>141344293.23879409</v>
      </c>
      <c r="M160" s="81">
        <v>143874833.09069768</v>
      </c>
      <c r="N160" s="81">
        <v>146392828.21592858</v>
      </c>
      <c r="O160" s="81">
        <v>148890763.75937873</v>
      </c>
      <c r="P160" s="81">
        <v>151361423.49849203</v>
      </c>
      <c r="Q160" s="81">
        <v>153147841.23995423</v>
      </c>
      <c r="R160" s="81">
        <v>154885877.47459587</v>
      </c>
      <c r="S160" s="81">
        <v>156570374.91208452</v>
      </c>
      <c r="T160" s="81">
        <v>158196710.81374741</v>
      </c>
      <c r="U160" s="81">
        <v>159760942.34840053</v>
      </c>
      <c r="V160" s="81">
        <v>161259619.97602931</v>
      </c>
      <c r="W160" s="81">
        <v>162690028.86014083</v>
      </c>
      <c r="X160" s="81">
        <v>164050023.95775864</v>
      </c>
      <c r="Y160" s="81">
        <v>165338251.73662874</v>
      </c>
      <c r="Z160" s="81">
        <v>166554007.72911409</v>
      </c>
      <c r="AA160" s="81">
        <v>167540943.58718079</v>
      </c>
      <c r="AB160" s="81">
        <v>168455871.82327428</v>
      </c>
      <c r="AC160" s="81">
        <v>169300600.42987606</v>
      </c>
      <c r="AD160" s="81">
        <v>170077811.94767275</v>
      </c>
      <c r="AE160" s="81">
        <v>170791039.63801715</v>
      </c>
      <c r="AF160" s="81">
        <v>171444641.83054987</v>
      </c>
      <c r="AG160" s="81">
        <v>172043905.07983738</v>
      </c>
      <c r="AH160" s="81">
        <v>172595071.79918844</v>
      </c>
      <c r="AI160" s="81">
        <v>173105288.70486379</v>
      </c>
      <c r="AJ160" s="81">
        <v>173582685.6407814</v>
      </c>
      <c r="AK160" s="81">
        <v>174076604.5152863</v>
      </c>
      <c r="AL160" s="81">
        <v>174557012.23288217</v>
      </c>
      <c r="AM160" s="81">
        <v>175035154.35608563</v>
      </c>
      <c r="AN160" s="81">
        <v>175523409.8482137</v>
      </c>
      <c r="AO160" s="81">
        <v>176035211.28168613</v>
      </c>
      <c r="AP160" s="81">
        <v>176585238.56588313</v>
      </c>
      <c r="AQ160" s="81">
        <v>177189368.02781698</v>
      </c>
      <c r="AR160" s="81">
        <v>177864618.40628755</v>
      </c>
      <c r="AS160" s="81">
        <v>178629320.41259202</v>
      </c>
      <c r="AT160" s="81">
        <v>179503092.53241467</v>
      </c>
    </row>
    <row r="161" spans="1:46" ht="15.75">
      <c r="A161" s="81" t="s">
        <v>450</v>
      </c>
      <c r="B161" s="80">
        <v>410800</v>
      </c>
      <c r="C161" s="80" t="s">
        <v>426</v>
      </c>
      <c r="D161" s="84" t="s">
        <v>690</v>
      </c>
      <c r="E161" s="81">
        <v>77182932.98265405</v>
      </c>
      <c r="F161" s="81">
        <v>79423662.493223667</v>
      </c>
      <c r="G161" s="81">
        <v>81198399.096297994</v>
      </c>
      <c r="H161" s="81">
        <v>82957483.359295771</v>
      </c>
      <c r="I161" s="81">
        <v>84697288.031202093</v>
      </c>
      <c r="J161" s="81">
        <v>86414246.310444474</v>
      </c>
      <c r="K161" s="81">
        <v>88105031.649535075</v>
      </c>
      <c r="L161" s="81">
        <v>89766433.500514969</v>
      </c>
      <c r="M161" s="81">
        <v>91395395.1634406</v>
      </c>
      <c r="N161" s="81">
        <v>92989103.803602204</v>
      </c>
      <c r="O161" s="81">
        <v>94544959.595778331</v>
      </c>
      <c r="P161" s="81">
        <v>96060567.005856633</v>
      </c>
      <c r="Q161" s="81">
        <v>97121443.809075236</v>
      </c>
      <c r="R161" s="81">
        <v>98133821.58703573</v>
      </c>
      <c r="S161" s="81">
        <v>99096760.255466253</v>
      </c>
      <c r="T161" s="81">
        <v>100009640.42749342</v>
      </c>
      <c r="U161" s="81">
        <v>100872229.77892399</v>
      </c>
      <c r="V161" s="81">
        <v>101684482.65153651</v>
      </c>
      <c r="W161" s="81">
        <v>102446818.43469387</v>
      </c>
      <c r="X161" s="81">
        <v>103159920.15428217</v>
      </c>
      <c r="Y161" s="81">
        <v>103824826.40252459</v>
      </c>
      <c r="Z161" s="81">
        <v>104442999.45893699</v>
      </c>
      <c r="AA161" s="81">
        <v>104918318.32709736</v>
      </c>
      <c r="AB161" s="81">
        <v>105350907.21316336</v>
      </c>
      <c r="AC161" s="81">
        <v>105743467.53760408</v>
      </c>
      <c r="AD161" s="81">
        <v>106099164.05760223</v>
      </c>
      <c r="AE161" s="81">
        <v>106421580.76022208</v>
      </c>
      <c r="AF161" s="81">
        <v>106714645.57386766</v>
      </c>
      <c r="AG161" s="81">
        <v>106982872.48538834</v>
      </c>
      <c r="AH161" s="81">
        <v>107231114.00688326</v>
      </c>
      <c r="AI161" s="81">
        <v>107464716.98559931</v>
      </c>
      <c r="AJ161" s="81">
        <v>107689535.62748387</v>
      </c>
      <c r="AK161" s="81">
        <v>107936795.11862238</v>
      </c>
      <c r="AL161" s="81">
        <v>108188400.62784643</v>
      </c>
      <c r="AM161" s="81">
        <v>108451662.87613551</v>
      </c>
      <c r="AN161" s="81">
        <v>108734486.84189315</v>
      </c>
      <c r="AO161" s="81">
        <v>109045356.1204367</v>
      </c>
      <c r="AP161" s="81">
        <v>109393223.17861688</v>
      </c>
      <c r="AQ161" s="81">
        <v>109787706.76969503</v>
      </c>
      <c r="AR161" s="81">
        <v>110238951.41729015</v>
      </c>
      <c r="AS161" s="81">
        <v>110757765.36236505</v>
      </c>
      <c r="AT161" s="81">
        <v>111355540.81309842</v>
      </c>
    </row>
    <row r="162" spans="1:46" ht="15.75">
      <c r="A162" s="81" t="s">
        <v>450</v>
      </c>
      <c r="B162" s="80">
        <v>410900</v>
      </c>
      <c r="C162" s="80" t="s">
        <v>426</v>
      </c>
      <c r="D162" s="84" t="s">
        <v>689</v>
      </c>
      <c r="E162" s="81">
        <v>62310150.143704556</v>
      </c>
      <c r="F162" s="81">
        <v>63876997.876192227</v>
      </c>
      <c r="G162" s="81">
        <v>65109489.356000178</v>
      </c>
      <c r="H162" s="81">
        <v>66368999.058638953</v>
      </c>
      <c r="I162" s="81">
        <v>67650336.801634863</v>
      </c>
      <c r="J162" s="81">
        <v>68948423.040623054</v>
      </c>
      <c r="K162" s="81">
        <v>70258257.913738132</v>
      </c>
      <c r="L162" s="81">
        <v>71574904.76181373</v>
      </c>
      <c r="M162" s="81">
        <v>72893638.207621738</v>
      </c>
      <c r="N162" s="81">
        <v>74209820.478657722</v>
      </c>
      <c r="O162" s="81">
        <v>75518995.164907828</v>
      </c>
      <c r="P162" s="81">
        <v>76816948.433044791</v>
      </c>
      <c r="Q162" s="81">
        <v>77769465.092439026</v>
      </c>
      <c r="R162" s="81">
        <v>78698505.979679748</v>
      </c>
      <c r="S162" s="81">
        <v>79600954.391213924</v>
      </c>
      <c r="T162" s="81">
        <v>80474009.001649722</v>
      </c>
      <c r="U162" s="81">
        <v>81315259.336490422</v>
      </c>
      <c r="V162" s="81">
        <v>82122562.012153029</v>
      </c>
      <c r="W162" s="81">
        <v>82894216.285492048</v>
      </c>
      <c r="X162" s="81">
        <v>83628921.426197007</v>
      </c>
      <c r="Y162" s="81">
        <v>84325731.383795381</v>
      </c>
      <c r="Z162" s="81">
        <v>84984131.980111644</v>
      </c>
      <c r="AA162" s="81">
        <v>85524287.18694973</v>
      </c>
      <c r="AB162" s="81">
        <v>86026072.802400112</v>
      </c>
      <c r="AC162" s="81">
        <v>86490524.139370278</v>
      </c>
      <c r="AD162" s="81">
        <v>86919064.900138095</v>
      </c>
      <c r="AE162" s="81">
        <v>87313692.08402507</v>
      </c>
      <c r="AF162" s="81">
        <v>87676885.302646056</v>
      </c>
      <c r="AG162" s="81">
        <v>88011643.239300787</v>
      </c>
      <c r="AH162" s="81">
        <v>88321543.173602387</v>
      </c>
      <c r="AI162" s="81">
        <v>88610713.663725182</v>
      </c>
      <c r="AJ162" s="81">
        <v>88883850.287841544</v>
      </c>
      <c r="AK162" s="81">
        <v>89166832.548180491</v>
      </c>
      <c r="AL162" s="81">
        <v>89444963.897522122</v>
      </c>
      <c r="AM162" s="81">
        <v>89724807.534326434</v>
      </c>
      <c r="AN162" s="81">
        <v>90013543.514660165</v>
      </c>
      <c r="AO162" s="81">
        <v>90319031.318279713</v>
      </c>
      <c r="AP162" s="81">
        <v>90649851.171682179</v>
      </c>
      <c r="AQ162" s="81">
        <v>91015252.769142032</v>
      </c>
      <c r="AR162" s="81">
        <v>91425172.083587423</v>
      </c>
      <c r="AS162" s="81">
        <v>91890390.783124864</v>
      </c>
      <c r="AT162" s="81">
        <v>92422366.886145905</v>
      </c>
    </row>
    <row r="163" spans="1:46" ht="15.75">
      <c r="A163" s="81" t="s">
        <v>450</v>
      </c>
      <c r="B163" s="80">
        <v>411000</v>
      </c>
      <c r="C163" s="80" t="s">
        <v>426</v>
      </c>
      <c r="D163" s="84" t="s">
        <v>688</v>
      </c>
      <c r="E163" s="81">
        <v>84690081.277365983</v>
      </c>
      <c r="F163" s="81">
        <v>86716538.951779842</v>
      </c>
      <c r="G163" s="81">
        <v>88275486.995807007</v>
      </c>
      <c r="H163" s="81">
        <v>89858893.191689894</v>
      </c>
      <c r="I163" s="81">
        <v>91460496.34103696</v>
      </c>
      <c r="J163" s="81">
        <v>93074145.581081003</v>
      </c>
      <c r="K163" s="81">
        <v>94693826.336569235</v>
      </c>
      <c r="L163" s="81">
        <v>96313643.832914442</v>
      </c>
      <c r="M163" s="81">
        <v>97927912.23244001</v>
      </c>
      <c r="N163" s="81">
        <v>99531139.233168155</v>
      </c>
      <c r="O163" s="81">
        <v>101118030.02305575</v>
      </c>
      <c r="P163" s="81">
        <v>102683580.10316294</v>
      </c>
      <c r="Q163" s="81">
        <v>103782452.28798895</v>
      </c>
      <c r="R163" s="81">
        <v>104846416.52875389</v>
      </c>
      <c r="S163" s="81">
        <v>105871951.27918857</v>
      </c>
      <c r="T163" s="81">
        <v>106855888.29844631</v>
      </c>
      <c r="U163" s="81">
        <v>107795570.4346489</v>
      </c>
      <c r="V163" s="81">
        <v>108688756.18739676</v>
      </c>
      <c r="W163" s="81">
        <v>109533638.08634649</v>
      </c>
      <c r="X163" s="81">
        <v>110328933.36928116</v>
      </c>
      <c r="Y163" s="81">
        <v>111073832.96896453</v>
      </c>
      <c r="Z163" s="81">
        <v>111768118.18329354</v>
      </c>
      <c r="AA163" s="81">
        <v>112307201.17185262</v>
      </c>
      <c r="AB163" s="81">
        <v>112796720.693221</v>
      </c>
      <c r="AC163" s="81">
        <v>113238246.07121038</v>
      </c>
      <c r="AD163" s="81">
        <v>113633962.43930168</v>
      </c>
      <c r="AE163" s="81">
        <v>113986664.82961664</v>
      </c>
      <c r="AF163" s="81">
        <v>114299802.27899049</v>
      </c>
      <c r="AG163" s="81">
        <v>114577446.34632896</v>
      </c>
      <c r="AH163" s="81">
        <v>114824412.38071521</v>
      </c>
      <c r="AI163" s="81">
        <v>115046151.60835487</v>
      </c>
      <c r="AJ163" s="81">
        <v>115248821.04787996</v>
      </c>
      <c r="AK163" s="81">
        <v>115466030.00325972</v>
      </c>
      <c r="AL163" s="81">
        <v>115678720.64431156</v>
      </c>
      <c r="AM163" s="81">
        <v>115895318.52983928</v>
      </c>
      <c r="AN163" s="81">
        <v>116125097.18443535</v>
      </c>
      <c r="AO163" s="81">
        <v>116378173.98455007</v>
      </c>
      <c r="AP163" s="81">
        <v>116665477.95022613</v>
      </c>
      <c r="AQ163" s="81">
        <v>116998797.70504653</v>
      </c>
      <c r="AR163" s="81">
        <v>117390885.87325408</v>
      </c>
      <c r="AS163" s="81">
        <v>117855317.16272266</v>
      </c>
      <c r="AT163" s="81">
        <v>118406675.32769683</v>
      </c>
    </row>
    <row r="164" spans="1:46" ht="15.75">
      <c r="A164" s="81" t="s">
        <v>450</v>
      </c>
      <c r="B164" s="80">
        <v>411100</v>
      </c>
      <c r="C164" s="80" t="s">
        <v>426</v>
      </c>
      <c r="D164" s="84" t="s">
        <v>687</v>
      </c>
      <c r="E164" s="81">
        <v>45566991.736144461</v>
      </c>
      <c r="F164" s="81">
        <v>46731030.905567393</v>
      </c>
      <c r="G164" s="81">
        <v>47625758.163642526</v>
      </c>
      <c r="H164" s="81">
        <v>48517112.71209795</v>
      </c>
      <c r="I164" s="81">
        <v>49403007.290756926</v>
      </c>
      <c r="J164" s="81">
        <v>50281369.212607473</v>
      </c>
      <c r="K164" s="81">
        <v>51150230.548330203</v>
      </c>
      <c r="L164" s="81">
        <v>52007675.426165432</v>
      </c>
      <c r="M164" s="81">
        <v>52851912.383658193</v>
      </c>
      <c r="N164" s="81">
        <v>53681198.402939186</v>
      </c>
      <c r="O164" s="81">
        <v>54493933.99085921</v>
      </c>
      <c r="P164" s="81">
        <v>55288562.810568057</v>
      </c>
      <c r="Q164" s="81">
        <v>55826736.612330586</v>
      </c>
      <c r="R164" s="81">
        <v>56342321.406379454</v>
      </c>
      <c r="S164" s="81">
        <v>56834470.094332591</v>
      </c>
      <c r="T164" s="81">
        <v>57302601.927205533</v>
      </c>
      <c r="U164" s="81">
        <v>57746226.461964041</v>
      </c>
      <c r="V164" s="81">
        <v>58165065.225265034</v>
      </c>
      <c r="W164" s="81">
        <v>58558941.358370751</v>
      </c>
      <c r="X164" s="81">
        <v>58927951.196753822</v>
      </c>
      <c r="Y164" s="81">
        <v>59272329.925184995</v>
      </c>
      <c r="Z164" s="81">
        <v>59592505.208150245</v>
      </c>
      <c r="AA164" s="81">
        <v>59833276.299330935</v>
      </c>
      <c r="AB164" s="81">
        <v>60051418.10053663</v>
      </c>
      <c r="AC164" s="81">
        <v>60248013.765172683</v>
      </c>
      <c r="AD164" s="81">
        <v>60424435.574229956</v>
      </c>
      <c r="AE164" s="81">
        <v>60582278.243751824</v>
      </c>
      <c r="AF164" s="81">
        <v>60723314.599451244</v>
      </c>
      <c r="AG164" s="81">
        <v>60849602.394298561</v>
      </c>
      <c r="AH164" s="81">
        <v>60963466.816718996</v>
      </c>
      <c r="AI164" s="81">
        <v>61067404.441940844</v>
      </c>
      <c r="AJ164" s="81">
        <v>61164217.459547698</v>
      </c>
      <c r="AK164" s="81">
        <v>61271162.6483851</v>
      </c>
      <c r="AL164" s="81">
        <v>61377327.99663078</v>
      </c>
      <c r="AM164" s="81">
        <v>61486349.813534029</v>
      </c>
      <c r="AN164" s="81">
        <v>61602177.390028365</v>
      </c>
      <c r="AO164" s="81">
        <v>61728973.328951776</v>
      </c>
      <c r="AP164" s="81">
        <v>61871253.695817173</v>
      </c>
      <c r="AQ164" s="81">
        <v>62033842.540378086</v>
      </c>
      <c r="AR164" s="81">
        <v>62221906.771946788</v>
      </c>
      <c r="AS164" s="81">
        <v>62440881.499212161</v>
      </c>
      <c r="AT164" s="81">
        <v>62696587.142980509</v>
      </c>
    </row>
    <row r="165" spans="1:46" ht="15.75">
      <c r="A165" s="81" t="s">
        <v>450</v>
      </c>
      <c r="B165" s="80">
        <v>411200</v>
      </c>
      <c r="C165" s="80" t="s">
        <v>426</v>
      </c>
      <c r="D165" s="84" t="s">
        <v>686</v>
      </c>
      <c r="E165" s="81">
        <v>42053079.292271502</v>
      </c>
      <c r="F165" s="81">
        <v>43248513.19051981</v>
      </c>
      <c r="G165" s="81">
        <v>44173585.559554093</v>
      </c>
      <c r="H165" s="81">
        <v>45075070.34356723</v>
      </c>
      <c r="I165" s="81">
        <v>45952280.405929737</v>
      </c>
      <c r="J165" s="81">
        <v>46804684.925782852</v>
      </c>
      <c r="K165" s="81">
        <v>47631759.646389112</v>
      </c>
      <c r="L165" s="81">
        <v>48433077.89627073</v>
      </c>
      <c r="M165" s="81">
        <v>49208268.904711045</v>
      </c>
      <c r="N165" s="81">
        <v>49957066.990602426</v>
      </c>
      <c r="O165" s="81">
        <v>50679244.888212085</v>
      </c>
      <c r="P165" s="81">
        <v>51374662.701087892</v>
      </c>
      <c r="Q165" s="81">
        <v>51823267.810637578</v>
      </c>
      <c r="R165" s="81">
        <v>52243867.831512362</v>
      </c>
      <c r="S165" s="81">
        <v>52636899.72232341</v>
      </c>
      <c r="T165" s="81">
        <v>53002982.434557468</v>
      </c>
      <c r="U165" s="81">
        <v>53342746.964900434</v>
      </c>
      <c r="V165" s="81">
        <v>53656937.307797022</v>
      </c>
      <c r="W165" s="81">
        <v>53946337.102205336</v>
      </c>
      <c r="X165" s="81">
        <v>54211847.431458652</v>
      </c>
      <c r="Y165" s="81">
        <v>54454438.294337042</v>
      </c>
      <c r="Z165" s="81">
        <v>54675202.470597491</v>
      </c>
      <c r="AA165" s="81">
        <v>54824129.761022665</v>
      </c>
      <c r="AB165" s="81">
        <v>54953777.699112035</v>
      </c>
      <c r="AC165" s="81">
        <v>55065564.734755449</v>
      </c>
      <c r="AD165" s="81">
        <v>55160955.792615391</v>
      </c>
      <c r="AE165" s="81">
        <v>55241571.131493501</v>
      </c>
      <c r="AF165" s="81">
        <v>55309026.6505</v>
      </c>
      <c r="AG165" s="81">
        <v>55365152.322933711</v>
      </c>
      <c r="AH165" s="81">
        <v>55411749.17788744</v>
      </c>
      <c r="AI165" s="81">
        <v>55450837.6320097</v>
      </c>
      <c r="AJ165" s="81">
        <v>55484495.292278148</v>
      </c>
      <c r="AK165" s="81">
        <v>55527672.487586826</v>
      </c>
      <c r="AL165" s="81">
        <v>55569760.971039139</v>
      </c>
      <c r="AM165" s="81">
        <v>55613216.377765618</v>
      </c>
      <c r="AN165" s="81">
        <v>55660474.570400961</v>
      </c>
      <c r="AO165" s="81">
        <v>55714210.340241104</v>
      </c>
      <c r="AP165" s="81">
        <v>55777139.398800798</v>
      </c>
      <c r="AQ165" s="81">
        <v>55852106.176237538</v>
      </c>
      <c r="AR165" s="81">
        <v>55942115.968949549</v>
      </c>
      <c r="AS165" s="81">
        <v>56050278.900668263</v>
      </c>
      <c r="AT165" s="81">
        <v>56179781.521987751</v>
      </c>
    </row>
    <row r="166" spans="1:46" ht="15.75">
      <c r="A166" s="81" t="s">
        <v>450</v>
      </c>
      <c r="B166" s="80">
        <v>411300</v>
      </c>
      <c r="C166" s="80" t="s">
        <v>426</v>
      </c>
      <c r="D166" s="84" t="s">
        <v>685</v>
      </c>
      <c r="E166" s="81">
        <v>164591304.52797267</v>
      </c>
      <c r="F166" s="81">
        <v>168026506.17917898</v>
      </c>
      <c r="G166" s="81">
        <v>170648655.81713626</v>
      </c>
      <c r="H166" s="81">
        <v>173407739.78324023</v>
      </c>
      <c r="I166" s="81">
        <v>176285458.87213326</v>
      </c>
      <c r="J166" s="81">
        <v>179263619.53568792</v>
      </c>
      <c r="K166" s="81">
        <v>182324258.74622926</v>
      </c>
      <c r="L166" s="81">
        <v>185449661.99909469</v>
      </c>
      <c r="M166" s="81">
        <v>188622472.99928114</v>
      </c>
      <c r="N166" s="81">
        <v>191825749.79319739</v>
      </c>
      <c r="O166" s="81">
        <v>195043078.97341603</v>
      </c>
      <c r="P166" s="81">
        <v>198258575.83624926</v>
      </c>
      <c r="Q166" s="81">
        <v>200605415.55899084</v>
      </c>
      <c r="R166" s="81">
        <v>202910128.27005461</v>
      </c>
      <c r="S166" s="81">
        <v>205159920.93787447</v>
      </c>
      <c r="T166" s="81">
        <v>207343025.10037217</v>
      </c>
      <c r="U166" s="81">
        <v>209448872.76720819</v>
      </c>
      <c r="V166" s="81">
        <v>211468051.533351</v>
      </c>
      <c r="W166" s="81">
        <v>213392338.7665787</v>
      </c>
      <c r="X166" s="81">
        <v>215214861.42068771</v>
      </c>
      <c r="Y166" s="81">
        <v>216930113.32633588</v>
      </c>
      <c r="Z166" s="81">
        <v>218533971.16490948</v>
      </c>
      <c r="AA166" s="81">
        <v>219818580.39981389</v>
      </c>
      <c r="AB166" s="81">
        <v>220987475.98205826</v>
      </c>
      <c r="AC166" s="81">
        <v>222041468.46179861</v>
      </c>
      <c r="AD166" s="81">
        <v>222982996.82318091</v>
      </c>
      <c r="AE166" s="81">
        <v>223816160.03792948</v>
      </c>
      <c r="AF166" s="81">
        <v>224546859.33769831</v>
      </c>
      <c r="AG166" s="81">
        <v>225182765.67196009</v>
      </c>
      <c r="AH166" s="81">
        <v>225733396.69500184</v>
      </c>
      <c r="AI166" s="81">
        <v>226210195.18135139</v>
      </c>
      <c r="AJ166" s="81">
        <v>226626586.06024083</v>
      </c>
      <c r="AK166" s="81">
        <v>227050365.30225265</v>
      </c>
      <c r="AL166" s="81">
        <v>227446503.07783523</v>
      </c>
      <c r="AM166" s="81">
        <v>227834643.72453004</v>
      </c>
      <c r="AN166" s="81">
        <v>228236665.42935562</v>
      </c>
      <c r="AO166" s="81">
        <v>228676694.97332361</v>
      </c>
      <c r="AP166" s="81">
        <v>229181263.76022625</v>
      </c>
      <c r="AQ166" s="81">
        <v>229779300.73305348</v>
      </c>
      <c r="AR166" s="81">
        <v>230502147.07687348</v>
      </c>
      <c r="AS166" s="81">
        <v>231383715.07636368</v>
      </c>
      <c r="AT166" s="81">
        <v>232460529.33223534</v>
      </c>
    </row>
    <row r="167" spans="1:46" ht="15.75">
      <c r="A167" s="81" t="s">
        <v>450</v>
      </c>
      <c r="B167" s="80">
        <v>411400</v>
      </c>
      <c r="C167" s="80" t="s">
        <v>426</v>
      </c>
      <c r="D167" s="84" t="s">
        <v>684</v>
      </c>
      <c r="E167" s="81">
        <v>122608043.36580119</v>
      </c>
      <c r="F167" s="81">
        <v>126157294.19930542</v>
      </c>
      <c r="G167" s="81">
        <v>129000456.90918934</v>
      </c>
      <c r="H167" s="81">
        <v>131850553.89521217</v>
      </c>
      <c r="I167" s="81">
        <v>134699382.84081244</v>
      </c>
      <c r="J167" s="81">
        <v>137539033.02192017</v>
      </c>
      <c r="K167" s="81">
        <v>140361804.74143207</v>
      </c>
      <c r="L167" s="81">
        <v>143160312.12802312</v>
      </c>
      <c r="M167" s="81">
        <v>145927467.99149463</v>
      </c>
      <c r="N167" s="81">
        <v>148656590.60881993</v>
      </c>
      <c r="O167" s="81">
        <v>151341389.46506509</v>
      </c>
      <c r="P167" s="81">
        <v>153976039.34039775</v>
      </c>
      <c r="Q167" s="81">
        <v>155893337.04892087</v>
      </c>
      <c r="R167" s="81">
        <v>157741525.19194925</v>
      </c>
      <c r="S167" s="81">
        <v>159517384.85558528</v>
      </c>
      <c r="T167" s="81">
        <v>161218306.26639128</v>
      </c>
      <c r="U167" s="81">
        <v>162842334.21655825</v>
      </c>
      <c r="V167" s="81">
        <v>164388195.42573693</v>
      </c>
      <c r="W167" s="81">
        <v>165855326.21142226</v>
      </c>
      <c r="X167" s="81">
        <v>167243900.46789223</v>
      </c>
      <c r="Y167" s="81">
        <v>168554818.46687615</v>
      </c>
      <c r="Z167" s="81">
        <v>169789833.3944208</v>
      </c>
      <c r="AA167" s="81">
        <v>170792033.68759727</v>
      </c>
      <c r="AB167" s="81">
        <v>171723773.4084278</v>
      </c>
      <c r="AC167" s="81">
        <v>172589531.89998049</v>
      </c>
      <c r="AD167" s="81">
        <v>173394636.72706363</v>
      </c>
      <c r="AE167" s="81">
        <v>174145329.84531766</v>
      </c>
      <c r="AF167" s="81">
        <v>174848814.95214176</v>
      </c>
      <c r="AG167" s="81">
        <v>175513222.45494184</v>
      </c>
      <c r="AH167" s="81">
        <v>176147740.23934391</v>
      </c>
      <c r="AI167" s="81">
        <v>176762516.25552154</v>
      </c>
      <c r="AJ167" s="81">
        <v>177368747.90612069</v>
      </c>
      <c r="AK167" s="81">
        <v>178019815.97656342</v>
      </c>
      <c r="AL167" s="81">
        <v>178688052.97337392</v>
      </c>
      <c r="AM167" s="81">
        <v>179387995.41983077</v>
      </c>
      <c r="AN167" s="81">
        <v>180135356.33563286</v>
      </c>
      <c r="AO167" s="81">
        <v>180947055.23777416</v>
      </c>
      <c r="AP167" s="81">
        <v>181841226.23135296</v>
      </c>
      <c r="AQ167" s="81">
        <v>182837292.45500046</v>
      </c>
      <c r="AR167" s="81">
        <v>183955975.15452805</v>
      </c>
      <c r="AS167" s="81">
        <v>185219302.12829363</v>
      </c>
      <c r="AT167" s="81">
        <v>186650661.09421951</v>
      </c>
    </row>
    <row r="168" spans="1:46" ht="15.75">
      <c r="A168" s="81" t="s">
        <v>450</v>
      </c>
      <c r="B168" s="80">
        <v>411500</v>
      </c>
      <c r="C168" s="80" t="s">
        <v>426</v>
      </c>
      <c r="D168" s="84" t="s">
        <v>683</v>
      </c>
      <c r="E168" s="81">
        <v>108897366.74516825</v>
      </c>
      <c r="F168" s="81">
        <v>111369530.32296413</v>
      </c>
      <c r="G168" s="81">
        <v>113302449.3702527</v>
      </c>
      <c r="H168" s="81">
        <v>115322300.30555736</v>
      </c>
      <c r="I168" s="81">
        <v>117414657.16288836</v>
      </c>
      <c r="J168" s="81">
        <v>119565321.67309666</v>
      </c>
      <c r="K168" s="81">
        <v>121760366.31388971</v>
      </c>
      <c r="L168" s="81">
        <v>123986176.88092753</v>
      </c>
      <c r="M168" s="81">
        <v>126229514.13773258</v>
      </c>
      <c r="N168" s="81">
        <v>128477616.10021959</v>
      </c>
      <c r="O168" s="81">
        <v>130718163.7280395</v>
      </c>
      <c r="P168" s="81">
        <v>132939504.4067511</v>
      </c>
      <c r="Q168" s="81">
        <v>134559318.70496783</v>
      </c>
      <c r="R168" s="81">
        <v>136131188.52235797</v>
      </c>
      <c r="S168" s="81">
        <v>137646352.96268293</v>
      </c>
      <c r="T168" s="81">
        <v>139097042.53437668</v>
      </c>
      <c r="U168" s="81">
        <v>140476505.5103803</v>
      </c>
      <c r="V168" s="81">
        <v>141779012.49125633</v>
      </c>
      <c r="W168" s="81">
        <v>142999967.0320487</v>
      </c>
      <c r="X168" s="81">
        <v>144135889.78389412</v>
      </c>
      <c r="Y168" s="81">
        <v>145184509.37531975</v>
      </c>
      <c r="Z168" s="81">
        <v>146144811.83846772</v>
      </c>
      <c r="AA168" s="81">
        <v>146879983.1063123</v>
      </c>
      <c r="AB168" s="81">
        <v>147528600.54796934</v>
      </c>
      <c r="AC168" s="81">
        <v>148093910.75438488</v>
      </c>
      <c r="AD168" s="81">
        <v>148580643.82186198</v>
      </c>
      <c r="AE168" s="81">
        <v>148994878.34468573</v>
      </c>
      <c r="AF168" s="81">
        <v>149344335.36864832</v>
      </c>
      <c r="AG168" s="81">
        <v>149638197.92264605</v>
      </c>
      <c r="AH168" s="81">
        <v>149887340.26195154</v>
      </c>
      <c r="AI168" s="81">
        <v>150104237.2830002</v>
      </c>
      <c r="AJ168" s="81">
        <v>150303104.42761943</v>
      </c>
      <c r="AK168" s="81">
        <v>150534640.85602251</v>
      </c>
      <c r="AL168" s="81">
        <v>150781719.70021147</v>
      </c>
      <c r="AM168" s="81">
        <v>151064001.75400397</v>
      </c>
      <c r="AN168" s="81">
        <v>151402983.65333122</v>
      </c>
      <c r="AO168" s="81">
        <v>151822266.15427077</v>
      </c>
      <c r="AP168" s="81">
        <v>152347316.27747977</v>
      </c>
      <c r="AQ168" s="81">
        <v>153005835.87141916</v>
      </c>
      <c r="AR168" s="81">
        <v>153827521.57863951</v>
      </c>
      <c r="AS168" s="81">
        <v>154844339.29065698</v>
      </c>
      <c r="AT168" s="81">
        <v>156090455.07929939</v>
      </c>
    </row>
    <row r="169" spans="1:46" ht="15.75">
      <c r="A169" s="81" t="s">
        <v>450</v>
      </c>
      <c r="B169" s="80">
        <v>411600</v>
      </c>
      <c r="C169" s="80" t="s">
        <v>426</v>
      </c>
      <c r="D169" s="84" t="s">
        <v>682</v>
      </c>
      <c r="E169" s="81">
        <v>140102496.06605032</v>
      </c>
      <c r="F169" s="81">
        <v>143932027.81725472</v>
      </c>
      <c r="G169" s="81">
        <v>147017299.76012856</v>
      </c>
      <c r="H169" s="81">
        <v>150167765.4979144</v>
      </c>
      <c r="I169" s="81">
        <v>153368805.94732398</v>
      </c>
      <c r="J169" s="81">
        <v>156606118.90995511</v>
      </c>
      <c r="K169" s="81">
        <v>159865681.92751503</v>
      </c>
      <c r="L169" s="81">
        <v>163133949.8350085</v>
      </c>
      <c r="M169" s="81">
        <v>166397819.18733108</v>
      </c>
      <c r="N169" s="81">
        <v>169644727.35054588</v>
      </c>
      <c r="O169" s="81">
        <v>172862683.54624525</v>
      </c>
      <c r="P169" s="81">
        <v>176040461.57013428</v>
      </c>
      <c r="Q169" s="81">
        <v>178410073.55564889</v>
      </c>
      <c r="R169" s="81">
        <v>180707697.14035714</v>
      </c>
      <c r="S169" s="81">
        <v>182925644.11729655</v>
      </c>
      <c r="T169" s="81">
        <v>185057305.98805934</v>
      </c>
      <c r="U169" s="81">
        <v>187097165.68061188</v>
      </c>
      <c r="V169" s="81">
        <v>189040827.07986364</v>
      </c>
      <c r="W169" s="81">
        <v>190885101.81354055</v>
      </c>
      <c r="X169" s="81">
        <v>192628020.99783942</v>
      </c>
      <c r="Y169" s="81">
        <v>194268884.73110664</v>
      </c>
      <c r="Z169" s="81">
        <v>195808390.78064981</v>
      </c>
      <c r="AA169" s="81">
        <v>197064616.23765025</v>
      </c>
      <c r="AB169" s="81">
        <v>198224314.76535454</v>
      </c>
      <c r="AC169" s="81">
        <v>199292755.69322297</v>
      </c>
      <c r="AD169" s="81">
        <v>200276667.30281481</v>
      </c>
      <c r="AE169" s="81">
        <v>201184403.81224594</v>
      </c>
      <c r="AF169" s="81">
        <v>202025912.94995451</v>
      </c>
      <c r="AG169" s="81">
        <v>202812783.1605235</v>
      </c>
      <c r="AH169" s="81">
        <v>203558312.01530308</v>
      </c>
      <c r="AI169" s="81">
        <v>204277596.80187303</v>
      </c>
      <c r="AJ169" s="81">
        <v>204987479.99049723</v>
      </c>
      <c r="AK169" s="81">
        <v>205754188.08132559</v>
      </c>
      <c r="AL169" s="81">
        <v>206550870.31886715</v>
      </c>
      <c r="AM169" s="81">
        <v>207400211.68128699</v>
      </c>
      <c r="AN169" s="81">
        <v>208326799.92240581</v>
      </c>
      <c r="AO169" s="81">
        <v>209357414.10894629</v>
      </c>
      <c r="AP169" s="81">
        <v>210520906.97825494</v>
      </c>
      <c r="AQ169" s="81">
        <v>211848367.5138588</v>
      </c>
      <c r="AR169" s="81">
        <v>213373066.34204054</v>
      </c>
      <c r="AS169" s="81">
        <v>215130643.10475475</v>
      </c>
      <c r="AT169" s="81">
        <v>217159074.59670043</v>
      </c>
    </row>
    <row r="170" spans="1:46" ht="15.75">
      <c r="A170" s="81" t="s">
        <v>450</v>
      </c>
      <c r="B170" s="80">
        <v>411700</v>
      </c>
      <c r="C170" s="80" t="s">
        <v>426</v>
      </c>
      <c r="D170" s="84" t="s">
        <v>681</v>
      </c>
      <c r="E170" s="81">
        <v>109974733.69486822</v>
      </c>
      <c r="F170" s="81">
        <v>112560830.14773512</v>
      </c>
      <c r="G170" s="81">
        <v>114586022.33918771</v>
      </c>
      <c r="H170" s="81">
        <v>116684303.65647045</v>
      </c>
      <c r="I170" s="81">
        <v>118842749.24018921</v>
      </c>
      <c r="J170" s="81">
        <v>121048621.99304676</v>
      </c>
      <c r="K170" s="81">
        <v>123289460.78543685</v>
      </c>
      <c r="L170" s="81">
        <v>125553015.76469426</v>
      </c>
      <c r="M170" s="81">
        <v>127827474.47884573</v>
      </c>
      <c r="N170" s="81">
        <v>130101345.6639429</v>
      </c>
      <c r="O170" s="81">
        <v>132363655.45387316</v>
      </c>
      <c r="P170" s="81">
        <v>134603899.30874732</v>
      </c>
      <c r="Q170" s="81">
        <v>136233841.08526617</v>
      </c>
      <c r="R170" s="81">
        <v>137815219.38190439</v>
      </c>
      <c r="S170" s="81">
        <v>139340260.29578638</v>
      </c>
      <c r="T170" s="81">
        <v>140802069.63327575</v>
      </c>
      <c r="U170" s="81">
        <v>142194674.96652108</v>
      </c>
      <c r="V170" s="81">
        <v>143512991.43543315</v>
      </c>
      <c r="W170" s="81">
        <v>144752958.43839923</v>
      </c>
      <c r="X170" s="81">
        <v>145911505.9431161</v>
      </c>
      <c r="Y170" s="81">
        <v>146986655.13814983</v>
      </c>
      <c r="Z170" s="81">
        <v>147977483.72134188</v>
      </c>
      <c r="AA170" s="81">
        <v>148745458.6504249</v>
      </c>
      <c r="AB170" s="81">
        <v>149430700.9940007</v>
      </c>
      <c r="AC170" s="81">
        <v>150036164.00122634</v>
      </c>
      <c r="AD170" s="81">
        <v>150566015.77730811</v>
      </c>
      <c r="AE170" s="81">
        <v>151025780.1356757</v>
      </c>
      <c r="AF170" s="81">
        <v>151422316.96732211</v>
      </c>
      <c r="AG170" s="81">
        <v>151763883.58013231</v>
      </c>
      <c r="AH170" s="81">
        <v>152060155.45176536</v>
      </c>
      <c r="AI170" s="81">
        <v>152322288.62999153</v>
      </c>
      <c r="AJ170" s="81">
        <v>152562940.99061444</v>
      </c>
      <c r="AK170" s="81">
        <v>152831628.55317613</v>
      </c>
      <c r="AL170" s="81">
        <v>153108766.88518614</v>
      </c>
      <c r="AM170" s="81">
        <v>153411880.63650328</v>
      </c>
      <c r="AN170" s="81">
        <v>153760143.17403379</v>
      </c>
      <c r="AO170" s="81">
        <v>154174508.16975456</v>
      </c>
      <c r="AP170" s="81">
        <v>154677734.79974276</v>
      </c>
      <c r="AQ170" s="81">
        <v>155294412.47970366</v>
      </c>
      <c r="AR170" s="81">
        <v>156051052.23357701</v>
      </c>
      <c r="AS170" s="81">
        <v>156976045.1633645</v>
      </c>
      <c r="AT170" s="81">
        <v>158099821.76299879</v>
      </c>
    </row>
    <row r="171" spans="1:46" ht="15.75">
      <c r="A171" s="81" t="s">
        <v>450</v>
      </c>
      <c r="B171" s="83">
        <v>419001</v>
      </c>
      <c r="C171" s="80" t="s">
        <v>426</v>
      </c>
      <c r="D171" s="82" t="s">
        <v>680</v>
      </c>
      <c r="E171" s="81">
        <v>16809324.435151469</v>
      </c>
      <c r="F171" s="81">
        <v>17298843.13422817</v>
      </c>
      <c r="G171" s="81">
        <v>17683281.704415295</v>
      </c>
      <c r="H171" s="81">
        <v>18061077.204671297</v>
      </c>
      <c r="I171" s="81">
        <v>18431738.484117072</v>
      </c>
      <c r="J171" s="81">
        <v>18794817.572390635</v>
      </c>
      <c r="K171" s="81">
        <v>19149938.342513148</v>
      </c>
      <c r="L171" s="81">
        <v>19496672.741585881</v>
      </c>
      <c r="M171" s="81">
        <v>19834720.040299684</v>
      </c>
      <c r="N171" s="81">
        <v>20163703.913522858</v>
      </c>
      <c r="O171" s="81">
        <v>20483408.181323767</v>
      </c>
      <c r="P171" s="81">
        <v>20793570.316141874</v>
      </c>
      <c r="Q171" s="81">
        <v>21004789.481393918</v>
      </c>
      <c r="R171" s="81">
        <v>21205384.509208046</v>
      </c>
      <c r="S171" s="81">
        <v>21395346.423227362</v>
      </c>
      <c r="T171" s="81">
        <v>21574784.866758972</v>
      </c>
      <c r="U171" s="81">
        <v>21743791.727465566</v>
      </c>
      <c r="V171" s="81">
        <v>21902582.206532288</v>
      </c>
      <c r="W171" s="81">
        <v>22051384.88575289</v>
      </c>
      <c r="X171" s="81">
        <v>22190441.870686766</v>
      </c>
      <c r="Y171" s="81">
        <v>22320096.224895321</v>
      </c>
      <c r="Z171" s="81">
        <v>22440736.893422946</v>
      </c>
      <c r="AA171" s="81">
        <v>22531737.85138144</v>
      </c>
      <c r="AB171" s="81">
        <v>22614688.497843947</v>
      </c>
      <c r="AC171" s="81">
        <v>22690144.748171758</v>
      </c>
      <c r="AD171" s="81">
        <v>22758681.050479528</v>
      </c>
      <c r="AE171" s="81">
        <v>22821072.608259533</v>
      </c>
      <c r="AF171" s="81">
        <v>22877996.224116147</v>
      </c>
      <c r="AG171" s="81">
        <v>22930333.928838987</v>
      </c>
      <c r="AH171" s="81">
        <v>22978900.710977625</v>
      </c>
      <c r="AI171" s="81">
        <v>23024628.637566995</v>
      </c>
      <c r="AJ171" s="81">
        <v>23068601.553616717</v>
      </c>
      <c r="AK171" s="81">
        <v>23117141.920516353</v>
      </c>
      <c r="AL171" s="81">
        <v>23166103.985860176</v>
      </c>
      <c r="AM171" s="81">
        <v>23216693.84844869</v>
      </c>
      <c r="AN171" s="81">
        <v>23270150.125311639</v>
      </c>
      <c r="AO171" s="81">
        <v>23327906.551680017</v>
      </c>
      <c r="AP171" s="81">
        <v>23391401.634872794</v>
      </c>
      <c r="AQ171" s="81">
        <v>23462110.765157625</v>
      </c>
      <c r="AR171" s="81">
        <v>23541679.026529625</v>
      </c>
      <c r="AS171" s="81">
        <v>23631759.190016214</v>
      </c>
      <c r="AT171" s="81">
        <v>23734178.79174028</v>
      </c>
    </row>
    <row r="172" spans="1:46" ht="15.75">
      <c r="A172" s="81" t="s">
        <v>450</v>
      </c>
      <c r="B172" s="80">
        <v>420100</v>
      </c>
      <c r="C172" s="80" t="s">
        <v>425</v>
      </c>
      <c r="D172" s="84" t="s">
        <v>679</v>
      </c>
      <c r="E172" s="81">
        <v>360536341.74607253</v>
      </c>
      <c r="F172" s="81">
        <v>372687721.36290872</v>
      </c>
      <c r="G172" s="81">
        <v>382074451.73068643</v>
      </c>
      <c r="H172" s="81">
        <v>390850450.13031417</v>
      </c>
      <c r="I172" s="81">
        <v>399048974.14288288</v>
      </c>
      <c r="J172" s="81">
        <v>406703679.59272414</v>
      </c>
      <c r="K172" s="81">
        <v>413848552.35431355</v>
      </c>
      <c r="L172" s="81">
        <v>420517646.49071878</v>
      </c>
      <c r="M172" s="81">
        <v>426745075.12197405</v>
      </c>
      <c r="N172" s="81">
        <v>432564774.06005818</v>
      </c>
      <c r="O172" s="81">
        <v>438010425.43949705</v>
      </c>
      <c r="P172" s="81">
        <v>443115315.23921961</v>
      </c>
      <c r="Q172" s="81">
        <v>446018649.98031616</v>
      </c>
      <c r="R172" s="81">
        <v>448643387.86445981</v>
      </c>
      <c r="S172" s="81">
        <v>451023757.84967655</v>
      </c>
      <c r="T172" s="81">
        <v>453192384.48192656</v>
      </c>
      <c r="U172" s="81">
        <v>455180113.09293568</v>
      </c>
      <c r="V172" s="81">
        <v>457016010.85580081</v>
      </c>
      <c r="W172" s="81">
        <v>458727153.24311453</v>
      </c>
      <c r="X172" s="81">
        <v>460338587.48262203</v>
      </c>
      <c r="Y172" s="81">
        <v>461873150.21559459</v>
      </c>
      <c r="Z172" s="81">
        <v>463351504.02227908</v>
      </c>
      <c r="AA172" s="81">
        <v>464358378.72033614</v>
      </c>
      <c r="AB172" s="81">
        <v>465344574.46464926</v>
      </c>
      <c r="AC172" s="81">
        <v>466323188.22418135</v>
      </c>
      <c r="AD172" s="81">
        <v>467304575.96431202</v>
      </c>
      <c r="AE172" s="81">
        <v>468296173.10656124</v>
      </c>
      <c r="AF172" s="81">
        <v>469302504.9489336</v>
      </c>
      <c r="AG172" s="81">
        <v>470325005.25762844</v>
      </c>
      <c r="AH172" s="81">
        <v>471361870.0146662</v>
      </c>
      <c r="AI172" s="81">
        <v>472408027.37031418</v>
      </c>
      <c r="AJ172" s="81">
        <v>473455029.92044955</v>
      </c>
      <c r="AK172" s="81">
        <v>474600437.298814</v>
      </c>
      <c r="AL172" s="81">
        <v>475718845.33071589</v>
      </c>
      <c r="AM172" s="81">
        <v>476790828.89252347</v>
      </c>
      <c r="AN172" s="81">
        <v>477793243.66071886</v>
      </c>
      <c r="AO172" s="81">
        <v>478698782.96905571</v>
      </c>
      <c r="AP172" s="81">
        <v>479476143.36577922</v>
      </c>
      <c r="AQ172" s="81">
        <v>480089782.47340536</v>
      </c>
      <c r="AR172" s="81">
        <v>480499797.00721765</v>
      </c>
      <c r="AS172" s="81">
        <v>480661757.25759953</v>
      </c>
      <c r="AT172" s="81">
        <v>480526752.0991258</v>
      </c>
    </row>
    <row r="173" spans="1:46" ht="15.75">
      <c r="A173" s="81" t="s">
        <v>450</v>
      </c>
      <c r="B173" s="80">
        <v>420200</v>
      </c>
      <c r="C173" s="80" t="s">
        <v>425</v>
      </c>
      <c r="D173" s="84" t="s">
        <v>678</v>
      </c>
      <c r="E173" s="81">
        <v>59890141.729931816</v>
      </c>
      <c r="F173" s="81">
        <v>61562609.590857819</v>
      </c>
      <c r="G173" s="81">
        <v>62874615.890865147</v>
      </c>
      <c r="H173" s="81">
        <v>64176007.386787988</v>
      </c>
      <c r="I173" s="81">
        <v>65464380.296304159</v>
      </c>
      <c r="J173" s="81">
        <v>66737404.502123997</v>
      </c>
      <c r="K173" s="81">
        <v>67992806.371938661</v>
      </c>
      <c r="L173" s="81">
        <v>69228457.584357634</v>
      </c>
      <c r="M173" s="81">
        <v>70442306.334360078</v>
      </c>
      <c r="N173" s="81">
        <v>71632440.852100492</v>
      </c>
      <c r="O173" s="81">
        <v>72797045.123986587</v>
      </c>
      <c r="P173" s="81">
        <v>73934492.466631874</v>
      </c>
      <c r="Q173" s="81">
        <v>74726041.084128827</v>
      </c>
      <c r="R173" s="81">
        <v>75484487.467561334</v>
      </c>
      <c r="S173" s="81">
        <v>76209118.14617385</v>
      </c>
      <c r="T173" s="81">
        <v>76899395.042458832</v>
      </c>
      <c r="U173" s="81">
        <v>77555051.245851085</v>
      </c>
      <c r="V173" s="81">
        <v>78175952.830645576</v>
      </c>
      <c r="W173" s="81">
        <v>78762163.84041056</v>
      </c>
      <c r="X173" s="81">
        <v>79314014.18216753</v>
      </c>
      <c r="Y173" s="81">
        <v>79831987.465718895</v>
      </c>
      <c r="Z173" s="81">
        <v>80316849.113839194</v>
      </c>
      <c r="AA173" s="81">
        <v>80694238.104222938</v>
      </c>
      <c r="AB173" s="81">
        <v>81040667.539616555</v>
      </c>
      <c r="AC173" s="81">
        <v>81357697.198452204</v>
      </c>
      <c r="AD173" s="81">
        <v>81647132.120433703</v>
      </c>
      <c r="AE173" s="81">
        <v>81911061.356018901</v>
      </c>
      <c r="AF173" s="81">
        <v>82151834.029318541</v>
      </c>
      <c r="AG173" s="81">
        <v>82372034.179571763</v>
      </c>
      <c r="AH173" s="81">
        <v>82574551.730489656</v>
      </c>
      <c r="AI173" s="81">
        <v>82762590.779473379</v>
      </c>
      <c r="AJ173" s="81">
        <v>82939645.071546003</v>
      </c>
      <c r="AK173" s="81">
        <v>83128657.232393056</v>
      </c>
      <c r="AL173" s="81">
        <v>83314485.679181859</v>
      </c>
      <c r="AM173" s="81">
        <v>83501571.737055197</v>
      </c>
      <c r="AN173" s="81">
        <v>83694681.358877912</v>
      </c>
      <c r="AO173" s="81">
        <v>83898844.97470291</v>
      </c>
      <c r="AP173" s="81">
        <v>84119500.216541111</v>
      </c>
      <c r="AQ173" s="81">
        <v>84362502.266176358</v>
      </c>
      <c r="AR173" s="81">
        <v>84633960.668823332</v>
      </c>
      <c r="AS173" s="81">
        <v>84940418.835827455</v>
      </c>
      <c r="AT173" s="81">
        <v>85288794.247302279</v>
      </c>
    </row>
    <row r="174" spans="1:46" ht="15.75">
      <c r="A174" s="81" t="s">
        <v>450</v>
      </c>
      <c r="B174" s="80">
        <v>420300</v>
      </c>
      <c r="C174" s="80" t="s">
        <v>425</v>
      </c>
      <c r="D174" s="84" t="s">
        <v>677</v>
      </c>
      <c r="E174" s="81">
        <v>77914935.644790515</v>
      </c>
      <c r="F174" s="81">
        <v>80010352.165255204</v>
      </c>
      <c r="G174" s="81">
        <v>81612027.297359243</v>
      </c>
      <c r="H174" s="81">
        <v>83177084.497874305</v>
      </c>
      <c r="I174" s="81">
        <v>84704258.107449993</v>
      </c>
      <c r="J174" s="81">
        <v>86192491.030825481</v>
      </c>
      <c r="K174" s="81">
        <v>87640707.548185825</v>
      </c>
      <c r="L174" s="81">
        <v>89048026.36703746</v>
      </c>
      <c r="M174" s="81">
        <v>90413634.980737001</v>
      </c>
      <c r="N174" s="81">
        <v>91736819.789131671</v>
      </c>
      <c r="O174" s="81">
        <v>93016998.344116688</v>
      </c>
      <c r="P174" s="81">
        <v>94253725.371915504</v>
      </c>
      <c r="Q174" s="81">
        <v>95043214.927542984</v>
      </c>
      <c r="R174" s="81">
        <v>95786682.30599986</v>
      </c>
      <c r="S174" s="81">
        <v>96484676.851964325</v>
      </c>
      <c r="T174" s="81">
        <v>97137883.095843539</v>
      </c>
      <c r="U174" s="81">
        <v>97747095.264903709</v>
      </c>
      <c r="V174" s="81">
        <v>98313279.774556756</v>
      </c>
      <c r="W174" s="81">
        <v>98837520.499277696</v>
      </c>
      <c r="X174" s="81">
        <v>99321021.762345865</v>
      </c>
      <c r="Y174" s="81">
        <v>99765111.352067366</v>
      </c>
      <c r="Z174" s="81">
        <v>100171335.78482236</v>
      </c>
      <c r="AA174" s="81">
        <v>100447516.75223257</v>
      </c>
      <c r="AB174" s="81">
        <v>100689558.78596726</v>
      </c>
      <c r="AC174" s="81">
        <v>100899468.09899139</v>
      </c>
      <c r="AD174" s="81">
        <v>101079445.76897132</v>
      </c>
      <c r="AE174" s="81">
        <v>101231860.83565786</v>
      </c>
      <c r="AF174" s="81">
        <v>101359190.12704773</v>
      </c>
      <c r="AG174" s="81">
        <v>101464084.47606525</v>
      </c>
      <c r="AH174" s="81">
        <v>101549372.64057975</v>
      </c>
      <c r="AI174" s="81">
        <v>101618065.25571376</v>
      </c>
      <c r="AJ174" s="81">
        <v>101673325.9278108</v>
      </c>
      <c r="AK174" s="81">
        <v>101741954.85769877</v>
      </c>
      <c r="AL174" s="81">
        <v>101803844.36923225</v>
      </c>
      <c r="AM174" s="81">
        <v>101862701.76983634</v>
      </c>
      <c r="AN174" s="81">
        <v>101922404.47779876</v>
      </c>
      <c r="AO174" s="81">
        <v>101987003.17928836</v>
      </c>
      <c r="AP174" s="81">
        <v>102060827.79438943</v>
      </c>
      <c r="AQ174" s="81">
        <v>102148321.68269241</v>
      </c>
      <c r="AR174" s="81">
        <v>102254181.47331898</v>
      </c>
      <c r="AS174" s="81">
        <v>102383222.81741914</v>
      </c>
      <c r="AT174" s="81">
        <v>102540627.68902098</v>
      </c>
    </row>
    <row r="175" spans="1:46" ht="15.75">
      <c r="A175" s="81" t="s">
        <v>450</v>
      </c>
      <c r="B175" s="80">
        <v>420500</v>
      </c>
      <c r="C175" s="80" t="s">
        <v>425</v>
      </c>
      <c r="D175" s="84" t="s">
        <v>676</v>
      </c>
      <c r="E175" s="81">
        <v>108062046.05695572</v>
      </c>
      <c r="F175" s="81">
        <v>110816874.30046621</v>
      </c>
      <c r="G175" s="81">
        <v>112816288.40990104</v>
      </c>
      <c r="H175" s="81">
        <v>114698876.44391246</v>
      </c>
      <c r="I175" s="81">
        <v>116467695.64515707</v>
      </c>
      <c r="J175" s="81">
        <v>118125877.52026685</v>
      </c>
      <c r="K175" s="81">
        <v>119676759.43117921</v>
      </c>
      <c r="L175" s="81">
        <v>121123788.53991054</v>
      </c>
      <c r="M175" s="81">
        <v>122470539.63140658</v>
      </c>
      <c r="N175" s="81">
        <v>123720673.76890638</v>
      </c>
      <c r="O175" s="81">
        <v>124878049.46249412</v>
      </c>
      <c r="P175" s="81">
        <v>125946466.15480006</v>
      </c>
      <c r="Q175" s="81">
        <v>126393355.54186779</v>
      </c>
      <c r="R175" s="81">
        <v>126761801.54292662</v>
      </c>
      <c r="S175" s="81">
        <v>127056702.90126289</v>
      </c>
      <c r="T175" s="81">
        <v>127283064.60211191</v>
      </c>
      <c r="U175" s="81">
        <v>127445669.09393139</v>
      </c>
      <c r="V175" s="81">
        <v>127549291.97666016</v>
      </c>
      <c r="W175" s="81">
        <v>127598662.79934292</v>
      </c>
      <c r="X175" s="81">
        <v>127598357.23260075</v>
      </c>
      <c r="Y175" s="81">
        <v>127552886.83734027</v>
      </c>
      <c r="Z175" s="81">
        <v>127466623.42198749</v>
      </c>
      <c r="AA175" s="81">
        <v>127225062.64693564</v>
      </c>
      <c r="AB175" s="81">
        <v>126952582.57468559</v>
      </c>
      <c r="AC175" s="81">
        <v>126653238.00084741</v>
      </c>
      <c r="AD175" s="81">
        <v>126330889.70665391</v>
      </c>
      <c r="AE175" s="81">
        <v>125989300.36618422</v>
      </c>
      <c r="AF175" s="81">
        <v>125632022.0791498</v>
      </c>
      <c r="AG175" s="81">
        <v>125262350.85884181</v>
      </c>
      <c r="AH175" s="81">
        <v>124883495.0044107</v>
      </c>
      <c r="AI175" s="81">
        <v>124498352.97058964</v>
      </c>
      <c r="AJ175" s="81">
        <v>124109719.13230428</v>
      </c>
      <c r="AK175" s="81">
        <v>123748618.13410078</v>
      </c>
      <c r="AL175" s="81">
        <v>123388392.03124182</v>
      </c>
      <c r="AM175" s="81">
        <v>123031077.59930152</v>
      </c>
      <c r="AN175" s="81">
        <v>122678464.12295151</v>
      </c>
      <c r="AO175" s="81">
        <v>122332083.64681442</v>
      </c>
      <c r="AP175" s="81">
        <v>121993163.21990414</v>
      </c>
      <c r="AQ175" s="81">
        <v>121662689.98410159</v>
      </c>
      <c r="AR175" s="81">
        <v>121341287.14314198</v>
      </c>
      <c r="AS175" s="81">
        <v>121029394.60310914</v>
      </c>
      <c r="AT175" s="81">
        <v>120726990.04199106</v>
      </c>
    </row>
    <row r="176" spans="1:46" ht="15.75">
      <c r="A176" s="81" t="s">
        <v>450</v>
      </c>
      <c r="B176" s="80">
        <v>420600</v>
      </c>
      <c r="C176" s="80" t="s">
        <v>425</v>
      </c>
      <c r="D176" s="84" t="s">
        <v>675</v>
      </c>
      <c r="E176" s="81">
        <v>141355877.50425288</v>
      </c>
      <c r="F176" s="81">
        <v>145117717.6581161</v>
      </c>
      <c r="G176" s="81">
        <v>147976036.70250258</v>
      </c>
      <c r="H176" s="81">
        <v>150760166.72556639</v>
      </c>
      <c r="I176" s="81">
        <v>153467970.9171966</v>
      </c>
      <c r="J176" s="81">
        <v>156097522.49789488</v>
      </c>
      <c r="K176" s="81">
        <v>158647056.49869856</v>
      </c>
      <c r="L176" s="81">
        <v>161115036.49766728</v>
      </c>
      <c r="M176" s="81">
        <v>163500165.56904796</v>
      </c>
      <c r="N176" s="81">
        <v>165801336.1195887</v>
      </c>
      <c r="O176" s="81">
        <v>168017761.26547986</v>
      </c>
      <c r="P176" s="81">
        <v>170148801.64005288</v>
      </c>
      <c r="Q176" s="81">
        <v>171466239.61288145</v>
      </c>
      <c r="R176" s="81">
        <v>172695110.90802538</v>
      </c>
      <c r="S176" s="81">
        <v>173836824.33288372</v>
      </c>
      <c r="T176" s="81">
        <v>174892954.85955444</v>
      </c>
      <c r="U176" s="81">
        <v>175865410.79908857</v>
      </c>
      <c r="V176" s="81">
        <v>176756279.32048717</v>
      </c>
      <c r="W176" s="81">
        <v>177567996.35149404</v>
      </c>
      <c r="X176" s="81">
        <v>178303156.14645624</v>
      </c>
      <c r="Y176" s="81">
        <v>178964716.35427618</v>
      </c>
      <c r="Z176" s="81">
        <v>179555940.58739954</v>
      </c>
      <c r="AA176" s="81">
        <v>179912361.53978229</v>
      </c>
      <c r="AB176" s="81">
        <v>180206539.7876167</v>
      </c>
      <c r="AC176" s="81">
        <v>180442713.91260043</v>
      </c>
      <c r="AD176" s="81">
        <v>180625507.35750255</v>
      </c>
      <c r="AE176" s="81">
        <v>180759762.03851128</v>
      </c>
      <c r="AF176" s="81">
        <v>180850612.87461439</v>
      </c>
      <c r="AG176" s="81">
        <v>180903600.87530643</v>
      </c>
      <c r="AH176" s="81">
        <v>180924539.258064</v>
      </c>
      <c r="AI176" s="81">
        <v>180919554.60175791</v>
      </c>
      <c r="AJ176" s="81">
        <v>180895093.09738004</v>
      </c>
      <c r="AK176" s="81">
        <v>180899786.02005988</v>
      </c>
      <c r="AL176" s="81">
        <v>180898693.01083773</v>
      </c>
      <c r="AM176" s="81">
        <v>180899337.90666795</v>
      </c>
      <c r="AN176" s="81">
        <v>180909673.53067657</v>
      </c>
      <c r="AO176" s="81">
        <v>180937865.12641996</v>
      </c>
      <c r="AP176" s="81">
        <v>180992671.16097885</v>
      </c>
      <c r="AQ176" s="81">
        <v>181083114.43194318</v>
      </c>
      <c r="AR176" s="81">
        <v>181218562.02799228</v>
      </c>
      <c r="AS176" s="81">
        <v>181408963.09071741</v>
      </c>
      <c r="AT176" s="81">
        <v>181664511.92268306</v>
      </c>
    </row>
    <row r="177" spans="1:46" ht="15.75">
      <c r="A177" s="81" t="s">
        <v>450</v>
      </c>
      <c r="B177" s="80">
        <v>420700</v>
      </c>
      <c r="C177" s="80" t="s">
        <v>425</v>
      </c>
      <c r="D177" s="84" t="s">
        <v>674</v>
      </c>
      <c r="E177" s="81">
        <v>26163130.893411554</v>
      </c>
      <c r="F177" s="81">
        <v>26911938.740795583</v>
      </c>
      <c r="G177" s="81">
        <v>27492623.008106899</v>
      </c>
      <c r="H177" s="81">
        <v>28058647.609177761</v>
      </c>
      <c r="I177" s="81">
        <v>28609583.4916717</v>
      </c>
      <c r="J177" s="81">
        <v>29145120.4423903</v>
      </c>
      <c r="K177" s="81">
        <v>29664914.386849608</v>
      </c>
      <c r="L177" s="81">
        <v>30168692.188084107</v>
      </c>
      <c r="M177" s="81">
        <v>30656200.740455367</v>
      </c>
      <c r="N177" s="81">
        <v>31127262.646070618</v>
      </c>
      <c r="O177" s="81">
        <v>31581752.004220624</v>
      </c>
      <c r="P177" s="81">
        <v>32019624.900801089</v>
      </c>
      <c r="Q177" s="81">
        <v>32303642.007871818</v>
      </c>
      <c r="R177" s="81">
        <v>32570182.947200291</v>
      </c>
      <c r="S177" s="81">
        <v>32819577.220448777</v>
      </c>
      <c r="T177" s="81">
        <v>33052176.200719431</v>
      </c>
      <c r="U177" s="81">
        <v>33268382.920665998</v>
      </c>
      <c r="V177" s="81">
        <v>33468683.278414998</v>
      </c>
      <c r="W177" s="81">
        <v>33653588.610037044</v>
      </c>
      <c r="X177" s="81">
        <v>33823666.215692788</v>
      </c>
      <c r="Y177" s="81">
        <v>33979601.819759309</v>
      </c>
      <c r="Z177" s="81">
        <v>34122019.001269661</v>
      </c>
      <c r="AA177" s="81">
        <v>34219749.774097055</v>
      </c>
      <c r="AB177" s="81">
        <v>34305638.379267149</v>
      </c>
      <c r="AC177" s="81">
        <v>34380615.515464567</v>
      </c>
      <c r="AD177" s="81">
        <v>34445642.064351633</v>
      </c>
      <c r="AE177" s="81">
        <v>34501677.549664266</v>
      </c>
      <c r="AF177" s="81">
        <v>34549871.456539072</v>
      </c>
      <c r="AG177" s="81">
        <v>34591343.227446102</v>
      </c>
      <c r="AH177" s="81">
        <v>34627342.661869153</v>
      </c>
      <c r="AI177" s="81">
        <v>34659090.097852752</v>
      </c>
      <c r="AJ177" s="81">
        <v>34687971.874355868</v>
      </c>
      <c r="AK177" s="81">
        <v>34723426.268562533</v>
      </c>
      <c r="AL177" s="81">
        <v>34758861.951938234</v>
      </c>
      <c r="AM177" s="81">
        <v>34795815.932019621</v>
      </c>
      <c r="AN177" s="81">
        <v>34835968.10355106</v>
      </c>
      <c r="AO177" s="81">
        <v>34881008.913605586</v>
      </c>
      <c r="AP177" s="81">
        <v>34932741.363694258</v>
      </c>
      <c r="AQ177" s="81">
        <v>34992980.20336701</v>
      </c>
      <c r="AR177" s="81">
        <v>35063724.772627428</v>
      </c>
      <c r="AS177" s="81">
        <v>35146954.277880184</v>
      </c>
      <c r="AT177" s="81">
        <v>35244837.005209878</v>
      </c>
    </row>
    <row r="178" spans="1:46" ht="15.75">
      <c r="A178" s="81" t="s">
        <v>450</v>
      </c>
      <c r="B178" s="80">
        <v>420800</v>
      </c>
      <c r="C178" s="80" t="s">
        <v>425</v>
      </c>
      <c r="D178" s="84" t="s">
        <v>673</v>
      </c>
      <c r="E178" s="81">
        <v>62983552.514410317</v>
      </c>
      <c r="F178" s="81">
        <v>64749175.67723538</v>
      </c>
      <c r="G178" s="81">
        <v>66079013.733440258</v>
      </c>
      <c r="H178" s="81">
        <v>67344642.12598668</v>
      </c>
      <c r="I178" s="81">
        <v>68547190.304980993</v>
      </c>
      <c r="J178" s="81">
        <v>69687850.846127883</v>
      </c>
      <c r="K178" s="81">
        <v>70767953.372228906</v>
      </c>
      <c r="L178" s="81">
        <v>71788855.685792446</v>
      </c>
      <c r="M178" s="81">
        <v>72752099.835257277</v>
      </c>
      <c r="N178" s="81">
        <v>73659220.753833652</v>
      </c>
      <c r="O178" s="81">
        <v>74511876.547385424</v>
      </c>
      <c r="P178" s="81">
        <v>75311818.879839435</v>
      </c>
      <c r="Q178" s="81">
        <v>75739298.818205446</v>
      </c>
      <c r="R178" s="81">
        <v>76117862.846488848</v>
      </c>
      <c r="S178" s="81">
        <v>76450044.492525414</v>
      </c>
      <c r="T178" s="81">
        <v>76738341.944789663</v>
      </c>
      <c r="U178" s="81">
        <v>76985272.396353289</v>
      </c>
      <c r="V178" s="81">
        <v>77193369.586096987</v>
      </c>
      <c r="W178" s="81">
        <v>77365181.300200149</v>
      </c>
      <c r="X178" s="81">
        <v>77503176.049911529</v>
      </c>
      <c r="Y178" s="81">
        <v>77609889.410759792</v>
      </c>
      <c r="Z178" s="81">
        <v>77687770.076147318</v>
      </c>
      <c r="AA178" s="81">
        <v>77666798.183571368</v>
      </c>
      <c r="AB178" s="81">
        <v>77622610.006400719</v>
      </c>
      <c r="AC178" s="81">
        <v>77557633.857055813</v>
      </c>
      <c r="AD178" s="81">
        <v>77474341.084929213</v>
      </c>
      <c r="AE178" s="81">
        <v>77375086.616714805</v>
      </c>
      <c r="AF178" s="81">
        <v>77262263.241795659</v>
      </c>
      <c r="AG178" s="81">
        <v>77138172.1754179</v>
      </c>
      <c r="AH178" s="81">
        <v>77005018.225955948</v>
      </c>
      <c r="AI178" s="81">
        <v>76865035.597759992</v>
      </c>
      <c r="AJ178" s="81">
        <v>76720355.753877372</v>
      </c>
      <c r="AK178" s="81">
        <v>76590744.80361551</v>
      </c>
      <c r="AL178" s="81">
        <v>76460319.838135794</v>
      </c>
      <c r="AM178" s="81">
        <v>76331080.842124104</v>
      </c>
      <c r="AN178" s="81">
        <v>76204878.077875346</v>
      </c>
      <c r="AO178" s="81">
        <v>76083473.694578916</v>
      </c>
      <c r="AP178" s="81">
        <v>75968674.5582546</v>
      </c>
      <c r="AQ178" s="81">
        <v>75862091.159906834</v>
      </c>
      <c r="AR178" s="81">
        <v>75765268.756859288</v>
      </c>
      <c r="AS178" s="81">
        <v>75679684.188110486</v>
      </c>
      <c r="AT178" s="81">
        <v>75606742.655139849</v>
      </c>
    </row>
    <row r="179" spans="1:46" ht="15.75">
      <c r="A179" s="81" t="s">
        <v>450</v>
      </c>
      <c r="B179" s="80">
        <v>420900</v>
      </c>
      <c r="C179" s="80" t="s">
        <v>425</v>
      </c>
      <c r="D179" s="84" t="s">
        <v>672</v>
      </c>
      <c r="E179" s="81">
        <v>103564747.96970601</v>
      </c>
      <c r="F179" s="81">
        <v>106474205.76455584</v>
      </c>
      <c r="G179" s="81">
        <v>108708324.27037539</v>
      </c>
      <c r="H179" s="81">
        <v>110875528.42632581</v>
      </c>
      <c r="I179" s="81">
        <v>112975006.81523722</v>
      </c>
      <c r="J179" s="81">
        <v>115006219.71268854</v>
      </c>
      <c r="K179" s="81">
        <v>116968671.38495123</v>
      </c>
      <c r="L179" s="81">
        <v>118862068.63577458</v>
      </c>
      <c r="M179" s="81">
        <v>120686355.11948979</v>
      </c>
      <c r="N179" s="81">
        <v>122441581.73979162</v>
      </c>
      <c r="O179" s="81">
        <v>124128018.90577433</v>
      </c>
      <c r="P179" s="81">
        <v>125746078.53613497</v>
      </c>
      <c r="Q179" s="81">
        <v>126758279.28970273</v>
      </c>
      <c r="R179" s="81">
        <v>127701191.78400935</v>
      </c>
      <c r="S179" s="81">
        <v>128576764.1017822</v>
      </c>
      <c r="T179" s="81">
        <v>129387021.69963019</v>
      </c>
      <c r="U179" s="81">
        <v>130134244.65949757</v>
      </c>
      <c r="V179" s="81">
        <v>130820796.00076069</v>
      </c>
      <c r="W179" s="81">
        <v>131449181.70601662</v>
      </c>
      <c r="X179" s="81">
        <v>132022174.11310041</v>
      </c>
      <c r="Y179" s="81">
        <v>132542636.05231464</v>
      </c>
      <c r="Z179" s="81">
        <v>133013613.07692578</v>
      </c>
      <c r="AA179" s="81">
        <v>133313893.07620142</v>
      </c>
      <c r="AB179" s="81">
        <v>133571853.16135912</v>
      </c>
      <c r="AC179" s="81">
        <v>133791178.71537828</v>
      </c>
      <c r="AD179" s="81">
        <v>133975704.00059946</v>
      </c>
      <c r="AE179" s="81">
        <v>134129446.06470868</v>
      </c>
      <c r="AF179" s="81">
        <v>134256671.97176093</v>
      </c>
      <c r="AG179" s="81">
        <v>134361710.74473539</v>
      </c>
      <c r="AH179" s="81">
        <v>134449147.00214803</v>
      </c>
      <c r="AI179" s="81">
        <v>134523728.35425895</v>
      </c>
      <c r="AJ179" s="81">
        <v>134590334.69454306</v>
      </c>
      <c r="AK179" s="81">
        <v>134685228.42014137</v>
      </c>
      <c r="AL179" s="81">
        <v>134782433.81866047</v>
      </c>
      <c r="AM179" s="81">
        <v>134887448.75260836</v>
      </c>
      <c r="AN179" s="81">
        <v>135006019.56350645</v>
      </c>
      <c r="AO179" s="81">
        <v>135144043.64377543</v>
      </c>
      <c r="AP179" s="81">
        <v>135307604.94250736</v>
      </c>
      <c r="AQ179" s="81">
        <v>135503114.33845064</v>
      </c>
      <c r="AR179" s="81">
        <v>135737073.61505064</v>
      </c>
      <c r="AS179" s="81">
        <v>136016284.17070594</v>
      </c>
      <c r="AT179" s="81">
        <v>136347712.19790992</v>
      </c>
    </row>
    <row r="180" spans="1:46" ht="15.75">
      <c r="A180" s="81" t="s">
        <v>450</v>
      </c>
      <c r="B180" s="80">
        <v>421000</v>
      </c>
      <c r="C180" s="80" t="s">
        <v>425</v>
      </c>
      <c r="D180" s="84" t="s">
        <v>671</v>
      </c>
      <c r="E180" s="81">
        <v>140604226.88530383</v>
      </c>
      <c r="F180" s="81">
        <v>144294713.69262433</v>
      </c>
      <c r="G180" s="81">
        <v>147053457.65682876</v>
      </c>
      <c r="H180" s="81">
        <v>149707677.57459056</v>
      </c>
      <c r="I180" s="81">
        <v>152257408.10909736</v>
      </c>
      <c r="J180" s="81">
        <v>154703028.66478816</v>
      </c>
      <c r="K180" s="81">
        <v>157045038.46064022</v>
      </c>
      <c r="L180" s="81">
        <v>159284201.45041415</v>
      </c>
      <c r="M180" s="81">
        <v>161421460.76205686</v>
      </c>
      <c r="N180" s="81">
        <v>163457968.71052909</v>
      </c>
      <c r="O180" s="81">
        <v>165395119.08247021</v>
      </c>
      <c r="P180" s="81">
        <v>167234518.93189478</v>
      </c>
      <c r="Q180" s="81">
        <v>168263633.77443045</v>
      </c>
      <c r="R180" s="81">
        <v>169198415.41751805</v>
      </c>
      <c r="S180" s="81">
        <v>170042241.63982102</v>
      </c>
      <c r="T180" s="81">
        <v>170798656.65757307</v>
      </c>
      <c r="U180" s="81">
        <v>171471372.85308138</v>
      </c>
      <c r="V180" s="81">
        <v>172064239.5505037</v>
      </c>
      <c r="W180" s="81">
        <v>172581210.2172254</v>
      </c>
      <c r="X180" s="81">
        <v>173026408.50583592</v>
      </c>
      <c r="Y180" s="81">
        <v>173404129.95333499</v>
      </c>
      <c r="Z180" s="81">
        <v>173718741.65578339</v>
      </c>
      <c r="AA180" s="81">
        <v>173812568.9368611</v>
      </c>
      <c r="AB180" s="81">
        <v>173853754.524353</v>
      </c>
      <c r="AC180" s="81">
        <v>173847304.82782879</v>
      </c>
      <c r="AD180" s="81">
        <v>173798242.63497502</v>
      </c>
      <c r="AE180" s="81">
        <v>173711814.84573489</v>
      </c>
      <c r="AF180" s="81">
        <v>173593319.05042642</v>
      </c>
      <c r="AG180" s="81">
        <v>173448279.61102498</v>
      </c>
      <c r="AH180" s="81">
        <v>173282235.94704986</v>
      </c>
      <c r="AI180" s="81">
        <v>173100919.78458795</v>
      </c>
      <c r="AJ180" s="81">
        <v>172910148.50365621</v>
      </c>
      <c r="AK180" s="81">
        <v>172755767.03712547</v>
      </c>
      <c r="AL180" s="81">
        <v>172603649.32940143</v>
      </c>
      <c r="AM180" s="81">
        <v>172460024.71106964</v>
      </c>
      <c r="AN180" s="81">
        <v>172331287.93642244</v>
      </c>
      <c r="AO180" s="81">
        <v>172223887.60246271</v>
      </c>
      <c r="AP180" s="81">
        <v>172144513.2141028</v>
      </c>
      <c r="AQ180" s="81">
        <v>172099870.12260824</v>
      </c>
      <c r="AR180" s="81">
        <v>172096867.83598325</v>
      </c>
      <c r="AS180" s="81">
        <v>172142583.95713916</v>
      </c>
      <c r="AT180" s="81">
        <v>172244187.6516073</v>
      </c>
    </row>
    <row r="181" spans="1:46" ht="15.75">
      <c r="A181" s="81" t="s">
        <v>450</v>
      </c>
      <c r="B181" s="80">
        <v>421100</v>
      </c>
      <c r="C181" s="80" t="s">
        <v>425</v>
      </c>
      <c r="D181" s="84" t="s">
        <v>670</v>
      </c>
      <c r="E181" s="81">
        <v>158135851.24186707</v>
      </c>
      <c r="F181" s="81">
        <v>162268139.33694103</v>
      </c>
      <c r="G181" s="81">
        <v>165427311.20881858</v>
      </c>
      <c r="H181" s="81">
        <v>168537018.74954611</v>
      </c>
      <c r="I181" s="81">
        <v>171590724.64909056</v>
      </c>
      <c r="J181" s="81">
        <v>174582267.399975</v>
      </c>
      <c r="K181" s="81">
        <v>177505720.49505857</v>
      </c>
      <c r="L181" s="81">
        <v>180355536.92129013</v>
      </c>
      <c r="M181" s="81">
        <v>183126642.76261705</v>
      </c>
      <c r="N181" s="81">
        <v>185814229.68227038</v>
      </c>
      <c r="O181" s="81">
        <v>188414056.49991983</v>
      </c>
      <c r="P181" s="81">
        <v>190922332.51634252</v>
      </c>
      <c r="Q181" s="81">
        <v>192518424.47436324</v>
      </c>
      <c r="R181" s="81">
        <v>194012826.50145811</v>
      </c>
      <c r="S181" s="81">
        <v>195404681.71482596</v>
      </c>
      <c r="T181" s="81">
        <v>196693819.06325936</v>
      </c>
      <c r="U181" s="81">
        <v>197880649.14373356</v>
      </c>
      <c r="V181" s="81">
        <v>198966185.8477014</v>
      </c>
      <c r="W181" s="81">
        <v>199952167.88713941</v>
      </c>
      <c r="X181" s="81">
        <v>200840984.42473087</v>
      </c>
      <c r="Y181" s="81">
        <v>201635731.19543305</v>
      </c>
      <c r="Z181" s="81">
        <v>202340234.44621068</v>
      </c>
      <c r="AA181" s="81">
        <v>202769830.64424863</v>
      </c>
      <c r="AB181" s="81">
        <v>203119981.00884938</v>
      </c>
      <c r="AC181" s="81">
        <v>203397111.9373607</v>
      </c>
      <c r="AD181" s="81">
        <v>203608381.1229637</v>
      </c>
      <c r="AE181" s="81">
        <v>203761732.37423208</v>
      </c>
      <c r="AF181" s="81">
        <v>203866058.32161152</v>
      </c>
      <c r="AG181" s="81">
        <v>203931083.73094326</v>
      </c>
      <c r="AH181" s="81">
        <v>203967386.91816512</v>
      </c>
      <c r="AI181" s="81">
        <v>203986457.50037852</v>
      </c>
      <c r="AJ181" s="81">
        <v>204000792.17368901</v>
      </c>
      <c r="AK181" s="81">
        <v>204070870.68877131</v>
      </c>
      <c r="AL181" s="81">
        <v>204163704.38832435</v>
      </c>
      <c r="AM181" s="81">
        <v>204294728.874167</v>
      </c>
      <c r="AN181" s="81">
        <v>204480461.11321306</v>
      </c>
      <c r="AO181" s="81">
        <v>204738375.09204885</v>
      </c>
      <c r="AP181" s="81">
        <v>205087150.62611467</v>
      </c>
      <c r="AQ181" s="81">
        <v>205546588.11435696</v>
      </c>
      <c r="AR181" s="81">
        <v>206137557.34542415</v>
      </c>
      <c r="AS181" s="81">
        <v>206882175.47727209</v>
      </c>
      <c r="AT181" s="81">
        <v>207803718.87863013</v>
      </c>
    </row>
    <row r="182" spans="1:46" ht="15.75">
      <c r="A182" s="81" t="s">
        <v>450</v>
      </c>
      <c r="B182" s="80">
        <v>421200</v>
      </c>
      <c r="C182" s="80" t="s">
        <v>425</v>
      </c>
      <c r="D182" s="84" t="s">
        <v>669</v>
      </c>
      <c r="E182" s="81">
        <v>64597045.56794364</v>
      </c>
      <c r="F182" s="81">
        <v>66280320.257841781</v>
      </c>
      <c r="G182" s="81">
        <v>67589308.584672481</v>
      </c>
      <c r="H182" s="81">
        <v>68899992.604025915</v>
      </c>
      <c r="I182" s="81">
        <v>70208352.747296944</v>
      </c>
      <c r="J182" s="81">
        <v>71510439.792345911</v>
      </c>
      <c r="K182" s="81">
        <v>72802469.797454655</v>
      </c>
      <c r="L182" s="81">
        <v>74080736.603371054</v>
      </c>
      <c r="M182" s="81">
        <v>75341707.633084923</v>
      </c>
      <c r="N182" s="81">
        <v>76582015.462376192</v>
      </c>
      <c r="O182" s="81">
        <v>77798419.545086607</v>
      </c>
      <c r="P182" s="81">
        <v>78987934.267972469</v>
      </c>
      <c r="Q182" s="81">
        <v>79808982.753530174</v>
      </c>
      <c r="R182" s="81">
        <v>80594644.37095283</v>
      </c>
      <c r="S182" s="81">
        <v>81343190.249338061</v>
      </c>
      <c r="T182" s="81">
        <v>82053064.85351105</v>
      </c>
      <c r="U182" s="81">
        <v>82723071.292856902</v>
      </c>
      <c r="V182" s="81">
        <v>83352356.727126747</v>
      </c>
      <c r="W182" s="81">
        <v>83940276.428205267</v>
      </c>
      <c r="X182" s="81">
        <v>84486644.256077707</v>
      </c>
      <c r="Y182" s="81">
        <v>84991537.192835793</v>
      </c>
      <c r="Z182" s="81">
        <v>85455458.883706689</v>
      </c>
      <c r="AA182" s="81">
        <v>85799141.091750577</v>
      </c>
      <c r="AB182" s="81">
        <v>86103991.319035485</v>
      </c>
      <c r="AC182" s="81">
        <v>86371765.103405014</v>
      </c>
      <c r="AD182" s="81">
        <v>86604598.052708149</v>
      </c>
      <c r="AE182" s="81">
        <v>86805048.967070162</v>
      </c>
      <c r="AF182" s="81">
        <v>86976144.36126022</v>
      </c>
      <c r="AG182" s="81">
        <v>87121327.688401073</v>
      </c>
      <c r="AH182" s="81">
        <v>87244471.000267789</v>
      </c>
      <c r="AI182" s="81">
        <v>87349984.732270792</v>
      </c>
      <c r="AJ182" s="81">
        <v>87442701.290711537</v>
      </c>
      <c r="AK182" s="81">
        <v>87548190.259096876</v>
      </c>
      <c r="AL182" s="81">
        <v>87652028.433845833</v>
      </c>
      <c r="AM182" s="81">
        <v>87760557.287898764</v>
      </c>
      <c r="AN182" s="81">
        <v>87880730.316918522</v>
      </c>
      <c r="AO182" s="81">
        <v>88020061.3509565</v>
      </c>
      <c r="AP182" s="81">
        <v>88186535.9880777</v>
      </c>
      <c r="AQ182" s="81">
        <v>88388829.431385428</v>
      </c>
      <c r="AR182" s="81">
        <v>88636150.792903543</v>
      </c>
      <c r="AS182" s="81">
        <v>88938360.239517406</v>
      </c>
      <c r="AT182" s="81">
        <v>89305984.871706262</v>
      </c>
    </row>
    <row r="183" spans="1:46" ht="15.75">
      <c r="A183" s="81" t="s">
        <v>450</v>
      </c>
      <c r="B183" s="80">
        <v>421300</v>
      </c>
      <c r="C183" s="80" t="s">
        <v>425</v>
      </c>
      <c r="D183" s="84" t="s">
        <v>668</v>
      </c>
      <c r="E183" s="81">
        <v>47083153.360368073</v>
      </c>
      <c r="F183" s="81">
        <v>48346976.782249868</v>
      </c>
      <c r="G183" s="81">
        <v>49302806.851793744</v>
      </c>
      <c r="H183" s="81">
        <v>50227388.63815169</v>
      </c>
      <c r="I183" s="81">
        <v>51120487.106712021</v>
      </c>
      <c r="J183" s="81">
        <v>51981950.241253637</v>
      </c>
      <c r="K183" s="81">
        <v>52811661.083021894</v>
      </c>
      <c r="L183" s="81">
        <v>53609639.164972134</v>
      </c>
      <c r="M183" s="81">
        <v>54375942.784003012</v>
      </c>
      <c r="N183" s="81">
        <v>55110668.251945384</v>
      </c>
      <c r="O183" s="81">
        <v>55814002.203573488</v>
      </c>
      <c r="P183" s="81">
        <v>56486277.878970839</v>
      </c>
      <c r="Q183" s="81">
        <v>56886293.005029939</v>
      </c>
      <c r="R183" s="81">
        <v>57255408.794798963</v>
      </c>
      <c r="S183" s="81">
        <v>57594529.905229501</v>
      </c>
      <c r="T183" s="81">
        <v>57904581.609923281</v>
      </c>
      <c r="U183" s="81">
        <v>58186593.131494299</v>
      </c>
      <c r="V183" s="81">
        <v>58441643.974931456</v>
      </c>
      <c r="W183" s="81">
        <v>58670892.873123504</v>
      </c>
      <c r="X183" s="81">
        <v>58875522.126614988</v>
      </c>
      <c r="Y183" s="81">
        <v>59056765.877909325</v>
      </c>
      <c r="Z183" s="81">
        <v>59215968.841816932</v>
      </c>
      <c r="AA183" s="81">
        <v>59299205.972641833</v>
      </c>
      <c r="AB183" s="81">
        <v>59363548.416685529</v>
      </c>
      <c r="AC183" s="81">
        <v>59410580.031222038</v>
      </c>
      <c r="AD183" s="81">
        <v>59441905.252380319</v>
      </c>
      <c r="AE183" s="81">
        <v>59459268.983115584</v>
      </c>
      <c r="AF183" s="81">
        <v>59464347.849906027</v>
      </c>
      <c r="AG183" s="81">
        <v>59458990.759472184</v>
      </c>
      <c r="AH183" s="81">
        <v>59445039.055554673</v>
      </c>
      <c r="AI183" s="81">
        <v>59424479.592163153</v>
      </c>
      <c r="AJ183" s="81">
        <v>59399261.421676449</v>
      </c>
      <c r="AK183" s="81">
        <v>59385186.562185481</v>
      </c>
      <c r="AL183" s="81">
        <v>59370598.687035374</v>
      </c>
      <c r="AM183" s="81">
        <v>59357646.744109012</v>
      </c>
      <c r="AN183" s="81">
        <v>59348633.465701386</v>
      </c>
      <c r="AO183" s="81">
        <v>59345922.443272904</v>
      </c>
      <c r="AP183" s="81">
        <v>59351906.188298002</v>
      </c>
      <c r="AQ183" s="81">
        <v>59369070.858492464</v>
      </c>
      <c r="AR183" s="81">
        <v>59399997.850553229</v>
      </c>
      <c r="AS183" s="81">
        <v>59447299.204211153</v>
      </c>
      <c r="AT183" s="81">
        <v>59513716.968211964</v>
      </c>
    </row>
    <row r="184" spans="1:46" ht="15.75">
      <c r="A184" s="81" t="s">
        <v>450</v>
      </c>
      <c r="B184" s="80">
        <v>422800</v>
      </c>
      <c r="C184" s="80" t="s">
        <v>425</v>
      </c>
      <c r="D184" s="84" t="s">
        <v>667</v>
      </c>
      <c r="E184" s="81">
        <v>84287104.590147302</v>
      </c>
      <c r="F184" s="81">
        <v>86170114.023276195</v>
      </c>
      <c r="G184" s="81">
        <v>87578525.957887366</v>
      </c>
      <c r="H184" s="81">
        <v>89001785.982644364</v>
      </c>
      <c r="I184" s="81">
        <v>90433514.149908289</v>
      </c>
      <c r="J184" s="81">
        <v>91867486.185334131</v>
      </c>
      <c r="K184" s="81">
        <v>93297662.154548347</v>
      </c>
      <c r="L184" s="81">
        <v>94718107.646238744</v>
      </c>
      <c r="M184" s="81">
        <v>96123207.719578013</v>
      </c>
      <c r="N184" s="81">
        <v>97507480.656526178</v>
      </c>
      <c r="O184" s="81">
        <v>98865823.904578924</v>
      </c>
      <c r="P184" s="81">
        <v>100193323.13360104</v>
      </c>
      <c r="Q184" s="81">
        <v>101056492.69673446</v>
      </c>
      <c r="R184" s="81">
        <v>101877666.71926488</v>
      </c>
      <c r="S184" s="81">
        <v>102653670.83084443</v>
      </c>
      <c r="T184" s="81">
        <v>103381812.60993749</v>
      </c>
      <c r="U184" s="81">
        <v>104059844.22232829</v>
      </c>
      <c r="V184" s="81">
        <v>104685982.04774477</v>
      </c>
      <c r="W184" s="81">
        <v>105259046.62463556</v>
      </c>
      <c r="X184" s="81">
        <v>105778305.92032242</v>
      </c>
      <c r="Y184" s="81">
        <v>106243645.78012046</v>
      </c>
      <c r="Z184" s="81">
        <v>106655501.84912486</v>
      </c>
      <c r="AA184" s="81">
        <v>106915109.72295848</v>
      </c>
      <c r="AB184" s="81">
        <v>107124400.04363431</v>
      </c>
      <c r="AC184" s="81">
        <v>107285747.1069023</v>
      </c>
      <c r="AD184" s="81">
        <v>107402337.00575073</v>
      </c>
      <c r="AE184" s="81">
        <v>107477906.83024681</v>
      </c>
      <c r="AF184" s="81">
        <v>107516920.78816353</v>
      </c>
      <c r="AG184" s="81">
        <v>107524624.0083681</v>
      </c>
      <c r="AH184" s="81">
        <v>107506935.57585548</v>
      </c>
      <c r="AI184" s="81">
        <v>107470532.59463651</v>
      </c>
      <c r="AJ184" s="81">
        <v>107422937.04220951</v>
      </c>
      <c r="AK184" s="81">
        <v>107397159.52637136</v>
      </c>
      <c r="AL184" s="81">
        <v>107377374.40335943</v>
      </c>
      <c r="AM184" s="81">
        <v>107373518.45655075</v>
      </c>
      <c r="AN184" s="81">
        <v>107396471.09999047</v>
      </c>
      <c r="AO184" s="81">
        <v>107457909.41088645</v>
      </c>
      <c r="AP184" s="81">
        <v>107570533.35996911</v>
      </c>
      <c r="AQ184" s="81">
        <v>107747920.11385609</v>
      </c>
      <c r="AR184" s="81">
        <v>108004684.14611433</v>
      </c>
      <c r="AS184" s="81">
        <v>108356363.45505762</v>
      </c>
      <c r="AT184" s="81">
        <v>108819546.7477916</v>
      </c>
    </row>
    <row r="185" spans="1:46" ht="15.75">
      <c r="A185" s="81" t="s">
        <v>450</v>
      </c>
      <c r="B185" s="83">
        <v>429004</v>
      </c>
      <c r="C185" s="80" t="s">
        <v>425</v>
      </c>
      <c r="D185" s="82" t="s">
        <v>666</v>
      </c>
      <c r="E185" s="81">
        <v>18555324.603981081</v>
      </c>
      <c r="F185" s="81">
        <v>19048668.471806858</v>
      </c>
      <c r="G185" s="81">
        <v>19419373.025131814</v>
      </c>
      <c r="H185" s="81">
        <v>19776505.406870246</v>
      </c>
      <c r="I185" s="81">
        <v>20120005.111936357</v>
      </c>
      <c r="J185" s="81">
        <v>20449855.901376851</v>
      </c>
      <c r="K185" s="81">
        <v>20766015.602310795</v>
      </c>
      <c r="L185" s="81">
        <v>21068558.359451491</v>
      </c>
      <c r="M185" s="81">
        <v>21357533.625329912</v>
      </c>
      <c r="N185" s="81">
        <v>21633018.965637896</v>
      </c>
      <c r="O185" s="81">
        <v>21895177.060509823</v>
      </c>
      <c r="P185" s="81">
        <v>22144164.096345317</v>
      </c>
      <c r="Q185" s="81">
        <v>22285577.590117995</v>
      </c>
      <c r="R185" s="81">
        <v>22414160.180730883</v>
      </c>
      <c r="S185" s="81">
        <v>22530358.898109842</v>
      </c>
      <c r="T185" s="81">
        <v>22634603.567843352</v>
      </c>
      <c r="U185" s="81">
        <v>22727404.93627708</v>
      </c>
      <c r="V185" s="81">
        <v>22809277.057822738</v>
      </c>
      <c r="W185" s="81">
        <v>22880756.948683102</v>
      </c>
      <c r="X185" s="81">
        <v>22942445.56815337</v>
      </c>
      <c r="Y185" s="81">
        <v>22994906.981036466</v>
      </c>
      <c r="Z185" s="81">
        <v>23038790.361862127</v>
      </c>
      <c r="AA185" s="81">
        <v>23053250.647170808</v>
      </c>
      <c r="AB185" s="81">
        <v>23060622.667090852</v>
      </c>
      <c r="AC185" s="81">
        <v>23061667.822724167</v>
      </c>
      <c r="AD185" s="81">
        <v>23057170.93884512</v>
      </c>
      <c r="AE185" s="81">
        <v>23047897.636728972</v>
      </c>
      <c r="AF185" s="81">
        <v>23034657.766956545</v>
      </c>
      <c r="AG185" s="81">
        <v>23018349.741445161</v>
      </c>
      <c r="AH185" s="81">
        <v>22999831.81196652</v>
      </c>
      <c r="AI185" s="81">
        <v>22980008.077786818</v>
      </c>
      <c r="AJ185" s="81">
        <v>22959829.418585312</v>
      </c>
      <c r="AK185" s="81">
        <v>22945589.974169783</v>
      </c>
      <c r="AL185" s="81">
        <v>22932908.192019664</v>
      </c>
      <c r="AM185" s="81">
        <v>22922858.870024007</v>
      </c>
      <c r="AN185" s="81">
        <v>22916522.262311146</v>
      </c>
      <c r="AO185" s="81">
        <v>22914960.625352252</v>
      </c>
      <c r="AP185" s="81">
        <v>22919332.235488649</v>
      </c>
      <c r="AQ185" s="81">
        <v>22930847.493357942</v>
      </c>
      <c r="AR185" s="81">
        <v>22950653.036139376</v>
      </c>
      <c r="AS185" s="81">
        <v>22980040.673898399</v>
      </c>
      <c r="AT185" s="81">
        <v>23020261.983754944</v>
      </c>
    </row>
    <row r="186" spans="1:46" ht="15.75">
      <c r="A186" s="81" t="s">
        <v>450</v>
      </c>
      <c r="B186" s="83">
        <v>429005</v>
      </c>
      <c r="C186" s="80" t="s">
        <v>425</v>
      </c>
      <c r="D186" s="82" t="s">
        <v>665</v>
      </c>
      <c r="E186" s="81">
        <v>18541020.53299015</v>
      </c>
      <c r="F186" s="81">
        <v>19033994.081689879</v>
      </c>
      <c r="G186" s="81">
        <v>19404410.573433328</v>
      </c>
      <c r="H186" s="81">
        <v>19761267.007579606</v>
      </c>
      <c r="I186" s="81">
        <v>20104500.163983788</v>
      </c>
      <c r="J186" s="81">
        <v>20434073.21549337</v>
      </c>
      <c r="K186" s="81">
        <v>20749999.048948556</v>
      </c>
      <c r="L186" s="81">
        <v>21052318.899039969</v>
      </c>
      <c r="M186" s="81">
        <v>21341055.675049271</v>
      </c>
      <c r="N186" s="81">
        <v>21616354.364691105</v>
      </c>
      <c r="O186" s="81">
        <v>21878295.342277993</v>
      </c>
      <c r="P186" s="81">
        <v>22127084.248921808</v>
      </c>
      <c r="Q186" s="81">
        <v>22268399.40061897</v>
      </c>
      <c r="R186" s="81">
        <v>22396868.84130254</v>
      </c>
      <c r="S186" s="81">
        <v>22512976.952395614</v>
      </c>
      <c r="T186" s="81">
        <v>22617130.628593788</v>
      </c>
      <c r="U186" s="81">
        <v>22709884.47497211</v>
      </c>
      <c r="V186" s="81">
        <v>22791689.618381858</v>
      </c>
      <c r="W186" s="81">
        <v>22863121.530030411</v>
      </c>
      <c r="X186" s="81">
        <v>22924754.047897726</v>
      </c>
      <c r="Y186" s="81">
        <v>22977158.591169864</v>
      </c>
      <c r="Z186" s="81">
        <v>23021009.244719487</v>
      </c>
      <c r="AA186" s="81">
        <v>23035449.897456933</v>
      </c>
      <c r="AB186" s="81">
        <v>23042838.988180827</v>
      </c>
      <c r="AC186" s="81">
        <v>23043888.95029274</v>
      </c>
      <c r="AD186" s="81">
        <v>23039388.697246708</v>
      </c>
      <c r="AE186" s="81">
        <v>23030096.108641084</v>
      </c>
      <c r="AF186" s="81">
        <v>23016901.823432095</v>
      </c>
      <c r="AG186" s="81">
        <v>23000583.31235572</v>
      </c>
      <c r="AH186" s="81">
        <v>22982079.894732438</v>
      </c>
      <c r="AI186" s="81">
        <v>22962272.533729322</v>
      </c>
      <c r="AJ186" s="81">
        <v>22942122.844070856</v>
      </c>
      <c r="AK186" s="81">
        <v>22927881.095873345</v>
      </c>
      <c r="AL186" s="81">
        <v>22915225.042342231</v>
      </c>
      <c r="AM186" s="81">
        <v>22905166.860719573</v>
      </c>
      <c r="AN186" s="81">
        <v>22898832.543720521</v>
      </c>
      <c r="AO186" s="81">
        <v>22897259.952646066</v>
      </c>
      <c r="AP186" s="81">
        <v>22901660.613578498</v>
      </c>
      <c r="AQ186" s="81">
        <v>22913127.885274146</v>
      </c>
      <c r="AR186" s="81">
        <v>22932931.228807077</v>
      </c>
      <c r="AS186" s="81">
        <v>22962310.713403296</v>
      </c>
      <c r="AT186" s="81">
        <v>23002505.553480439</v>
      </c>
    </row>
    <row r="187" spans="1:46" ht="15.75">
      <c r="A187" s="81" t="s">
        <v>450</v>
      </c>
      <c r="B187" s="83">
        <v>429006</v>
      </c>
      <c r="C187" s="80" t="s">
        <v>425</v>
      </c>
      <c r="D187" s="82" t="s">
        <v>664</v>
      </c>
      <c r="E187" s="81">
        <v>18640163.81180178</v>
      </c>
      <c r="F187" s="81">
        <v>19135773.430158719</v>
      </c>
      <c r="G187" s="81">
        <v>19508175.200893134</v>
      </c>
      <c r="H187" s="81">
        <v>19866939.06987014</v>
      </c>
      <c r="I187" s="81">
        <v>20212008.249313232</v>
      </c>
      <c r="J187" s="81">
        <v>20543352.852128871</v>
      </c>
      <c r="K187" s="81">
        <v>20860970.280757498</v>
      </c>
      <c r="L187" s="81">
        <v>21164903.490338419</v>
      </c>
      <c r="M187" s="81">
        <v>21455188.214346573</v>
      </c>
      <c r="N187" s="81">
        <v>21731942.730267372</v>
      </c>
      <c r="O187" s="81">
        <v>21995297.449190851</v>
      </c>
      <c r="P187" s="81">
        <v>22245431.760747183</v>
      </c>
      <c r="Q187" s="81">
        <v>22387477.653125931</v>
      </c>
      <c r="R187" s="81">
        <v>22516652.44693508</v>
      </c>
      <c r="S187" s="81">
        <v>22633370.567195486</v>
      </c>
      <c r="T187" s="81">
        <v>22738087.099755608</v>
      </c>
      <c r="U187" s="81">
        <v>22831318.367137019</v>
      </c>
      <c r="V187" s="81">
        <v>22913564.799975123</v>
      </c>
      <c r="W187" s="81">
        <v>22985369.26837045</v>
      </c>
      <c r="X187" s="81">
        <v>23047338.143688645</v>
      </c>
      <c r="Y187" s="81">
        <v>23100042.097467761</v>
      </c>
      <c r="Z187" s="81">
        <v>23144115.776128694</v>
      </c>
      <c r="AA187" s="81">
        <v>23158641.817376263</v>
      </c>
      <c r="AB187" s="81">
        <v>23166061.045195188</v>
      </c>
      <c r="AC187" s="81">
        <v>23167120.220932018</v>
      </c>
      <c r="AD187" s="81">
        <v>23162589.136561953</v>
      </c>
      <c r="AE187" s="81">
        <v>23153260.814322695</v>
      </c>
      <c r="AF187" s="81">
        <v>23139972.917778108</v>
      </c>
      <c r="AG187" s="81">
        <v>23123587.312679853</v>
      </c>
      <c r="AH187" s="81">
        <v>23104968.773120672</v>
      </c>
      <c r="AI187" s="81">
        <v>23085071.034741614</v>
      </c>
      <c r="AJ187" s="81">
        <v>23064808.441586129</v>
      </c>
      <c r="AK187" s="81">
        <v>23050483.391599961</v>
      </c>
      <c r="AL187" s="81">
        <v>23037762.961870935</v>
      </c>
      <c r="AM187" s="81">
        <v>23027662.10899476</v>
      </c>
      <c r="AN187" s="81">
        <v>23021289.521614555</v>
      </c>
      <c r="AO187" s="81">
        <v>23019714.865545422</v>
      </c>
      <c r="AP187" s="81">
        <v>23024125.595015556</v>
      </c>
      <c r="AQ187" s="81">
        <v>23035670.29532234</v>
      </c>
      <c r="AR187" s="81">
        <v>23055594.629773419</v>
      </c>
      <c r="AS187" s="81">
        <v>23085104.937991958</v>
      </c>
      <c r="AT187" s="81">
        <v>23125506.021015994</v>
      </c>
    </row>
    <row r="188" spans="1:46" ht="15.75">
      <c r="A188" s="81" t="s">
        <v>450</v>
      </c>
      <c r="B188" s="83">
        <v>429021</v>
      </c>
      <c r="C188" s="80" t="s">
        <v>425</v>
      </c>
      <c r="D188" s="82" t="s">
        <v>663</v>
      </c>
      <c r="E188" s="81">
        <v>1476586.1957550412</v>
      </c>
      <c r="F188" s="81">
        <v>1515848.5259417526</v>
      </c>
      <c r="G188" s="81">
        <v>1545343.6950417978</v>
      </c>
      <c r="H188" s="81">
        <v>1573772.8167934571</v>
      </c>
      <c r="I188" s="81">
        <v>1601105.2820440514</v>
      </c>
      <c r="J188" s="81">
        <v>1627359.2383655962</v>
      </c>
      <c r="K188" s="81">
        <v>1652507.432502612</v>
      </c>
      <c r="L188" s="81">
        <v>1676597.3167804852</v>
      </c>
      <c r="M188" s="81">
        <v>1699581.0942714945</v>
      </c>
      <c r="N188" s="81">
        <v>1721511.6398724159</v>
      </c>
      <c r="O188" s="81">
        <v>1742369.706271186</v>
      </c>
      <c r="P188" s="81">
        <v>1762188.7623542005</v>
      </c>
      <c r="Q188" s="81">
        <v>1773450.7330196947</v>
      </c>
      <c r="R188" s="81">
        <v>1783662.7216914585</v>
      </c>
      <c r="S188" s="81">
        <v>1792905.0621073449</v>
      </c>
      <c r="T188" s="81">
        <v>1801207.7780002805</v>
      </c>
      <c r="U188" s="81">
        <v>1808602.4389754201</v>
      </c>
      <c r="V188" s="81">
        <v>1815122.1766331622</v>
      </c>
      <c r="W188" s="81">
        <v>1820801.7006921645</v>
      </c>
      <c r="X188" s="81">
        <v>1825704.9517656325</v>
      </c>
      <c r="Y188" s="81">
        <v>1829898.3537298848</v>
      </c>
      <c r="Z188" s="81">
        <v>1833394.6900912123</v>
      </c>
      <c r="AA188" s="81">
        <v>1834523.3457570849</v>
      </c>
      <c r="AB188" s="81">
        <v>1835109.8742154518</v>
      </c>
      <c r="AC188" s="81">
        <v>1835202.0235165774</v>
      </c>
      <c r="AD188" s="81">
        <v>1834849.0460621966</v>
      </c>
      <c r="AE188" s="81">
        <v>1834101.7117120612</v>
      </c>
      <c r="AF188" s="81">
        <v>1833041.5653315473</v>
      </c>
      <c r="AG188" s="81">
        <v>1831752.4849865497</v>
      </c>
      <c r="AH188" s="81">
        <v>1830291.061742225</v>
      </c>
      <c r="AI188" s="81">
        <v>1828715.4644118752</v>
      </c>
      <c r="AJ188" s="81">
        <v>1827115.4905659214</v>
      </c>
      <c r="AK188" s="81">
        <v>1825974.5146808594</v>
      </c>
      <c r="AL188" s="81">
        <v>1824961.6842397659</v>
      </c>
      <c r="AM188" s="81">
        <v>1824173.6535424737</v>
      </c>
      <c r="AN188" s="81">
        <v>1823647.8837105809</v>
      </c>
      <c r="AO188" s="81">
        <v>1823515.9650031864</v>
      </c>
      <c r="AP188" s="81">
        <v>1823881.6198824986</v>
      </c>
      <c r="AQ188" s="81">
        <v>1824788.1735931395</v>
      </c>
      <c r="AR188" s="81">
        <v>1826375.0233049679</v>
      </c>
      <c r="AS188" s="81">
        <v>1828721.2040288991</v>
      </c>
      <c r="AT188" s="81">
        <v>1831907.5623064735</v>
      </c>
    </row>
    <row r="189" spans="1:46" ht="15.75">
      <c r="A189" s="81" t="s">
        <v>450</v>
      </c>
      <c r="B189" s="80">
        <v>430100</v>
      </c>
      <c r="C189" s="80" t="s">
        <v>424</v>
      </c>
      <c r="D189" s="84" t="s">
        <v>662</v>
      </c>
      <c r="E189" s="81">
        <v>264363961.55028841</v>
      </c>
      <c r="F189" s="81">
        <v>271879708.95903021</v>
      </c>
      <c r="G189" s="81">
        <v>277579241.05201805</v>
      </c>
      <c r="H189" s="81">
        <v>283028205.56598318</v>
      </c>
      <c r="I189" s="81">
        <v>288237113.94406998</v>
      </c>
      <c r="J189" s="81">
        <v>293216657.11363882</v>
      </c>
      <c r="K189" s="81">
        <v>297977602.0130645</v>
      </c>
      <c r="L189" s="81">
        <v>302530887.78368843</v>
      </c>
      <c r="M189" s="81">
        <v>306887376.45074266</v>
      </c>
      <c r="N189" s="81">
        <v>311058037.55417991</v>
      </c>
      <c r="O189" s="81">
        <v>315053663.38352871</v>
      </c>
      <c r="P189" s="81">
        <v>318884996.37928051</v>
      </c>
      <c r="Q189" s="81">
        <v>321199043.84294897</v>
      </c>
      <c r="R189" s="81">
        <v>323365592.70588011</v>
      </c>
      <c r="S189" s="81">
        <v>325396464.5050146</v>
      </c>
      <c r="T189" s="81">
        <v>327303000.27724761</v>
      </c>
      <c r="U189" s="81">
        <v>329095898.68344444</v>
      </c>
      <c r="V189" s="81">
        <v>330785273.82393837</v>
      </c>
      <c r="W189" s="81">
        <v>332380586.86782646</v>
      </c>
      <c r="X189" s="81">
        <v>333890542.84554935</v>
      </c>
      <c r="Y189" s="81">
        <v>335323182.47227407</v>
      </c>
      <c r="Z189" s="81">
        <v>336685746.20456678</v>
      </c>
      <c r="AA189" s="81">
        <v>337669431.07587326</v>
      </c>
      <c r="AB189" s="81">
        <v>338595813.98605704</v>
      </c>
      <c r="AC189" s="81">
        <v>339469732.17533553</v>
      </c>
      <c r="AD189" s="81">
        <v>340295011.42511046</v>
      </c>
      <c r="AE189" s="81">
        <v>341074565.86750394</v>
      </c>
      <c r="AF189" s="81">
        <v>341810259.7467522</v>
      </c>
      <c r="AG189" s="81">
        <v>342502904.55303681</v>
      </c>
      <c r="AH189" s="81">
        <v>343152186.73975879</v>
      </c>
      <c r="AI189" s="81">
        <v>343756700.02329546</v>
      </c>
      <c r="AJ189" s="81">
        <v>344313837.36181056</v>
      </c>
      <c r="AK189" s="81">
        <v>344899421.68659687</v>
      </c>
      <c r="AL189" s="81">
        <v>345428442.14109975</v>
      </c>
      <c r="AM189" s="81">
        <v>345894523.26235998</v>
      </c>
      <c r="AN189" s="81">
        <v>346289962.10166067</v>
      </c>
      <c r="AO189" s="81">
        <v>346605650.16314226</v>
      </c>
      <c r="AP189" s="81">
        <v>346831104.99012345</v>
      </c>
      <c r="AQ189" s="81">
        <v>346954392.0492152</v>
      </c>
      <c r="AR189" s="81">
        <v>346961969.34509534</v>
      </c>
      <c r="AS189" s="81">
        <v>346838868.53175324</v>
      </c>
      <c r="AT189" s="81">
        <v>346568502.79437971</v>
      </c>
    </row>
    <row r="190" spans="1:46" ht="15.75">
      <c r="A190" s="81" t="s">
        <v>450</v>
      </c>
      <c r="B190" s="80">
        <v>430200</v>
      </c>
      <c r="C190" s="80" t="s">
        <v>424</v>
      </c>
      <c r="D190" s="84" t="s">
        <v>661</v>
      </c>
      <c r="E190" s="81">
        <v>94094570.975503251</v>
      </c>
      <c r="F190" s="81">
        <v>96376194.747575998</v>
      </c>
      <c r="G190" s="81">
        <v>98065111.823623002</v>
      </c>
      <c r="H190" s="81">
        <v>99714036.402549624</v>
      </c>
      <c r="I190" s="81">
        <v>101322125.29970497</v>
      </c>
      <c r="J190" s="81">
        <v>102888689.03462628</v>
      </c>
      <c r="K190" s="81">
        <v>104412988.38717361</v>
      </c>
      <c r="L190" s="81">
        <v>105894468.97023745</v>
      </c>
      <c r="M190" s="81">
        <v>107332581.15045996</v>
      </c>
      <c r="N190" s="81">
        <v>108726914.56677511</v>
      </c>
      <c r="O190" s="81">
        <v>110077093.14950465</v>
      </c>
      <c r="P190" s="81">
        <v>111382858.62079124</v>
      </c>
      <c r="Q190" s="81">
        <v>112167863.76321629</v>
      </c>
      <c r="R190" s="81">
        <v>112906900.15950912</v>
      </c>
      <c r="S190" s="81">
        <v>113600561.37666881</v>
      </c>
      <c r="T190" s="81">
        <v>114249547.02780278</v>
      </c>
      <c r="U190" s="81">
        <v>114854548.56727225</v>
      </c>
      <c r="V190" s="81">
        <v>115416454.01161346</v>
      </c>
      <c r="W190" s="81">
        <v>115936116.45438303</v>
      </c>
      <c r="X190" s="81">
        <v>116414530.93961459</v>
      </c>
      <c r="Y190" s="81">
        <v>116852747.93595552</v>
      </c>
      <c r="Z190" s="81">
        <v>117251904.36011897</v>
      </c>
      <c r="AA190" s="81">
        <v>117503570.43581855</v>
      </c>
      <c r="AB190" s="81">
        <v>117719189.16600634</v>
      </c>
      <c r="AC190" s="81">
        <v>117900226.87642328</v>
      </c>
      <c r="AD190" s="81">
        <v>118048297.95278527</v>
      </c>
      <c r="AE190" s="81">
        <v>118165011.00815052</v>
      </c>
      <c r="AF190" s="81">
        <v>118252094.12463319</v>
      </c>
      <c r="AG190" s="81">
        <v>118311429.42147557</v>
      </c>
      <c r="AH190" s="81">
        <v>118344863.92005366</v>
      </c>
      <c r="AI190" s="81">
        <v>118354401.00586024</v>
      </c>
      <c r="AJ190" s="81">
        <v>118342106.45394847</v>
      </c>
      <c r="AK190" s="81">
        <v>118337518.08036456</v>
      </c>
      <c r="AL190" s="81">
        <v>118315347.71025395</v>
      </c>
      <c r="AM190" s="81">
        <v>118277945.52620122</v>
      </c>
      <c r="AN190" s="81">
        <v>118227764.6831997</v>
      </c>
      <c r="AO190" s="81">
        <v>118167396.7457564</v>
      </c>
      <c r="AP190" s="81">
        <v>118099404.89810996</v>
      </c>
      <c r="AQ190" s="81">
        <v>118026628.59788997</v>
      </c>
      <c r="AR190" s="81">
        <v>117951881.52173924</v>
      </c>
      <c r="AS190" s="81">
        <v>117878121.86596966</v>
      </c>
      <c r="AT190" s="81">
        <v>117808420.42033014</v>
      </c>
    </row>
    <row r="191" spans="1:46" ht="15.75">
      <c r="A191" s="81" t="s">
        <v>450</v>
      </c>
      <c r="B191" s="80">
        <v>430300</v>
      </c>
      <c r="C191" s="80" t="s">
        <v>424</v>
      </c>
      <c r="D191" s="84" t="s">
        <v>660</v>
      </c>
      <c r="E191" s="81">
        <v>59374401.147436112</v>
      </c>
      <c r="F191" s="81">
        <v>60876720.831387706</v>
      </c>
      <c r="G191" s="81">
        <v>61988689.675233707</v>
      </c>
      <c r="H191" s="81">
        <v>63060097.133324087</v>
      </c>
      <c r="I191" s="81">
        <v>64091426.309070379</v>
      </c>
      <c r="J191" s="81">
        <v>65083296.892479926</v>
      </c>
      <c r="K191" s="81">
        <v>66036301.224443197</v>
      </c>
      <c r="L191" s="81">
        <v>66951165.740077093</v>
      </c>
      <c r="M191" s="81">
        <v>67828656.071246415</v>
      </c>
      <c r="N191" s="81">
        <v>68669598.632079616</v>
      </c>
      <c r="O191" s="81">
        <v>69474878.917753085</v>
      </c>
      <c r="P191" s="81">
        <v>70245414.340943709</v>
      </c>
      <c r="Q191" s="81">
        <v>70682188.957655743</v>
      </c>
      <c r="R191" s="81">
        <v>71085976.023576379</v>
      </c>
      <c r="S191" s="81">
        <v>71458306.449565306</v>
      </c>
      <c r="T191" s="81">
        <v>71800675.699465886</v>
      </c>
      <c r="U191" s="81">
        <v>72114646.148824051</v>
      </c>
      <c r="V191" s="81">
        <v>72401741.05402337</v>
      </c>
      <c r="W191" s="81">
        <v>72663548.544053733</v>
      </c>
      <c r="X191" s="81">
        <v>72901586.752051055</v>
      </c>
      <c r="Y191" s="81">
        <v>73117463.017423168</v>
      </c>
      <c r="Z191" s="81">
        <v>73312737.907791838</v>
      </c>
      <c r="AA191" s="81">
        <v>73420496.972727403</v>
      </c>
      <c r="AB191" s="81">
        <v>73511195.227854639</v>
      </c>
      <c r="AC191" s="81">
        <v>73586527.038374677</v>
      </c>
      <c r="AD191" s="81">
        <v>73648041.293183163</v>
      </c>
      <c r="AE191" s="81">
        <v>73697420.002901495</v>
      </c>
      <c r="AF191" s="81">
        <v>73736223.484147847</v>
      </c>
      <c r="AG191" s="81">
        <v>73766087.09872739</v>
      </c>
      <c r="AH191" s="81">
        <v>73788577.277241319</v>
      </c>
      <c r="AI191" s="81">
        <v>73805246.545893416</v>
      </c>
      <c r="AJ191" s="81">
        <v>73817690.860754043</v>
      </c>
      <c r="AK191" s="81">
        <v>73844444.019419774</v>
      </c>
      <c r="AL191" s="81">
        <v>73869885.802251101</v>
      </c>
      <c r="AM191" s="81">
        <v>73895529.659626245</v>
      </c>
      <c r="AN191" s="81">
        <v>73922838.904286847</v>
      </c>
      <c r="AO191" s="81">
        <v>73953284.922352403</v>
      </c>
      <c r="AP191" s="81">
        <v>73988285.084468305</v>
      </c>
      <c r="AQ191" s="81">
        <v>74029261.735772118</v>
      </c>
      <c r="AR191" s="81">
        <v>74077579.242822126</v>
      </c>
      <c r="AS191" s="81">
        <v>74134572.458093017</v>
      </c>
      <c r="AT191" s="81">
        <v>74201576.408597663</v>
      </c>
    </row>
    <row r="192" spans="1:46" ht="15.75">
      <c r="A192" s="81" t="s">
        <v>450</v>
      </c>
      <c r="B192" s="80">
        <v>430400</v>
      </c>
      <c r="C192" s="80" t="s">
        <v>424</v>
      </c>
      <c r="D192" s="84" t="s">
        <v>659</v>
      </c>
      <c r="E192" s="81">
        <v>160362306.6141068</v>
      </c>
      <c r="F192" s="81">
        <v>164100469.17262524</v>
      </c>
      <c r="G192" s="81">
        <v>166966499.15830138</v>
      </c>
      <c r="H192" s="81">
        <v>169890920.41866326</v>
      </c>
      <c r="I192" s="81">
        <v>172861016.85568041</v>
      </c>
      <c r="J192" s="81">
        <v>175864149.41151834</v>
      </c>
      <c r="K192" s="81">
        <v>178887958.56307924</v>
      </c>
      <c r="L192" s="81">
        <v>181920392.78082898</v>
      </c>
      <c r="M192" s="81">
        <v>184949708.72772986</v>
      </c>
      <c r="N192" s="81">
        <v>187964577.82392585</v>
      </c>
      <c r="O192" s="81">
        <v>190954114.48909202</v>
      </c>
      <c r="P192" s="81">
        <v>193907931.25323027</v>
      </c>
      <c r="Q192" s="81">
        <v>195984160.90353426</v>
      </c>
      <c r="R192" s="81">
        <v>197997313.08182204</v>
      </c>
      <c r="S192" s="81">
        <v>199939827.90016201</v>
      </c>
      <c r="T192" s="81">
        <v>201805020.67433614</v>
      </c>
      <c r="U192" s="81">
        <v>203587064.78549075</v>
      </c>
      <c r="V192" s="81">
        <v>205281090.22452208</v>
      </c>
      <c r="W192" s="81">
        <v>206883077.25948325</v>
      </c>
      <c r="X192" s="81">
        <v>208390073.20886147</v>
      </c>
      <c r="Y192" s="81">
        <v>209800085.85675779</v>
      </c>
      <c r="Z192" s="81">
        <v>211112244.25802523</v>
      </c>
      <c r="AA192" s="81">
        <v>212128735.92875728</v>
      </c>
      <c r="AB192" s="81">
        <v>213048820.62932107</v>
      </c>
      <c r="AC192" s="81">
        <v>213875328.21986482</v>
      </c>
      <c r="AD192" s="81">
        <v>214612301.93578228</v>
      </c>
      <c r="AE192" s="81">
        <v>215265068.20413274</v>
      </c>
      <c r="AF192" s="81">
        <v>215840181.24977094</v>
      </c>
      <c r="AG192" s="81">
        <v>216345651.60162714</v>
      </c>
      <c r="AH192" s="81">
        <v>216790732.65658501</v>
      </c>
      <c r="AI192" s="81">
        <v>217186182.71891394</v>
      </c>
      <c r="AJ192" s="81">
        <v>217544210.68639743</v>
      </c>
      <c r="AK192" s="81">
        <v>217928778.91190383</v>
      </c>
      <c r="AL192" s="81">
        <v>218304638.74773216</v>
      </c>
      <c r="AM192" s="81">
        <v>218688602.68862048</v>
      </c>
      <c r="AN192" s="81">
        <v>219099115.06308287</v>
      </c>
      <c r="AO192" s="81">
        <v>219556363.11713579</v>
      </c>
      <c r="AP192" s="81">
        <v>220082187.62862489</v>
      </c>
      <c r="AQ192" s="81">
        <v>220700193.42885867</v>
      </c>
      <c r="AR192" s="81">
        <v>221435863.05824113</v>
      </c>
      <c r="AS192" s="81">
        <v>222316535.09161419</v>
      </c>
      <c r="AT192" s="81">
        <v>223371414.96517655</v>
      </c>
    </row>
    <row r="193" spans="1:46" ht="15.75">
      <c r="A193" s="81" t="s">
        <v>450</v>
      </c>
      <c r="B193" s="80">
        <v>430500</v>
      </c>
      <c r="C193" s="80" t="s">
        <v>424</v>
      </c>
      <c r="D193" s="84" t="s">
        <v>658</v>
      </c>
      <c r="E193" s="81">
        <v>143530891.33844608</v>
      </c>
      <c r="F193" s="81">
        <v>146567097.89252368</v>
      </c>
      <c r="G193" s="81">
        <v>148860648.45830268</v>
      </c>
      <c r="H193" s="81">
        <v>151242994.20106652</v>
      </c>
      <c r="I193" s="81">
        <v>153701273.37317875</v>
      </c>
      <c r="J193" s="81">
        <v>156222643.61841285</v>
      </c>
      <c r="K193" s="81">
        <v>158794445.52325085</v>
      </c>
      <c r="L193" s="81">
        <v>161404231.1877211</v>
      </c>
      <c r="M193" s="81">
        <v>164039791.78403255</v>
      </c>
      <c r="N193" s="81">
        <v>166689233.65515834</v>
      </c>
      <c r="O193" s="81">
        <v>169341057.10523835</v>
      </c>
      <c r="P193" s="81">
        <v>171984136.23283452</v>
      </c>
      <c r="Q193" s="81">
        <v>173869673.46680555</v>
      </c>
      <c r="R193" s="81">
        <v>175717788.53471038</v>
      </c>
      <c r="S193" s="81">
        <v>177519613.32453394</v>
      </c>
      <c r="T193" s="81">
        <v>179267099.02802265</v>
      </c>
      <c r="U193" s="81">
        <v>180952951.16872796</v>
      </c>
      <c r="V193" s="81">
        <v>182570800.1361075</v>
      </c>
      <c r="W193" s="81">
        <v>184115028.9597353</v>
      </c>
      <c r="X193" s="81">
        <v>185581052.10382259</v>
      </c>
      <c r="Y193" s="81">
        <v>186965169.14386734</v>
      </c>
      <c r="Z193" s="81">
        <v>188264685.25313416</v>
      </c>
      <c r="AA193" s="81">
        <v>189301246.4646574</v>
      </c>
      <c r="AB193" s="81">
        <v>190250698.08293501</v>
      </c>
      <c r="AC193" s="81">
        <v>191113802.49756926</v>
      </c>
      <c r="AD193" s="81">
        <v>191892512.27271488</v>
      </c>
      <c r="AE193" s="81">
        <v>192590009.1959669</v>
      </c>
      <c r="AF193" s="81">
        <v>193210657.67252222</v>
      </c>
      <c r="AG193" s="81">
        <v>193760128.26273996</v>
      </c>
      <c r="AH193" s="81">
        <v>194245379.73277295</v>
      </c>
      <c r="AI193" s="81">
        <v>194674726.94078347</v>
      </c>
      <c r="AJ193" s="81">
        <v>195057821.88771078</v>
      </c>
      <c r="AK193" s="81">
        <v>195450977.53345123</v>
      </c>
      <c r="AL193" s="81">
        <v>195821440.774378</v>
      </c>
      <c r="AM193" s="81">
        <v>196183377.72188479</v>
      </c>
      <c r="AN193" s="81">
        <v>196552408.29122347</v>
      </c>
      <c r="AO193" s="81">
        <v>196945797.92778137</v>
      </c>
      <c r="AP193" s="81">
        <v>197382471.76812124</v>
      </c>
      <c r="AQ193" s="81">
        <v>197883058.86454296</v>
      </c>
      <c r="AR193" s="81">
        <v>198469874.60905081</v>
      </c>
      <c r="AS193" s="81">
        <v>199167088.91724348</v>
      </c>
      <c r="AT193" s="81">
        <v>200000647.66131154</v>
      </c>
    </row>
    <row r="194" spans="1:46" ht="15.75">
      <c r="A194" s="81" t="s">
        <v>450</v>
      </c>
      <c r="B194" s="80">
        <v>430600</v>
      </c>
      <c r="C194" s="80" t="s">
        <v>424</v>
      </c>
      <c r="D194" s="84" t="s">
        <v>657</v>
      </c>
      <c r="E194" s="81">
        <v>121661991.43765724</v>
      </c>
      <c r="F194" s="81">
        <v>124755633.61362468</v>
      </c>
      <c r="G194" s="81">
        <v>127095745.31466725</v>
      </c>
      <c r="H194" s="81">
        <v>129395020.02596901</v>
      </c>
      <c r="I194" s="81">
        <v>131650473.81465526</v>
      </c>
      <c r="J194" s="81">
        <v>133859256.01814575</v>
      </c>
      <c r="K194" s="81">
        <v>136018660.88073361</v>
      </c>
      <c r="L194" s="81">
        <v>138126139.35516149</v>
      </c>
      <c r="M194" s="81">
        <v>140179311.06919593</v>
      </c>
      <c r="N194" s="81">
        <v>142175976.45719883</v>
      </c>
      <c r="O194" s="81">
        <v>144114101.29474935</v>
      </c>
      <c r="P194" s="81">
        <v>145991939.85958827</v>
      </c>
      <c r="Q194" s="81">
        <v>147183022.16430295</v>
      </c>
      <c r="R194" s="81">
        <v>148307819.03686351</v>
      </c>
      <c r="S194" s="81">
        <v>149366136.4384563</v>
      </c>
      <c r="T194" s="81">
        <v>150357961.74960506</v>
      </c>
      <c r="U194" s="81">
        <v>151283557.86517745</v>
      </c>
      <c r="V194" s="81">
        <v>152143414.06020728</v>
      </c>
      <c r="W194" s="81">
        <v>152938342.82374907</v>
      </c>
      <c r="X194" s="81">
        <v>153669341.23792204</v>
      </c>
      <c r="Y194" s="81">
        <v>154337807.88162103</v>
      </c>
      <c r="Z194" s="81">
        <v>154945313.06698915</v>
      </c>
      <c r="AA194" s="81">
        <v>155348774.55540222</v>
      </c>
      <c r="AB194" s="81">
        <v>155695924.05385274</v>
      </c>
      <c r="AC194" s="81">
        <v>155989494.94862941</v>
      </c>
      <c r="AD194" s="81">
        <v>156232474.32652795</v>
      </c>
      <c r="AE194" s="81">
        <v>156428172.17012379</v>
      </c>
      <c r="AF194" s="81">
        <v>156580261.45069441</v>
      </c>
      <c r="AG194" s="81">
        <v>156692755.72025535</v>
      </c>
      <c r="AH194" s="81">
        <v>156769953.35551953</v>
      </c>
      <c r="AI194" s="81">
        <v>156816605.81208912</v>
      </c>
      <c r="AJ194" s="81">
        <v>156837734.07742503</v>
      </c>
      <c r="AK194" s="81">
        <v>156875035.63075081</v>
      </c>
      <c r="AL194" s="81">
        <v>156897837.2209315</v>
      </c>
      <c r="AM194" s="81">
        <v>156912372.03570226</v>
      </c>
      <c r="AN194" s="81">
        <v>156925281.2351349</v>
      </c>
      <c r="AO194" s="81">
        <v>156943522.25563163</v>
      </c>
      <c r="AP194" s="81">
        <v>156974646.36602294</v>
      </c>
      <c r="AQ194" s="81">
        <v>157026506.48025864</v>
      </c>
      <c r="AR194" s="81">
        <v>157107434.20680252</v>
      </c>
      <c r="AS194" s="81">
        <v>157226250.72874179</v>
      </c>
      <c r="AT194" s="81">
        <v>157392208.06439379</v>
      </c>
    </row>
    <row r="195" spans="1:46" ht="15.75">
      <c r="A195" s="81" t="s">
        <v>450</v>
      </c>
      <c r="B195" s="80">
        <v>430700</v>
      </c>
      <c r="C195" s="80" t="s">
        <v>424</v>
      </c>
      <c r="D195" s="84" t="s">
        <v>656</v>
      </c>
      <c r="E195" s="81">
        <v>115207214.69470398</v>
      </c>
      <c r="F195" s="81">
        <v>117884670.89362344</v>
      </c>
      <c r="G195" s="81">
        <v>119814998.41530997</v>
      </c>
      <c r="H195" s="81">
        <v>121675031.76506951</v>
      </c>
      <c r="I195" s="81">
        <v>123463997.81373528</v>
      </c>
      <c r="J195" s="81">
        <v>125181253.28379178</v>
      </c>
      <c r="K195" s="81">
        <v>126826287.89488892</v>
      </c>
      <c r="L195" s="81">
        <v>128398775.86662279</v>
      </c>
      <c r="M195" s="81">
        <v>129898582.21468014</v>
      </c>
      <c r="N195" s="81">
        <v>131325669.94694024</v>
      </c>
      <c r="O195" s="81">
        <v>132680275.94714038</v>
      </c>
      <c r="P195" s="81">
        <v>133962769.61374871</v>
      </c>
      <c r="Q195" s="81">
        <v>134602257.70056221</v>
      </c>
      <c r="R195" s="81">
        <v>135172058.86887744</v>
      </c>
      <c r="S195" s="81">
        <v>135673980.28117657</v>
      </c>
      <c r="T195" s="81">
        <v>136109954.90695617</v>
      </c>
      <c r="U195" s="81">
        <v>136482070.09452617</v>
      </c>
      <c r="V195" s="81">
        <v>136792624.10221344</v>
      </c>
      <c r="W195" s="81">
        <v>137044023.86171296</v>
      </c>
      <c r="X195" s="81">
        <v>137238840.29161942</v>
      </c>
      <c r="Y195" s="81">
        <v>137379866.17912197</v>
      </c>
      <c r="Z195" s="81">
        <v>137470039.00223115</v>
      </c>
      <c r="AA195" s="81">
        <v>137384199.6743525</v>
      </c>
      <c r="AB195" s="81">
        <v>137255142.36142755</v>
      </c>
      <c r="AC195" s="81">
        <v>137086489.3898772</v>
      </c>
      <c r="AD195" s="81">
        <v>136881920.8627153</v>
      </c>
      <c r="AE195" s="81">
        <v>136645401.63027278</v>
      </c>
      <c r="AF195" s="81">
        <v>136380987.30064088</v>
      </c>
      <c r="AG195" s="81">
        <v>136092997.53577986</v>
      </c>
      <c r="AH195" s="81">
        <v>135785847.51495084</v>
      </c>
      <c r="AI195" s="81">
        <v>135464223.58455443</v>
      </c>
      <c r="AJ195" s="81">
        <v>135132912.43724203</v>
      </c>
      <c r="AK195" s="81">
        <v>134828095.67722213</v>
      </c>
      <c r="AL195" s="81">
        <v>134523525.23458511</v>
      </c>
      <c r="AM195" s="81">
        <v>134224605.90257081</v>
      </c>
      <c r="AN195" s="81">
        <v>133937007.41144441</v>
      </c>
      <c r="AO195" s="81">
        <v>133666547.81257549</v>
      </c>
      <c r="AP195" s="81">
        <v>133419317.44162215</v>
      </c>
      <c r="AQ195" s="81">
        <v>133201560.70344868</v>
      </c>
      <c r="AR195" s="81">
        <v>133019832.82392205</v>
      </c>
      <c r="AS195" s="81">
        <v>132880818.44727255</v>
      </c>
      <c r="AT195" s="81">
        <v>132791457.94562398</v>
      </c>
    </row>
    <row r="196" spans="1:46" ht="15.75">
      <c r="A196" s="81" t="s">
        <v>450</v>
      </c>
      <c r="B196" s="80">
        <v>430800</v>
      </c>
      <c r="C196" s="80" t="s">
        <v>424</v>
      </c>
      <c r="D196" s="84" t="s">
        <v>655</v>
      </c>
      <c r="E196" s="81">
        <v>31408224.349325094</v>
      </c>
      <c r="F196" s="81">
        <v>32082884.559390362</v>
      </c>
      <c r="G196" s="81">
        <v>32576610.232717898</v>
      </c>
      <c r="H196" s="81">
        <v>33072517.991954766</v>
      </c>
      <c r="I196" s="81">
        <v>33568887.900656655</v>
      </c>
      <c r="J196" s="81">
        <v>34064111.964074582</v>
      </c>
      <c r="K196" s="81">
        <v>34556570.655698784</v>
      </c>
      <c r="L196" s="81">
        <v>35044659.299553216</v>
      </c>
      <c r="M196" s="81">
        <v>35526932.19538258</v>
      </c>
      <c r="N196" s="81">
        <v>36001905.285543248</v>
      </c>
      <c r="O196" s="81">
        <v>36468175.847245097</v>
      </c>
      <c r="P196" s="81">
        <v>36924478.933513649</v>
      </c>
      <c r="Q196" s="81">
        <v>37211579.404018849</v>
      </c>
      <c r="R196" s="81">
        <v>37485668.371270932</v>
      </c>
      <c r="S196" s="81">
        <v>37745863.499603175</v>
      </c>
      <c r="T196" s="81">
        <v>37991436.449675016</v>
      </c>
      <c r="U196" s="81">
        <v>38221794.637621671</v>
      </c>
      <c r="V196" s="81">
        <v>38436411.33860518</v>
      </c>
      <c r="W196" s="81">
        <v>38634930.505173288</v>
      </c>
      <c r="X196" s="81">
        <v>38817122.452345692</v>
      </c>
      <c r="Y196" s="81">
        <v>38982863.060675994</v>
      </c>
      <c r="Z196" s="81">
        <v>39132268.265077785</v>
      </c>
      <c r="AA196" s="81">
        <v>39228874.261510089</v>
      </c>
      <c r="AB196" s="81">
        <v>39309821.604458243</v>
      </c>
      <c r="AC196" s="81">
        <v>39375658.547091223</v>
      </c>
      <c r="AD196" s="81">
        <v>39427142.19555939</v>
      </c>
      <c r="AE196" s="81">
        <v>39465164.13914369</v>
      </c>
      <c r="AF196" s="81">
        <v>39490781.504262969</v>
      </c>
      <c r="AG196" s="81">
        <v>39505276.490528882</v>
      </c>
      <c r="AH196" s="81">
        <v>39510080.512234181</v>
      </c>
      <c r="AI196" s="81">
        <v>39506805.938078955</v>
      </c>
      <c r="AJ196" s="81">
        <v>39497306.877538525</v>
      </c>
      <c r="AK196" s="81">
        <v>39492688.1238726</v>
      </c>
      <c r="AL196" s="81">
        <v>39486066.925452165</v>
      </c>
      <c r="AM196" s="81">
        <v>39479834.174545363</v>
      </c>
      <c r="AN196" s="81">
        <v>39476675.51252003</v>
      </c>
      <c r="AO196" s="81">
        <v>39479521.937074594</v>
      </c>
      <c r="AP196" s="81">
        <v>39491440.016704045</v>
      </c>
      <c r="AQ196" s="81">
        <v>39515810.042034253</v>
      </c>
      <c r="AR196" s="81">
        <v>39556275.638478853</v>
      </c>
      <c r="AS196" s="81">
        <v>39616691.087568581</v>
      </c>
      <c r="AT196" s="81">
        <v>39701126.031529374</v>
      </c>
    </row>
    <row r="197" spans="1:46" ht="15.75">
      <c r="A197" s="81" t="s">
        <v>450</v>
      </c>
      <c r="B197" s="80">
        <v>430900</v>
      </c>
      <c r="C197" s="80" t="s">
        <v>424</v>
      </c>
      <c r="D197" s="84" t="s">
        <v>654</v>
      </c>
      <c r="E197" s="81">
        <v>84027435.97595796</v>
      </c>
      <c r="F197" s="81">
        <v>86006188.246469885</v>
      </c>
      <c r="G197" s="81">
        <v>87458144.901204228</v>
      </c>
      <c r="H197" s="81">
        <v>88876709.625269696</v>
      </c>
      <c r="I197" s="81">
        <v>90260891.106689855</v>
      </c>
      <c r="J197" s="81">
        <v>91609841.385628566</v>
      </c>
      <c r="K197" s="81">
        <v>92922768.61630252</v>
      </c>
      <c r="L197" s="81">
        <v>94198915.014298379</v>
      </c>
      <c r="M197" s="81">
        <v>95437655.354284137</v>
      </c>
      <c r="N197" s="81">
        <v>96638429.424046949</v>
      </c>
      <c r="O197" s="81">
        <v>97800769.336789608</v>
      </c>
      <c r="P197" s="81">
        <v>98924303.335418597</v>
      </c>
      <c r="Q197" s="81">
        <v>99585939.145154908</v>
      </c>
      <c r="R197" s="81">
        <v>100207445.56646988</v>
      </c>
      <c r="S197" s="81">
        <v>100789249.57301863</v>
      </c>
      <c r="T197" s="81">
        <v>101331843.1121649</v>
      </c>
      <c r="U197" s="81">
        <v>101835837.52616885</v>
      </c>
      <c r="V197" s="81">
        <v>102301940.49185352</v>
      </c>
      <c r="W197" s="81">
        <v>102730958.61138013</v>
      </c>
      <c r="X197" s="81">
        <v>103123745.82004192</v>
      </c>
      <c r="Y197" s="81">
        <v>103481313.15379138</v>
      </c>
      <c r="Z197" s="81">
        <v>103804750.94689722</v>
      </c>
      <c r="AA197" s="81">
        <v>103998151.69463743</v>
      </c>
      <c r="AB197" s="81">
        <v>104160375.21729968</v>
      </c>
      <c r="AC197" s="81">
        <v>104292894.11579238</v>
      </c>
      <c r="AD197" s="81">
        <v>104397318.18444942</v>
      </c>
      <c r="AE197" s="81">
        <v>104475312.30296621</v>
      </c>
      <c r="AF197" s="81">
        <v>104528711.64528504</v>
      </c>
      <c r="AG197" s="81">
        <v>104559381.67107596</v>
      </c>
      <c r="AH197" s="81">
        <v>104569392.07621025</v>
      </c>
      <c r="AI197" s="81">
        <v>104560875.85814798</v>
      </c>
      <c r="AJ197" s="81">
        <v>104536088.77231446</v>
      </c>
      <c r="AK197" s="81">
        <v>104521534.02497363</v>
      </c>
      <c r="AL197" s="81">
        <v>104495384.67063133</v>
      </c>
      <c r="AM197" s="81">
        <v>104460305.11401239</v>
      </c>
      <c r="AN197" s="81">
        <v>104419005.22043051</v>
      </c>
      <c r="AO197" s="81">
        <v>104374392.32702656</v>
      </c>
      <c r="AP197" s="81">
        <v>104329483.94441353</v>
      </c>
      <c r="AQ197" s="81">
        <v>104287440.34602025</v>
      </c>
      <c r="AR197" s="81">
        <v>104251536.21170287</v>
      </c>
      <c r="AS197" s="81">
        <v>104225224.97081172</v>
      </c>
      <c r="AT197" s="81">
        <v>104212111.10840769</v>
      </c>
    </row>
    <row r="198" spans="1:46" ht="15.75">
      <c r="A198" s="81" t="s">
        <v>450</v>
      </c>
      <c r="B198" s="80">
        <v>431000</v>
      </c>
      <c r="C198" s="80" t="s">
        <v>424</v>
      </c>
      <c r="D198" s="84" t="s">
        <v>653</v>
      </c>
      <c r="E198" s="81">
        <v>102118922.57825464</v>
      </c>
      <c r="F198" s="81">
        <v>104221934.43331087</v>
      </c>
      <c r="G198" s="81">
        <v>105817402.67462647</v>
      </c>
      <c r="H198" s="81">
        <v>107495596.04225555</v>
      </c>
      <c r="I198" s="81">
        <v>109245883.01940008</v>
      </c>
      <c r="J198" s="81">
        <v>111057770.40852371</v>
      </c>
      <c r="K198" s="81">
        <v>112920781.95785464</v>
      </c>
      <c r="L198" s="81">
        <v>114824638.92367582</v>
      </c>
      <c r="M198" s="81">
        <v>116759183.15170035</v>
      </c>
      <c r="N198" s="81">
        <v>118714465.05350117</v>
      </c>
      <c r="O198" s="81">
        <v>120680835.9647775</v>
      </c>
      <c r="P198" s="81">
        <v>122648917.84663086</v>
      </c>
      <c r="Q198" s="81">
        <v>124082880.09540732</v>
      </c>
      <c r="R198" s="81">
        <v>125494381.08253632</v>
      </c>
      <c r="S198" s="81">
        <v>126875723.52266887</v>
      </c>
      <c r="T198" s="81">
        <v>128219689.40188657</v>
      </c>
      <c r="U198" s="81">
        <v>129519804.53410877</v>
      </c>
      <c r="V198" s="81">
        <v>130770107.99016288</v>
      </c>
      <c r="W198" s="81">
        <v>131965420.12023313</v>
      </c>
      <c r="X198" s="81">
        <v>133101215.84844173</v>
      </c>
      <c r="Y198" s="81">
        <v>134173736.53427015</v>
      </c>
      <c r="Z198" s="81">
        <v>135180023.44786289</v>
      </c>
      <c r="AA198" s="81">
        <v>135990897.74616188</v>
      </c>
      <c r="AB198" s="81">
        <v>136731620.2975218</v>
      </c>
      <c r="AC198" s="81">
        <v>137401948.34379652</v>
      </c>
      <c r="AD198" s="81">
        <v>138002511.80464152</v>
      </c>
      <c r="AE198" s="81">
        <v>138534842.40350938</v>
      </c>
      <c r="AF198" s="81">
        <v>139001489.12318793</v>
      </c>
      <c r="AG198" s="81">
        <v>139406021.94012615</v>
      </c>
      <c r="AH198" s="81">
        <v>139752947.50788602</v>
      </c>
      <c r="AI198" s="81">
        <v>140047883.83731267</v>
      </c>
      <c r="AJ198" s="81">
        <v>140297564.36210486</v>
      </c>
      <c r="AK198" s="81">
        <v>140542187.46576795</v>
      </c>
      <c r="AL198" s="81">
        <v>140758217.35072306</v>
      </c>
      <c r="AM198" s="81">
        <v>140955767.6289846</v>
      </c>
      <c r="AN198" s="81">
        <v>141146237.46768561</v>
      </c>
      <c r="AO198" s="81">
        <v>141342226.04324132</v>
      </c>
      <c r="AP198" s="81">
        <v>141557718.56025505</v>
      </c>
      <c r="AQ198" s="81">
        <v>141807938.95308703</v>
      </c>
      <c r="AR198" s="81">
        <v>142109568.67440125</v>
      </c>
      <c r="AS198" s="81">
        <v>142480628.86903131</v>
      </c>
      <c r="AT198" s="81">
        <v>142940577.25690463</v>
      </c>
    </row>
    <row r="199" spans="1:46" ht="15.75">
      <c r="A199" s="81" t="s">
        <v>450</v>
      </c>
      <c r="B199" s="80">
        <v>431100</v>
      </c>
      <c r="C199" s="80" t="s">
        <v>424</v>
      </c>
      <c r="D199" s="84" t="s">
        <v>652</v>
      </c>
      <c r="E199" s="81">
        <v>115561478.59053755</v>
      </c>
      <c r="F199" s="81">
        <v>118126604.46060754</v>
      </c>
      <c r="G199" s="81">
        <v>120079378.60837556</v>
      </c>
      <c r="H199" s="81">
        <v>122090158.58691607</v>
      </c>
      <c r="I199" s="81">
        <v>124149466.3708322</v>
      </c>
      <c r="J199" s="81">
        <v>126247955.91249612</v>
      </c>
      <c r="K199" s="81">
        <v>128376380.92498195</v>
      </c>
      <c r="L199" s="81">
        <v>130525654.40752685</v>
      </c>
      <c r="M199" s="81">
        <v>132686886.13251941</v>
      </c>
      <c r="N199" s="81">
        <v>134851470.31129926</v>
      </c>
      <c r="O199" s="81">
        <v>137011052.0972845</v>
      </c>
      <c r="P199" s="81">
        <v>139157590.73621994</v>
      </c>
      <c r="Q199" s="81">
        <v>140686149.01818177</v>
      </c>
      <c r="R199" s="81">
        <v>142180348.7049844</v>
      </c>
      <c r="S199" s="81">
        <v>143633948.15360305</v>
      </c>
      <c r="T199" s="81">
        <v>145041291.64077777</v>
      </c>
      <c r="U199" s="81">
        <v>146397391.29526615</v>
      </c>
      <c r="V199" s="81">
        <v>147697798.49215397</v>
      </c>
      <c r="W199" s="81">
        <v>148938736.86848974</v>
      </c>
      <c r="X199" s="81">
        <v>150117132.33934659</v>
      </c>
      <c r="Y199" s="81">
        <v>151230643.45779306</v>
      </c>
      <c r="Z199" s="81">
        <v>152277609.52227032</v>
      </c>
      <c r="AA199" s="81">
        <v>153114262.41413853</v>
      </c>
      <c r="AB199" s="81">
        <v>153883220.23327559</v>
      </c>
      <c r="AC199" s="81">
        <v>154585426.13830769</v>
      </c>
      <c r="AD199" s="81">
        <v>155222698.79291195</v>
      </c>
      <c r="AE199" s="81">
        <v>155797817.76180649</v>
      </c>
      <c r="AF199" s="81">
        <v>156314324.70035759</v>
      </c>
      <c r="AG199" s="81">
        <v>156776864.15152892</v>
      </c>
      <c r="AH199" s="81">
        <v>157190956.02479205</v>
      </c>
      <c r="AI199" s="81">
        <v>157563079.77079096</v>
      </c>
      <c r="AJ199" s="81">
        <v>157900878.97607827</v>
      </c>
      <c r="AK199" s="81">
        <v>158249420.68806621</v>
      </c>
      <c r="AL199" s="81">
        <v>158581845.73529351</v>
      </c>
      <c r="AM199" s="81">
        <v>158908910.01673949</v>
      </c>
      <c r="AN199" s="81">
        <v>159242606.80039448</v>
      </c>
      <c r="AO199" s="81">
        <v>159596140.16958705</v>
      </c>
      <c r="AP199" s="81">
        <v>159983834.93890327</v>
      </c>
      <c r="AQ199" s="81">
        <v>160421350.83475557</v>
      </c>
      <c r="AR199" s="81">
        <v>160925624.50183427</v>
      </c>
      <c r="AS199" s="81">
        <v>161514839.38640338</v>
      </c>
      <c r="AT199" s="81">
        <v>162208645.55108011</v>
      </c>
    </row>
    <row r="200" spans="1:46" ht="15.75">
      <c r="A200" s="81" t="s">
        <v>450</v>
      </c>
      <c r="B200" s="80">
        <v>431200</v>
      </c>
      <c r="C200" s="80" t="s">
        <v>424</v>
      </c>
      <c r="D200" s="84" t="s">
        <v>651</v>
      </c>
      <c r="E200" s="81">
        <v>100161381.28368078</v>
      </c>
      <c r="F200" s="81">
        <v>102443935.9962846</v>
      </c>
      <c r="G200" s="81">
        <v>104130666.09698418</v>
      </c>
      <c r="H200" s="81">
        <v>105807378.4603017</v>
      </c>
      <c r="I200" s="81">
        <v>107470684.48964062</v>
      </c>
      <c r="J200" s="81">
        <v>109117197.78068697</v>
      </c>
      <c r="K200" s="81">
        <v>110743661.14688006</v>
      </c>
      <c r="L200" s="81">
        <v>112346913.87831393</v>
      </c>
      <c r="M200" s="81">
        <v>113923953.42060554</v>
      </c>
      <c r="N200" s="81">
        <v>115471877.03726541</v>
      </c>
      <c r="O200" s="81">
        <v>116987893.37489229</v>
      </c>
      <c r="P200" s="81">
        <v>118469461.29739727</v>
      </c>
      <c r="Q200" s="81">
        <v>119407213.90143329</v>
      </c>
      <c r="R200" s="81">
        <v>120303567.21099725</v>
      </c>
      <c r="S200" s="81">
        <v>121157044.15464911</v>
      </c>
      <c r="T200" s="81">
        <v>121966435.67712288</v>
      </c>
      <c r="U200" s="81">
        <v>122730785.75150393</v>
      </c>
      <c r="V200" s="81">
        <v>123449321.89661527</v>
      </c>
      <c r="W200" s="81">
        <v>124121597.1102211</v>
      </c>
      <c r="X200" s="81">
        <v>124747367.24843845</v>
      </c>
      <c r="Y200" s="81">
        <v>125326735.30067852</v>
      </c>
      <c r="Z200" s="81">
        <v>125860054.40222098</v>
      </c>
      <c r="AA200" s="81">
        <v>126230105.28674804</v>
      </c>
      <c r="AB200" s="81">
        <v>126556071.88596484</v>
      </c>
      <c r="AC200" s="81">
        <v>126839314.64316995</v>
      </c>
      <c r="AD200" s="81">
        <v>127081560.25266911</v>
      </c>
      <c r="AE200" s="81">
        <v>127284884.25615871</v>
      </c>
      <c r="AF200" s="81">
        <v>127451635.22734258</v>
      </c>
      <c r="AG200" s="81">
        <v>127584586.5581122</v>
      </c>
      <c r="AH200" s="81">
        <v>127686803.45967728</v>
      </c>
      <c r="AI200" s="81">
        <v>127761826.12397812</v>
      </c>
      <c r="AJ200" s="81">
        <v>127813477.03322989</v>
      </c>
      <c r="AK200" s="81">
        <v>127875498.33373988</v>
      </c>
      <c r="AL200" s="81">
        <v>127922898.14673738</v>
      </c>
      <c r="AM200" s="81">
        <v>127960660.86064039</v>
      </c>
      <c r="AN200" s="81">
        <v>127994304.62771338</v>
      </c>
      <c r="AO200" s="81">
        <v>128029743.51949236</v>
      </c>
      <c r="AP200" s="81">
        <v>128073358.42906509</v>
      </c>
      <c r="AQ200" s="81">
        <v>128131977.86036478</v>
      </c>
      <c r="AR200" s="81">
        <v>128212919.77665724</v>
      </c>
      <c r="AS200" s="81">
        <v>128323940.86303353</v>
      </c>
      <c r="AT200" s="81">
        <v>128473309.45831576</v>
      </c>
    </row>
    <row r="201" spans="1:46" ht="15.75">
      <c r="A201" s="81" t="s">
        <v>450</v>
      </c>
      <c r="B201" s="80">
        <v>431300</v>
      </c>
      <c r="C201" s="80" t="s">
        <v>424</v>
      </c>
      <c r="D201" s="84" t="s">
        <v>650</v>
      </c>
      <c r="E201" s="81">
        <v>83482394.379326165</v>
      </c>
      <c r="F201" s="81">
        <v>85458716.681709588</v>
      </c>
      <c r="G201" s="81">
        <v>86963269.544954821</v>
      </c>
      <c r="H201" s="81">
        <v>88482319.646377742</v>
      </c>
      <c r="I201" s="81">
        <v>90010993.770055443</v>
      </c>
      <c r="J201" s="81">
        <v>91544559.015187278</v>
      </c>
      <c r="K201" s="81">
        <v>93078326.667036802</v>
      </c>
      <c r="L201" s="81">
        <v>94607764.660638034</v>
      </c>
      <c r="M201" s="81">
        <v>96128421.9292752</v>
      </c>
      <c r="N201" s="81">
        <v>97636043.928671241</v>
      </c>
      <c r="O201" s="81">
        <v>99126520.211891562</v>
      </c>
      <c r="P201" s="81">
        <v>100596004.61206593</v>
      </c>
      <c r="Q201" s="81">
        <v>101609401.03938016</v>
      </c>
      <c r="R201" s="81">
        <v>102590856.26889241</v>
      </c>
      <c r="S201" s="81">
        <v>103537663.0044398</v>
      </c>
      <c r="T201" s="81">
        <v>104447442.79014049</v>
      </c>
      <c r="U201" s="81">
        <v>105318134.81267512</v>
      </c>
      <c r="V201" s="81">
        <v>106148036.96698859</v>
      </c>
      <c r="W201" s="81">
        <v>106935767.69223261</v>
      </c>
      <c r="X201" s="81">
        <v>107680360.94366241</v>
      </c>
      <c r="Y201" s="81">
        <v>108381146.63204008</v>
      </c>
      <c r="Z201" s="81">
        <v>109037982.72682965</v>
      </c>
      <c r="AA201" s="81">
        <v>109548766.07131812</v>
      </c>
      <c r="AB201" s="81">
        <v>110016336.26898251</v>
      </c>
      <c r="AC201" s="81">
        <v>110441884.68305732</v>
      </c>
      <c r="AD201" s="81">
        <v>110827077.96210451</v>
      </c>
      <c r="AE201" s="81">
        <v>111174015.96284373</v>
      </c>
      <c r="AF201" s="81">
        <v>111485302.22286375</v>
      </c>
      <c r="AG201" s="81">
        <v>111764030.26048256</v>
      </c>
      <c r="AH201" s="81">
        <v>112013826.98971705</v>
      </c>
      <c r="AI201" s="81">
        <v>112238809.65108742</v>
      </c>
      <c r="AJ201" s="81">
        <v>112443628.91579285</v>
      </c>
      <c r="AK201" s="81">
        <v>112659572.9445208</v>
      </c>
      <c r="AL201" s="81">
        <v>112866285.27378684</v>
      </c>
      <c r="AM201" s="81">
        <v>113070196.3066714</v>
      </c>
      <c r="AN201" s="81">
        <v>113278277.96661131</v>
      </c>
      <c r="AO201" s="81">
        <v>113498148.98113039</v>
      </c>
      <c r="AP201" s="81">
        <v>113738091.94550444</v>
      </c>
      <c r="AQ201" s="81">
        <v>114007008.75388625</v>
      </c>
      <c r="AR201" s="81">
        <v>114314498.09724385</v>
      </c>
      <c r="AS201" s="81">
        <v>114670810.35758413</v>
      </c>
      <c r="AT201" s="81">
        <v>115086957.74226461</v>
      </c>
    </row>
    <row r="202" spans="1:46" ht="15.75">
      <c r="A202" s="81" t="s">
        <v>450</v>
      </c>
      <c r="B202" s="80">
        <v>433100</v>
      </c>
      <c r="C202" s="80" t="s">
        <v>424</v>
      </c>
      <c r="D202" s="84" t="s">
        <v>649</v>
      </c>
      <c r="E202" s="81">
        <v>51262499.067659467</v>
      </c>
      <c r="F202" s="81">
        <v>52620701.508085199</v>
      </c>
      <c r="G202" s="81">
        <v>53685601.79732091</v>
      </c>
      <c r="H202" s="81">
        <v>54755666.948151648</v>
      </c>
      <c r="I202" s="81">
        <v>55827752.396370627</v>
      </c>
      <c r="J202" s="81">
        <v>56898847.404818095</v>
      </c>
      <c r="K202" s="81">
        <v>57966024.457139432</v>
      </c>
      <c r="L202" s="81">
        <v>59026383.639877297</v>
      </c>
      <c r="M202" s="81">
        <v>60077223.760564715</v>
      </c>
      <c r="N202" s="81">
        <v>61115873.842263356</v>
      </c>
      <c r="O202" s="81">
        <v>62139891.058425441</v>
      </c>
      <c r="P202" s="81">
        <v>63146887.921551861</v>
      </c>
      <c r="Q202" s="81">
        <v>63863617.168992564</v>
      </c>
      <c r="R202" s="81">
        <v>64556117.233105518</v>
      </c>
      <c r="S202" s="81">
        <v>65222975.483991496</v>
      </c>
      <c r="T202" s="81">
        <v>65862999.461879224</v>
      </c>
      <c r="U202" s="81">
        <v>66475151.448551469</v>
      </c>
      <c r="V202" s="81">
        <v>67058706.935227364</v>
      </c>
      <c r="W202" s="81">
        <v>67613165.742127702</v>
      </c>
      <c r="X202" s="81">
        <v>68138261.113184959</v>
      </c>
      <c r="Y202" s="81">
        <v>68634072.398239881</v>
      </c>
      <c r="Z202" s="81">
        <v>69100855.893371433</v>
      </c>
      <c r="AA202" s="81">
        <v>69474409.436511964</v>
      </c>
      <c r="AB202" s="81">
        <v>69820304.397568017</v>
      </c>
      <c r="AC202" s="81">
        <v>70139824.766234353</v>
      </c>
      <c r="AD202" s="81">
        <v>70434623.072481126</v>
      </c>
      <c r="AE202" s="81">
        <v>70706569.862259105</v>
      </c>
      <c r="AF202" s="81">
        <v>70957949.813795909</v>
      </c>
      <c r="AG202" s="81">
        <v>71191337.461808503</v>
      </c>
      <c r="AH202" s="81">
        <v>71409742.817215741</v>
      </c>
      <c r="AI202" s="81">
        <v>71616402.313764691</v>
      </c>
      <c r="AJ202" s="81">
        <v>71815091.070601717</v>
      </c>
      <c r="AK202" s="81">
        <v>72026452.347107574</v>
      </c>
      <c r="AL202" s="81">
        <v>72238311.84770675</v>
      </c>
      <c r="AM202" s="81">
        <v>72455575.315917179</v>
      </c>
      <c r="AN202" s="81">
        <v>72683539.752104789</v>
      </c>
      <c r="AO202" s="81">
        <v>72927903.295435339</v>
      </c>
      <c r="AP202" s="81">
        <v>73194833.318627074</v>
      </c>
      <c r="AQ202" s="81">
        <v>73490978.447279349</v>
      </c>
      <c r="AR202" s="81">
        <v>73823421.775856882</v>
      </c>
      <c r="AS202" s="81">
        <v>74199661.47450918</v>
      </c>
      <c r="AT202" s="81">
        <v>74627799.251913831</v>
      </c>
    </row>
    <row r="203" spans="1:46" ht="15.75">
      <c r="A203" s="81" t="s">
        <v>450</v>
      </c>
      <c r="B203" s="80">
        <v>440100</v>
      </c>
      <c r="C203" s="80" t="s">
        <v>423</v>
      </c>
      <c r="D203" s="84" t="s">
        <v>648</v>
      </c>
      <c r="E203" s="81">
        <v>483635299.84330082</v>
      </c>
      <c r="F203" s="81">
        <v>500416414.53278214</v>
      </c>
      <c r="G203" s="81">
        <v>509167375.55404294</v>
      </c>
      <c r="H203" s="81">
        <v>517062438.3468228</v>
      </c>
      <c r="I203" s="81">
        <v>524166724.9846012</v>
      </c>
      <c r="J203" s="81">
        <v>530543222.37306499</v>
      </c>
      <c r="K203" s="81">
        <v>536252704.94947481</v>
      </c>
      <c r="L203" s="81">
        <v>541353684.38617921</v>
      </c>
      <c r="M203" s="81">
        <v>545902276.37855577</v>
      </c>
      <c r="N203" s="81">
        <v>549952232.3323009</v>
      </c>
      <c r="O203" s="81">
        <v>553554665.92970443</v>
      </c>
      <c r="P203" s="81">
        <v>556758251.37998295</v>
      </c>
      <c r="Q203" s="81">
        <v>560476708.85387158</v>
      </c>
      <c r="R203" s="81">
        <v>563890231.957744</v>
      </c>
      <c r="S203" s="81">
        <v>567037831.0557611</v>
      </c>
      <c r="T203" s="81">
        <v>569955880.55408025</v>
      </c>
      <c r="U203" s="81">
        <v>572677983.35968673</v>
      </c>
      <c r="V203" s="81">
        <v>575234804.02455568</v>
      </c>
      <c r="W203" s="81">
        <v>577654016.06789148</v>
      </c>
      <c r="X203" s="81">
        <v>579960161.77160704</v>
      </c>
      <c r="Y203" s="81">
        <v>582174569.24278617</v>
      </c>
      <c r="Z203" s="81">
        <v>584315209.6910404</v>
      </c>
      <c r="AA203" s="81">
        <v>585231086.79607928</v>
      </c>
      <c r="AB203" s="81">
        <v>586097652.64613998</v>
      </c>
      <c r="AC203" s="81">
        <v>586922368.28721786</v>
      </c>
      <c r="AD203" s="81">
        <v>587708933.56844866</v>
      </c>
      <c r="AE203" s="81">
        <v>588457056.44980288</v>
      </c>
      <c r="AF203" s="81">
        <v>589162463.29833603</v>
      </c>
      <c r="AG203" s="81">
        <v>589816880.27171838</v>
      </c>
      <c r="AH203" s="81">
        <v>590407737.91797364</v>
      </c>
      <c r="AI203" s="81">
        <v>590918304.23203731</v>
      </c>
      <c r="AJ203" s="81">
        <v>591327542.40670788</v>
      </c>
      <c r="AK203" s="81">
        <v>591053566.51684141</v>
      </c>
      <c r="AL203" s="81">
        <v>590623420.42480707</v>
      </c>
      <c r="AM203" s="81">
        <v>590003074.05409706</v>
      </c>
      <c r="AN203" s="81">
        <v>589154101.91206002</v>
      </c>
      <c r="AO203" s="81">
        <v>588033338.60756111</v>
      </c>
      <c r="AP203" s="81">
        <v>586593163.1120894</v>
      </c>
      <c r="AQ203" s="81">
        <v>584781121.7328974</v>
      </c>
      <c r="AR203" s="81">
        <v>582540087.40150833</v>
      </c>
      <c r="AS203" s="81">
        <v>579808071.19417346</v>
      </c>
      <c r="AT203" s="81">
        <v>576518256.07991159</v>
      </c>
    </row>
    <row r="204" spans="1:46" ht="15.75">
      <c r="A204" s="81" t="s">
        <v>450</v>
      </c>
      <c r="B204" s="80">
        <v>440200</v>
      </c>
      <c r="C204" s="80" t="s">
        <v>423</v>
      </c>
      <c r="D204" s="84" t="s">
        <v>647</v>
      </c>
      <c r="E204" s="81">
        <v>56591078.969486147</v>
      </c>
      <c r="F204" s="81">
        <v>57901078.983408645</v>
      </c>
      <c r="G204" s="81">
        <v>58895857.561470494</v>
      </c>
      <c r="H204" s="81">
        <v>59903442.928902388</v>
      </c>
      <c r="I204" s="81">
        <v>60919073.205407351</v>
      </c>
      <c r="J204" s="81">
        <v>61938048.044659898</v>
      </c>
      <c r="K204" s="81">
        <v>62955768.257939272</v>
      </c>
      <c r="L204" s="81">
        <v>63967799.362498432</v>
      </c>
      <c r="M204" s="81">
        <v>64969805.441810414</v>
      </c>
      <c r="N204" s="81">
        <v>65957656.664059214</v>
      </c>
      <c r="O204" s="81">
        <v>66927429.911720157</v>
      </c>
      <c r="P204" s="81">
        <v>67875408.042796209</v>
      </c>
      <c r="Q204" s="81">
        <v>68507246.122272179</v>
      </c>
      <c r="R204" s="81">
        <v>69108524.49658452</v>
      </c>
      <c r="S204" s="81">
        <v>69676770.136217847</v>
      </c>
      <c r="T204" s="81">
        <v>70209760.340193495</v>
      </c>
      <c r="U204" s="81">
        <v>70705751.000639871</v>
      </c>
      <c r="V204" s="81">
        <v>71163279.285932541</v>
      </c>
      <c r="W204" s="81">
        <v>71581249.191671312</v>
      </c>
      <c r="X204" s="81">
        <v>71959045.331601247</v>
      </c>
      <c r="Y204" s="81">
        <v>72296329.051925197</v>
      </c>
      <c r="Z204" s="81">
        <v>72593349.306895018</v>
      </c>
      <c r="AA204" s="81">
        <v>72782722.758044094</v>
      </c>
      <c r="AB204" s="81">
        <v>72933728.910996869</v>
      </c>
      <c r="AC204" s="81">
        <v>73048010.469759703</v>
      </c>
      <c r="AD204" s="81">
        <v>73127707.475334138</v>
      </c>
      <c r="AE204" s="81">
        <v>73175472.697890043</v>
      </c>
      <c r="AF204" s="81">
        <v>73194382.992412671</v>
      </c>
      <c r="AG204" s="81">
        <v>73188187.471836239</v>
      </c>
      <c r="AH204" s="81">
        <v>73161037.348194376</v>
      </c>
      <c r="AI204" s="81">
        <v>73117735.796374172</v>
      </c>
      <c r="AJ204" s="81">
        <v>73063649.712375477</v>
      </c>
      <c r="AK204" s="81">
        <v>73021550.575827643</v>
      </c>
      <c r="AL204" s="81">
        <v>72981014.599198803</v>
      </c>
      <c r="AM204" s="81">
        <v>72949227.488554165</v>
      </c>
      <c r="AN204" s="81">
        <v>72934008.798144862</v>
      </c>
      <c r="AO204" s="81">
        <v>72943856.176587388</v>
      </c>
      <c r="AP204" s="81">
        <v>72987935.150769725</v>
      </c>
      <c r="AQ204" s="81">
        <v>73076152.110184163</v>
      </c>
      <c r="AR204" s="81">
        <v>73219060.233951241</v>
      </c>
      <c r="AS204" s="81">
        <v>73428016.954030931</v>
      </c>
      <c r="AT204" s="81">
        <v>73715089.627084821</v>
      </c>
    </row>
    <row r="205" spans="1:46" ht="15.75">
      <c r="A205" s="81" t="s">
        <v>450</v>
      </c>
      <c r="B205" s="80">
        <v>440300</v>
      </c>
      <c r="C205" s="80" t="s">
        <v>423</v>
      </c>
      <c r="D205" s="84" t="s">
        <v>646</v>
      </c>
      <c r="E205" s="81">
        <v>451552223.21794367</v>
      </c>
      <c r="F205" s="81">
        <v>470532296.16940278</v>
      </c>
      <c r="G205" s="81">
        <v>482719745.90470159</v>
      </c>
      <c r="H205" s="81">
        <v>493841056.47769254</v>
      </c>
      <c r="I205" s="81">
        <v>503989177.06896716</v>
      </c>
      <c r="J205" s="81">
        <v>513254039.2151475</v>
      </c>
      <c r="K205" s="81">
        <v>521722622.23700488</v>
      </c>
      <c r="L205" s="81">
        <v>529478496.06107384</v>
      </c>
      <c r="M205" s="81">
        <v>536601884.87920314</v>
      </c>
      <c r="N205" s="81">
        <v>543169285.90474105</v>
      </c>
      <c r="O205" s="81">
        <v>549253391.5861994</v>
      </c>
      <c r="P205" s="81">
        <v>554922870.78182805</v>
      </c>
      <c r="Q205" s="81">
        <v>558154460.21201491</v>
      </c>
      <c r="R205" s="81">
        <v>561074152.3632853</v>
      </c>
      <c r="S205" s="81">
        <v>563740194.97207296</v>
      </c>
      <c r="T205" s="81">
        <v>566205296.07306767</v>
      </c>
      <c r="U205" s="81">
        <v>568516383.97641551</v>
      </c>
      <c r="V205" s="81">
        <v>570714656.9687767</v>
      </c>
      <c r="W205" s="81">
        <v>572835401.06069064</v>
      </c>
      <c r="X205" s="81">
        <v>574907953.20699346</v>
      </c>
      <c r="Y205" s="81">
        <v>576955547.59005177</v>
      </c>
      <c r="Z205" s="81">
        <v>578995249.6058836</v>
      </c>
      <c r="AA205" s="81">
        <v>582313165.45272791</v>
      </c>
      <c r="AB205" s="81">
        <v>585647343.70692015</v>
      </c>
      <c r="AC205" s="81">
        <v>588995807.44331217</v>
      </c>
      <c r="AD205" s="81">
        <v>592349924.94997394</v>
      </c>
      <c r="AE205" s="81">
        <v>595694301.5972116</v>
      </c>
      <c r="AF205" s="81">
        <v>599006580.80289602</v>
      </c>
      <c r="AG205" s="81">
        <v>602257242.83668184</v>
      </c>
      <c r="AH205" s="81">
        <v>605409463.08225453</v>
      </c>
      <c r="AI205" s="81">
        <v>608418969.98806536</v>
      </c>
      <c r="AJ205" s="81">
        <v>611233840.46482301</v>
      </c>
      <c r="AK205" s="81">
        <v>612586084.71911657</v>
      </c>
      <c r="AL205" s="81">
        <v>613611971.37785423</v>
      </c>
      <c r="AM205" s="81">
        <v>614237899.33684504</v>
      </c>
      <c r="AN205" s="81">
        <v>614382484.93160033</v>
      </c>
      <c r="AO205" s="81">
        <v>613956647.41600418</v>
      </c>
      <c r="AP205" s="81">
        <v>612863254.15020871</v>
      </c>
      <c r="AQ205" s="81">
        <v>610997238.05595422</v>
      </c>
      <c r="AR205" s="81">
        <v>608245368.34493411</v>
      </c>
      <c r="AS205" s="81">
        <v>604486082.92897618</v>
      </c>
      <c r="AT205" s="81">
        <v>599589640.40743315</v>
      </c>
    </row>
    <row r="206" spans="1:46" ht="15.75">
      <c r="A206" s="81" t="s">
        <v>450</v>
      </c>
      <c r="B206" s="80">
        <v>440400</v>
      </c>
      <c r="C206" s="80" t="s">
        <v>423</v>
      </c>
      <c r="D206" s="84" t="s">
        <v>645</v>
      </c>
      <c r="E206" s="81">
        <v>55473833.170702577</v>
      </c>
      <c r="F206" s="81">
        <v>57422316.127472572</v>
      </c>
      <c r="G206" s="81">
        <v>58974152.692980938</v>
      </c>
      <c r="H206" s="81">
        <v>60458771.418296359</v>
      </c>
      <c r="I206" s="81">
        <v>61879275.536436483</v>
      </c>
      <c r="J206" s="81">
        <v>63238810.104339428</v>
      </c>
      <c r="K206" s="81">
        <v>64540523.047354519</v>
      </c>
      <c r="L206" s="81">
        <v>65787549.473193064</v>
      </c>
      <c r="M206" s="81">
        <v>66983073.11834871</v>
      </c>
      <c r="N206" s="81">
        <v>68130236.669783905</v>
      </c>
      <c r="O206" s="81">
        <v>69232098.854689136</v>
      </c>
      <c r="P206" s="81">
        <v>70291723.230314732</v>
      </c>
      <c r="Q206" s="81">
        <v>71010625.6536531</v>
      </c>
      <c r="R206" s="81">
        <v>71690551.532228366</v>
      </c>
      <c r="S206" s="81">
        <v>72334794.188759118</v>
      </c>
      <c r="T206" s="81">
        <v>72946446.807468295</v>
      </c>
      <c r="U206" s="81">
        <v>73528390.416416407</v>
      </c>
      <c r="V206" s="81">
        <v>74083394.193251148</v>
      </c>
      <c r="W206" s="81">
        <v>74613937.572104037</v>
      </c>
      <c r="X206" s="81">
        <v>75122309.829879627</v>
      </c>
      <c r="Y206" s="81">
        <v>75610513.363300472</v>
      </c>
      <c r="Z206" s="81">
        <v>76080394.917436793</v>
      </c>
      <c r="AA206" s="81">
        <v>76462086.997456491</v>
      </c>
      <c r="AB206" s="81">
        <v>76828122.478092164</v>
      </c>
      <c r="AC206" s="81">
        <v>77179506.705655083</v>
      </c>
      <c r="AD206" s="81">
        <v>77517010.841718629</v>
      </c>
      <c r="AE206" s="81">
        <v>77840982.894363552</v>
      </c>
      <c r="AF206" s="81">
        <v>78151574.542066634</v>
      </c>
      <c r="AG206" s="81">
        <v>78448521.104486212</v>
      </c>
      <c r="AH206" s="81">
        <v>78731219.220906481</v>
      </c>
      <c r="AI206" s="81">
        <v>78998746.397263542</v>
      </c>
      <c r="AJ206" s="81">
        <v>79249788.530526146</v>
      </c>
      <c r="AK206" s="81">
        <v>79216322.445244193</v>
      </c>
      <c r="AL206" s="81">
        <v>79163140.439742133</v>
      </c>
      <c r="AM206" s="81">
        <v>79087902.175892502</v>
      </c>
      <c r="AN206" s="81">
        <v>78988050.218533337</v>
      </c>
      <c r="AO206" s="81">
        <v>78860491.341607749</v>
      </c>
      <c r="AP206" s="81">
        <v>78701809.947001576</v>
      </c>
      <c r="AQ206" s="81">
        <v>78508231.655373544</v>
      </c>
      <c r="AR206" s="81">
        <v>78275522.543776229</v>
      </c>
      <c r="AS206" s="81">
        <v>77999046.377800643</v>
      </c>
      <c r="AT206" s="81">
        <v>77673758.921295002</v>
      </c>
    </row>
    <row r="207" spans="1:46" ht="15.75">
      <c r="A207" s="81" t="s">
        <v>450</v>
      </c>
      <c r="B207" s="80">
        <v>440500</v>
      </c>
      <c r="C207" s="80" t="s">
        <v>423</v>
      </c>
      <c r="D207" s="84" t="s">
        <v>644</v>
      </c>
      <c r="E207" s="81">
        <v>119625094.70790519</v>
      </c>
      <c r="F207" s="81">
        <v>123526561.45204282</v>
      </c>
      <c r="G207" s="81">
        <v>126727038.16677903</v>
      </c>
      <c r="H207" s="81">
        <v>129921779.33975343</v>
      </c>
      <c r="I207" s="81">
        <v>133102396.92761403</v>
      </c>
      <c r="J207" s="81">
        <v>136260873.8873252</v>
      </c>
      <c r="K207" s="81">
        <v>139389416.2976369</v>
      </c>
      <c r="L207" s="81">
        <v>142480558.49546167</v>
      </c>
      <c r="M207" s="81">
        <v>145527274.32969615</v>
      </c>
      <c r="N207" s="81">
        <v>148522920.15003359</v>
      </c>
      <c r="O207" s="81">
        <v>151461297.04910341</v>
      </c>
      <c r="P207" s="81">
        <v>154336715.54092419</v>
      </c>
      <c r="Q207" s="81">
        <v>156479686.84035444</v>
      </c>
      <c r="R207" s="81">
        <v>158539492.03980383</v>
      </c>
      <c r="S207" s="81">
        <v>160513359.89275956</v>
      </c>
      <c r="T207" s="81">
        <v>162399280.44228414</v>
      </c>
      <c r="U207" s="81">
        <v>164195850.44686371</v>
      </c>
      <c r="V207" s="81">
        <v>165902485.72813234</v>
      </c>
      <c r="W207" s="81">
        <v>167519237.23684686</v>
      </c>
      <c r="X207" s="81">
        <v>169047087.67685366</v>
      </c>
      <c r="Y207" s="81">
        <v>170487684.54433504</v>
      </c>
      <c r="Z207" s="81">
        <v>171843612.90676662</v>
      </c>
      <c r="AA207" s="81">
        <v>172956812.3627142</v>
      </c>
      <c r="AB207" s="81">
        <v>173992452.89299631</v>
      </c>
      <c r="AC207" s="81">
        <v>174955966.95379889</v>
      </c>
      <c r="AD207" s="81">
        <v>175853708.9491069</v>
      </c>
      <c r="AE207" s="81">
        <v>176693096.54772156</v>
      </c>
      <c r="AF207" s="81">
        <v>177482439.72568947</v>
      </c>
      <c r="AG207" s="81">
        <v>178231110.27759022</v>
      </c>
      <c r="AH207" s="81">
        <v>178949483.61186263</v>
      </c>
      <c r="AI207" s="81">
        <v>179649024.39367661</v>
      </c>
      <c r="AJ207" s="81">
        <v>180342345.17171296</v>
      </c>
      <c r="AK207" s="81">
        <v>181084909.38738886</v>
      </c>
      <c r="AL207" s="81">
        <v>181849826.34452477</v>
      </c>
      <c r="AM207" s="81">
        <v>182653204.34739771</v>
      </c>
      <c r="AN207" s="81">
        <v>183512311.99130452</v>
      </c>
      <c r="AO207" s="81">
        <v>184445759.78072101</v>
      </c>
      <c r="AP207" s="81">
        <v>185473348.85128066</v>
      </c>
      <c r="AQ207" s="81">
        <v>186616316.27830973</v>
      </c>
      <c r="AR207" s="81">
        <v>187897182.90048349</v>
      </c>
      <c r="AS207" s="81">
        <v>189339908.69551125</v>
      </c>
      <c r="AT207" s="81">
        <v>190969799.93996376</v>
      </c>
    </row>
    <row r="208" spans="1:46" ht="15.75">
      <c r="A208" s="81" t="s">
        <v>450</v>
      </c>
      <c r="B208" s="80">
        <v>440600</v>
      </c>
      <c r="C208" s="80" t="s">
        <v>423</v>
      </c>
      <c r="D208" s="84" t="s">
        <v>643</v>
      </c>
      <c r="E208" s="81">
        <v>225991380.39531863</v>
      </c>
      <c r="F208" s="81">
        <v>233891036.84706509</v>
      </c>
      <c r="G208" s="81">
        <v>240135859.36316684</v>
      </c>
      <c r="H208" s="81">
        <v>246071479.78607765</v>
      </c>
      <c r="I208" s="81">
        <v>251714157.3116332</v>
      </c>
      <c r="J208" s="81">
        <v>257080177.06907564</v>
      </c>
      <c r="K208" s="81">
        <v>262185928.99669009</v>
      </c>
      <c r="L208" s="81">
        <v>267047704.5074029</v>
      </c>
      <c r="M208" s="81">
        <v>271681697.57662642</v>
      </c>
      <c r="N208" s="81">
        <v>276103874.01264602</v>
      </c>
      <c r="O208" s="81">
        <v>280330001.39234</v>
      </c>
      <c r="P208" s="81">
        <v>284375377.70889241</v>
      </c>
      <c r="Q208" s="81">
        <v>287036394.93674284</v>
      </c>
      <c r="R208" s="81">
        <v>289537522.36946833</v>
      </c>
      <c r="S208" s="81">
        <v>291894487.66443121</v>
      </c>
      <c r="T208" s="81">
        <v>294122095.1401633</v>
      </c>
      <c r="U208" s="81">
        <v>296233995.12586623</v>
      </c>
      <c r="V208" s="81">
        <v>298242856.02975368</v>
      </c>
      <c r="W208" s="81">
        <v>300160161.43641174</v>
      </c>
      <c r="X208" s="81">
        <v>301996148.90687728</v>
      </c>
      <c r="Y208" s="81">
        <v>303759808.28748649</v>
      </c>
      <c r="Z208" s="81">
        <v>305458760.69921744</v>
      </c>
      <c r="AA208" s="81">
        <v>305487703.4843024</v>
      </c>
      <c r="AB208" s="81">
        <v>305461805.80405188</v>
      </c>
      <c r="AC208" s="81">
        <v>305385069.16365385</v>
      </c>
      <c r="AD208" s="81">
        <v>305259945.34948188</v>
      </c>
      <c r="AE208" s="81">
        <v>305087224.10434258</v>
      </c>
      <c r="AF208" s="81">
        <v>304865981.13161582</v>
      </c>
      <c r="AG208" s="81">
        <v>304593587.50662595</v>
      </c>
      <c r="AH208" s="81">
        <v>304265719.62428629</v>
      </c>
      <c r="AI208" s="81">
        <v>303876276.53556365</v>
      </c>
      <c r="AJ208" s="81">
        <v>303417452.06653142</v>
      </c>
      <c r="AK208" s="81">
        <v>303058219.46225899</v>
      </c>
      <c r="AL208" s="81">
        <v>302607793.74036485</v>
      </c>
      <c r="AM208" s="81">
        <v>302052729.34958309</v>
      </c>
      <c r="AN208" s="81">
        <v>301377695.10364503</v>
      </c>
      <c r="AO208" s="81">
        <v>300565448.15384275</v>
      </c>
      <c r="AP208" s="81">
        <v>299596839.65430725</v>
      </c>
      <c r="AQ208" s="81">
        <v>298450725.63307869</v>
      </c>
      <c r="AR208" s="81">
        <v>297103940.49144381</v>
      </c>
      <c r="AS208" s="81">
        <v>295531430.38652456</v>
      </c>
      <c r="AT208" s="81">
        <v>293705940.45508724</v>
      </c>
    </row>
    <row r="209" spans="1:46" ht="15.75">
      <c r="A209" s="81" t="s">
        <v>450</v>
      </c>
      <c r="B209" s="80">
        <v>440700</v>
      </c>
      <c r="C209" s="80" t="s">
        <v>423</v>
      </c>
      <c r="D209" s="84" t="s">
        <v>642</v>
      </c>
      <c r="E209" s="81">
        <v>104701719.74898058</v>
      </c>
      <c r="F209" s="81">
        <v>107718083.58266175</v>
      </c>
      <c r="G209" s="81">
        <v>110040695.88958924</v>
      </c>
      <c r="H209" s="81">
        <v>112285684.74938366</v>
      </c>
      <c r="I209" s="81">
        <v>114453379.76410536</v>
      </c>
      <c r="J209" s="81">
        <v>116544163.90470049</v>
      </c>
      <c r="K209" s="81">
        <v>118558658.84887092</v>
      </c>
      <c r="L209" s="81">
        <v>120497560.6467526</v>
      </c>
      <c r="M209" s="81">
        <v>122361782.24500999</v>
      </c>
      <c r="N209" s="81">
        <v>124152283.18405025</v>
      </c>
      <c r="O209" s="81">
        <v>125870289.91220526</v>
      </c>
      <c r="P209" s="81">
        <v>127517047.49856108</v>
      </c>
      <c r="Q209" s="81">
        <v>128548296.07207705</v>
      </c>
      <c r="R209" s="81">
        <v>129508945.11343591</v>
      </c>
      <c r="S209" s="81">
        <v>130401585.07004049</v>
      </c>
      <c r="T209" s="81">
        <v>131228934.65219222</v>
      </c>
      <c r="U209" s="81">
        <v>131993762.34228426</v>
      </c>
      <c r="V209" s="81">
        <v>132698938.18142857</v>
      </c>
      <c r="W209" s="81">
        <v>133347406.97799882</v>
      </c>
      <c r="X209" s="81">
        <v>133942187.46747021</v>
      </c>
      <c r="Y209" s="81">
        <v>134486316.51916996</v>
      </c>
      <c r="Z209" s="81">
        <v>134983012.17230913</v>
      </c>
      <c r="AA209" s="81">
        <v>135309147.36803341</v>
      </c>
      <c r="AB209" s="81">
        <v>135594807.44936383</v>
      </c>
      <c r="AC209" s="81">
        <v>135843463.31354749</v>
      </c>
      <c r="AD209" s="81">
        <v>136058668.13653436</v>
      </c>
      <c r="AE209" s="81">
        <v>136243942.81258932</v>
      </c>
      <c r="AF209" s="81">
        <v>136402945.07608017</v>
      </c>
      <c r="AG209" s="81">
        <v>136539355.28767809</v>
      </c>
      <c r="AH209" s="81">
        <v>136656874.44232273</v>
      </c>
      <c r="AI209" s="81">
        <v>136759339.83013549</v>
      </c>
      <c r="AJ209" s="81">
        <v>136850519.59790903</v>
      </c>
      <c r="AK209" s="81">
        <v>136965926.36694831</v>
      </c>
      <c r="AL209" s="81">
        <v>137077695.69927603</v>
      </c>
      <c r="AM209" s="81">
        <v>137189793.19261286</v>
      </c>
      <c r="AN209" s="81">
        <v>137306261.83561379</v>
      </c>
      <c r="AO209" s="81">
        <v>137431129.93919292</v>
      </c>
      <c r="AP209" s="81">
        <v>137568531.28529158</v>
      </c>
      <c r="AQ209" s="81">
        <v>137722612.8105638</v>
      </c>
      <c r="AR209" s="81">
        <v>137897594.87489367</v>
      </c>
      <c r="AS209" s="81">
        <v>138097676.62065333</v>
      </c>
      <c r="AT209" s="81">
        <v>138327159.35915899</v>
      </c>
    </row>
    <row r="210" spans="1:46" ht="15.75">
      <c r="A210" s="81" t="s">
        <v>450</v>
      </c>
      <c r="B210" s="80">
        <v>440800</v>
      </c>
      <c r="C210" s="80" t="s">
        <v>423</v>
      </c>
      <c r="D210" s="84" t="s">
        <v>641</v>
      </c>
      <c r="E210" s="81">
        <v>152096483.45495236</v>
      </c>
      <c r="F210" s="81">
        <v>156732948.91496614</v>
      </c>
      <c r="G210" s="81">
        <v>160515521.52882677</v>
      </c>
      <c r="H210" s="81">
        <v>164325959.86342075</v>
      </c>
      <c r="I210" s="81">
        <v>168151500.14134565</v>
      </c>
      <c r="J210" s="81">
        <v>171979587.42319888</v>
      </c>
      <c r="K210" s="81">
        <v>175798163.86766419</v>
      </c>
      <c r="L210" s="81">
        <v>179595539.05724844</v>
      </c>
      <c r="M210" s="81">
        <v>183360492.41829616</v>
      </c>
      <c r="N210" s="81">
        <v>187082405.14682299</v>
      </c>
      <c r="O210" s="81">
        <v>190751272.46768421</v>
      </c>
      <c r="P210" s="81">
        <v>194357687.45735696</v>
      </c>
      <c r="Q210" s="81">
        <v>197056495.21686509</v>
      </c>
      <c r="R210" s="81">
        <v>199663078.41054288</v>
      </c>
      <c r="S210" s="81">
        <v>202171910.87128013</v>
      </c>
      <c r="T210" s="81">
        <v>204578410.54974276</v>
      </c>
      <c r="U210" s="81">
        <v>206879007.67017436</v>
      </c>
      <c r="V210" s="81">
        <v>209071160.9967984</v>
      </c>
      <c r="W210" s="81">
        <v>211153508.48300272</v>
      </c>
      <c r="X210" s="81">
        <v>213125723.79837552</v>
      </c>
      <c r="Y210" s="81">
        <v>214988748.84802657</v>
      </c>
      <c r="Z210" s="81">
        <v>216744648.27528793</v>
      </c>
      <c r="AA210" s="81">
        <v>218193225.77175638</v>
      </c>
      <c r="AB210" s="81">
        <v>219541936.21820316</v>
      </c>
      <c r="AC210" s="81">
        <v>220797168.06725416</v>
      </c>
      <c r="AD210" s="81">
        <v>221966666.01368997</v>
      </c>
      <c r="AE210" s="81">
        <v>223059542.96999496</v>
      </c>
      <c r="AF210" s="81">
        <v>224086493.10878584</v>
      </c>
      <c r="AG210" s="81">
        <v>225059605.87877414</v>
      </c>
      <c r="AH210" s="81">
        <v>225992521.77941069</v>
      </c>
      <c r="AI210" s="81">
        <v>226900593.19596294</v>
      </c>
      <c r="AJ210" s="81">
        <v>227800635.71044075</v>
      </c>
      <c r="AK210" s="81">
        <v>228764060.02985749</v>
      </c>
      <c r="AL210" s="81">
        <v>229758464.65732089</v>
      </c>
      <c r="AM210" s="81">
        <v>230805969.47473729</v>
      </c>
      <c r="AN210" s="81">
        <v>231930441.17485711</v>
      </c>
      <c r="AO210" s="81">
        <v>233157751.98197559</v>
      </c>
      <c r="AP210" s="81">
        <v>234515646.40825364</v>
      </c>
      <c r="AQ210" s="81">
        <v>236033818.40151721</v>
      </c>
      <c r="AR210" s="81">
        <v>237744021.42012587</v>
      </c>
      <c r="AS210" s="81">
        <v>239680118.48061734</v>
      </c>
      <c r="AT210" s="81">
        <v>241877974.19584739</v>
      </c>
    </row>
    <row r="211" spans="1:46" ht="15.75">
      <c r="A211" s="81" t="s">
        <v>450</v>
      </c>
      <c r="B211" s="80">
        <v>440900</v>
      </c>
      <c r="C211" s="80" t="s">
        <v>423</v>
      </c>
      <c r="D211" s="84" t="s">
        <v>640</v>
      </c>
      <c r="E211" s="81">
        <v>121907561.72166885</v>
      </c>
      <c r="F211" s="81">
        <v>125206772.08445375</v>
      </c>
      <c r="G211" s="81">
        <v>127916657.54548141</v>
      </c>
      <c r="H211" s="81">
        <v>130736207.18846892</v>
      </c>
      <c r="I211" s="81">
        <v>133647368.16235331</v>
      </c>
      <c r="J211" s="81">
        <v>136632343.6130704</v>
      </c>
      <c r="K211" s="81">
        <v>139673711.14760792</v>
      </c>
      <c r="L211" s="81">
        <v>142754545.88919744</v>
      </c>
      <c r="M211" s="81">
        <v>145858392.56207749</v>
      </c>
      <c r="N211" s="81">
        <v>148969365.45297986</v>
      </c>
      <c r="O211" s="81">
        <v>152072342.47866803</v>
      </c>
      <c r="P211" s="81">
        <v>155152915.11813146</v>
      </c>
      <c r="Q211" s="81">
        <v>157528787.71367428</v>
      </c>
      <c r="R211" s="81">
        <v>159843494.44667107</v>
      </c>
      <c r="S211" s="81">
        <v>162086557.2922231</v>
      </c>
      <c r="T211" s="81">
        <v>164248733.34983018</v>
      </c>
      <c r="U211" s="81">
        <v>166322121.59887359</v>
      </c>
      <c r="V211" s="81">
        <v>168300103.05517888</v>
      </c>
      <c r="W211" s="81">
        <v>170177544.47873718</v>
      </c>
      <c r="X211" s="81">
        <v>171950812.79449937</v>
      </c>
      <c r="Y211" s="81">
        <v>173617738.2849586</v>
      </c>
      <c r="Z211" s="81">
        <v>175177873.84667075</v>
      </c>
      <c r="AA211" s="81">
        <v>176467609.38440722</v>
      </c>
      <c r="AB211" s="81">
        <v>177653720.30877468</v>
      </c>
      <c r="AC211" s="81">
        <v>178741149.63194048</v>
      </c>
      <c r="AD211" s="81">
        <v>179736768.31820488</v>
      </c>
      <c r="AE211" s="81">
        <v>180649281.07145506</v>
      </c>
      <c r="AF211" s="81">
        <v>181489334.78099182</v>
      </c>
      <c r="AG211" s="81">
        <v>182269655.84186438</v>
      </c>
      <c r="AH211" s="81">
        <v>183004980.02223179</v>
      </c>
      <c r="AI211" s="81">
        <v>183712190.21223107</v>
      </c>
      <c r="AJ211" s="81">
        <v>184410377.65242553</v>
      </c>
      <c r="AK211" s="81">
        <v>185163610.119362</v>
      </c>
      <c r="AL211" s="81">
        <v>185952879.4403322</v>
      </c>
      <c r="AM211" s="81">
        <v>186804206.8041352</v>
      </c>
      <c r="AN211" s="81">
        <v>187746177.3903667</v>
      </c>
      <c r="AO211" s="81">
        <v>188809843.5876981</v>
      </c>
      <c r="AP211" s="81">
        <v>190028872.91658512</v>
      </c>
      <c r="AQ211" s="81">
        <v>191439587.69213685</v>
      </c>
      <c r="AR211" s="81">
        <v>193081088.8994602</v>
      </c>
      <c r="AS211" s="81">
        <v>194995212.3327589</v>
      </c>
      <c r="AT211" s="81">
        <v>197226738.41498825</v>
      </c>
    </row>
    <row r="212" spans="1:46" ht="15.75">
      <c r="A212" s="81" t="s">
        <v>450</v>
      </c>
      <c r="B212" s="80">
        <v>441200</v>
      </c>
      <c r="C212" s="80" t="s">
        <v>423</v>
      </c>
      <c r="D212" s="84" t="s">
        <v>639</v>
      </c>
      <c r="E212" s="81">
        <v>89969732.503919691</v>
      </c>
      <c r="F212" s="81">
        <v>92353509.555551499</v>
      </c>
      <c r="G212" s="81">
        <v>94236904.844416261</v>
      </c>
      <c r="H212" s="81">
        <v>96141604.720765069</v>
      </c>
      <c r="I212" s="81">
        <v>98060094.210109979</v>
      </c>
      <c r="J212" s="81">
        <v>99985050.281294137</v>
      </c>
      <c r="K212" s="81">
        <v>101909279.97107714</v>
      </c>
      <c r="L212" s="81">
        <v>103825821.66714363</v>
      </c>
      <c r="M212" s="81">
        <v>105727954.02276546</v>
      </c>
      <c r="N212" s="81">
        <v>107609303.20090237</v>
      </c>
      <c r="O212" s="81">
        <v>109463703.88748205</v>
      </c>
      <c r="P212" s="81">
        <v>111285405.35211051</v>
      </c>
      <c r="Q212" s="81">
        <v>112591027.54546948</v>
      </c>
      <c r="R212" s="81">
        <v>113847960.05048153</v>
      </c>
      <c r="S212" s="81">
        <v>115052432.69234183</v>
      </c>
      <c r="T212" s="81">
        <v>116201221.18442567</v>
      </c>
      <c r="U212" s="81">
        <v>117291618.62607068</v>
      </c>
      <c r="V212" s="81">
        <v>118321538.84063791</v>
      </c>
      <c r="W212" s="81">
        <v>119289461.60977878</v>
      </c>
      <c r="X212" s="81">
        <v>120194483.34488754</v>
      </c>
      <c r="Y212" s="81">
        <v>121036424.24110447</v>
      </c>
      <c r="Z212" s="81">
        <v>121815690.46760599</v>
      </c>
      <c r="AA212" s="81">
        <v>122419189.47418129</v>
      </c>
      <c r="AB212" s="81">
        <v>122962911.53537859</v>
      </c>
      <c r="AC212" s="81">
        <v>123449689.90571018</v>
      </c>
      <c r="AD212" s="81">
        <v>123883058.0148927</v>
      </c>
      <c r="AE212" s="81">
        <v>124267356.61962572</v>
      </c>
      <c r="AF212" s="81">
        <v>124607729.31151339</v>
      </c>
      <c r="AG212" s="81">
        <v>124910175.14856476</v>
      </c>
      <c r="AH212" s="81">
        <v>125181515.00740224</v>
      </c>
      <c r="AI212" s="81">
        <v>125429502.91970257</v>
      </c>
      <c r="AJ212" s="81">
        <v>125662793.07455541</v>
      </c>
      <c r="AK212" s="81">
        <v>125919965.36402874</v>
      </c>
      <c r="AL212" s="81">
        <v>126182430.09271273</v>
      </c>
      <c r="AM212" s="81">
        <v>126461701.74796292</v>
      </c>
      <c r="AN212" s="81">
        <v>126770336.03596397</v>
      </c>
      <c r="AO212" s="81">
        <v>127121926.6518068</v>
      </c>
      <c r="AP212" s="81">
        <v>127531131.90514289</v>
      </c>
      <c r="AQ212" s="81">
        <v>128013701.58435385</v>
      </c>
      <c r="AR212" s="81">
        <v>128586566.59741707</v>
      </c>
      <c r="AS212" s="81">
        <v>129267742.49443315</v>
      </c>
      <c r="AT212" s="81">
        <v>130076513.40316378</v>
      </c>
    </row>
    <row r="213" spans="1:46" ht="15.75">
      <c r="A213" s="81" t="s">
        <v>450</v>
      </c>
      <c r="B213" s="80">
        <v>441300</v>
      </c>
      <c r="C213" s="80" t="s">
        <v>423</v>
      </c>
      <c r="D213" s="84" t="s">
        <v>638</v>
      </c>
      <c r="E213" s="81">
        <v>137707439.622567</v>
      </c>
      <c r="F213" s="81">
        <v>142231495.03963542</v>
      </c>
      <c r="G213" s="81">
        <v>145887282.72832081</v>
      </c>
      <c r="H213" s="81">
        <v>149482991.98510551</v>
      </c>
      <c r="I213" s="81">
        <v>153016713.55133405</v>
      </c>
      <c r="J213" s="81">
        <v>156486719.86234027</v>
      </c>
      <c r="K213" s="81">
        <v>159891397.55096677</v>
      </c>
      <c r="L213" s="81">
        <v>163229250.59070474</v>
      </c>
      <c r="M213" s="81">
        <v>166498929.26198775</v>
      </c>
      <c r="N213" s="81">
        <v>169699261.11544085</v>
      </c>
      <c r="O213" s="81">
        <v>172829204.5824942</v>
      </c>
      <c r="P213" s="81">
        <v>175887905.83816981</v>
      </c>
      <c r="Q213" s="81">
        <v>178118517.43099985</v>
      </c>
      <c r="R213" s="81">
        <v>180266319.69594169</v>
      </c>
      <c r="S213" s="81">
        <v>182332193.89207366</v>
      </c>
      <c r="T213" s="81">
        <v>184317080.41493499</v>
      </c>
      <c r="U213" s="81">
        <v>186222090.25807565</v>
      </c>
      <c r="V213" s="81">
        <v>188048509.34240127</v>
      </c>
      <c r="W213" s="81">
        <v>189797689.51399142</v>
      </c>
      <c r="X213" s="81">
        <v>191471219.85565308</v>
      </c>
      <c r="Y213" s="81">
        <v>193070789.388313</v>
      </c>
      <c r="Z213" s="81">
        <v>194598275.19453421</v>
      </c>
      <c r="AA213" s="81">
        <v>195872876.96462807</v>
      </c>
      <c r="AB213" s="81">
        <v>197078797.0178456</v>
      </c>
      <c r="AC213" s="81">
        <v>198218604.28889701</v>
      </c>
      <c r="AD213" s="81">
        <v>199295028.06125185</v>
      </c>
      <c r="AE213" s="81">
        <v>200310900.8707701</v>
      </c>
      <c r="AF213" s="81">
        <v>201269250.13398728</v>
      </c>
      <c r="AG213" s="81">
        <v>202173332.58301881</v>
      </c>
      <c r="AH213" s="81">
        <v>203026455.49571851</v>
      </c>
      <c r="AI213" s="81">
        <v>203832160.68895665</v>
      </c>
      <c r="AJ213" s="81">
        <v>204594198.56616229</v>
      </c>
      <c r="AK213" s="81">
        <v>204628529.92655221</v>
      </c>
      <c r="AL213" s="81">
        <v>204627481.94895545</v>
      </c>
      <c r="AM213" s="81">
        <v>204595665.80789778</v>
      </c>
      <c r="AN213" s="81">
        <v>204537756.55112699</v>
      </c>
      <c r="AO213" s="81">
        <v>204458524.73156622</v>
      </c>
      <c r="AP213" s="81">
        <v>204362963.63830167</v>
      </c>
      <c r="AQ213" s="81">
        <v>204256133.10592958</v>
      </c>
      <c r="AR213" s="81">
        <v>204143223.32262993</v>
      </c>
      <c r="AS213" s="81">
        <v>204029523.96023911</v>
      </c>
      <c r="AT213" s="81">
        <v>203920553.04760626</v>
      </c>
    </row>
    <row r="214" spans="1:46" ht="15.75">
      <c r="A214" s="81" t="s">
        <v>450</v>
      </c>
      <c r="B214" s="80">
        <v>441400</v>
      </c>
      <c r="C214" s="80" t="s">
        <v>423</v>
      </c>
      <c r="D214" s="84" t="s">
        <v>637</v>
      </c>
      <c r="E214" s="81">
        <v>76592838.122955114</v>
      </c>
      <c r="F214" s="81">
        <v>78545149.075883746</v>
      </c>
      <c r="G214" s="81">
        <v>80078129.513885289</v>
      </c>
      <c r="H214" s="81">
        <v>81635132.720228806</v>
      </c>
      <c r="I214" s="81">
        <v>83209051.561587885</v>
      </c>
      <c r="J214" s="81">
        <v>84792858.741375193</v>
      </c>
      <c r="K214" s="81">
        <v>86379741.34678027</v>
      </c>
      <c r="L214" s="81">
        <v>87963112.55931735</v>
      </c>
      <c r="M214" s="81">
        <v>89536577.732827231</v>
      </c>
      <c r="N214" s="81">
        <v>91094075.985877439</v>
      </c>
      <c r="O214" s="81">
        <v>92629802.792444304</v>
      </c>
      <c r="P214" s="81">
        <v>94138286.128103748</v>
      </c>
      <c r="Q214" s="81">
        <v>95210319.911326885</v>
      </c>
      <c r="R214" s="81">
        <v>96240866.236916065</v>
      </c>
      <c r="S214" s="81">
        <v>97226341.456020907</v>
      </c>
      <c r="T214" s="81">
        <v>98163718.817027941</v>
      </c>
      <c r="U214" s="81">
        <v>99050409.370496526</v>
      </c>
      <c r="V214" s="81">
        <v>99884451.206983835</v>
      </c>
      <c r="W214" s="81">
        <v>100664487.23724905</v>
      </c>
      <c r="X214" s="81">
        <v>101389691.72155558</v>
      </c>
      <c r="Y214" s="81">
        <v>102059965.31044462</v>
      </c>
      <c r="Z214" s="81">
        <v>102675788.46232784</v>
      </c>
      <c r="AA214" s="81">
        <v>103142089.70512788</v>
      </c>
      <c r="AB214" s="81">
        <v>103557081.21038254</v>
      </c>
      <c r="AC214" s="81">
        <v>103923514.51701321</v>
      </c>
      <c r="AD214" s="81">
        <v>104244931.73891151</v>
      </c>
      <c r="AE214" s="81">
        <v>104525612.3962355</v>
      </c>
      <c r="AF214" s="81">
        <v>104770647.56094785</v>
      </c>
      <c r="AG214" s="81">
        <v>104985963.87776321</v>
      </c>
      <c r="AH214" s="81">
        <v>105178268.6171703</v>
      </c>
      <c r="AI214" s="81">
        <v>105355204.37458149</v>
      </c>
      <c r="AJ214" s="81">
        <v>105525241.76698399</v>
      </c>
      <c r="AK214" s="81">
        <v>105722181.76531747</v>
      </c>
      <c r="AL214" s="81">
        <v>105931878.66842519</v>
      </c>
      <c r="AM214" s="81">
        <v>106165688.81374033</v>
      </c>
      <c r="AN214" s="81">
        <v>106435876.77328946</v>
      </c>
      <c r="AO214" s="81">
        <v>106755804.51587437</v>
      </c>
      <c r="AP214" s="81">
        <v>107139876.70789199</v>
      </c>
      <c r="AQ214" s="81">
        <v>107603510.94730738</v>
      </c>
      <c r="AR214" s="81">
        <v>108163303.68430392</v>
      </c>
      <c r="AS214" s="81">
        <v>108836917.69122848</v>
      </c>
      <c r="AT214" s="81">
        <v>109643221.71731675</v>
      </c>
    </row>
    <row r="215" spans="1:46" ht="15.75">
      <c r="A215" s="81" t="s">
        <v>450</v>
      </c>
      <c r="B215" s="80">
        <v>441500</v>
      </c>
      <c r="C215" s="80" t="s">
        <v>423</v>
      </c>
      <c r="D215" s="84" t="s">
        <v>636</v>
      </c>
      <c r="E215" s="81">
        <v>52407662.382083796</v>
      </c>
      <c r="F215" s="81">
        <v>54205150.211598992</v>
      </c>
      <c r="G215" s="81">
        <v>55702446.622409046</v>
      </c>
      <c r="H215" s="81">
        <v>57203517.451715171</v>
      </c>
      <c r="I215" s="81">
        <v>58704134.318938106</v>
      </c>
      <c r="J215" s="81">
        <v>60200172.589584634</v>
      </c>
      <c r="K215" s="81">
        <v>61687650.439319119</v>
      </c>
      <c r="L215" s="81">
        <v>63162747.926282324</v>
      </c>
      <c r="M215" s="81">
        <v>64621826.353772864</v>
      </c>
      <c r="N215" s="81">
        <v>66061447.923291355</v>
      </c>
      <c r="O215" s="81">
        <v>67478395.677947417</v>
      </c>
      <c r="P215" s="81">
        <v>68869716.821571514</v>
      </c>
      <c r="Q215" s="81">
        <v>69935801.698508441</v>
      </c>
      <c r="R215" s="81">
        <v>70965479.878109053</v>
      </c>
      <c r="S215" s="81">
        <v>71957236.436403513</v>
      </c>
      <c r="T215" s="81">
        <v>72909820.261906981</v>
      </c>
      <c r="U215" s="81">
        <v>73822375.593691051</v>
      </c>
      <c r="V215" s="81">
        <v>74694361.404593036</v>
      </c>
      <c r="W215" s="81">
        <v>75525686.123937115</v>
      </c>
      <c r="X215" s="81">
        <v>76316577.551393166</v>
      </c>
      <c r="Y215" s="81">
        <v>77067718.8638255</v>
      </c>
      <c r="Z215" s="81">
        <v>77780190.573210001</v>
      </c>
      <c r="AA215" s="81">
        <v>78382367.861208111</v>
      </c>
      <c r="AB215" s="81">
        <v>78948891.741404399</v>
      </c>
      <c r="AC215" s="81">
        <v>79482322.393512517</v>
      </c>
      <c r="AD215" s="81">
        <v>79985691.342870235</v>
      </c>
      <c r="AE215" s="81">
        <v>80462463.580016822</v>
      </c>
      <c r="AF215" s="81">
        <v>80916680.033413708</v>
      </c>
      <c r="AG215" s="81">
        <v>81352843.208520725</v>
      </c>
      <c r="AH215" s="81">
        <v>81775982.482663795</v>
      </c>
      <c r="AI215" s="81">
        <v>82191695.061807498</v>
      </c>
      <c r="AJ215" s="81">
        <v>82606107.874849021</v>
      </c>
      <c r="AK215" s="81">
        <v>83045083.974044308</v>
      </c>
      <c r="AL215" s="81">
        <v>83496865.791568503</v>
      </c>
      <c r="AM215" s="81">
        <v>83969350.517131805</v>
      </c>
      <c r="AN215" s="81">
        <v>84471030.577342242</v>
      </c>
      <c r="AO215" s="81">
        <v>85011146.868636087</v>
      </c>
      <c r="AP215" s="81">
        <v>85599485.455124468</v>
      </c>
      <c r="AQ215" s="81">
        <v>86246530.151436165</v>
      </c>
      <c r="AR215" s="81">
        <v>86963536.134287968</v>
      </c>
      <c r="AS215" s="81">
        <v>87762321.629577249</v>
      </c>
      <c r="AT215" s="81">
        <v>88655565.892701387</v>
      </c>
    </row>
    <row r="216" spans="1:46" ht="15.75">
      <c r="A216" s="81" t="s">
        <v>450</v>
      </c>
      <c r="B216" s="80">
        <v>441600</v>
      </c>
      <c r="C216" s="80" t="s">
        <v>423</v>
      </c>
      <c r="D216" s="84" t="s">
        <v>635</v>
      </c>
      <c r="E216" s="81">
        <v>56263499.874248013</v>
      </c>
      <c r="F216" s="81">
        <v>57547440.018248498</v>
      </c>
      <c r="G216" s="81">
        <v>58564731.351074398</v>
      </c>
      <c r="H216" s="81">
        <v>59638537.662255943</v>
      </c>
      <c r="I216" s="81">
        <v>60761152.787115633</v>
      </c>
      <c r="J216" s="81">
        <v>61924830.309982195</v>
      </c>
      <c r="K216" s="81">
        <v>63122023.734518446</v>
      </c>
      <c r="L216" s="81">
        <v>64345270.793018468</v>
      </c>
      <c r="M216" s="81">
        <v>65587333.270821303</v>
      </c>
      <c r="N216" s="81">
        <v>66841098.143670976</v>
      </c>
      <c r="O216" s="81">
        <v>68099765.411985233</v>
      </c>
      <c r="P216" s="81">
        <v>69356748.288354799</v>
      </c>
      <c r="Q216" s="81">
        <v>70307347.172914356</v>
      </c>
      <c r="R216" s="81">
        <v>71239319.968297362</v>
      </c>
      <c r="S216" s="81">
        <v>72147551.250444233</v>
      </c>
      <c r="T216" s="81">
        <v>73027324.061816946</v>
      </c>
      <c r="U216" s="81">
        <v>73874460.746375546</v>
      </c>
      <c r="V216" s="81">
        <v>74685324.431590453</v>
      </c>
      <c r="W216" s="81">
        <v>75456844.075199768</v>
      </c>
      <c r="X216" s="81">
        <v>76186515.188377559</v>
      </c>
      <c r="Y216" s="81">
        <v>76872399.683527917</v>
      </c>
      <c r="Z216" s="81">
        <v>77513224.846884355</v>
      </c>
      <c r="AA216" s="81">
        <v>78035566.952580333</v>
      </c>
      <c r="AB216" s="81">
        <v>78512027.27698791</v>
      </c>
      <c r="AC216" s="81">
        <v>78943492.413288996</v>
      </c>
      <c r="AD216" s="81">
        <v>79331612.711838543</v>
      </c>
      <c r="AE216" s="81">
        <v>79678775.412152931</v>
      </c>
      <c r="AF216" s="81">
        <v>79988128.010155424</v>
      </c>
      <c r="AG216" s="81">
        <v>80263628.075187191</v>
      </c>
      <c r="AH216" s="81">
        <v>80510094.352931157</v>
      </c>
      <c r="AI216" s="81">
        <v>80733126.289094076</v>
      </c>
      <c r="AJ216" s="81">
        <v>80939233.561316207</v>
      </c>
      <c r="AK216" s="81">
        <v>81154537.906436935</v>
      </c>
      <c r="AL216" s="81">
        <v>81368656.197734639</v>
      </c>
      <c r="AM216" s="81">
        <v>81590828.113986954</v>
      </c>
      <c r="AN216" s="81">
        <v>81831315.167764604</v>
      </c>
      <c r="AO216" s="81">
        <v>82101428.974734411</v>
      </c>
      <c r="AP216" s="81">
        <v>82413448.311293334</v>
      </c>
      <c r="AQ216" s="81">
        <v>82780812.486044049</v>
      </c>
      <c r="AR216" s="81">
        <v>83217926.295744121</v>
      </c>
      <c r="AS216" s="81">
        <v>83740439.562776297</v>
      </c>
      <c r="AT216" s="81">
        <v>84365050.518520191</v>
      </c>
    </row>
    <row r="217" spans="1:46" ht="15.75">
      <c r="A217" s="81" t="s">
        <v>450</v>
      </c>
      <c r="B217" s="80">
        <v>441700</v>
      </c>
      <c r="C217" s="80" t="s">
        <v>423</v>
      </c>
      <c r="D217" s="84" t="s">
        <v>634</v>
      </c>
      <c r="E217" s="81">
        <v>51446050.248126909</v>
      </c>
      <c r="F217" s="81">
        <v>52785584.668439791</v>
      </c>
      <c r="G217" s="81">
        <v>53829881.444633327</v>
      </c>
      <c r="H217" s="81">
        <v>54878221.685923286</v>
      </c>
      <c r="I217" s="81">
        <v>55927280.766714677</v>
      </c>
      <c r="J217" s="81">
        <v>56973783.440934598</v>
      </c>
      <c r="K217" s="81">
        <v>58014559.2898729</v>
      </c>
      <c r="L217" s="81">
        <v>59046557.83808215</v>
      </c>
      <c r="M217" s="81">
        <v>60066797.209095635</v>
      </c>
      <c r="N217" s="81">
        <v>61072488.024538331</v>
      </c>
      <c r="O217" s="81">
        <v>62060892.432090007</v>
      </c>
      <c r="P217" s="81">
        <v>63029540.752473146</v>
      </c>
      <c r="Q217" s="81">
        <v>63705595.732351966</v>
      </c>
      <c r="R217" s="81">
        <v>64354673.670359515</v>
      </c>
      <c r="S217" s="81">
        <v>64975242.053040378</v>
      </c>
      <c r="T217" s="81">
        <v>65565999.676341183</v>
      </c>
      <c r="U217" s="81">
        <v>66125814.833714493</v>
      </c>
      <c r="V217" s="81">
        <v>66653878.213266686</v>
      </c>
      <c r="W217" s="81">
        <v>67149667.460465208</v>
      </c>
      <c r="X217" s="81">
        <v>67612884.953541577</v>
      </c>
      <c r="Y217" s="81">
        <v>68043541.062067389</v>
      </c>
      <c r="Z217" s="81">
        <v>68441940.998608634</v>
      </c>
      <c r="AA217" s="81">
        <v>68744499.967264503</v>
      </c>
      <c r="AB217" s="81">
        <v>69016397.654581368</v>
      </c>
      <c r="AC217" s="81">
        <v>69258921.909037679</v>
      </c>
      <c r="AD217" s="81">
        <v>69473768.408068329</v>
      </c>
      <c r="AE217" s="81">
        <v>69663001.577642262</v>
      </c>
      <c r="AF217" s="81">
        <v>69829013.531847909</v>
      </c>
      <c r="AG217" s="81">
        <v>69974507.23010996</v>
      </c>
      <c r="AH217" s="81">
        <v>70102663.453296334</v>
      </c>
      <c r="AI217" s="81">
        <v>70216995.323550716</v>
      </c>
      <c r="AJ217" s="81">
        <v>70321410.587961465</v>
      </c>
      <c r="AK217" s="81">
        <v>70436505.003852367</v>
      </c>
      <c r="AL217" s="81">
        <v>70550716.24886702</v>
      </c>
      <c r="AM217" s="81">
        <v>70669204.85932599</v>
      </c>
      <c r="AN217" s="81">
        <v>70797656.681125775</v>
      </c>
      <c r="AO217" s="81">
        <v>70942103.355917826</v>
      </c>
      <c r="AP217" s="81">
        <v>71109125.223495796</v>
      </c>
      <c r="AQ217" s="81">
        <v>71305781.623920217</v>
      </c>
      <c r="AR217" s="81">
        <v>71539622.669740573</v>
      </c>
      <c r="AS217" s="81">
        <v>71818672.686610118</v>
      </c>
      <c r="AT217" s="81">
        <v>72151498.490982294</v>
      </c>
    </row>
    <row r="218" spans="1:46" ht="15.75">
      <c r="A218" s="81" t="s">
        <v>450</v>
      </c>
      <c r="B218" s="80">
        <v>441800</v>
      </c>
      <c r="C218" s="80" t="s">
        <v>423</v>
      </c>
      <c r="D218" s="84" t="s">
        <v>633</v>
      </c>
      <c r="E218" s="81">
        <v>86837479.108817652</v>
      </c>
      <c r="F218" s="81">
        <v>89116693.865605429</v>
      </c>
      <c r="G218" s="81">
        <v>90904438.18134971</v>
      </c>
      <c r="H218" s="81">
        <v>92705040.43587707</v>
      </c>
      <c r="I218" s="81">
        <v>94512034.62332572</v>
      </c>
      <c r="J218" s="81">
        <v>96319048.659360856</v>
      </c>
      <c r="K218" s="81">
        <v>98119948.368352264</v>
      </c>
      <c r="L218" s="81">
        <v>99908699.60860543</v>
      </c>
      <c r="M218" s="81">
        <v>101679586.92750061</v>
      </c>
      <c r="N218" s="81">
        <v>103427048.83271657</v>
      </c>
      <c r="O218" s="81">
        <v>105145902.28131148</v>
      </c>
      <c r="P218" s="81">
        <v>106831148.25180107</v>
      </c>
      <c r="Q218" s="81">
        <v>108019679.7589092</v>
      </c>
      <c r="R218" s="81">
        <v>109160953.3286674</v>
      </c>
      <c r="S218" s="81">
        <v>110251811.27675031</v>
      </c>
      <c r="T218" s="81">
        <v>111289633.67986678</v>
      </c>
      <c r="U218" s="81">
        <v>112272229.15435709</v>
      </c>
      <c r="V218" s="81">
        <v>113197907.27606584</v>
      </c>
      <c r="W218" s="81">
        <v>114065472.67251056</v>
      </c>
      <c r="X218" s="81">
        <v>114874354.31454583</v>
      </c>
      <c r="Y218" s="81">
        <v>115624465.55235697</v>
      </c>
      <c r="Z218" s="81">
        <v>116316333.45688304</v>
      </c>
      <c r="AA218" s="81">
        <v>116841998.14232272</v>
      </c>
      <c r="AB218" s="81">
        <v>117312316.41161148</v>
      </c>
      <c r="AC218" s="81">
        <v>117729828.02475619</v>
      </c>
      <c r="AD218" s="81">
        <v>118097734.38514124</v>
      </c>
      <c r="AE218" s="81">
        <v>118419918.71198517</v>
      </c>
      <c r="AF218" s="81">
        <v>118701024.07607481</v>
      </c>
      <c r="AG218" s="81">
        <v>118946330.75941014</v>
      </c>
      <c r="AH218" s="81">
        <v>119161920.21615323</v>
      </c>
      <c r="AI218" s="81">
        <v>119354580.29106675</v>
      </c>
      <c r="AJ218" s="81">
        <v>119531913.25328183</v>
      </c>
      <c r="AK218" s="81">
        <v>119729990.21405585</v>
      </c>
      <c r="AL218" s="81">
        <v>119930282.77244596</v>
      </c>
      <c r="AM218" s="81">
        <v>120142888.35557397</v>
      </c>
      <c r="AN218" s="81">
        <v>120378786.37745661</v>
      </c>
      <c r="AO218" s="81">
        <v>120649799.91659591</v>
      </c>
      <c r="AP218" s="81">
        <v>120968771.07403174</v>
      </c>
      <c r="AQ218" s="81">
        <v>121349401.10318133</v>
      </c>
      <c r="AR218" s="81">
        <v>121806458.48603773</v>
      </c>
      <c r="AS218" s="81">
        <v>122355616.98733148</v>
      </c>
      <c r="AT218" s="81">
        <v>123013603.26630051</v>
      </c>
    </row>
    <row r="219" spans="1:46" ht="15.75">
      <c r="A219" s="81" t="s">
        <v>450</v>
      </c>
      <c r="B219" s="80">
        <v>441900</v>
      </c>
      <c r="C219" s="80" t="s">
        <v>423</v>
      </c>
      <c r="D219" s="84" t="s">
        <v>632</v>
      </c>
      <c r="E219" s="81">
        <v>246898145.49029684</v>
      </c>
      <c r="F219" s="81">
        <v>257729812.12572795</v>
      </c>
      <c r="G219" s="81">
        <v>266489648.58455867</v>
      </c>
      <c r="H219" s="81">
        <v>274673036.06602693</v>
      </c>
      <c r="I219" s="81">
        <v>282322864.19596285</v>
      </c>
      <c r="J219" s="81">
        <v>289481844.05811185</v>
      </c>
      <c r="K219" s="81">
        <v>296192470.17201823</v>
      </c>
      <c r="L219" s="81">
        <v>302496751.60609204</v>
      </c>
      <c r="M219" s="81">
        <v>308436041.71198905</v>
      </c>
      <c r="N219" s="81">
        <v>314050839.34635299</v>
      </c>
      <c r="O219" s="81">
        <v>319380559.19203794</v>
      </c>
      <c r="P219" s="81">
        <v>324463296.77518207</v>
      </c>
      <c r="Q219" s="81">
        <v>327772950.30757207</v>
      </c>
      <c r="R219" s="81">
        <v>330892250.81838137</v>
      </c>
      <c r="S219" s="81">
        <v>333856699.40908569</v>
      </c>
      <c r="T219" s="81">
        <v>336698934.27951372</v>
      </c>
      <c r="U219" s="81">
        <v>339448735.05222434</v>
      </c>
      <c r="V219" s="81">
        <v>342132768.06896436</v>
      </c>
      <c r="W219" s="81">
        <v>344774531.65905464</v>
      </c>
      <c r="X219" s="81">
        <v>347394154.90997541</v>
      </c>
      <c r="Y219" s="81">
        <v>350008222.17976159</v>
      </c>
      <c r="Z219" s="81">
        <v>352629775.89933747</v>
      </c>
      <c r="AA219" s="81">
        <v>353746963.48044157</v>
      </c>
      <c r="AB219" s="81">
        <v>354876457.76159173</v>
      </c>
      <c r="AC219" s="81">
        <v>356019251.83761597</v>
      </c>
      <c r="AD219" s="81">
        <v>357172130.28342605</v>
      </c>
      <c r="AE219" s="81">
        <v>358327667.10719258</v>
      </c>
      <c r="AF219" s="81">
        <v>359474101.77600759</v>
      </c>
      <c r="AG219" s="81">
        <v>360595275.8378948</v>
      </c>
      <c r="AH219" s="81">
        <v>361670662.36723644</v>
      </c>
      <c r="AI219" s="81">
        <v>362675117.76661986</v>
      </c>
      <c r="AJ219" s="81">
        <v>363579034.88496727</v>
      </c>
      <c r="AK219" s="81">
        <v>364380724.86101943</v>
      </c>
      <c r="AL219" s="81">
        <v>365008532.43390083</v>
      </c>
      <c r="AM219" s="81">
        <v>365418652.85353374</v>
      </c>
      <c r="AN219" s="81">
        <v>365562487.71287042</v>
      </c>
      <c r="AO219" s="81">
        <v>365386517.39300257</v>
      </c>
      <c r="AP219" s="81">
        <v>364832204.06524301</v>
      </c>
      <c r="AQ219" s="81">
        <v>363836084.84949398</v>
      </c>
      <c r="AR219" s="81">
        <v>362329517.1099183</v>
      </c>
      <c r="AS219" s="81">
        <v>360238708.13323307</v>
      </c>
      <c r="AT219" s="81">
        <v>357484650.29673243</v>
      </c>
    </row>
    <row r="220" spans="1:46" ht="15.75">
      <c r="A220" s="81" t="s">
        <v>450</v>
      </c>
      <c r="B220" s="80">
        <v>442000</v>
      </c>
      <c r="C220" s="80" t="s">
        <v>423</v>
      </c>
      <c r="D220" s="84" t="s">
        <v>631</v>
      </c>
      <c r="E220" s="81">
        <v>100251911.04810213</v>
      </c>
      <c r="F220" s="81">
        <v>103990822.5947533</v>
      </c>
      <c r="G220" s="81">
        <v>106976935.92685533</v>
      </c>
      <c r="H220" s="81">
        <v>109809102.26107998</v>
      </c>
      <c r="I220" s="81">
        <v>112496450.55419815</v>
      </c>
      <c r="J220" s="81">
        <v>115048083.40054707</v>
      </c>
      <c r="K220" s="81">
        <v>117473157.93639483</v>
      </c>
      <c r="L220" s="81">
        <v>119780695.55891375</v>
      </c>
      <c r="M220" s="81">
        <v>121979714.60955063</v>
      </c>
      <c r="N220" s="81">
        <v>124079036.40552422</v>
      </c>
      <c r="O220" s="81">
        <v>126087290.42420207</v>
      </c>
      <c r="P220" s="81">
        <v>128012922.70856005</v>
      </c>
      <c r="Q220" s="81">
        <v>129315121.67708604</v>
      </c>
      <c r="R220" s="81">
        <v>130545984.31650947</v>
      </c>
      <c r="S220" s="81">
        <v>131713842.26546603</v>
      </c>
      <c r="T220" s="81">
        <v>132826485.03943023</v>
      </c>
      <c r="U220" s="81">
        <v>133891100.79675551</v>
      </c>
      <c r="V220" s="81">
        <v>134914243.49716052</v>
      </c>
      <c r="W220" s="81">
        <v>135901799.66023779</v>
      </c>
      <c r="X220" s="81">
        <v>136859011.85797092</v>
      </c>
      <c r="Y220" s="81">
        <v>137790302.96617055</v>
      </c>
      <c r="Z220" s="81">
        <v>138699441.4764334</v>
      </c>
      <c r="AA220" s="81">
        <v>139459184.54449943</v>
      </c>
      <c r="AB220" s="81">
        <v>140201439.28197965</v>
      </c>
      <c r="AC220" s="81">
        <v>140927510.22519854</v>
      </c>
      <c r="AD220" s="81">
        <v>141637761.31868726</v>
      </c>
      <c r="AE220" s="81">
        <v>142331702.96261862</v>
      </c>
      <c r="AF220" s="81">
        <v>143007751.08736613</v>
      </c>
      <c r="AG220" s="81">
        <v>143663433.85825109</v>
      </c>
      <c r="AH220" s="81">
        <v>144295178.91339648</v>
      </c>
      <c r="AI220" s="81">
        <v>144898432.19653621</v>
      </c>
      <c r="AJ220" s="81">
        <v>145467441.08628023</v>
      </c>
      <c r="AK220" s="81">
        <v>145506250.24059513</v>
      </c>
      <c r="AL220" s="81">
        <v>145496361.88701448</v>
      </c>
      <c r="AM220" s="81">
        <v>145429076.43457365</v>
      </c>
      <c r="AN220" s="81">
        <v>145294768.52771652</v>
      </c>
      <c r="AO220" s="81">
        <v>145082526.48355389</v>
      </c>
      <c r="AP220" s="81">
        <v>144780418.20009258</v>
      </c>
      <c r="AQ220" s="81">
        <v>144375317.86455727</v>
      </c>
      <c r="AR220" s="81">
        <v>143852888.90466389</v>
      </c>
      <c r="AS220" s="81">
        <v>143197662.82368329</v>
      </c>
      <c r="AT220" s="81">
        <v>142392991.57123971</v>
      </c>
    </row>
    <row r="221" spans="1:46" ht="15.75">
      <c r="A221" s="81" t="s">
        <v>450</v>
      </c>
      <c r="B221" s="80">
        <v>445100</v>
      </c>
      <c r="C221" s="80" t="s">
        <v>423</v>
      </c>
      <c r="D221" s="84" t="s">
        <v>630</v>
      </c>
      <c r="E221" s="81">
        <v>56058234.340714335</v>
      </c>
      <c r="F221" s="81">
        <v>57661829.266820669</v>
      </c>
      <c r="G221" s="81">
        <v>58926958.7772367</v>
      </c>
      <c r="H221" s="81">
        <v>60180326.859613679</v>
      </c>
      <c r="I221" s="81">
        <v>61419067.274647757</v>
      </c>
      <c r="J221" s="81">
        <v>62640278.091501527</v>
      </c>
      <c r="K221" s="81">
        <v>63841289.077040799</v>
      </c>
      <c r="L221" s="81">
        <v>65019488.011561655</v>
      </c>
      <c r="M221" s="81">
        <v>66172452.245238476</v>
      </c>
      <c r="N221" s="81">
        <v>67297915.327816486</v>
      </c>
      <c r="O221" s="81">
        <v>68393780.569978237</v>
      </c>
      <c r="P221" s="81">
        <v>69458134.797578543</v>
      </c>
      <c r="Q221" s="81">
        <v>70191281.482625619</v>
      </c>
      <c r="R221" s="81">
        <v>70886944.026514888</v>
      </c>
      <c r="S221" s="81">
        <v>71544396.953561261</v>
      </c>
      <c r="T221" s="81">
        <v>72163153.877483249</v>
      </c>
      <c r="U221" s="81">
        <v>72743003.737013519</v>
      </c>
      <c r="V221" s="81">
        <v>73283967.950997785</v>
      </c>
      <c r="W221" s="81">
        <v>73786390.305202022</v>
      </c>
      <c r="X221" s="81">
        <v>74250812.797569096</v>
      </c>
      <c r="Y221" s="81">
        <v>74678174.73507145</v>
      </c>
      <c r="Z221" s="81">
        <v>75069661.124917671</v>
      </c>
      <c r="AA221" s="81">
        <v>75356451.80336307</v>
      </c>
      <c r="AB221" s="81">
        <v>75610820.004927382</v>
      </c>
      <c r="AC221" s="81">
        <v>75835023.349915087</v>
      </c>
      <c r="AD221" s="81">
        <v>76031679.03244549</v>
      </c>
      <c r="AE221" s="81">
        <v>76203745.511470541</v>
      </c>
      <c r="AF221" s="81">
        <v>76354503.134889826</v>
      </c>
      <c r="AG221" s="81">
        <v>76487620.771194562</v>
      </c>
      <c r="AH221" s="81">
        <v>76607195.637209818</v>
      </c>
      <c r="AI221" s="81">
        <v>76717647.295683339</v>
      </c>
      <c r="AJ221" s="81">
        <v>76823814.36158964</v>
      </c>
      <c r="AK221" s="81">
        <v>76948694.312670708</v>
      </c>
      <c r="AL221" s="81">
        <v>77080141.331748083</v>
      </c>
      <c r="AM221" s="81">
        <v>77224204.217052728</v>
      </c>
      <c r="AN221" s="81">
        <v>77387458.422845781</v>
      </c>
      <c r="AO221" s="81">
        <v>77576927.878408924</v>
      </c>
      <c r="AP221" s="81">
        <v>77800034.047681481</v>
      </c>
      <c r="AQ221" s="81">
        <v>78064728.94444789</v>
      </c>
      <c r="AR221" s="81">
        <v>78379445.619734511</v>
      </c>
      <c r="AS221" s="81">
        <v>78753109.205313295</v>
      </c>
      <c r="AT221" s="81">
        <v>79195148.050537392</v>
      </c>
    </row>
    <row r="222" spans="1:46" ht="15.75">
      <c r="A222" s="81" t="s">
        <v>450</v>
      </c>
      <c r="B222" s="80">
        <v>445200</v>
      </c>
      <c r="C222" s="80" t="s">
        <v>423</v>
      </c>
      <c r="D222" s="84" t="s">
        <v>629</v>
      </c>
      <c r="E222" s="81">
        <v>121188039.31770413</v>
      </c>
      <c r="F222" s="81">
        <v>125227362.07138169</v>
      </c>
      <c r="G222" s="81">
        <v>128586424.16538489</v>
      </c>
      <c r="H222" s="81">
        <v>131966651.55560391</v>
      </c>
      <c r="I222" s="81">
        <v>135356703.00355381</v>
      </c>
      <c r="J222" s="81">
        <v>138745553.07225341</v>
      </c>
      <c r="K222" s="81">
        <v>142122543.04806939</v>
      </c>
      <c r="L222" s="81">
        <v>145477408.3572064</v>
      </c>
      <c r="M222" s="81">
        <v>148800378.73244607</v>
      </c>
      <c r="N222" s="81">
        <v>152082158.29502475</v>
      </c>
      <c r="O222" s="81">
        <v>155314026.97470286</v>
      </c>
      <c r="P222" s="81">
        <v>158487946.48101482</v>
      </c>
      <c r="Q222" s="81">
        <v>160913343.58373845</v>
      </c>
      <c r="R222" s="81">
        <v>163254032.41301355</v>
      </c>
      <c r="S222" s="81">
        <v>165505423.7985431</v>
      </c>
      <c r="T222" s="81">
        <v>167663845.07408124</v>
      </c>
      <c r="U222" s="81">
        <v>169726579.72719344</v>
      </c>
      <c r="V222" s="81">
        <v>171691773.39456201</v>
      </c>
      <c r="W222" s="81">
        <v>173558712.39418316</v>
      </c>
      <c r="X222" s="81">
        <v>175327569.23803636</v>
      </c>
      <c r="Y222" s="81">
        <v>176999711.20153293</v>
      </c>
      <c r="Z222" s="81">
        <v>178577579.33095634</v>
      </c>
      <c r="AA222" s="81">
        <v>179896827.83466867</v>
      </c>
      <c r="AB222" s="81">
        <v>181129249.16177377</v>
      </c>
      <c r="AC222" s="81">
        <v>182281122.04785115</v>
      </c>
      <c r="AD222" s="81">
        <v>183359987.780022</v>
      </c>
      <c r="AE222" s="81">
        <v>184374659.18862879</v>
      </c>
      <c r="AF222" s="81">
        <v>185335315.33785161</v>
      </c>
      <c r="AG222" s="81">
        <v>186253453.75397792</v>
      </c>
      <c r="AH222" s="81">
        <v>187142044.07941785</v>
      </c>
      <c r="AI222" s="81">
        <v>188015421.98321322</v>
      </c>
      <c r="AJ222" s="81">
        <v>188889473.7234953</v>
      </c>
      <c r="AK222" s="81">
        <v>189825367.81855163</v>
      </c>
      <c r="AL222" s="81">
        <v>190798391.41387025</v>
      </c>
      <c r="AM222" s="81">
        <v>191829095.44844157</v>
      </c>
      <c r="AN222" s="81">
        <v>192939732.83587012</v>
      </c>
      <c r="AO222" s="81">
        <v>194154302.29407263</v>
      </c>
      <c r="AP222" s="81">
        <v>195498469.1613051</v>
      </c>
      <c r="AQ222" s="81">
        <v>196999699.02986053</v>
      </c>
      <c r="AR222" s="81">
        <v>198687364.22388384</v>
      </c>
      <c r="AS222" s="81">
        <v>200592632.82532734</v>
      </c>
      <c r="AT222" s="81">
        <v>202748668.68527448</v>
      </c>
    </row>
    <row r="223" spans="1:46" ht="15.75">
      <c r="A223" s="81" t="s">
        <v>450</v>
      </c>
      <c r="B223" s="80">
        <v>445300</v>
      </c>
      <c r="C223" s="80" t="s">
        <v>423</v>
      </c>
      <c r="D223" s="84" t="s">
        <v>628</v>
      </c>
      <c r="E223" s="81">
        <v>44620774.656794183</v>
      </c>
      <c r="F223" s="81">
        <v>45745955.9809236</v>
      </c>
      <c r="G223" s="81">
        <v>46640154.860954158</v>
      </c>
      <c r="H223" s="81">
        <v>47560655.120744489</v>
      </c>
      <c r="I223" s="81">
        <v>48502293.411754966</v>
      </c>
      <c r="J223" s="81">
        <v>49459988.149636224</v>
      </c>
      <c r="K223" s="81">
        <v>50428720.067046881</v>
      </c>
      <c r="L223" s="81">
        <v>51403676.113192648</v>
      </c>
      <c r="M223" s="81">
        <v>52380150.791790329</v>
      </c>
      <c r="N223" s="81">
        <v>53353587.423741445</v>
      </c>
      <c r="O223" s="81">
        <v>54319686.075326718</v>
      </c>
      <c r="P223" s="81">
        <v>55274321.668894365</v>
      </c>
      <c r="Q223" s="81">
        <v>55976020.211396679</v>
      </c>
      <c r="R223" s="81">
        <v>56655503.293868288</v>
      </c>
      <c r="S223" s="81">
        <v>57309874.853502259</v>
      </c>
      <c r="T223" s="81">
        <v>57936545.115112484</v>
      </c>
      <c r="U223" s="81">
        <v>58533290.814924389</v>
      </c>
      <c r="V223" s="81">
        <v>59098294.849706516</v>
      </c>
      <c r="W223" s="81">
        <v>59630164.10160207</v>
      </c>
      <c r="X223" s="81">
        <v>60127877.576318197</v>
      </c>
      <c r="Y223" s="81">
        <v>60590872.318724304</v>
      </c>
      <c r="Z223" s="81">
        <v>61019061.828900784</v>
      </c>
      <c r="AA223" s="81">
        <v>61355557.500750095</v>
      </c>
      <c r="AB223" s="81">
        <v>61658375.447241843</v>
      </c>
      <c r="AC223" s="81">
        <v>61929011.118501127</v>
      </c>
      <c r="AD223" s="81">
        <v>62169428.693875201</v>
      </c>
      <c r="AE223" s="81">
        <v>62382173.578901455</v>
      </c>
      <c r="AF223" s="81">
        <v>62570316.458114877</v>
      </c>
      <c r="AG223" s="81">
        <v>62737493.801054314</v>
      </c>
      <c r="AH223" s="81">
        <v>62887999.490016744</v>
      </c>
      <c r="AI223" s="81">
        <v>63026628.09040314</v>
      </c>
      <c r="AJ223" s="81">
        <v>63158891.060720183</v>
      </c>
      <c r="AK223" s="81">
        <v>63305443.4071775</v>
      </c>
      <c r="AL223" s="81">
        <v>63458439.096224397</v>
      </c>
      <c r="AM223" s="81">
        <v>63625330.080915414</v>
      </c>
      <c r="AN223" s="81">
        <v>63814210.745287158</v>
      </c>
      <c r="AO223" s="81">
        <v>64033991.798982978</v>
      </c>
      <c r="AP223" s="81">
        <v>64294264.189109869</v>
      </c>
      <c r="AQ223" s="81">
        <v>64605342.690585457</v>
      </c>
      <c r="AR223" s="81">
        <v>64978390.919151917</v>
      </c>
      <c r="AS223" s="81">
        <v>65425281.678792708</v>
      </c>
      <c r="AT223" s="81">
        <v>65958803.232864954</v>
      </c>
    </row>
    <row r="224" spans="1:46" ht="15.75">
      <c r="A224" s="81" t="s">
        <v>450</v>
      </c>
      <c r="B224" s="80">
        <v>450100</v>
      </c>
      <c r="C224" s="80" t="s">
        <v>422</v>
      </c>
      <c r="D224" s="84" t="s">
        <v>627</v>
      </c>
      <c r="E224" s="81">
        <v>204009489.64294189</v>
      </c>
      <c r="F224" s="81">
        <v>209379958.44321898</v>
      </c>
      <c r="G224" s="81">
        <v>213529022.7443631</v>
      </c>
      <c r="H224" s="81">
        <v>217650400.57058373</v>
      </c>
      <c r="I224" s="81">
        <v>221737704.81423342</v>
      </c>
      <c r="J224" s="81">
        <v>225784709.53307647</v>
      </c>
      <c r="K224" s="81">
        <v>229785372.5294196</v>
      </c>
      <c r="L224" s="81">
        <v>233733806.42650279</v>
      </c>
      <c r="M224" s="81">
        <v>237624482.39328659</v>
      </c>
      <c r="N224" s="81">
        <v>241451996.1832175</v>
      </c>
      <c r="O224" s="81">
        <v>245211326.06808183</v>
      </c>
      <c r="P224" s="81">
        <v>248897700.26741901</v>
      </c>
      <c r="Q224" s="81">
        <v>251439301.36716461</v>
      </c>
      <c r="R224" s="81">
        <v>253889830.38256323</v>
      </c>
      <c r="S224" s="81">
        <v>256247011.68948153</v>
      </c>
      <c r="T224" s="81">
        <v>258508840.63248861</v>
      </c>
      <c r="U224" s="81">
        <v>260673822.01998633</v>
      </c>
      <c r="V224" s="81">
        <v>262740962.109864</v>
      </c>
      <c r="W224" s="81">
        <v>264709615.2437211</v>
      </c>
      <c r="X224" s="81">
        <v>266579671.32019329</v>
      </c>
      <c r="Y224" s="81">
        <v>268351575.86667207</v>
      </c>
      <c r="Z224" s="81">
        <v>270026202.67071664</v>
      </c>
      <c r="AA224" s="81">
        <v>271351749.42977619</v>
      </c>
      <c r="AB224" s="81">
        <v>272583229.62915206</v>
      </c>
      <c r="AC224" s="81">
        <v>273723519.45849216</v>
      </c>
      <c r="AD224" s="81">
        <v>274776038.707524</v>
      </c>
      <c r="AE224" s="81">
        <v>275744796.86220413</v>
      </c>
      <c r="AF224" s="81">
        <v>276634440.58726889</v>
      </c>
      <c r="AG224" s="81">
        <v>277450240.66918916</v>
      </c>
      <c r="AH224" s="81">
        <v>278198140.23176807</v>
      </c>
      <c r="AI224" s="81">
        <v>278884647.42307508</v>
      </c>
      <c r="AJ224" s="81">
        <v>279517070.80495125</v>
      </c>
      <c r="AK224" s="81">
        <v>280168009.2849949</v>
      </c>
      <c r="AL224" s="81">
        <v>280781340.43823129</v>
      </c>
      <c r="AM224" s="81">
        <v>281366395.17489916</v>
      </c>
      <c r="AN224" s="81">
        <v>281933389.55499583</v>
      </c>
      <c r="AO224" s="81">
        <v>282493219.17894071</v>
      </c>
      <c r="AP224" s="81">
        <v>283057672.38000458</v>
      </c>
      <c r="AQ224" s="81">
        <v>283639253.9048416</v>
      </c>
      <c r="AR224" s="81">
        <v>284251401.08597654</v>
      </c>
      <c r="AS224" s="81">
        <v>284908372.36398876</v>
      </c>
      <c r="AT224" s="81">
        <v>285625299.66273123</v>
      </c>
    </row>
    <row r="225" spans="1:46" ht="15.75">
      <c r="A225" s="81" t="s">
        <v>450</v>
      </c>
      <c r="B225" s="80">
        <v>450200</v>
      </c>
      <c r="C225" s="80" t="s">
        <v>422</v>
      </c>
      <c r="D225" s="84" t="s">
        <v>626</v>
      </c>
      <c r="E225" s="81">
        <v>100694915.73090509</v>
      </c>
      <c r="F225" s="81">
        <v>103170858.40830211</v>
      </c>
      <c r="G225" s="81">
        <v>105043277.65473111</v>
      </c>
      <c r="H225" s="81">
        <v>106901440.31815787</v>
      </c>
      <c r="I225" s="81">
        <v>108742158.41244957</v>
      </c>
      <c r="J225" s="81">
        <v>110562390.96718661</v>
      </c>
      <c r="K225" s="81">
        <v>112359100.8883726</v>
      </c>
      <c r="L225" s="81">
        <v>114129395.08024016</v>
      </c>
      <c r="M225" s="81">
        <v>115870484.62301937</v>
      </c>
      <c r="N225" s="81">
        <v>117579668.54754801</v>
      </c>
      <c r="O225" s="81">
        <v>119254427.26594396</v>
      </c>
      <c r="P225" s="81">
        <v>120892324.72802992</v>
      </c>
      <c r="Q225" s="81">
        <v>121973293.1860923</v>
      </c>
      <c r="R225" s="81">
        <v>123009672.94064139</v>
      </c>
      <c r="S225" s="81">
        <v>124000174.06946838</v>
      </c>
      <c r="T225" s="81">
        <v>124943728.08423954</v>
      </c>
      <c r="U225" s="81">
        <v>125839379.6434205</v>
      </c>
      <c r="V225" s="81">
        <v>126686528.44555613</v>
      </c>
      <c r="W225" s="81">
        <v>127484644.67819609</v>
      </c>
      <c r="X225" s="81">
        <v>128233512.50139463</v>
      </c>
      <c r="Y225" s="81">
        <v>128933151.0778814</v>
      </c>
      <c r="Z225" s="81">
        <v>129583823.2168415</v>
      </c>
      <c r="AA225" s="81">
        <v>130064571.58213389</v>
      </c>
      <c r="AB225" s="81">
        <v>130497743.3062</v>
      </c>
      <c r="AC225" s="81">
        <v>130884510.59055534</v>
      </c>
      <c r="AD225" s="81">
        <v>131226348.87205084</v>
      </c>
      <c r="AE225" s="81">
        <v>131524887.58559772</v>
      </c>
      <c r="AF225" s="81">
        <v>131782200.73689924</v>
      </c>
      <c r="AG225" s="81">
        <v>132000595.78864303</v>
      </c>
      <c r="AH225" s="81">
        <v>132182652.00465201</v>
      </c>
      <c r="AI225" s="81">
        <v>132331292.66239007</v>
      </c>
      <c r="AJ225" s="81">
        <v>132449794.47072478</v>
      </c>
      <c r="AK225" s="81">
        <v>132572327.11634658</v>
      </c>
      <c r="AL225" s="81">
        <v>132672034.11806275</v>
      </c>
      <c r="AM225" s="81">
        <v>132753162.07258245</v>
      </c>
      <c r="AN225" s="81">
        <v>132820350.38431482</v>
      </c>
      <c r="AO225" s="81">
        <v>132878573.72758573</v>
      </c>
      <c r="AP225" s="81">
        <v>132933218.23883907</v>
      </c>
      <c r="AQ225" s="81">
        <v>132990023.22792412</v>
      </c>
      <c r="AR225" s="81">
        <v>133055158.44519711</v>
      </c>
      <c r="AS225" s="81">
        <v>133135165.03576639</v>
      </c>
      <c r="AT225" s="81">
        <v>133237103.93328397</v>
      </c>
    </row>
    <row r="226" spans="1:46" ht="15.75">
      <c r="A226" s="81" t="s">
        <v>450</v>
      </c>
      <c r="B226" s="80">
        <v>450300</v>
      </c>
      <c r="C226" s="80" t="s">
        <v>422</v>
      </c>
      <c r="D226" s="84" t="s">
        <v>625</v>
      </c>
      <c r="E226" s="81">
        <v>84564948.594497323</v>
      </c>
      <c r="F226" s="81">
        <v>86467324.233812571</v>
      </c>
      <c r="G226" s="81">
        <v>87864361.508148566</v>
      </c>
      <c r="H226" s="81">
        <v>89250882.067358553</v>
      </c>
      <c r="I226" s="81">
        <v>90624203.140080228</v>
      </c>
      <c r="J226" s="81">
        <v>91981721.426433742</v>
      </c>
      <c r="K226" s="81">
        <v>93320905.327169314</v>
      </c>
      <c r="L226" s="81">
        <v>94639266.904393107</v>
      </c>
      <c r="M226" s="81">
        <v>95934465.619630575</v>
      </c>
      <c r="N226" s="81">
        <v>97204244.337917522</v>
      </c>
      <c r="O226" s="81">
        <v>98446399.049103275</v>
      </c>
      <c r="P226" s="81">
        <v>99658945.364899471</v>
      </c>
      <c r="Q226" s="81">
        <v>100413670.5186961</v>
      </c>
      <c r="R226" s="81">
        <v>101133460.77540103</v>
      </c>
      <c r="S226" s="81">
        <v>101817205.40349782</v>
      </c>
      <c r="T226" s="81">
        <v>102463924.5880201</v>
      </c>
      <c r="U226" s="81">
        <v>103072858.29444057</v>
      </c>
      <c r="V226" s="81">
        <v>103643412.54393993</v>
      </c>
      <c r="W226" s="81">
        <v>104175229.48287171</v>
      </c>
      <c r="X226" s="81">
        <v>104668068.99200848</v>
      </c>
      <c r="Y226" s="81">
        <v>105121984.66540544</v>
      </c>
      <c r="Z226" s="81">
        <v>105537183.63373299</v>
      </c>
      <c r="AA226" s="81">
        <v>105815387.58480434</v>
      </c>
      <c r="AB226" s="81">
        <v>106056353.24860714</v>
      </c>
      <c r="AC226" s="81">
        <v>106261148.49273121</v>
      </c>
      <c r="AD226" s="81">
        <v>106431040.84301904</v>
      </c>
      <c r="AE226" s="81">
        <v>106567525.54705498</v>
      </c>
      <c r="AF226" s="81">
        <v>106672422.16367348</v>
      </c>
      <c r="AG226" s="81">
        <v>106747748.12769352</v>
      </c>
      <c r="AH226" s="81">
        <v>106795815.17369579</v>
      </c>
      <c r="AI226" s="81">
        <v>106819237.56209001</v>
      </c>
      <c r="AJ226" s="81">
        <v>106820870.98371011</v>
      </c>
      <c r="AK226" s="81">
        <v>106828566.3968056</v>
      </c>
      <c r="AL226" s="81">
        <v>106820966.08709048</v>
      </c>
      <c r="AM226" s="81">
        <v>106801850.02180491</v>
      </c>
      <c r="AN226" s="81">
        <v>106775296.12759539</v>
      </c>
      <c r="AO226" s="81">
        <v>106745783.40461347</v>
      </c>
      <c r="AP226" s="81">
        <v>106718033.93002796</v>
      </c>
      <c r="AQ226" s="81">
        <v>106697212.02079256</v>
      </c>
      <c r="AR226" s="81">
        <v>106688740.5062093</v>
      </c>
      <c r="AS226" s="81">
        <v>106698478.04365532</v>
      </c>
      <c r="AT226" s="81">
        <v>106732631.11615607</v>
      </c>
    </row>
    <row r="227" spans="1:46" ht="15.75">
      <c r="A227" s="81" t="s">
        <v>450</v>
      </c>
      <c r="B227" s="80">
        <v>450400</v>
      </c>
      <c r="C227" s="80" t="s">
        <v>422</v>
      </c>
      <c r="D227" s="84" t="s">
        <v>624</v>
      </c>
      <c r="E227" s="81">
        <v>76491297.761567056</v>
      </c>
      <c r="F227" s="81">
        <v>78393114.537923023</v>
      </c>
      <c r="G227" s="81">
        <v>79913193.791653454</v>
      </c>
      <c r="H227" s="81">
        <v>81492485.50778003</v>
      </c>
      <c r="I227" s="81">
        <v>83121958.774795011</v>
      </c>
      <c r="J227" s="81">
        <v>84792732.487876043</v>
      </c>
      <c r="K227" s="81">
        <v>86496025.668340161</v>
      </c>
      <c r="L227" s="81">
        <v>88223251.870774895</v>
      </c>
      <c r="M227" s="81">
        <v>89965996.93643114</v>
      </c>
      <c r="N227" s="81">
        <v>91716177.803630754</v>
      </c>
      <c r="O227" s="81">
        <v>93465961.307611033</v>
      </c>
      <c r="P227" s="81">
        <v>95207800.769408122</v>
      </c>
      <c r="Q227" s="81">
        <v>96524859.363748819</v>
      </c>
      <c r="R227" s="81">
        <v>97813525.895596236</v>
      </c>
      <c r="S227" s="81">
        <v>99068078.191685453</v>
      </c>
      <c r="T227" s="81">
        <v>100283350.77693798</v>
      </c>
      <c r="U227" s="81">
        <v>101454795.21819541</v>
      </c>
      <c r="V227" s="81">
        <v>102578509.17340012</v>
      </c>
      <c r="W227" s="81">
        <v>103651131.92467853</v>
      </c>
      <c r="X227" s="81">
        <v>104670172.36249927</v>
      </c>
      <c r="Y227" s="81">
        <v>105633671.72091107</v>
      </c>
      <c r="Z227" s="81">
        <v>106540500.07785237</v>
      </c>
      <c r="AA227" s="81">
        <v>107290168.94160406</v>
      </c>
      <c r="AB227" s="81">
        <v>107982792.27410801</v>
      </c>
      <c r="AC227" s="81">
        <v>108619767.65823579</v>
      </c>
      <c r="AD227" s="81">
        <v>109203401.06155755</v>
      </c>
      <c r="AE227" s="81">
        <v>109736865.24900968</v>
      </c>
      <c r="AF227" s="81">
        <v>110224226.98525919</v>
      </c>
      <c r="AG227" s="81">
        <v>110670510.43335819</v>
      </c>
      <c r="AH227" s="81">
        <v>111081689.9193992</v>
      </c>
      <c r="AI227" s="81">
        <v>111464790.76777245</v>
      </c>
      <c r="AJ227" s="81">
        <v>111827736.70099401</v>
      </c>
      <c r="AK227" s="81">
        <v>112205491.69560419</v>
      </c>
      <c r="AL227" s="81">
        <v>112582320.52542618</v>
      </c>
      <c r="AM227" s="81">
        <v>112969422.67419259</v>
      </c>
      <c r="AN227" s="81">
        <v>113379244.96491016</v>
      </c>
      <c r="AO227" s="81">
        <v>113825326.46581084</v>
      </c>
      <c r="AP227" s="81">
        <v>114322517.89406286</v>
      </c>
      <c r="AQ227" s="81">
        <v>114886824.54754014</v>
      </c>
      <c r="AR227" s="81">
        <v>115535590.14181669</v>
      </c>
      <c r="AS227" s="81">
        <v>116287414.38169193</v>
      </c>
      <c r="AT227" s="81">
        <v>117162340.72654471</v>
      </c>
    </row>
    <row r="228" spans="1:46" ht="15.75">
      <c r="A228" s="81" t="s">
        <v>450</v>
      </c>
      <c r="B228" s="80">
        <v>450500</v>
      </c>
      <c r="C228" s="80" t="s">
        <v>422</v>
      </c>
      <c r="D228" s="84" t="s">
        <v>623</v>
      </c>
      <c r="E228" s="81">
        <v>32893250.461467687</v>
      </c>
      <c r="F228" s="81">
        <v>33730062.084436893</v>
      </c>
      <c r="G228" s="81">
        <v>34384795.938847661</v>
      </c>
      <c r="H228" s="81">
        <v>35048602.413251832</v>
      </c>
      <c r="I228" s="81">
        <v>35719120.060325824</v>
      </c>
      <c r="J228" s="81">
        <v>36394011.67231074</v>
      </c>
      <c r="K228" s="81">
        <v>37070992.262219809</v>
      </c>
      <c r="L228" s="81">
        <v>37747838.998329647</v>
      </c>
      <c r="M228" s="81">
        <v>38422401.295030817</v>
      </c>
      <c r="N228" s="81">
        <v>39092570.647011809</v>
      </c>
      <c r="O228" s="81">
        <v>39756349.862875216</v>
      </c>
      <c r="P228" s="81">
        <v>40411823.447992146</v>
      </c>
      <c r="Q228" s="81">
        <v>40883626.038269058</v>
      </c>
      <c r="R228" s="81">
        <v>41341574.603164785</v>
      </c>
      <c r="S228" s="81">
        <v>41784303.77068273</v>
      </c>
      <c r="T228" s="81">
        <v>42210649.552059159</v>
      </c>
      <c r="U228" s="81">
        <v>42619572.216826625</v>
      </c>
      <c r="V228" s="81">
        <v>43010205.599980712</v>
      </c>
      <c r="W228" s="81">
        <v>43381842.802206688</v>
      </c>
      <c r="X228" s="81">
        <v>43733987.208102129</v>
      </c>
      <c r="Y228" s="81">
        <v>44066316.612211548</v>
      </c>
      <c r="Z228" s="81">
        <v>44378667.781513862</v>
      </c>
      <c r="AA228" s="81">
        <v>44629495.620399848</v>
      </c>
      <c r="AB228" s="81">
        <v>44860652.146816149</v>
      </c>
      <c r="AC228" s="81">
        <v>45072640.189076729</v>
      </c>
      <c r="AD228" s="81">
        <v>45266307.686233029</v>
      </c>
      <c r="AE228" s="81">
        <v>45442603.457679838</v>
      </c>
      <c r="AF228" s="81">
        <v>45602813.609139845</v>
      </c>
      <c r="AG228" s="81">
        <v>45748430.881489784</v>
      </c>
      <c r="AH228" s="81">
        <v>45881160.557966843</v>
      </c>
      <c r="AI228" s="81">
        <v>46003045.683047548</v>
      </c>
      <c r="AJ228" s="81">
        <v>46116332.999273837</v>
      </c>
      <c r="AK228" s="81">
        <v>46234221.006413236</v>
      </c>
      <c r="AL228" s="81">
        <v>46348858.087422147</v>
      </c>
      <c r="AM228" s="81">
        <v>46463310.465777449</v>
      </c>
      <c r="AN228" s="81">
        <v>46581049.836075068</v>
      </c>
      <c r="AO228" s="81">
        <v>46705716.540468797</v>
      </c>
      <c r="AP228" s="81">
        <v>46841398.006949373</v>
      </c>
      <c r="AQ228" s="81">
        <v>46992414.742322862</v>
      </c>
      <c r="AR228" s="81">
        <v>47163452.196486585</v>
      </c>
      <c r="AS228" s="81">
        <v>47359544.647258252</v>
      </c>
      <c r="AT228" s="81">
        <v>47586032.455880173</v>
      </c>
    </row>
    <row r="229" spans="1:46" ht="15.75">
      <c r="A229" s="81" t="s">
        <v>450</v>
      </c>
      <c r="B229" s="80">
        <v>450600</v>
      </c>
      <c r="C229" s="80" t="s">
        <v>422</v>
      </c>
      <c r="D229" s="84" t="s">
        <v>622</v>
      </c>
      <c r="E229" s="81">
        <v>20393067.714104857</v>
      </c>
      <c r="F229" s="81">
        <v>20884227.473977268</v>
      </c>
      <c r="G229" s="81">
        <v>21267752.849541597</v>
      </c>
      <c r="H229" s="81">
        <v>21661937.703939382</v>
      </c>
      <c r="I229" s="81">
        <v>22065091.152948618</v>
      </c>
      <c r="J229" s="81">
        <v>22475546.96427349</v>
      </c>
      <c r="K229" s="81">
        <v>22891649.27990973</v>
      </c>
      <c r="L229" s="81">
        <v>23311736.793265466</v>
      </c>
      <c r="M229" s="81">
        <v>23734212.894344021</v>
      </c>
      <c r="N229" s="81">
        <v>24157532.259098668</v>
      </c>
      <c r="O229" s="81">
        <v>24580163.445188813</v>
      </c>
      <c r="P229" s="81">
        <v>25000639.126814827</v>
      </c>
      <c r="Q229" s="81">
        <v>25310092.641891155</v>
      </c>
      <c r="R229" s="81">
        <v>25613188.49489912</v>
      </c>
      <c r="S229" s="81">
        <v>25908790.032379609</v>
      </c>
      <c r="T229" s="81">
        <v>26195822.820949066</v>
      </c>
      <c r="U229" s="81">
        <v>26473325.458158392</v>
      </c>
      <c r="V229" s="81">
        <v>26740478.845439263</v>
      </c>
      <c r="W229" s="81">
        <v>26996492.419165678</v>
      </c>
      <c r="X229" s="81">
        <v>27240775.514668521</v>
      </c>
      <c r="Y229" s="81">
        <v>27472823.713922925</v>
      </c>
      <c r="Z229" s="81">
        <v>27692222.601599362</v>
      </c>
      <c r="AA229" s="81">
        <v>27872707.759611093</v>
      </c>
      <c r="AB229" s="81">
        <v>28040097.111110065</v>
      </c>
      <c r="AC229" s="81">
        <v>28194462.493960273</v>
      </c>
      <c r="AD229" s="81">
        <v>28335984.649127539</v>
      </c>
      <c r="AE229" s="81">
        <v>28465033.145393863</v>
      </c>
      <c r="AF229" s="81">
        <v>28582121.23753963</v>
      </c>
      <c r="AG229" s="81">
        <v>28687910.336548273</v>
      </c>
      <c r="AH229" s="81">
        <v>28783266.49861804</v>
      </c>
      <c r="AI229" s="81">
        <v>28869135.913328204</v>
      </c>
      <c r="AJ229" s="81">
        <v>28946757.587659601</v>
      </c>
      <c r="AK229" s="81">
        <v>29024158.662161756</v>
      </c>
      <c r="AL229" s="81">
        <v>29096180.196735814</v>
      </c>
      <c r="AM229" s="81">
        <v>29164551.86199585</v>
      </c>
      <c r="AN229" s="81">
        <v>29231187.92037316</v>
      </c>
      <c r="AO229" s="81">
        <v>29298192.2426636</v>
      </c>
      <c r="AP229" s="81">
        <v>29367973.110525925</v>
      </c>
      <c r="AQ229" s="81">
        <v>29443003.447464123</v>
      </c>
      <c r="AR229" s="81">
        <v>29526099.412828892</v>
      </c>
      <c r="AS229" s="81">
        <v>29620234.310432825</v>
      </c>
      <c r="AT229" s="81">
        <v>29728626.528074734</v>
      </c>
    </row>
    <row r="230" spans="1:46" ht="15.75">
      <c r="A230" s="81" t="s">
        <v>450</v>
      </c>
      <c r="B230" s="80">
        <v>450700</v>
      </c>
      <c r="C230" s="80" t="s">
        <v>422</v>
      </c>
      <c r="D230" s="84" t="s">
        <v>621</v>
      </c>
      <c r="E230" s="81">
        <v>32482706.265294868</v>
      </c>
      <c r="F230" s="81">
        <v>33181155.118272848</v>
      </c>
      <c r="G230" s="81">
        <v>33741195.180430204</v>
      </c>
      <c r="H230" s="81">
        <v>34348478.132427521</v>
      </c>
      <c r="I230" s="81">
        <v>34997573.802783534</v>
      </c>
      <c r="J230" s="81">
        <v>35683104.694737673</v>
      </c>
      <c r="K230" s="81">
        <v>36399714.968532085</v>
      </c>
      <c r="L230" s="81">
        <v>37142166.120713733</v>
      </c>
      <c r="M230" s="81">
        <v>37905295.670955956</v>
      </c>
      <c r="N230" s="81">
        <v>38684082.737310596</v>
      </c>
      <c r="O230" s="81">
        <v>39473649.555775359</v>
      </c>
      <c r="P230" s="81">
        <v>40269295.98724018</v>
      </c>
      <c r="Q230" s="81">
        <v>40892910.698633365</v>
      </c>
      <c r="R230" s="81">
        <v>41510387.515414715</v>
      </c>
      <c r="S230" s="81">
        <v>42117883.160951376</v>
      </c>
      <c r="T230" s="81">
        <v>42711826.671839871</v>
      </c>
      <c r="U230" s="81">
        <v>43289053.057833776</v>
      </c>
      <c r="V230" s="81">
        <v>43846702.766839467</v>
      </c>
      <c r="W230" s="81">
        <v>44382321.341309309</v>
      </c>
      <c r="X230" s="81">
        <v>44893841.32256075</v>
      </c>
      <c r="Y230" s="81">
        <v>45379587.219305724</v>
      </c>
      <c r="Z230" s="81">
        <v>45838354.426128559</v>
      </c>
      <c r="AA230" s="81">
        <v>46226190.835130118</v>
      </c>
      <c r="AB230" s="81">
        <v>46585615.735321857</v>
      </c>
      <c r="AC230" s="81">
        <v>46916855.879267864</v>
      </c>
      <c r="AD230" s="81">
        <v>47220678.930994876</v>
      </c>
      <c r="AE230" s="81">
        <v>47498321.667973347</v>
      </c>
      <c r="AF230" s="81">
        <v>47751569.578200139</v>
      </c>
      <c r="AG230" s="81">
        <v>47982761.263524711</v>
      </c>
      <c r="AH230" s="81">
        <v>48194805.567578919</v>
      </c>
      <c r="AI230" s="81">
        <v>48391159.366159804</v>
      </c>
      <c r="AJ230" s="81">
        <v>48575923.237872064</v>
      </c>
      <c r="AK230" s="81">
        <v>48765021.319735087</v>
      </c>
      <c r="AL230" s="81">
        <v>48952541.098148324</v>
      </c>
      <c r="AM230" s="81">
        <v>49144465.312228836</v>
      </c>
      <c r="AN230" s="81">
        <v>49347444.508973844</v>
      </c>
      <c r="AO230" s="81">
        <v>49568815.543944508</v>
      </c>
      <c r="AP230" s="81">
        <v>49816661.678017281</v>
      </c>
      <c r="AQ230" s="81">
        <v>50099763.312923983</v>
      </c>
      <c r="AR230" s="81">
        <v>50427672.060606368</v>
      </c>
      <c r="AS230" s="81">
        <v>50810688.606169112</v>
      </c>
      <c r="AT230" s="81">
        <v>51259909.971375816</v>
      </c>
    </row>
    <row r="231" spans="1:46" ht="15.75">
      <c r="A231" s="81" t="s">
        <v>450</v>
      </c>
      <c r="B231" s="80">
        <v>450800</v>
      </c>
      <c r="C231" s="80" t="s">
        <v>422</v>
      </c>
      <c r="D231" s="84" t="s">
        <v>620</v>
      </c>
      <c r="E231" s="81">
        <v>58986518.685865439</v>
      </c>
      <c r="F231" s="81">
        <v>60382129.317387909</v>
      </c>
      <c r="G231" s="81">
        <v>61503237.788310543</v>
      </c>
      <c r="H231" s="81">
        <v>62688334.892643102</v>
      </c>
      <c r="I231" s="81">
        <v>63928995.204599239</v>
      </c>
      <c r="J231" s="81">
        <v>65216816.361362159</v>
      </c>
      <c r="K231" s="81">
        <v>66543538.946580127</v>
      </c>
      <c r="L231" s="81">
        <v>67901067.874015927</v>
      </c>
      <c r="M231" s="81">
        <v>69281477.855099753</v>
      </c>
      <c r="N231" s="81">
        <v>70677048.155456677</v>
      </c>
      <c r="O231" s="81">
        <v>72080345.081348687</v>
      </c>
      <c r="P231" s="81">
        <v>73484213.017300576</v>
      </c>
      <c r="Q231" s="81">
        <v>74565309.483012766</v>
      </c>
      <c r="R231" s="81">
        <v>75628058.228760406</v>
      </c>
      <c r="S231" s="81">
        <v>76666803.086059898</v>
      </c>
      <c r="T231" s="81">
        <v>77676444.783774078</v>
      </c>
      <c r="U231" s="81">
        <v>78652418.747019514</v>
      </c>
      <c r="V231" s="81">
        <v>79590754.401162788</v>
      </c>
      <c r="W231" s="81">
        <v>80488068.99325566</v>
      </c>
      <c r="X231" s="81">
        <v>81341645.028091952</v>
      </c>
      <c r="Y231" s="81">
        <v>82149390.626331136</v>
      </c>
      <c r="Z231" s="81">
        <v>82909952.214237496</v>
      </c>
      <c r="AA231" s="81">
        <v>83544636.879485622</v>
      </c>
      <c r="AB231" s="81">
        <v>84131067.018515781</v>
      </c>
      <c r="AC231" s="81">
        <v>84670223.521799743</v>
      </c>
      <c r="AD231" s="81">
        <v>85163915.402333558</v>
      </c>
      <c r="AE231" s="81">
        <v>85614753.221066296</v>
      </c>
      <c r="AF231" s="81">
        <v>86026174.504743695</v>
      </c>
      <c r="AG231" s="81">
        <v>86402523.67745702</v>
      </c>
      <c r="AH231" s="81">
        <v>86749043.378056988</v>
      </c>
      <c r="AI231" s="81">
        <v>87071901.243292645</v>
      </c>
      <c r="AJ231" s="81">
        <v>87378198.489683375</v>
      </c>
      <c r="AK231" s="81">
        <v>87696272.888374418</v>
      </c>
      <c r="AL231" s="81">
        <v>88015012.054224715</v>
      </c>
      <c r="AM231" s="81">
        <v>88344545.102127314</v>
      </c>
      <c r="AN231" s="81">
        <v>88696149.359835416</v>
      </c>
      <c r="AO231" s="81">
        <v>89082110.466417417</v>
      </c>
      <c r="AP231" s="81">
        <v>89515941.048008829</v>
      </c>
      <c r="AQ231" s="81">
        <v>90012259.043221682</v>
      </c>
      <c r="AR231" s="81">
        <v>90586893.895387545</v>
      </c>
      <c r="AS231" s="81">
        <v>91256917.67178984</v>
      </c>
      <c r="AT231" s="81">
        <v>92040656.714768127</v>
      </c>
    </row>
    <row r="232" spans="1:46" ht="15.75">
      <c r="A232" s="81" t="s">
        <v>450</v>
      </c>
      <c r="B232" s="80">
        <v>450900</v>
      </c>
      <c r="C232" s="80" t="s">
        <v>422</v>
      </c>
      <c r="D232" s="84" t="s">
        <v>619</v>
      </c>
      <c r="E232" s="81">
        <v>122894537.47952576</v>
      </c>
      <c r="F232" s="81">
        <v>125698264.52132273</v>
      </c>
      <c r="G232" s="81">
        <v>127939709.55593693</v>
      </c>
      <c r="H232" s="81">
        <v>130324287.51063482</v>
      </c>
      <c r="I232" s="81">
        <v>132834500.89327934</v>
      </c>
      <c r="J232" s="81">
        <v>135452858.17728388</v>
      </c>
      <c r="K232" s="81">
        <v>138162212.87569651</v>
      </c>
      <c r="L232" s="81">
        <v>140945585.50831598</v>
      </c>
      <c r="M232" s="81">
        <v>143786394.79605168</v>
      </c>
      <c r="N232" s="81">
        <v>146668485.98442477</v>
      </c>
      <c r="O232" s="81">
        <v>149576156.71279413</v>
      </c>
      <c r="P232" s="81">
        <v>152494353.15832749</v>
      </c>
      <c r="Q232" s="81">
        <v>154751614.51318756</v>
      </c>
      <c r="R232" s="81">
        <v>156979219.64588732</v>
      </c>
      <c r="S232" s="81">
        <v>159164948.88050261</v>
      </c>
      <c r="T232" s="81">
        <v>161297669.05606848</v>
      </c>
      <c r="U232" s="81">
        <v>163367311.41732174</v>
      </c>
      <c r="V232" s="81">
        <v>165365001.89513573</v>
      </c>
      <c r="W232" s="81">
        <v>167283091.27504283</v>
      </c>
      <c r="X232" s="81">
        <v>169115237.41736966</v>
      </c>
      <c r="Y232" s="81">
        <v>170856330.20967078</v>
      </c>
      <c r="Z232" s="81">
        <v>172502731.73997742</v>
      </c>
      <c r="AA232" s="81">
        <v>173889936.0629009</v>
      </c>
      <c r="AB232" s="81">
        <v>175178431.03006101</v>
      </c>
      <c r="AC232" s="81">
        <v>176369340.1817154</v>
      </c>
      <c r="AD232" s="81">
        <v>177465455.41248414</v>
      </c>
      <c r="AE232" s="81">
        <v>178471125.89434037</v>
      </c>
      <c r="AF232" s="81">
        <v>179392530.69643348</v>
      </c>
      <c r="AG232" s="81">
        <v>180237540.34648368</v>
      </c>
      <c r="AH232" s="81">
        <v>181015881.52379265</v>
      </c>
      <c r="AI232" s="81">
        <v>181739136.29565182</v>
      </c>
      <c r="AJ232" s="81">
        <v>182420854.03125161</v>
      </c>
      <c r="AK232" s="81">
        <v>183118783.53638428</v>
      </c>
      <c r="AL232" s="81">
        <v>183808275.94823259</v>
      </c>
      <c r="AM232" s="81">
        <v>184508957.00819975</v>
      </c>
      <c r="AN232" s="81">
        <v>185242754.8505238</v>
      </c>
      <c r="AO232" s="81">
        <v>186033698.07843348</v>
      </c>
      <c r="AP232" s="81">
        <v>186908210.186286</v>
      </c>
      <c r="AQ232" s="81">
        <v>187895084.15373665</v>
      </c>
      <c r="AR232" s="81">
        <v>189025453.99867705</v>
      </c>
      <c r="AS232" s="81">
        <v>190333036.87896124</v>
      </c>
      <c r="AT232" s="81">
        <v>191854015.75715628</v>
      </c>
    </row>
    <row r="233" spans="1:46" ht="15.75">
      <c r="A233" s="81" t="s">
        <v>450</v>
      </c>
      <c r="B233" s="80">
        <v>451000</v>
      </c>
      <c r="C233" s="80" t="s">
        <v>422</v>
      </c>
      <c r="D233" s="84" t="s">
        <v>618</v>
      </c>
      <c r="E233" s="81">
        <v>52543720.399118401</v>
      </c>
      <c r="F233" s="81">
        <v>53720447.699225947</v>
      </c>
      <c r="G233" s="81">
        <v>54620136.171149142</v>
      </c>
      <c r="H233" s="81">
        <v>55547481.357890338</v>
      </c>
      <c r="I233" s="81">
        <v>56498021.90853209</v>
      </c>
      <c r="J233" s="81">
        <v>57467390.281899936</v>
      </c>
      <c r="K233" s="81">
        <v>58451204.811923407</v>
      </c>
      <c r="L233" s="81">
        <v>59445212.562202975</v>
      </c>
      <c r="M233" s="81">
        <v>60445211.6097477</v>
      </c>
      <c r="N233" s="81">
        <v>61447116.374537863</v>
      </c>
      <c r="O233" s="81">
        <v>62446959.356791712</v>
      </c>
      <c r="P233" s="81">
        <v>63440943.254010923</v>
      </c>
      <c r="Q233" s="81">
        <v>64153062.27706749</v>
      </c>
      <c r="R233" s="81">
        <v>64849111.256840654</v>
      </c>
      <c r="S233" s="81">
        <v>65526137.009933233</v>
      </c>
      <c r="T233" s="81">
        <v>66181368.497647047</v>
      </c>
      <c r="U233" s="81">
        <v>66812351.519604579</v>
      </c>
      <c r="V233" s="81">
        <v>67416927.790586397</v>
      </c>
      <c r="W233" s="81">
        <v>67993194.363624051</v>
      </c>
      <c r="X233" s="81">
        <v>68539570.16389437</v>
      </c>
      <c r="Y233" s="81">
        <v>69054846.8529782</v>
      </c>
      <c r="Z233" s="81">
        <v>69538056.140344858</v>
      </c>
      <c r="AA233" s="81">
        <v>69923414.277806848</v>
      </c>
      <c r="AB233" s="81">
        <v>70275848.506142423</v>
      </c>
      <c r="AC233" s="81">
        <v>70595634.940779135</v>
      </c>
      <c r="AD233" s="81">
        <v>70883433.550045341</v>
      </c>
      <c r="AE233" s="81">
        <v>71140339.056612328</v>
      </c>
      <c r="AF233" s="81">
        <v>71367817.61315015</v>
      </c>
      <c r="AG233" s="81">
        <v>71567796.072965324</v>
      </c>
      <c r="AH233" s="81">
        <v>71742637.034852207</v>
      </c>
      <c r="AI233" s="81">
        <v>71895151.870397672</v>
      </c>
      <c r="AJ233" s="81">
        <v>72028613.874659792</v>
      </c>
      <c r="AK233" s="81">
        <v>72163445.886164561</v>
      </c>
      <c r="AL233" s="81">
        <v>72287209.630999327</v>
      </c>
      <c r="AM233" s="81">
        <v>72404641.826561972</v>
      </c>
      <c r="AN233" s="81">
        <v>72521060.987402782</v>
      </c>
      <c r="AO233" s="81">
        <v>72642301.672578126</v>
      </c>
      <c r="AP233" s="81">
        <v>72774748.896567285</v>
      </c>
      <c r="AQ233" s="81">
        <v>72925373.502289116</v>
      </c>
      <c r="AR233" s="81">
        <v>73101726.607883483</v>
      </c>
      <c r="AS233" s="81">
        <v>73311996.618237719</v>
      </c>
      <c r="AT233" s="81">
        <v>73564898.216391444</v>
      </c>
    </row>
    <row r="234" spans="1:46" ht="15.75">
      <c r="A234" s="81" t="s">
        <v>450</v>
      </c>
      <c r="B234" s="80">
        <v>451100</v>
      </c>
      <c r="C234" s="80" t="s">
        <v>422</v>
      </c>
      <c r="D234" s="84" t="s">
        <v>617</v>
      </c>
      <c r="E234" s="81">
        <v>18116361.850116737</v>
      </c>
      <c r="F234" s="81">
        <v>18562555.575173177</v>
      </c>
      <c r="G234" s="81">
        <v>18914134.29484085</v>
      </c>
      <c r="H234" s="81">
        <v>19275977.956434686</v>
      </c>
      <c r="I234" s="81">
        <v>19646349.241100397</v>
      </c>
      <c r="J234" s="81">
        <v>20023572.86235581</v>
      </c>
      <c r="K234" s="81">
        <v>20405985.907925013</v>
      </c>
      <c r="L234" s="81">
        <v>20791943.754889246</v>
      </c>
      <c r="M234" s="81">
        <v>21179856.48511393</v>
      </c>
      <c r="N234" s="81">
        <v>21568196.93346823</v>
      </c>
      <c r="O234" s="81">
        <v>21955456.892017137</v>
      </c>
      <c r="P234" s="81">
        <v>22340236.335986916</v>
      </c>
      <c r="Q234" s="81">
        <v>22625118.84093092</v>
      </c>
      <c r="R234" s="81">
        <v>22903526.367594481</v>
      </c>
      <c r="S234" s="81">
        <v>23174391.065114547</v>
      </c>
      <c r="T234" s="81">
        <v>23436746.06938377</v>
      </c>
      <c r="U234" s="81">
        <v>23689741.435993131</v>
      </c>
      <c r="V234" s="81">
        <v>23932627.523505457</v>
      </c>
      <c r="W234" s="81">
        <v>24164815.314209744</v>
      </c>
      <c r="X234" s="81">
        <v>24385804.785211392</v>
      </c>
      <c r="Y234" s="81">
        <v>24595256.661527764</v>
      </c>
      <c r="Z234" s="81">
        <v>24792953.429575332</v>
      </c>
      <c r="AA234" s="81">
        <v>24955555.020776231</v>
      </c>
      <c r="AB234" s="81">
        <v>25106326.719047651</v>
      </c>
      <c r="AC234" s="81">
        <v>25245550.746949553</v>
      </c>
      <c r="AD234" s="81">
        <v>25373674.513424214</v>
      </c>
      <c r="AE234" s="81">
        <v>25491292.32293462</v>
      </c>
      <c r="AF234" s="81">
        <v>25599185.546927534</v>
      </c>
      <c r="AG234" s="81">
        <v>25698304.512092743</v>
      </c>
      <c r="AH234" s="81">
        <v>25789761.513949767</v>
      </c>
      <c r="AI234" s="81">
        <v>25874896.084341135</v>
      </c>
      <c r="AJ234" s="81">
        <v>25955220.77152513</v>
      </c>
      <c r="AK234" s="81">
        <v>26038422.981200229</v>
      </c>
      <c r="AL234" s="81">
        <v>26120435.255205821</v>
      </c>
      <c r="AM234" s="81">
        <v>26203344.90940585</v>
      </c>
      <c r="AN234" s="81">
        <v>26289509.655762404</v>
      </c>
      <c r="AO234" s="81">
        <v>26381464.371665169</v>
      </c>
      <c r="AP234" s="81">
        <v>26482014.406451229</v>
      </c>
      <c r="AQ234" s="81">
        <v>26594179.045336161</v>
      </c>
      <c r="AR234" s="81">
        <v>26721196.841873467</v>
      </c>
      <c r="AS234" s="81">
        <v>26866595.810137484</v>
      </c>
      <c r="AT234" s="81">
        <v>27034109.67210719</v>
      </c>
    </row>
    <row r="235" spans="1:46" ht="15.75">
      <c r="A235" s="81" t="s">
        <v>450</v>
      </c>
      <c r="B235" s="80">
        <v>451200</v>
      </c>
      <c r="C235" s="80" t="s">
        <v>422</v>
      </c>
      <c r="D235" s="84" t="s">
        <v>616</v>
      </c>
      <c r="E235" s="81">
        <v>48298465.663496554</v>
      </c>
      <c r="F235" s="81">
        <v>49317899.606205247</v>
      </c>
      <c r="G235" s="81">
        <v>50093657.679447763</v>
      </c>
      <c r="H235" s="81">
        <v>50904954.824686743</v>
      </c>
      <c r="I235" s="81">
        <v>51746845.478766643</v>
      </c>
      <c r="J235" s="81">
        <v>52614436.215697557</v>
      </c>
      <c r="K235" s="81">
        <v>53502890.453627355</v>
      </c>
      <c r="L235" s="81">
        <v>54407432.292908438</v>
      </c>
      <c r="M235" s="81">
        <v>55323396.917783678</v>
      </c>
      <c r="N235" s="81">
        <v>56246203.626950964</v>
      </c>
      <c r="O235" s="81">
        <v>57171455.32015501</v>
      </c>
      <c r="P235" s="81">
        <v>58094863.703607529</v>
      </c>
      <c r="Q235" s="81">
        <v>58762886.205934368</v>
      </c>
      <c r="R235" s="81">
        <v>59418165.786680825</v>
      </c>
      <c r="S235" s="81">
        <v>60057244.213546298</v>
      </c>
      <c r="T235" s="81">
        <v>60677019.792737551</v>
      </c>
      <c r="U235" s="81">
        <v>61274628.026310772</v>
      </c>
      <c r="V235" s="81">
        <v>61847591.722207546</v>
      </c>
      <c r="W235" s="81">
        <v>62393717.207745284</v>
      </c>
      <c r="X235" s="81">
        <v>62911160.095081285</v>
      </c>
      <c r="Y235" s="81">
        <v>63398476.037651747</v>
      </c>
      <c r="Z235" s="81">
        <v>63854566.586898856</v>
      </c>
      <c r="AA235" s="81">
        <v>64218801.332602248</v>
      </c>
      <c r="AB235" s="81">
        <v>64550714.885570578</v>
      </c>
      <c r="AC235" s="81">
        <v>64850519.024007976</v>
      </c>
      <c r="AD235" s="81">
        <v>65118920.630878814</v>
      </c>
      <c r="AE235" s="81">
        <v>65357027.605710514</v>
      </c>
      <c r="AF235" s="81">
        <v>65566472.834606372</v>
      </c>
      <c r="AG235" s="81">
        <v>65749318.902580291</v>
      </c>
      <c r="AH235" s="81">
        <v>65908146.275922835</v>
      </c>
      <c r="AI235" s="81">
        <v>66046068.996999852</v>
      </c>
      <c r="AJ235" s="81">
        <v>66166712.458897807</v>
      </c>
      <c r="AK235" s="81">
        <v>66289546.046351768</v>
      </c>
      <c r="AL235" s="81">
        <v>66403946.115599953</v>
      </c>
      <c r="AM235" s="81">
        <v>66515218.877486028</v>
      </c>
      <c r="AN235" s="81">
        <v>66629248.560627155</v>
      </c>
      <c r="AO235" s="81">
        <v>66752572.364385128</v>
      </c>
      <c r="AP235" s="81">
        <v>66892319.160073414</v>
      </c>
      <c r="AQ235" s="81">
        <v>67056284.883012421</v>
      </c>
      <c r="AR235" s="81">
        <v>67252930.095163375</v>
      </c>
      <c r="AS235" s="81">
        <v>67491376.899406835</v>
      </c>
      <c r="AT235" s="81">
        <v>67781445.929063469</v>
      </c>
    </row>
    <row r="236" spans="1:46" ht="15.75">
      <c r="A236" s="81" t="s">
        <v>450</v>
      </c>
      <c r="B236" s="80">
        <v>451300</v>
      </c>
      <c r="C236" s="80" t="s">
        <v>422</v>
      </c>
      <c r="D236" s="84" t="s">
        <v>615</v>
      </c>
      <c r="E236" s="81">
        <v>30109230.216458131</v>
      </c>
      <c r="F236" s="81">
        <v>30793407.398175165</v>
      </c>
      <c r="G236" s="81">
        <v>31318250.690269835</v>
      </c>
      <c r="H236" s="81">
        <v>31858382.341769788</v>
      </c>
      <c r="I236" s="81">
        <v>32411318.730578974</v>
      </c>
      <c r="J236" s="81">
        <v>32974551.304696672</v>
      </c>
      <c r="K236" s="81">
        <v>33545632.279892612</v>
      </c>
      <c r="L236" s="81">
        <v>34122138.103268206</v>
      </c>
      <c r="M236" s="81">
        <v>34701710.738352366</v>
      </c>
      <c r="N236" s="81">
        <v>35282068.624839142</v>
      </c>
      <c r="O236" s="81">
        <v>35860967.746708639</v>
      </c>
      <c r="P236" s="81">
        <v>36436260.480542555</v>
      </c>
      <c r="Q236" s="81">
        <v>36849471.14843946</v>
      </c>
      <c r="R236" s="81">
        <v>37253295.335822433</v>
      </c>
      <c r="S236" s="81">
        <v>37646057.446334213</v>
      </c>
      <c r="T236" s="81">
        <v>38026261.801895589</v>
      </c>
      <c r="U236" s="81">
        <v>38392530.963708647</v>
      </c>
      <c r="V236" s="81">
        <v>38743647.176410325</v>
      </c>
      <c r="W236" s="81">
        <v>39078595.577632397</v>
      </c>
      <c r="X236" s="81">
        <v>39396537.131971166</v>
      </c>
      <c r="Y236" s="81">
        <v>39696761.802334502</v>
      </c>
      <c r="Z236" s="81">
        <v>39978822.245977499</v>
      </c>
      <c r="AA236" s="81">
        <v>40204903.905776091</v>
      </c>
      <c r="AB236" s="81">
        <v>40412371.462486282</v>
      </c>
      <c r="AC236" s="81">
        <v>40601450.576394692</v>
      </c>
      <c r="AD236" s="81">
        <v>40772550.386393793</v>
      </c>
      <c r="AE236" s="81">
        <v>40926326.209462196</v>
      </c>
      <c r="AF236" s="81">
        <v>41063668.350773841</v>
      </c>
      <c r="AG236" s="81">
        <v>41185728.603726245</v>
      </c>
      <c r="AH236" s="81">
        <v>41293870.308567345</v>
      </c>
      <c r="AI236" s="81">
        <v>41389771.765615612</v>
      </c>
      <c r="AJ236" s="81">
        <v>41475318.212670788</v>
      </c>
      <c r="AK236" s="81">
        <v>41562317.770962156</v>
      </c>
      <c r="AL236" s="81">
        <v>41643604.869984448</v>
      </c>
      <c r="AM236" s="81">
        <v>41721942.762039691</v>
      </c>
      <c r="AN236" s="81">
        <v>41800393.476149276</v>
      </c>
      <c r="AO236" s="81">
        <v>41882325.993302636</v>
      </c>
      <c r="AP236" s="81">
        <v>41971444.894643277</v>
      </c>
      <c r="AQ236" s="81">
        <v>42071778.840718627</v>
      </c>
      <c r="AR236" s="81">
        <v>42187626.95759961</v>
      </c>
      <c r="AS236" s="81">
        <v>42323731.734822705</v>
      </c>
      <c r="AT236" s="81">
        <v>42485123.437079132</v>
      </c>
    </row>
    <row r="237" spans="1:46" ht="15.75">
      <c r="A237" s="81" t="s">
        <v>450</v>
      </c>
      <c r="B237" s="80">
        <v>451400</v>
      </c>
      <c r="C237" s="80" t="s">
        <v>422</v>
      </c>
      <c r="D237" s="84" t="s">
        <v>614</v>
      </c>
      <c r="E237" s="81">
        <v>29841134.708175845</v>
      </c>
      <c r="F237" s="81">
        <v>30466764.563310642</v>
      </c>
      <c r="G237" s="81">
        <v>30929798.147684794</v>
      </c>
      <c r="H237" s="81">
        <v>31403726.839402579</v>
      </c>
      <c r="I237" s="81">
        <v>31886479.541399572</v>
      </c>
      <c r="J237" s="81">
        <v>32375969.918383263</v>
      </c>
      <c r="K237" s="81">
        <v>32870195.488606744</v>
      </c>
      <c r="L237" s="81">
        <v>33367138.859658908</v>
      </c>
      <c r="M237" s="81">
        <v>33864820.5168918</v>
      </c>
      <c r="N237" s="81">
        <v>34361355.366427027</v>
      </c>
      <c r="O237" s="81">
        <v>34854865.503254592</v>
      </c>
      <c r="P237" s="81">
        <v>35343568.386621818</v>
      </c>
      <c r="Q237" s="81">
        <v>35674289.882457301</v>
      </c>
      <c r="R237" s="81">
        <v>35995705.425486036</v>
      </c>
      <c r="S237" s="81">
        <v>36306443.621176317</v>
      </c>
      <c r="T237" s="81">
        <v>36605215.415112093</v>
      </c>
      <c r="U237" s="81">
        <v>36890870.441753373</v>
      </c>
      <c r="V237" s="81">
        <v>37162403.637263454</v>
      </c>
      <c r="W237" s="81">
        <v>37418909.23490385</v>
      </c>
      <c r="X237" s="81">
        <v>37659691.669062138</v>
      </c>
      <c r="Y237" s="81">
        <v>37884131.749590151</v>
      </c>
      <c r="Z237" s="81">
        <v>38091815.967148453</v>
      </c>
      <c r="AA237" s="81">
        <v>38246752.204791509</v>
      </c>
      <c r="AB237" s="81">
        <v>38384581.881745048</v>
      </c>
      <c r="AC237" s="81">
        <v>38505398.983411752</v>
      </c>
      <c r="AD237" s="81">
        <v>38609529.021812923</v>
      </c>
      <c r="AE237" s="81">
        <v>38697443.631734766</v>
      </c>
      <c r="AF237" s="81">
        <v>38769821.335345216</v>
      </c>
      <c r="AG237" s="81">
        <v>38827516.323639788</v>
      </c>
      <c r="AH237" s="81">
        <v>38871620.716061242</v>
      </c>
      <c r="AI237" s="81">
        <v>38903414.47281608</v>
      </c>
      <c r="AJ237" s="81">
        <v>38924409.290303633</v>
      </c>
      <c r="AK237" s="81">
        <v>38945265.914391495</v>
      </c>
      <c r="AL237" s="81">
        <v>38958952.03526435</v>
      </c>
      <c r="AM237" s="81">
        <v>38967593.480157658</v>
      </c>
      <c r="AN237" s="81">
        <v>38973633.589982137</v>
      </c>
      <c r="AO237" s="81">
        <v>38979742.917009078</v>
      </c>
      <c r="AP237" s="81">
        <v>38988845.233786881</v>
      </c>
      <c r="AQ237" s="81">
        <v>39004144.407701179</v>
      </c>
      <c r="AR237" s="81">
        <v>39029070.887238994</v>
      </c>
      <c r="AS237" s="81">
        <v>39067389.420486398</v>
      </c>
      <c r="AT237" s="81">
        <v>39123105.033229992</v>
      </c>
    </row>
    <row r="238" spans="1:46" ht="15.75">
      <c r="A238" s="81" t="s">
        <v>450</v>
      </c>
      <c r="B238" s="80">
        <v>460100</v>
      </c>
      <c r="C238" s="80" t="s">
        <v>421</v>
      </c>
      <c r="D238" s="84" t="s">
        <v>613</v>
      </c>
      <c r="E238" s="81">
        <v>67773656.602628306</v>
      </c>
      <c r="F238" s="81">
        <v>69874332.256392092</v>
      </c>
      <c r="G238" s="81">
        <v>71544835.829468951</v>
      </c>
      <c r="H238" s="81">
        <v>73183153.254335865</v>
      </c>
      <c r="I238" s="81">
        <v>74788626.027344108</v>
      </c>
      <c r="J238" s="81">
        <v>76360676.556278825</v>
      </c>
      <c r="K238" s="81">
        <v>77898758.756186336</v>
      </c>
      <c r="L238" s="81">
        <v>79402383.580760688</v>
      </c>
      <c r="M238" s="81">
        <v>80871226.531843901</v>
      </c>
      <c r="N238" s="81">
        <v>82304892.369692445</v>
      </c>
      <c r="O238" s="81">
        <v>83703208.240765914</v>
      </c>
      <c r="P238" s="81">
        <v>85065958.022053495</v>
      </c>
      <c r="Q238" s="81">
        <v>86027833.318310782</v>
      </c>
      <c r="R238" s="81">
        <v>86950104.937407583</v>
      </c>
      <c r="S238" s="81">
        <v>87833310.446578875</v>
      </c>
      <c r="T238" s="81">
        <v>88678203.477250844</v>
      </c>
      <c r="U238" s="81">
        <v>89485530.545021579</v>
      </c>
      <c r="V238" s="81">
        <v>90256029.295928419</v>
      </c>
      <c r="W238" s="81">
        <v>90990660.98909077</v>
      </c>
      <c r="X238" s="81">
        <v>91690293.314455986</v>
      </c>
      <c r="Y238" s="81">
        <v>92355962.866856873</v>
      </c>
      <c r="Z238" s="81">
        <v>92988730.439808488</v>
      </c>
      <c r="AA238" s="81">
        <v>93186029.677559301</v>
      </c>
      <c r="AB238" s="81">
        <v>93351692.711459622</v>
      </c>
      <c r="AC238" s="81">
        <v>93487395.770150036</v>
      </c>
      <c r="AD238" s="81">
        <v>93594872.621259168</v>
      </c>
      <c r="AE238" s="81">
        <v>93675854.13842389</v>
      </c>
      <c r="AF238" s="81">
        <v>93732098.440749407</v>
      </c>
      <c r="AG238" s="81">
        <v>93765452.375240758</v>
      </c>
      <c r="AH238" s="81">
        <v>93777790.980514362</v>
      </c>
      <c r="AI238" s="81">
        <v>93771017.541487947</v>
      </c>
      <c r="AJ238" s="81">
        <v>93747063.644070581</v>
      </c>
      <c r="AK238" s="81">
        <v>93772777.383853912</v>
      </c>
      <c r="AL238" s="81">
        <v>93785223.454172775</v>
      </c>
      <c r="AM238" s="81">
        <v>93786428.910040677</v>
      </c>
      <c r="AN238" s="81">
        <v>93778487.085257247</v>
      </c>
      <c r="AO238" s="81">
        <v>93763590.031628698</v>
      </c>
      <c r="AP238" s="81">
        <v>93743966.347129524</v>
      </c>
      <c r="AQ238" s="81">
        <v>93721785.552996546</v>
      </c>
      <c r="AR238" s="81">
        <v>93699444.759664819</v>
      </c>
      <c r="AS238" s="81">
        <v>93679250.873069748</v>
      </c>
      <c r="AT238" s="81">
        <v>93663644.316860691</v>
      </c>
    </row>
    <row r="239" spans="1:46" ht="15.75">
      <c r="A239" s="81" t="s">
        <v>450</v>
      </c>
      <c r="B239" s="80">
        <v>460200</v>
      </c>
      <c r="C239" s="80" t="s">
        <v>421</v>
      </c>
      <c r="D239" s="84" t="s">
        <v>612</v>
      </c>
      <c r="E239" s="81">
        <v>23425851.734946504</v>
      </c>
      <c r="F239" s="81">
        <v>24233002.697542597</v>
      </c>
      <c r="G239" s="81">
        <v>24888512.397610597</v>
      </c>
      <c r="H239" s="81">
        <v>25530266.910244547</v>
      </c>
      <c r="I239" s="81">
        <v>26158345.011258725</v>
      </c>
      <c r="J239" s="81">
        <v>26772843.347698119</v>
      </c>
      <c r="K239" s="81">
        <v>27373850.314402256</v>
      </c>
      <c r="L239" s="81">
        <v>27961545.089857917</v>
      </c>
      <c r="M239" s="81">
        <v>28535995.427838959</v>
      </c>
      <c r="N239" s="81">
        <v>29097435.292444102</v>
      </c>
      <c r="O239" s="81">
        <v>29646009.477030139</v>
      </c>
      <c r="P239" s="81">
        <v>30181899.604777101</v>
      </c>
      <c r="Q239" s="81">
        <v>30575523.324771285</v>
      </c>
      <c r="R239" s="81">
        <v>30955000.026001662</v>
      </c>
      <c r="S239" s="81">
        <v>31320822.867206451</v>
      </c>
      <c r="T239" s="81">
        <v>31673345.233198561</v>
      </c>
      <c r="U239" s="81">
        <v>32013024.956831671</v>
      </c>
      <c r="V239" s="81">
        <v>32340287.546621222</v>
      </c>
      <c r="W239" s="81">
        <v>32655524.201292921</v>
      </c>
      <c r="X239" s="81">
        <v>32959118.314598672</v>
      </c>
      <c r="Y239" s="81">
        <v>33251530.786917146</v>
      </c>
      <c r="Z239" s="81">
        <v>33533128.694876745</v>
      </c>
      <c r="AA239" s="81">
        <v>33772772.015781172</v>
      </c>
      <c r="AB239" s="81">
        <v>34002186.050934374</v>
      </c>
      <c r="AC239" s="81">
        <v>34221763.825055912</v>
      </c>
      <c r="AD239" s="81">
        <v>34431913.762082793</v>
      </c>
      <c r="AE239" s="81">
        <v>34633029.856024005</v>
      </c>
      <c r="AF239" s="81">
        <v>34825400.275689311</v>
      </c>
      <c r="AG239" s="81">
        <v>35009446.448996045</v>
      </c>
      <c r="AH239" s="81">
        <v>35185452.018826537</v>
      </c>
      <c r="AI239" s="81">
        <v>35353773.362863213</v>
      </c>
      <c r="AJ239" s="81">
        <v>35514655.795035794</v>
      </c>
      <c r="AK239" s="81">
        <v>35581589.149697132</v>
      </c>
      <c r="AL239" s="81">
        <v>35641549.364830106</v>
      </c>
      <c r="AM239" s="81">
        <v>35694829.286633901</v>
      </c>
      <c r="AN239" s="81">
        <v>35741727.776609965</v>
      </c>
      <c r="AO239" s="81">
        <v>35782486.444000788</v>
      </c>
      <c r="AP239" s="81">
        <v>35817320.135676682</v>
      </c>
      <c r="AQ239" s="81">
        <v>35846416.299543455</v>
      </c>
      <c r="AR239" s="81">
        <v>35869934.344663024</v>
      </c>
      <c r="AS239" s="81">
        <v>35888037.172259301</v>
      </c>
      <c r="AT239" s="81">
        <v>35900826.577995837</v>
      </c>
    </row>
    <row r="240" spans="1:46" ht="15.75">
      <c r="A240" s="81" t="s">
        <v>450</v>
      </c>
      <c r="B240" s="80">
        <v>460300</v>
      </c>
      <c r="C240" s="80" t="s">
        <v>421</v>
      </c>
      <c r="D240" s="84" t="s">
        <v>611</v>
      </c>
      <c r="E240" s="81">
        <v>66242.296588085344</v>
      </c>
      <c r="F240" s="81">
        <v>67188.914445000933</v>
      </c>
      <c r="G240" s="81">
        <v>68086.510713360913</v>
      </c>
      <c r="H240" s="81">
        <v>68930.361504375993</v>
      </c>
      <c r="I240" s="81">
        <v>69719.941374981558</v>
      </c>
      <c r="J240" s="81">
        <v>70454.724882113005</v>
      </c>
      <c r="K240" s="81">
        <v>71163.423815168877</v>
      </c>
      <c r="L240" s="81">
        <v>71845.775452616857</v>
      </c>
      <c r="M240" s="81">
        <v>72442.692312622108</v>
      </c>
      <c r="N240" s="81">
        <v>73012.386138578499</v>
      </c>
      <c r="O240" s="81">
        <v>73554.594208953728</v>
      </c>
      <c r="P240" s="81">
        <v>74039.378700531946</v>
      </c>
      <c r="Q240" s="81">
        <v>74502.642254590246</v>
      </c>
      <c r="R240" s="81">
        <v>74907.638447026111</v>
      </c>
      <c r="S240" s="81">
        <v>75283.771669086957</v>
      </c>
      <c r="T240" s="81">
        <v>75630.771210336592</v>
      </c>
      <c r="U240" s="81">
        <v>75948.366360338841</v>
      </c>
      <c r="V240" s="81">
        <v>76206.069886101526</v>
      </c>
      <c r="W240" s="81">
        <v>76463.953885488358</v>
      </c>
      <c r="X240" s="81">
        <v>76661.224366139184</v>
      </c>
      <c r="Y240" s="81">
        <v>76827.827140173729</v>
      </c>
      <c r="Z240" s="81">
        <v>76994.06896696004</v>
      </c>
      <c r="AA240" s="81">
        <v>77105.512708930255</v>
      </c>
      <c r="AB240" s="81">
        <v>77216.212604850545</v>
      </c>
      <c r="AC240" s="81">
        <v>77295.312242648011</v>
      </c>
      <c r="AD240" s="81">
        <v>77342.532680053933</v>
      </c>
      <c r="AE240" s="81">
        <v>77388.63734838496</v>
      </c>
      <c r="AF240" s="81">
        <v>77402.490893299488</v>
      </c>
      <c r="AG240" s="81">
        <v>77383.814372528781</v>
      </c>
      <c r="AH240" s="81">
        <v>77363.650159658238</v>
      </c>
      <c r="AI240" s="81">
        <v>77341.998254687845</v>
      </c>
      <c r="AJ240" s="81">
        <v>77287.351380251042</v>
      </c>
      <c r="AK240" s="81">
        <v>77206.337890109076</v>
      </c>
      <c r="AL240" s="81">
        <v>77155.107130832082</v>
      </c>
      <c r="AM240" s="81">
        <v>77070.357123269961</v>
      </c>
      <c r="AN240" s="81">
        <v>76983.690952928271</v>
      </c>
      <c r="AO240" s="81">
        <v>76895.108619807012</v>
      </c>
      <c r="AP240" s="81">
        <v>76804.610123906212</v>
      </c>
      <c r="AQ240" s="81">
        <v>76712.195465225799</v>
      </c>
      <c r="AR240" s="81">
        <v>76585.590901287447</v>
      </c>
      <c r="AS240" s="81">
        <v>76489.248108908942</v>
      </c>
      <c r="AT240" s="81">
        <v>76423.454512507247</v>
      </c>
    </row>
    <row r="241" spans="1:46" ht="15.75">
      <c r="A241" s="81" t="s">
        <v>450</v>
      </c>
      <c r="B241" s="80">
        <v>460400</v>
      </c>
      <c r="C241" s="80" t="s">
        <v>421</v>
      </c>
      <c r="D241" s="84" t="s">
        <v>610</v>
      </c>
      <c r="E241" s="81">
        <v>15982862.431964153</v>
      </c>
      <c r="F241" s="81">
        <v>16433924.65564676</v>
      </c>
      <c r="G241" s="81">
        <v>16800196.729940321</v>
      </c>
      <c r="H241" s="81">
        <v>17174116.31537123</v>
      </c>
      <c r="I241" s="81">
        <v>17554081.098813292</v>
      </c>
      <c r="J241" s="81">
        <v>17938507.036224276</v>
      </c>
      <c r="K241" s="81">
        <v>18325852.814509973</v>
      </c>
      <c r="L241" s="81">
        <v>18714589.928120315</v>
      </c>
      <c r="M241" s="81">
        <v>19103283.263501614</v>
      </c>
      <c r="N241" s="81">
        <v>19490505.473922335</v>
      </c>
      <c r="O241" s="81">
        <v>19874879.771708347</v>
      </c>
      <c r="P241" s="81">
        <v>20255145.305800788</v>
      </c>
      <c r="Q241" s="81">
        <v>20542838.540697239</v>
      </c>
      <c r="R241" s="81">
        <v>20822609.748909727</v>
      </c>
      <c r="S241" s="81">
        <v>21093491.011405032</v>
      </c>
      <c r="T241" s="81">
        <v>21354691.627616037</v>
      </c>
      <c r="U241" s="81">
        <v>21605483.561757121</v>
      </c>
      <c r="V241" s="81">
        <v>21845286.844684109</v>
      </c>
      <c r="W241" s="81">
        <v>22073634.517268892</v>
      </c>
      <c r="X241" s="81">
        <v>22290135.673672725</v>
      </c>
      <c r="Y241" s="81">
        <v>22494626.18475024</v>
      </c>
      <c r="Z241" s="81">
        <v>22686965.455129616</v>
      </c>
      <c r="AA241" s="81">
        <v>22845925.393671889</v>
      </c>
      <c r="AB241" s="81">
        <v>22992901.31552786</v>
      </c>
      <c r="AC241" s="81">
        <v>23128264.300007045</v>
      </c>
      <c r="AD241" s="81">
        <v>23252575.4067907</v>
      </c>
      <c r="AE241" s="81">
        <v>23366525.8429587</v>
      </c>
      <c r="AF241" s="81">
        <v>23470962.98438666</v>
      </c>
      <c r="AG241" s="81">
        <v>23566939.597586859</v>
      </c>
      <c r="AH241" s="81">
        <v>23655607.982135639</v>
      </c>
      <c r="AI241" s="81">
        <v>23738403.043317337</v>
      </c>
      <c r="AJ241" s="81">
        <v>23816846.411502965</v>
      </c>
      <c r="AK241" s="81">
        <v>23898223.784243744</v>
      </c>
      <c r="AL241" s="81">
        <v>23978951.72008552</v>
      </c>
      <c r="AM241" s="81">
        <v>24061179.68087462</v>
      </c>
      <c r="AN241" s="81">
        <v>24147256.032712307</v>
      </c>
      <c r="AO241" s="81">
        <v>24239756.805615917</v>
      </c>
      <c r="AP241" s="81">
        <v>24341444.459222954</v>
      </c>
      <c r="AQ241" s="81">
        <v>24455343.914203212</v>
      </c>
      <c r="AR241" s="81">
        <v>24584653.608816378</v>
      </c>
      <c r="AS241" s="81">
        <v>24732870.077783544</v>
      </c>
      <c r="AT241" s="81">
        <v>24903698.633069873</v>
      </c>
    </row>
    <row r="242" spans="1:46" ht="15.75">
      <c r="A242" s="81" t="s">
        <v>450</v>
      </c>
      <c r="B242" s="83">
        <v>469001</v>
      </c>
      <c r="C242" s="80" t="s">
        <v>421</v>
      </c>
      <c r="D242" s="82" t="s">
        <v>609</v>
      </c>
      <c r="E242" s="81">
        <v>1974080.0257820212</v>
      </c>
      <c r="F242" s="81">
        <v>2035272.8084958862</v>
      </c>
      <c r="G242" s="81">
        <v>2083933.4220665565</v>
      </c>
      <c r="H242" s="81">
        <v>2131651.3463047626</v>
      </c>
      <c r="I242" s="81">
        <v>2178402.9053832577</v>
      </c>
      <c r="J242" s="81">
        <v>2224204.0424432675</v>
      </c>
      <c r="K242" s="81">
        <v>2268996.6308998107</v>
      </c>
      <c r="L242" s="81">
        <v>2312800.4557677908</v>
      </c>
      <c r="M242" s="81">
        <v>2355579.1551676756</v>
      </c>
      <c r="N242" s="81">
        <v>2397337.0923304353</v>
      </c>
      <c r="O242" s="81">
        <v>2438060.7727632867</v>
      </c>
      <c r="P242" s="81">
        <v>2477758.8719072943</v>
      </c>
      <c r="Q242" s="81">
        <v>2505784.0317778336</v>
      </c>
      <c r="R242" s="81">
        <v>2532649.5525769764</v>
      </c>
      <c r="S242" s="81">
        <v>2558365.3137538861</v>
      </c>
      <c r="T242" s="81">
        <v>2582984.9371226165</v>
      </c>
      <c r="U242" s="81">
        <v>2606500.0844587591</v>
      </c>
      <c r="V242" s="81">
        <v>2628924.5347905857</v>
      </c>
      <c r="W242" s="81">
        <v>2650338.7124053547</v>
      </c>
      <c r="X242" s="81">
        <v>2670716.2741010911</v>
      </c>
      <c r="Y242" s="81">
        <v>2690097.209757919</v>
      </c>
      <c r="Z242" s="81">
        <v>2708523.405422505</v>
      </c>
      <c r="AA242" s="81">
        <v>2723496.3711336148</v>
      </c>
      <c r="AB242" s="81">
        <v>2737552.8375678547</v>
      </c>
      <c r="AC242" s="81">
        <v>2750764.7338417643</v>
      </c>
      <c r="AD242" s="81">
        <v>2763160.4098777696</v>
      </c>
      <c r="AE242" s="81">
        <v>2774792.4747448503</v>
      </c>
      <c r="AF242" s="81">
        <v>2785692.0246395296</v>
      </c>
      <c r="AG242" s="81">
        <v>2795891.3127433034</v>
      </c>
      <c r="AH242" s="81">
        <v>2805494.5524443658</v>
      </c>
      <c r="AI242" s="81">
        <v>2814490.2543245186</v>
      </c>
      <c r="AJ242" s="81">
        <v>2822962.5149416295</v>
      </c>
      <c r="AK242" s="81">
        <v>2831627.3350800276</v>
      </c>
      <c r="AL242" s="81">
        <v>2839894.720249508</v>
      </c>
      <c r="AM242" s="81">
        <v>2847781.8604093986</v>
      </c>
      <c r="AN242" s="81">
        <v>2855380.2988275061</v>
      </c>
      <c r="AO242" s="81">
        <v>2862734.7228866201</v>
      </c>
      <c r="AP242" s="81">
        <v>2869940.9570160764</v>
      </c>
      <c r="AQ242" s="81">
        <v>2877047.3362834523</v>
      </c>
      <c r="AR242" s="81">
        <v>2884128.787065201</v>
      </c>
      <c r="AS242" s="81">
        <v>2891262.2667948739</v>
      </c>
      <c r="AT242" s="81">
        <v>2898526.7807101607</v>
      </c>
    </row>
    <row r="243" spans="1:46" ht="15.75">
      <c r="A243" s="81" t="s">
        <v>450</v>
      </c>
      <c r="B243" s="83">
        <v>469002</v>
      </c>
      <c r="C243" s="80" t="s">
        <v>421</v>
      </c>
      <c r="D243" s="82" t="s">
        <v>608</v>
      </c>
      <c r="E243" s="81">
        <v>8272310.0376590602</v>
      </c>
      <c r="F243" s="81">
        <v>8528709.5075195227</v>
      </c>
      <c r="G243" s="81">
        <v>8732600.209291365</v>
      </c>
      <c r="H243" s="81">
        <v>8932574.0985825676</v>
      </c>
      <c r="I243" s="81">
        <v>9128526.4218570087</v>
      </c>
      <c r="J243" s="81">
        <v>9320408.9466436487</v>
      </c>
      <c r="K243" s="81">
        <v>9508147.1437117849</v>
      </c>
      <c r="L243" s="81">
        <v>9691673.0209412277</v>
      </c>
      <c r="M243" s="81">
        <v>9870960.6229130495</v>
      </c>
      <c r="N243" s="81">
        <v>10045938.77021724</v>
      </c>
      <c r="O243" s="81">
        <v>10216614.837761046</v>
      </c>
      <c r="P243" s="81">
        <v>10382950.752036385</v>
      </c>
      <c r="Q243" s="81">
        <v>10500357.289519168</v>
      </c>
      <c r="R243" s="81">
        <v>10612919.446871709</v>
      </c>
      <c r="S243" s="81">
        <v>10720727.766171638</v>
      </c>
      <c r="T243" s="81">
        <v>10823860.050708678</v>
      </c>
      <c r="U243" s="81">
        <v>10922399.806587148</v>
      </c>
      <c r="V243" s="81">
        <v>11016436.305602953</v>
      </c>
      <c r="W243" s="81">
        <v>11106103.531838169</v>
      </c>
      <c r="X243" s="81">
        <v>11191503.402078332</v>
      </c>
      <c r="Y243" s="81">
        <v>11272743.794290688</v>
      </c>
      <c r="Z243" s="81">
        <v>11349978.422624122</v>
      </c>
      <c r="AA243" s="81">
        <v>11412694.909884546</v>
      </c>
      <c r="AB243" s="81">
        <v>11471629.195521463</v>
      </c>
      <c r="AC243" s="81">
        <v>11526985.952053484</v>
      </c>
      <c r="AD243" s="81">
        <v>11578936.166697569</v>
      </c>
      <c r="AE243" s="81">
        <v>11627636.412704965</v>
      </c>
      <c r="AF243" s="81">
        <v>11673290.415779809</v>
      </c>
      <c r="AG243" s="81">
        <v>11716108.752762346</v>
      </c>
      <c r="AH243" s="81">
        <v>11756266.879207015</v>
      </c>
      <c r="AI243" s="81">
        <v>11794009.567434778</v>
      </c>
      <c r="AJ243" s="81">
        <v>11829546.584647277</v>
      </c>
      <c r="AK243" s="81">
        <v>11865854.143870907</v>
      </c>
      <c r="AL243" s="81">
        <v>11900413.463649852</v>
      </c>
      <c r="AM243" s="81">
        <v>11933496.953080596</v>
      </c>
      <c r="AN243" s="81">
        <v>11965341.352282504</v>
      </c>
      <c r="AO243" s="81">
        <v>11996212.426796287</v>
      </c>
      <c r="AP243" s="81">
        <v>12026405.773492793</v>
      </c>
      <c r="AQ243" s="81">
        <v>12056202.961067576</v>
      </c>
      <c r="AR243" s="81">
        <v>12085870.848425383</v>
      </c>
      <c r="AS243" s="81">
        <v>12115751.445290916</v>
      </c>
      <c r="AT243" s="81">
        <v>12146150.297147695</v>
      </c>
    </row>
    <row r="244" spans="1:46" ht="15.75">
      <c r="A244" s="81" t="s">
        <v>450</v>
      </c>
      <c r="B244" s="83">
        <v>469005</v>
      </c>
      <c r="C244" s="80" t="s">
        <v>421</v>
      </c>
      <c r="D244" s="82" t="s">
        <v>607</v>
      </c>
      <c r="E244" s="81">
        <v>9117086.1271326132</v>
      </c>
      <c r="F244" s="81">
        <v>9399681.3926043585</v>
      </c>
      <c r="G244" s="81">
        <v>9624391.5233726092</v>
      </c>
      <c r="H244" s="81">
        <v>9844792.8752214648</v>
      </c>
      <c r="I244" s="81">
        <v>10060760.614014521</v>
      </c>
      <c r="J244" s="81">
        <v>10272246.085661005</v>
      </c>
      <c r="K244" s="81">
        <v>10479156.200915575</v>
      </c>
      <c r="L244" s="81">
        <v>10681422.639139529</v>
      </c>
      <c r="M244" s="81">
        <v>10879021.491322443</v>
      </c>
      <c r="N244" s="81">
        <v>11071882.698031526</v>
      </c>
      <c r="O244" s="81">
        <v>11259980.856731972</v>
      </c>
      <c r="P244" s="81">
        <v>11443299.540228635</v>
      </c>
      <c r="Q244" s="81">
        <v>11572702.199843006</v>
      </c>
      <c r="R244" s="81">
        <v>11696763.053587906</v>
      </c>
      <c r="S244" s="81">
        <v>11815567.322418056</v>
      </c>
      <c r="T244" s="81">
        <v>11929226.343960878</v>
      </c>
      <c r="U244" s="81">
        <v>12037838.711810825</v>
      </c>
      <c r="V244" s="81">
        <v>12141489.558522349</v>
      </c>
      <c r="W244" s="81">
        <v>12240310.369055517</v>
      </c>
      <c r="X244" s="81">
        <v>12334419.626784759</v>
      </c>
      <c r="Y244" s="81">
        <v>12423963.088402718</v>
      </c>
      <c r="Z244" s="81">
        <v>12509093.999513719</v>
      </c>
      <c r="AA244" s="81">
        <v>12578190.211297156</v>
      </c>
      <c r="AB244" s="81">
        <v>12643154.19903064</v>
      </c>
      <c r="AC244" s="81">
        <v>12704172.942445798</v>
      </c>
      <c r="AD244" s="81">
        <v>12761419.087204339</v>
      </c>
      <c r="AE244" s="81">
        <v>12815093.042679103</v>
      </c>
      <c r="AF244" s="81">
        <v>12865423.763758065</v>
      </c>
      <c r="AG244" s="81">
        <v>12912604.534825893</v>
      </c>
      <c r="AH244" s="81">
        <v>12956878.836194776</v>
      </c>
      <c r="AI244" s="81">
        <v>12998475.983300412</v>
      </c>
      <c r="AJ244" s="81">
        <v>13037632.567700299</v>
      </c>
      <c r="AK244" s="81">
        <v>13077655.178608209</v>
      </c>
      <c r="AL244" s="81">
        <v>13115751.524166215</v>
      </c>
      <c r="AM244" s="81">
        <v>13152202.311238322</v>
      </c>
      <c r="AN244" s="81">
        <v>13187296.650458712</v>
      </c>
      <c r="AO244" s="81">
        <v>13221332.128477849</v>
      </c>
      <c r="AP244" s="81">
        <v>13254614.880208552</v>
      </c>
      <c r="AQ244" s="81">
        <v>13287436.476845857</v>
      </c>
      <c r="AR244" s="81">
        <v>13320143.23889873</v>
      </c>
      <c r="AS244" s="81">
        <v>13353067.377995456</v>
      </c>
      <c r="AT244" s="81">
        <v>13386573.596624997</v>
      </c>
    </row>
    <row r="245" spans="1:46" ht="15.75">
      <c r="A245" s="81" t="s">
        <v>450</v>
      </c>
      <c r="B245" s="83">
        <v>469006</v>
      </c>
      <c r="C245" s="80" t="s">
        <v>421</v>
      </c>
      <c r="D245" s="82" t="s">
        <v>606</v>
      </c>
      <c r="E245" s="81">
        <v>8435181.1526794601</v>
      </c>
      <c r="F245" s="81">
        <v>8696630.8338662777</v>
      </c>
      <c r="G245" s="81">
        <v>8904541.4680462778</v>
      </c>
      <c r="H245" s="81">
        <v>9108455.8159593642</v>
      </c>
      <c r="I245" s="81">
        <v>9308278.527133774</v>
      </c>
      <c r="J245" s="81">
        <v>9503937.2042944226</v>
      </c>
      <c r="K245" s="81">
        <v>9695366.5852960479</v>
      </c>
      <c r="L245" s="81">
        <v>9882508.6546146367</v>
      </c>
      <c r="M245" s="81">
        <v>10065312.754838865</v>
      </c>
      <c r="N245" s="81">
        <v>10243753.380933145</v>
      </c>
      <c r="O245" s="81">
        <v>10417795.597323844</v>
      </c>
      <c r="P245" s="81">
        <v>10587394.035895104</v>
      </c>
      <c r="Q245" s="81">
        <v>10707110.749661887</v>
      </c>
      <c r="R245" s="81">
        <v>10821892.298829164</v>
      </c>
      <c r="S245" s="81">
        <v>10931823.627907138</v>
      </c>
      <c r="T245" s="81">
        <v>11036977.080342766</v>
      </c>
      <c r="U245" s="81">
        <v>11137468.346850352</v>
      </c>
      <c r="V245" s="81">
        <v>11233362.894510061</v>
      </c>
      <c r="W245" s="81">
        <v>11324788.847394874</v>
      </c>
      <c r="X245" s="81">
        <v>11411881.327920595</v>
      </c>
      <c r="Y245" s="81">
        <v>11494724.075865731</v>
      </c>
      <c r="Z245" s="81">
        <v>11573484.689305667</v>
      </c>
      <c r="AA245" s="81">
        <v>11637416.081334423</v>
      </c>
      <c r="AB245" s="81">
        <v>11697518.116399575</v>
      </c>
      <c r="AC245" s="81">
        <v>11753970.584593596</v>
      </c>
      <c r="AD245" s="81">
        <v>11806939.665837711</v>
      </c>
      <c r="AE245" s="81">
        <v>11856597.622867921</v>
      </c>
      <c r="AF245" s="81">
        <v>11903163.769795893</v>
      </c>
      <c r="AG245" s="81">
        <v>11946823.528439553</v>
      </c>
      <c r="AH245" s="81">
        <v>11987789.307335587</v>
      </c>
      <c r="AI245" s="81">
        <v>12026259.506959232</v>
      </c>
      <c r="AJ245" s="81">
        <v>12062501.929326786</v>
      </c>
      <c r="AK245" s="81">
        <v>12099521.431258008</v>
      </c>
      <c r="AL245" s="81">
        <v>12134762.1616589</v>
      </c>
      <c r="AM245" s="81">
        <v>12168491.881882304</v>
      </c>
      <c r="AN245" s="81">
        <v>12200964.752691017</v>
      </c>
      <c r="AO245" s="81">
        <v>12232464.150480757</v>
      </c>
      <c r="AP245" s="81">
        <v>12263237.803568866</v>
      </c>
      <c r="AQ245" s="81">
        <v>12293628.597283419</v>
      </c>
      <c r="AR245" s="81">
        <v>12323877.942662116</v>
      </c>
      <c r="AS245" s="81">
        <v>12354345.462673625</v>
      </c>
      <c r="AT245" s="81">
        <v>12385332.92217917</v>
      </c>
    </row>
    <row r="246" spans="1:46" ht="15.75">
      <c r="A246" s="81" t="s">
        <v>450</v>
      </c>
      <c r="B246" s="83">
        <v>469007</v>
      </c>
      <c r="C246" s="80" t="s">
        <v>421</v>
      </c>
      <c r="D246" s="82" t="s">
        <v>605</v>
      </c>
      <c r="E246" s="81">
        <v>6478541.5506361201</v>
      </c>
      <c r="F246" s="81">
        <v>6679348.5303962315</v>
      </c>
      <c r="G246" s="81">
        <v>6839031.5239807479</v>
      </c>
      <c r="H246" s="81">
        <v>6995641.8068798492</v>
      </c>
      <c r="I246" s="81">
        <v>7149119.4573559947</v>
      </c>
      <c r="J246" s="81">
        <v>7299394.140272975</v>
      </c>
      <c r="K246" s="81">
        <v>7446416.2691239342</v>
      </c>
      <c r="L246" s="81">
        <v>7590158.123546781</v>
      </c>
      <c r="M246" s="81">
        <v>7730565.5608096989</v>
      </c>
      <c r="N246" s="81">
        <v>7867606.0610082624</v>
      </c>
      <c r="O246" s="81">
        <v>8001269.8589251414</v>
      </c>
      <c r="P246" s="81">
        <v>8131536.876889701</v>
      </c>
      <c r="Q246" s="81">
        <v>8223482.1876100637</v>
      </c>
      <c r="R246" s="81">
        <v>8311644.4049819717</v>
      </c>
      <c r="S246" s="81">
        <v>8396075.4786642846</v>
      </c>
      <c r="T246" s="81">
        <v>8476849.2991462685</v>
      </c>
      <c r="U246" s="81">
        <v>8554009.02261292</v>
      </c>
      <c r="V246" s="81">
        <v>8627673.4194371086</v>
      </c>
      <c r="W246" s="81">
        <v>8697895.0061731189</v>
      </c>
      <c r="X246" s="81">
        <v>8764766.6778415311</v>
      </c>
      <c r="Y246" s="81">
        <v>8828404.8069988731</v>
      </c>
      <c r="Z246" s="81">
        <v>8888894.4348370507</v>
      </c>
      <c r="AA246" s="81">
        <v>8938000.5787854679</v>
      </c>
      <c r="AB246" s="81">
        <v>8984160.7529268879</v>
      </c>
      <c r="AC246" s="81">
        <v>9027520.8382779527</v>
      </c>
      <c r="AD246" s="81">
        <v>9068193.8948153481</v>
      </c>
      <c r="AE246" s="81">
        <v>9106335.5989746507</v>
      </c>
      <c r="AF246" s="81">
        <v>9142106.9792859685</v>
      </c>
      <c r="AG246" s="81">
        <v>9175635.601757329</v>
      </c>
      <c r="AH246" s="81">
        <v>9207092.5576257743</v>
      </c>
      <c r="AI246" s="81">
        <v>9236654.427759422</v>
      </c>
      <c r="AJ246" s="81">
        <v>9264483.505735036</v>
      </c>
      <c r="AK246" s="81">
        <v>9292911.7798925415</v>
      </c>
      <c r="AL246" s="81">
        <v>9319984.6940028407</v>
      </c>
      <c r="AM246" s="81">
        <v>9345879.8622178677</v>
      </c>
      <c r="AN246" s="81">
        <v>9370821.0159101244</v>
      </c>
      <c r="AO246" s="81">
        <v>9395017.8980540074</v>
      </c>
      <c r="AP246" s="81">
        <v>9418665.6241595428</v>
      </c>
      <c r="AQ246" s="81">
        <v>9441985.6171768289</v>
      </c>
      <c r="AR246" s="81">
        <v>9465226.3529975433</v>
      </c>
      <c r="AS246" s="81">
        <v>9488643.0422889329</v>
      </c>
      <c r="AT246" s="81">
        <v>9512434.0518866945</v>
      </c>
    </row>
    <row r="247" spans="1:46" ht="15.75">
      <c r="A247" s="81" t="s">
        <v>450</v>
      </c>
      <c r="B247" s="83">
        <v>469021</v>
      </c>
      <c r="C247" s="80" t="s">
        <v>421</v>
      </c>
      <c r="D247" s="82" t="s">
        <v>604</v>
      </c>
      <c r="E247" s="81">
        <v>4002672.0625083451</v>
      </c>
      <c r="F247" s="81">
        <v>4126749.7280752561</v>
      </c>
      <c r="G247" s="81">
        <v>4225405.6073274296</v>
      </c>
      <c r="H247" s="81">
        <v>4322166.9446984194</v>
      </c>
      <c r="I247" s="81">
        <v>4416985.3359554289</v>
      </c>
      <c r="J247" s="81">
        <v>4509830.4150812551</v>
      </c>
      <c r="K247" s="81">
        <v>4600659.9256021753</v>
      </c>
      <c r="L247" s="81">
        <v>4689465.8357390324</v>
      </c>
      <c r="M247" s="81">
        <v>4776212.8431022102</v>
      </c>
      <c r="N247" s="81">
        <v>4860884.689745211</v>
      </c>
      <c r="O247" s="81">
        <v>4943468.9302588385</v>
      </c>
      <c r="P247" s="81">
        <v>5023956.9871151783</v>
      </c>
      <c r="Q247" s="81">
        <v>5080758.3182862634</v>
      </c>
      <c r="R247" s="81">
        <v>5135221.8295839643</v>
      </c>
      <c r="S247" s="81">
        <v>5187383.5836919071</v>
      </c>
      <c r="T247" s="81">
        <v>5237282.4108344903</v>
      </c>
      <c r="U247" s="81">
        <v>5284977.11927881</v>
      </c>
      <c r="V247" s="81">
        <v>5330477.9446662571</v>
      </c>
      <c r="W247" s="81">
        <v>5373866.7024215274</v>
      </c>
      <c r="X247" s="81">
        <v>5415176.4226769553</v>
      </c>
      <c r="Y247" s="81">
        <v>5454495.7014047597</v>
      </c>
      <c r="Z247" s="81">
        <v>5491863.5870922068</v>
      </c>
      <c r="AA247" s="81">
        <v>5522202.7921844982</v>
      </c>
      <c r="AB247" s="81">
        <v>5550719.055036041</v>
      </c>
      <c r="AC247" s="81">
        <v>5577519.8542024298</v>
      </c>
      <c r="AD247" s="81">
        <v>5602642.9263607981</v>
      </c>
      <c r="AE247" s="81">
        <v>5626201.7366783535</v>
      </c>
      <c r="AF247" s="81">
        <v>5648294.9156821892</v>
      </c>
      <c r="AG247" s="81">
        <v>5669024.4069283763</v>
      </c>
      <c r="AH247" s="81">
        <v>5688457.7589458777</v>
      </c>
      <c r="AI247" s="81">
        <v>5706721.8651493639</v>
      </c>
      <c r="AJ247" s="81">
        <v>5723909.2781596864</v>
      </c>
      <c r="AK247" s="81">
        <v>5741479.0249704476</v>
      </c>
      <c r="AL247" s="81">
        <v>5758203.4901960976</v>
      </c>
      <c r="AM247" s="81">
        <v>5774203.8541406877</v>
      </c>
      <c r="AN247" s="81">
        <v>5789604.9302901058</v>
      </c>
      <c r="AO247" s="81">
        <v>5804554.9818678908</v>
      </c>
      <c r="AP247" s="81">
        <v>5819166.6651436929</v>
      </c>
      <c r="AQ247" s="81">
        <v>5833575.8819609629</v>
      </c>
      <c r="AR247" s="81">
        <v>5847942.4809672181</v>
      </c>
      <c r="AS247" s="81">
        <v>5862389.993610831</v>
      </c>
      <c r="AT247" s="81">
        <v>5877106.6108196564</v>
      </c>
    </row>
    <row r="248" spans="1:46" ht="15.75">
      <c r="A248" s="81" t="s">
        <v>450</v>
      </c>
      <c r="B248" s="83">
        <v>469022</v>
      </c>
      <c r="C248" s="80" t="s">
        <v>421</v>
      </c>
      <c r="D248" s="82" t="s">
        <v>603</v>
      </c>
      <c r="E248" s="81">
        <v>3656482.9082321017</v>
      </c>
      <c r="F248" s="81">
        <v>3769813.9994014991</v>
      </c>
      <c r="G248" s="81">
        <v>3859942.3789384663</v>
      </c>
      <c r="H248" s="81">
        <v>3948326.7124475213</v>
      </c>
      <c r="I248" s="81">
        <v>4034945.5350672766</v>
      </c>
      <c r="J248" s="81">
        <v>4119765.5480145984</v>
      </c>
      <c r="K248" s="81">
        <v>4202740.65691882</v>
      </c>
      <c r="L248" s="81">
        <v>4283858.9321794398</v>
      </c>
      <c r="M248" s="81">
        <v>4363112.3330237931</v>
      </c>
      <c r="N248" s="81">
        <v>4440463.9826428201</v>
      </c>
      <c r="O248" s="81">
        <v>4515895.9448560672</v>
      </c>
      <c r="P248" s="81">
        <v>4589427.1095006634</v>
      </c>
      <c r="Q248" s="81">
        <v>4641309.6344044898</v>
      </c>
      <c r="R248" s="81">
        <v>4691075.0548063954</v>
      </c>
      <c r="S248" s="81">
        <v>4738715.7600395074</v>
      </c>
      <c r="T248" s="81">
        <v>4784312.1415251205</v>
      </c>
      <c r="U248" s="81">
        <v>4827861.1127408482</v>
      </c>
      <c r="V248" s="81">
        <v>4869431.3949459754</v>
      </c>
      <c r="W248" s="81">
        <v>4909059.6711012004</v>
      </c>
      <c r="X248" s="81">
        <v>4946802.9710299885</v>
      </c>
      <c r="Y248" s="81">
        <v>4982721.3441024022</v>
      </c>
      <c r="Z248" s="81">
        <v>5016859.6876500063</v>
      </c>
      <c r="AA248" s="81">
        <v>5044574.8172173966</v>
      </c>
      <c r="AB248" s="81">
        <v>5070633.5785422623</v>
      </c>
      <c r="AC248" s="81">
        <v>5095093.9225224955</v>
      </c>
      <c r="AD248" s="81">
        <v>5118053.5166396955</v>
      </c>
      <c r="AE248" s="81">
        <v>5139575.7000953844</v>
      </c>
      <c r="AF248" s="81">
        <v>5159764.0856412146</v>
      </c>
      <c r="AG248" s="81">
        <v>5178687.5010611555</v>
      </c>
      <c r="AH248" s="81">
        <v>5196436.3897540774</v>
      </c>
      <c r="AI248" s="81">
        <v>5213123.476135781</v>
      </c>
      <c r="AJ248" s="81">
        <v>5228845.4846377894</v>
      </c>
      <c r="AK248" s="81">
        <v>5244873.3625763319</v>
      </c>
      <c r="AL248" s="81">
        <v>5260156.2296923101</v>
      </c>
      <c r="AM248" s="81">
        <v>5274779.9362021592</v>
      </c>
      <c r="AN248" s="81">
        <v>5288852.9778500572</v>
      </c>
      <c r="AO248" s="81">
        <v>5302507.1987674106</v>
      </c>
      <c r="AP248" s="81">
        <v>5315857.9242519876</v>
      </c>
      <c r="AQ248" s="81">
        <v>5329023.7333031567</v>
      </c>
      <c r="AR248" s="81">
        <v>5342126.4859000593</v>
      </c>
      <c r="AS248" s="81">
        <v>5355332.751516331</v>
      </c>
      <c r="AT248" s="81">
        <v>5368771.8637174489</v>
      </c>
    </row>
    <row r="249" spans="1:46" ht="15.75">
      <c r="A249" s="81" t="s">
        <v>450</v>
      </c>
      <c r="B249" s="83">
        <v>469023</v>
      </c>
      <c r="C249" s="80" t="s">
        <v>421</v>
      </c>
      <c r="D249" s="82" t="s">
        <v>602</v>
      </c>
      <c r="E249" s="81">
        <v>8654978.9419915993</v>
      </c>
      <c r="F249" s="81">
        <v>8923241.721171679</v>
      </c>
      <c r="G249" s="81">
        <v>9136580.3806534689</v>
      </c>
      <c r="H249" s="81">
        <v>9345791.625244882</v>
      </c>
      <c r="I249" s="81">
        <v>9550830.2501544468</v>
      </c>
      <c r="J249" s="81">
        <v>9751584.5953210909</v>
      </c>
      <c r="K249" s="81">
        <v>9948005.7595810033</v>
      </c>
      <c r="L249" s="81">
        <v>10140014.446091238</v>
      </c>
      <c r="M249" s="81">
        <v>10327596.810520327</v>
      </c>
      <c r="N249" s="81">
        <v>10510688.958409933</v>
      </c>
      <c r="O249" s="81">
        <v>10689253.889097743</v>
      </c>
      <c r="P249" s="81">
        <v>10863282.862479774</v>
      </c>
      <c r="Q249" s="81">
        <v>10986116.467069613</v>
      </c>
      <c r="R249" s="81">
        <v>11103892.167087449</v>
      </c>
      <c r="S249" s="81">
        <v>11216677.530037928</v>
      </c>
      <c r="T249" s="81">
        <v>11324587.911366941</v>
      </c>
      <c r="U249" s="81">
        <v>11427682.019492116</v>
      </c>
      <c r="V249" s="81">
        <v>11526066.484001487</v>
      </c>
      <c r="W249" s="81">
        <v>11619897.617447967</v>
      </c>
      <c r="X249" s="81">
        <v>11709230.949726781</v>
      </c>
      <c r="Y249" s="81">
        <v>11794236.229401762</v>
      </c>
      <c r="Z249" s="81">
        <v>11875047.128552433</v>
      </c>
      <c r="AA249" s="81">
        <v>11940657.929479772</v>
      </c>
      <c r="AB249" s="81">
        <v>12002336.25737776</v>
      </c>
      <c r="AC249" s="81">
        <v>12060247.207179967</v>
      </c>
      <c r="AD249" s="81">
        <v>12114584.795391466</v>
      </c>
      <c r="AE249" s="81">
        <v>12165549.928372199</v>
      </c>
      <c r="AF249" s="81">
        <v>12213327.44943491</v>
      </c>
      <c r="AG249" s="81">
        <v>12258108.594178492</v>
      </c>
      <c r="AH249" s="81">
        <v>12300137.699172759</v>
      </c>
      <c r="AI249" s="81">
        <v>12339619.892984159</v>
      </c>
      <c r="AJ249" s="81">
        <v>12376814.151300468</v>
      </c>
      <c r="AK249" s="81">
        <v>12414781.112265643</v>
      </c>
      <c r="AL249" s="81">
        <v>12450949.197645076</v>
      </c>
      <c r="AM249" s="81">
        <v>12485551.022376901</v>
      </c>
      <c r="AN249" s="81">
        <v>12518874.831052918</v>
      </c>
      <c r="AO249" s="81">
        <v>12551192.831991769</v>
      </c>
      <c r="AP249" s="81">
        <v>12582785.065575901</v>
      </c>
      <c r="AQ249" s="81">
        <v>12613939.470468657</v>
      </c>
      <c r="AR249" s="81">
        <v>12645001.865461793</v>
      </c>
      <c r="AS249" s="81">
        <v>12676252.063149309</v>
      </c>
      <c r="AT249" s="81">
        <v>12708053.187185999</v>
      </c>
    </row>
    <row r="250" spans="1:46" ht="15.75">
      <c r="A250" s="81" t="s">
        <v>450</v>
      </c>
      <c r="B250" s="83">
        <v>469024</v>
      </c>
      <c r="C250" s="80" t="s">
        <v>421</v>
      </c>
      <c r="D250" s="82" t="s">
        <v>601</v>
      </c>
      <c r="E250" s="81">
        <v>5896151.197846503</v>
      </c>
      <c r="F250" s="81">
        <v>6078896.4766851822</v>
      </c>
      <c r="G250" s="81">
        <v>6224227.3278726833</v>
      </c>
      <c r="H250" s="81">
        <v>6366767.2446271321</v>
      </c>
      <c r="I250" s="81">
        <v>6506439.092531573</v>
      </c>
      <c r="J250" s="81">
        <v>6643199.9673353918</v>
      </c>
      <c r="K250" s="81">
        <v>6777012.3688710108</v>
      </c>
      <c r="L250" s="81">
        <v>6907828.6417719517</v>
      </c>
      <c r="M250" s="81">
        <v>7035605.8956737183</v>
      </c>
      <c r="N250" s="81">
        <v>7160338.169365936</v>
      </c>
      <c r="O250" s="81">
        <v>7281977.2929086005</v>
      </c>
      <c r="P250" s="81">
        <v>7400545.0862648822</v>
      </c>
      <c r="Q250" s="81">
        <v>7484215.1065777261</v>
      </c>
      <c r="R250" s="81">
        <v>7564462.9429710386</v>
      </c>
      <c r="S250" s="81">
        <v>7641293.9587912094</v>
      </c>
      <c r="T250" s="81">
        <v>7714801.0051919306</v>
      </c>
      <c r="U250" s="81">
        <v>7785030.8281556237</v>
      </c>
      <c r="V250" s="81">
        <v>7852068.4020930128</v>
      </c>
      <c r="W250" s="81">
        <v>7915968.7301215772</v>
      </c>
      <c r="X250" s="81">
        <v>7976843.2246798612</v>
      </c>
      <c r="Y250" s="81">
        <v>8034755.743725447</v>
      </c>
      <c r="Z250" s="81">
        <v>8089809.6588044278</v>
      </c>
      <c r="AA250" s="81">
        <v>8134502.1327847624</v>
      </c>
      <c r="AB250" s="81">
        <v>8176503.7778881416</v>
      </c>
      <c r="AC250" s="81">
        <v>8215976.093608628</v>
      </c>
      <c r="AD250" s="81">
        <v>8252994.5909279203</v>
      </c>
      <c r="AE250" s="81">
        <v>8287711.6687724506</v>
      </c>
      <c r="AF250" s="81">
        <v>8320247.7660506442</v>
      </c>
      <c r="AG250" s="81">
        <v>8350764.9053393137</v>
      </c>
      <c r="AH250" s="81">
        <v>8379392.7337442813</v>
      </c>
      <c r="AI250" s="81">
        <v>8406303.0655397587</v>
      </c>
      <c r="AJ250" s="81">
        <v>8431634.9207483083</v>
      </c>
      <c r="AK250" s="81">
        <v>8457502.7604892012</v>
      </c>
      <c r="AL250" s="81">
        <v>8482138.9609677419</v>
      </c>
      <c r="AM250" s="81">
        <v>8505715.6583884209</v>
      </c>
      <c r="AN250" s="81">
        <v>8528410.1613520831</v>
      </c>
      <c r="AO250" s="81">
        <v>8550424.7227558289</v>
      </c>
      <c r="AP250" s="81">
        <v>8571947.5303246006</v>
      </c>
      <c r="AQ250" s="81">
        <v>8593172.080367282</v>
      </c>
      <c r="AR250" s="81">
        <v>8614337.4813694153</v>
      </c>
      <c r="AS250" s="81">
        <v>8635628.525481008</v>
      </c>
      <c r="AT250" s="81">
        <v>8657296.110359095</v>
      </c>
    </row>
    <row r="251" spans="1:46" ht="15.75">
      <c r="A251" s="81" t="s">
        <v>450</v>
      </c>
      <c r="B251" s="83">
        <v>469025</v>
      </c>
      <c r="C251" s="80" t="s">
        <v>421</v>
      </c>
      <c r="D251" s="82" t="s">
        <v>600</v>
      </c>
      <c r="E251" s="81">
        <v>1904504.5238636595</v>
      </c>
      <c r="F251" s="81">
        <v>1963533.1997129542</v>
      </c>
      <c r="G251" s="81">
        <v>2010483.649883741</v>
      </c>
      <c r="H251" s="81">
        <v>2056513.7034177135</v>
      </c>
      <c r="I251" s="81">
        <v>2101625.7161097443</v>
      </c>
      <c r="J251" s="81">
        <v>2145799.578882141</v>
      </c>
      <c r="K251" s="81">
        <v>2189029.3241194836</v>
      </c>
      <c r="L251" s="81">
        <v>2231285.2662532693</v>
      </c>
      <c r="M251" s="81">
        <v>2272551.5786317871</v>
      </c>
      <c r="N251" s="81">
        <v>2312840.3774171066</v>
      </c>
      <c r="O251" s="81">
        <v>2352139.8078594352</v>
      </c>
      <c r="P251" s="81">
        <v>2390425.9711259124</v>
      </c>
      <c r="Q251" s="81">
        <v>2417454.3198731546</v>
      </c>
      <c r="R251" s="81">
        <v>2443368.6552200201</v>
      </c>
      <c r="S251" s="81">
        <v>2468193.4490984748</v>
      </c>
      <c r="T251" s="81">
        <v>2491940.7102020183</v>
      </c>
      <c r="U251" s="81">
        <v>2514623.5675873966</v>
      </c>
      <c r="V251" s="81">
        <v>2536270.5258866758</v>
      </c>
      <c r="W251" s="81">
        <v>2556911.6890692217</v>
      </c>
      <c r="X251" s="81">
        <v>2576578.7773248414</v>
      </c>
      <c r="Y251" s="81">
        <v>2595275.9758410091</v>
      </c>
      <c r="Z251" s="81">
        <v>2613066.9972894727</v>
      </c>
      <c r="AA251" s="81">
        <v>2627491.393750445</v>
      </c>
      <c r="AB251" s="81">
        <v>2641063.3032731903</v>
      </c>
      <c r="AC251" s="81">
        <v>2653809.744558095</v>
      </c>
      <c r="AD251" s="81">
        <v>2665773.950610308</v>
      </c>
      <c r="AE251" s="81">
        <v>2676985.4751433479</v>
      </c>
      <c r="AF251" s="81">
        <v>2687490.3144795327</v>
      </c>
      <c r="AG251" s="81">
        <v>2697351.4345633499</v>
      </c>
      <c r="AH251" s="81">
        <v>2706602.7472574925</v>
      </c>
      <c r="AI251" s="81">
        <v>2715294.9551508506</v>
      </c>
      <c r="AJ251" s="81">
        <v>2723464.6296687471</v>
      </c>
      <c r="AK251" s="81">
        <v>2731827.4979386013</v>
      </c>
      <c r="AL251" s="81">
        <v>2739792.1752380617</v>
      </c>
      <c r="AM251" s="81">
        <v>2747399.5513848718</v>
      </c>
      <c r="AN251" s="81">
        <v>2754724.1112353401</v>
      </c>
      <c r="AO251" s="81">
        <v>2761842.4989902843</v>
      </c>
      <c r="AP251" s="81">
        <v>2768784.3882769593</v>
      </c>
      <c r="AQ251" s="81">
        <v>2775646.2952204454</v>
      </c>
      <c r="AR251" s="81">
        <v>2782477.5746953208</v>
      </c>
      <c r="AS251" s="81">
        <v>2789362.3506355239</v>
      </c>
      <c r="AT251" s="81">
        <v>2796353.334776293</v>
      </c>
    </row>
    <row r="252" spans="1:46" ht="15.75">
      <c r="A252" s="81" t="s">
        <v>450</v>
      </c>
      <c r="B252" s="83">
        <v>469026</v>
      </c>
      <c r="C252" s="80" t="s">
        <v>421</v>
      </c>
      <c r="D252" s="82" t="s">
        <v>599</v>
      </c>
      <c r="E252" s="81">
        <v>3907430.3060793788</v>
      </c>
      <c r="F252" s="81">
        <v>4028540.7689057933</v>
      </c>
      <c r="G252" s="81">
        <v>4124864.1478044954</v>
      </c>
      <c r="H252" s="81">
        <v>4219320.8116321815</v>
      </c>
      <c r="I252" s="81">
        <v>4311879.4836914139</v>
      </c>
      <c r="J252" s="81">
        <v>4402512.4459872711</v>
      </c>
      <c r="K252" s="81">
        <v>4491195.5944455313</v>
      </c>
      <c r="L252" s="81">
        <v>4577870.9285683148</v>
      </c>
      <c r="M252" s="81">
        <v>4662558.3371539759</v>
      </c>
      <c r="N252" s="81">
        <v>4745225.6155947046</v>
      </c>
      <c r="O252" s="81">
        <v>4825843.4190553203</v>
      </c>
      <c r="P252" s="81">
        <v>4904405.0622411259</v>
      </c>
      <c r="Q252" s="81">
        <v>4959871.8072671192</v>
      </c>
      <c r="R252" s="81">
        <v>5013030.9095312972</v>
      </c>
      <c r="S252" s="81">
        <v>5063959.6164826239</v>
      </c>
      <c r="T252" s="81">
        <v>5112657.6293039694</v>
      </c>
      <c r="U252" s="81">
        <v>5159208.4188867584</v>
      </c>
      <c r="V252" s="81">
        <v>5203637.4009988382</v>
      </c>
      <c r="W252" s="81">
        <v>5245993.096323004</v>
      </c>
      <c r="X252" s="81">
        <v>5286326.9195092656</v>
      </c>
      <c r="Y252" s="81">
        <v>5324693.2098964294</v>
      </c>
      <c r="Z252" s="81">
        <v>5361192.0569370622</v>
      </c>
      <c r="AA252" s="81">
        <v>5390809.4793412276</v>
      </c>
      <c r="AB252" s="81">
        <v>5418650.9489028053</v>
      </c>
      <c r="AC252" s="81">
        <v>5444788.1997993244</v>
      </c>
      <c r="AD252" s="81">
        <v>5469317.6864389507</v>
      </c>
      <c r="AE252" s="81">
        <v>5492339.2160774218</v>
      </c>
      <c r="AF252" s="81">
        <v>5513889.1102653416</v>
      </c>
      <c r="AG252" s="81">
        <v>5534117.4977884917</v>
      </c>
      <c r="AH252" s="81">
        <v>5553088.7851649811</v>
      </c>
      <c r="AI252" s="81">
        <v>5570915.1217760816</v>
      </c>
      <c r="AJ252" s="81">
        <v>5587712.1507031517</v>
      </c>
      <c r="AK252" s="81">
        <v>5604846.4699313175</v>
      </c>
      <c r="AL252" s="81">
        <v>5621191.0686275521</v>
      </c>
      <c r="AM252" s="81">
        <v>5636801.7029760368</v>
      </c>
      <c r="AN252" s="81">
        <v>5651853.5974712847</v>
      </c>
      <c r="AO252" s="81">
        <v>5666432.2627176326</v>
      </c>
      <c r="AP252" s="81">
        <v>5680697.2714158399</v>
      </c>
      <c r="AQ252" s="81">
        <v>5694764.6452139672</v>
      </c>
      <c r="AR252" s="81">
        <v>5708777.7910218742</v>
      </c>
      <c r="AS252" s="81">
        <v>5722908.3379027126</v>
      </c>
      <c r="AT252" s="81">
        <v>5737258.9983675461</v>
      </c>
    </row>
    <row r="253" spans="1:46" ht="15.75">
      <c r="A253" s="81" t="s">
        <v>450</v>
      </c>
      <c r="B253" s="83">
        <v>469027</v>
      </c>
      <c r="C253" s="80" t="s">
        <v>421</v>
      </c>
      <c r="D253" s="82" t="s">
        <v>598</v>
      </c>
      <c r="E253" s="81">
        <v>5560081.7078977125</v>
      </c>
      <c r="F253" s="81">
        <v>5732415.1667638188</v>
      </c>
      <c r="G253" s="81">
        <v>5869467.1537810108</v>
      </c>
      <c r="H253" s="81">
        <v>6003877.1281737899</v>
      </c>
      <c r="I253" s="81">
        <v>6135588.2634873036</v>
      </c>
      <c r="J253" s="81">
        <v>6264548.122082823</v>
      </c>
      <c r="K253" s="81">
        <v>6390735.1000358667</v>
      </c>
      <c r="L253" s="81">
        <v>6514093.4172941279</v>
      </c>
      <c r="M253" s="81">
        <v>6634598.2767476579</v>
      </c>
      <c r="N253" s="81">
        <v>6752216.5453843288</v>
      </c>
      <c r="O253" s="81">
        <v>6866919.8418680578</v>
      </c>
      <c r="P253" s="81">
        <v>6978726.7571011242</v>
      </c>
      <c r="Q253" s="81">
        <v>7057630.2165126083</v>
      </c>
      <c r="R253" s="81">
        <v>7133294.0330267735</v>
      </c>
      <c r="S253" s="81">
        <v>7205757.1431442583</v>
      </c>
      <c r="T253" s="81">
        <v>7275061.9630932212</v>
      </c>
      <c r="U253" s="81">
        <v>7341298.3130464246</v>
      </c>
      <c r="V253" s="81">
        <v>7404516.7394774957</v>
      </c>
      <c r="W253" s="81">
        <v>7464771.3944369145</v>
      </c>
      <c r="X253" s="81">
        <v>7522179.997051443</v>
      </c>
      <c r="Y253" s="81">
        <v>7576790.3491500765</v>
      </c>
      <c r="Z253" s="81">
        <v>7628699.1643804144</v>
      </c>
      <c r="AA253" s="81">
        <v>7670847.4047424803</v>
      </c>
      <c r="AB253" s="81">
        <v>7710469.6406496139</v>
      </c>
      <c r="AC253" s="81">
        <v>7747667.9052017163</v>
      </c>
      <c r="AD253" s="81">
        <v>7782579.3930053702</v>
      </c>
      <c r="AE253" s="81">
        <v>7815314.5768565945</v>
      </c>
      <c r="AF253" s="81">
        <v>7846003.7401512768</v>
      </c>
      <c r="AG253" s="81">
        <v>7874781.5883247862</v>
      </c>
      <c r="AH253" s="81">
        <v>7901787.2879264383</v>
      </c>
      <c r="AI253" s="81">
        <v>7927148.3316031927</v>
      </c>
      <c r="AJ253" s="81">
        <v>7951045.1654798193</v>
      </c>
      <c r="AK253" s="81">
        <v>7975438.7430233341</v>
      </c>
      <c r="AL253" s="81">
        <v>7998676.1006656392</v>
      </c>
      <c r="AM253" s="81">
        <v>8020902.3465345437</v>
      </c>
      <c r="AN253" s="81">
        <v>8042300.4609403573</v>
      </c>
      <c r="AO253" s="81">
        <v>8063058.7776881922</v>
      </c>
      <c r="AP253" s="81">
        <v>8083354.0686597992</v>
      </c>
      <c r="AQ253" s="81">
        <v>8103385.1680461187</v>
      </c>
      <c r="AR253" s="81">
        <v>8123322.017357911</v>
      </c>
      <c r="AS253" s="81">
        <v>8143408.3922497686</v>
      </c>
      <c r="AT253" s="81">
        <v>8163824.883152199</v>
      </c>
    </row>
    <row r="254" spans="1:46" ht="15.75">
      <c r="A254" s="81" t="s">
        <v>450</v>
      </c>
      <c r="B254" s="83">
        <v>469028</v>
      </c>
      <c r="C254" s="80" t="s">
        <v>421</v>
      </c>
      <c r="D254" s="82" t="s">
        <v>597</v>
      </c>
      <c r="E254" s="81">
        <v>5293036.4871600652</v>
      </c>
      <c r="F254" s="81">
        <v>5457095.427460514</v>
      </c>
      <c r="G254" s="81">
        <v>5587561.1074992344</v>
      </c>
      <c r="H254" s="81">
        <v>5715498.8197814813</v>
      </c>
      <c r="I254" s="81">
        <v>5840896.3688908163</v>
      </c>
      <c r="J254" s="81">
        <v>5963670.7221004386</v>
      </c>
      <c r="K254" s="81">
        <v>6083788.2646790594</v>
      </c>
      <c r="L254" s="81">
        <v>6201220.3272200394</v>
      </c>
      <c r="M254" s="81">
        <v>6315927.2017813642</v>
      </c>
      <c r="N254" s="81">
        <v>6427905.9821244217</v>
      </c>
      <c r="O254" s="81">
        <v>6537110.3414510814</v>
      </c>
      <c r="P254" s="81">
        <v>6643530.8944956129</v>
      </c>
      <c r="Q254" s="81">
        <v>6718657.9413291626</v>
      </c>
      <c r="R254" s="81">
        <v>6790686.8190524923</v>
      </c>
      <c r="S254" s="81">
        <v>6859667.5966355158</v>
      </c>
      <c r="T254" s="81">
        <v>6925654.0836921968</v>
      </c>
      <c r="U254" s="81">
        <v>6988703.8719718792</v>
      </c>
      <c r="V254" s="81">
        <v>7048878.376850618</v>
      </c>
      <c r="W254" s="81">
        <v>7106260.5191393588</v>
      </c>
      <c r="X254" s="81">
        <v>7160902.1253795791</v>
      </c>
      <c r="Y254" s="81">
        <v>7212876.3323313687</v>
      </c>
      <c r="Z254" s="81">
        <v>7262296.3893569764</v>
      </c>
      <c r="AA254" s="81">
        <v>7302427.7340417989</v>
      </c>
      <c r="AB254" s="81">
        <v>7340138.8312041927</v>
      </c>
      <c r="AC254" s="81">
        <v>7375562.9820947545</v>
      </c>
      <c r="AD254" s="81">
        <v>7408801.0541505078</v>
      </c>
      <c r="AE254" s="81">
        <v>7439957.6377337296</v>
      </c>
      <c r="AF254" s="81">
        <v>7469178.709007578</v>
      </c>
      <c r="AG254" s="81">
        <v>7496558.2257325668</v>
      </c>
      <c r="AH254" s="81">
        <v>7522269.7410818441</v>
      </c>
      <c r="AI254" s="81">
        <v>7546415.4153636089</v>
      </c>
      <c r="AJ254" s="81">
        <v>7569158.7727196692</v>
      </c>
      <c r="AK254" s="81">
        <v>7592381.6136613572</v>
      </c>
      <c r="AL254" s="81">
        <v>7614502.1368119158</v>
      </c>
      <c r="AM254" s="81">
        <v>7635677.7639121795</v>
      </c>
      <c r="AN254" s="81">
        <v>7656050.777119616</v>
      </c>
      <c r="AO254" s="81">
        <v>7675807.6709140632</v>
      </c>
      <c r="AP254" s="81">
        <v>7695120.1499744495</v>
      </c>
      <c r="AQ254" s="81">
        <v>7714185.0282823741</v>
      </c>
      <c r="AR254" s="81">
        <v>7733163.7423444726</v>
      </c>
      <c r="AS254" s="81">
        <v>7752283.7274151016</v>
      </c>
      <c r="AT254" s="81">
        <v>7771737.126983312</v>
      </c>
    </row>
    <row r="255" spans="1:46" ht="15.75">
      <c r="A255" s="81" t="s">
        <v>450</v>
      </c>
      <c r="B255" s="83">
        <v>469029</v>
      </c>
      <c r="C255" s="80" t="s">
        <v>421</v>
      </c>
      <c r="D255" s="82" t="s">
        <v>596</v>
      </c>
      <c r="E255" s="81">
        <v>1928383.2912416421</v>
      </c>
      <c r="F255" s="81">
        <v>1988149.181765185</v>
      </c>
      <c r="G255" s="81">
        <v>2035674.5796085692</v>
      </c>
      <c r="H255" s="81">
        <v>2082296.7076610604</v>
      </c>
      <c r="I255" s="81">
        <v>2127969.5385644753</v>
      </c>
      <c r="J255" s="81">
        <v>2172700.8810922028</v>
      </c>
      <c r="K255" s="81">
        <v>2216474.2593174647</v>
      </c>
      <c r="L255" s="81">
        <v>2259247.1886966391</v>
      </c>
      <c r="M255" s="81">
        <v>2301047.1522617177</v>
      </c>
      <c r="N255" s="81">
        <v>2341834.6733765458</v>
      </c>
      <c r="O255" s="81">
        <v>2381627.7506279857</v>
      </c>
      <c r="P255" s="81">
        <v>2420403.9788417933</v>
      </c>
      <c r="Q255" s="81">
        <v>2447765.1734914738</v>
      </c>
      <c r="R255" s="81">
        <v>2474013.6842242954</v>
      </c>
      <c r="S255" s="81">
        <v>2499133.2005740227</v>
      </c>
      <c r="T255" s="81">
        <v>2523182.5192781198</v>
      </c>
      <c r="U255" s="81">
        <v>2546147.6150143608</v>
      </c>
      <c r="V255" s="81">
        <v>2568075.5822716136</v>
      </c>
      <c r="W255" s="81">
        <v>2588985.0477523725</v>
      </c>
      <c r="X255" s="81">
        <v>2608880.4343400276</v>
      </c>
      <c r="Y255" s="81">
        <v>2627829.2619625661</v>
      </c>
      <c r="Z255" s="81">
        <v>2645823.2884741272</v>
      </c>
      <c r="AA255" s="81">
        <v>2660450.2726057814</v>
      </c>
      <c r="AB255" s="81">
        <v>2674182.1410184125</v>
      </c>
      <c r="AC255" s="81">
        <v>2687096.1820041207</v>
      </c>
      <c r="AD255" s="81">
        <v>2699207.6335692923</v>
      </c>
      <c r="AE255" s="81">
        <v>2710564.9922578959</v>
      </c>
      <c r="AF255" s="81">
        <v>2721202.0506373146</v>
      </c>
      <c r="AG255" s="81">
        <v>2731186.7613230869</v>
      </c>
      <c r="AH255" s="81">
        <v>2740539.4662083741</v>
      </c>
      <c r="AI255" s="81">
        <v>2749348.0709185386</v>
      </c>
      <c r="AJ255" s="81">
        <v>2757635.8780055353</v>
      </c>
      <c r="AK255" s="81">
        <v>2766099.2251288141</v>
      </c>
      <c r="AL255" s="81">
        <v>2774158.5914210072</v>
      </c>
      <c r="AM255" s="81">
        <v>2781858.0473924875</v>
      </c>
      <c r="AN255" s="81">
        <v>2789277.5540558198</v>
      </c>
      <c r="AO255" s="81">
        <v>2796481.9982387503</v>
      </c>
      <c r="AP255" s="81">
        <v>2803520.623547635</v>
      </c>
      <c r="AQ255" s="81">
        <v>2810461.6936961021</v>
      </c>
      <c r="AR255" s="81">
        <v>2817375.3591999072</v>
      </c>
      <c r="AS255" s="81">
        <v>2824351.5296067367</v>
      </c>
      <c r="AT255" s="81">
        <v>2831428.5823093881</v>
      </c>
    </row>
    <row r="256" spans="1:46" ht="15.75">
      <c r="A256" s="81" t="s">
        <v>450</v>
      </c>
      <c r="B256" s="83">
        <v>469030</v>
      </c>
      <c r="C256" s="80" t="s">
        <v>421</v>
      </c>
      <c r="D256" s="82" t="s">
        <v>595</v>
      </c>
      <c r="E256" s="81">
        <v>2306486.8231804403</v>
      </c>
      <c r="F256" s="81">
        <v>2377984.7996091675</v>
      </c>
      <c r="G256" s="81">
        <v>2434839.9230247536</v>
      </c>
      <c r="H256" s="81">
        <v>2490590.4469632125</v>
      </c>
      <c r="I256" s="81">
        <v>2545233.4017324513</v>
      </c>
      <c r="J256" s="81">
        <v>2598726.8461057115</v>
      </c>
      <c r="K256" s="81">
        <v>2651072.0539849768</v>
      </c>
      <c r="L256" s="81">
        <v>2702244.6293813256</v>
      </c>
      <c r="M256" s="81">
        <v>2752236.2506705201</v>
      </c>
      <c r="N256" s="81">
        <v>2801026.2212403985</v>
      </c>
      <c r="O256" s="81">
        <v>2848610.3455688488</v>
      </c>
      <c r="P256" s="81">
        <v>2895001.8886059904</v>
      </c>
      <c r="Q256" s="81">
        <v>2927727.2572484273</v>
      </c>
      <c r="R256" s="81">
        <v>2959112.3365379544</v>
      </c>
      <c r="S256" s="81">
        <v>2989181.397693424</v>
      </c>
      <c r="T256" s="81">
        <v>3017929.2784039956</v>
      </c>
      <c r="U256" s="81">
        <v>3045398.6183149382</v>
      </c>
      <c r="V256" s="81">
        <v>3071634.2941510673</v>
      </c>
      <c r="W256" s="81">
        <v>3096635.608571907</v>
      </c>
      <c r="X256" s="81">
        <v>3120434.7735843095</v>
      </c>
      <c r="Y256" s="81">
        <v>3143098.1889408659</v>
      </c>
      <c r="Z256" s="81">
        <v>3164629.781192516</v>
      </c>
      <c r="AA256" s="81">
        <v>3182113.2541521522</v>
      </c>
      <c r="AB256" s="81">
        <v>3198551.9656197387</v>
      </c>
      <c r="AC256" s="81">
        <v>3213990.5262426934</v>
      </c>
      <c r="AD256" s="81">
        <v>3228475.2185507673</v>
      </c>
      <c r="AE256" s="81">
        <v>3242054.012199508</v>
      </c>
      <c r="AF256" s="81">
        <v>3254776.5792137319</v>
      </c>
      <c r="AG256" s="81">
        <v>3266711.4302703482</v>
      </c>
      <c r="AH256" s="81">
        <v>3277912.0333523331</v>
      </c>
      <c r="AI256" s="81">
        <v>3288450.958575449</v>
      </c>
      <c r="AJ256" s="81">
        <v>3298350.6023705923</v>
      </c>
      <c r="AK256" s="81">
        <v>3308468.1005944763</v>
      </c>
      <c r="AL256" s="81">
        <v>3318117.5182674201</v>
      </c>
      <c r="AM256" s="81">
        <v>3327343.8339025583</v>
      </c>
      <c r="AN256" s="81">
        <v>3336211.3852808652</v>
      </c>
      <c r="AO256" s="81">
        <v>3344822.5652420092</v>
      </c>
      <c r="AP256" s="81">
        <v>3353246.2781135133</v>
      </c>
      <c r="AQ256" s="81">
        <v>3361553.3736414737</v>
      </c>
      <c r="AR256" s="81">
        <v>3369835.1053125514</v>
      </c>
      <c r="AS256" s="81">
        <v>3378148.067882285</v>
      </c>
      <c r="AT256" s="81">
        <v>3386625.1154589145</v>
      </c>
    </row>
    <row r="257" spans="1:46" ht="15.75">
      <c r="A257" s="81" t="s">
        <v>450</v>
      </c>
      <c r="B257" s="80">
        <v>500000</v>
      </c>
      <c r="C257" s="80" t="s">
        <v>420</v>
      </c>
      <c r="D257" s="85" t="s">
        <v>420</v>
      </c>
      <c r="E257" s="81">
        <v>710530591.99355817</v>
      </c>
      <c r="F257" s="81">
        <v>727564601.79642093</v>
      </c>
      <c r="G257" s="81">
        <v>740303683.85640383</v>
      </c>
      <c r="H257" s="81">
        <v>752898416.07032526</v>
      </c>
      <c r="I257" s="81">
        <v>765319926.98150063</v>
      </c>
      <c r="J257" s="81">
        <v>777540436.73347521</v>
      </c>
      <c r="K257" s="81">
        <v>789533485.06462681</v>
      </c>
      <c r="L257" s="81">
        <v>801273898.59626544</v>
      </c>
      <c r="M257" s="81">
        <v>812738120.13848126</v>
      </c>
      <c r="N257" s="81">
        <v>823904202.34674311</v>
      </c>
      <c r="O257" s="81">
        <v>834751970.60764849</v>
      </c>
      <c r="P257" s="81">
        <v>845263267.31098497</v>
      </c>
      <c r="Q257" s="81">
        <v>851805852.22592378</v>
      </c>
      <c r="R257" s="81">
        <v>857967459.6997925</v>
      </c>
      <c r="S257" s="81">
        <v>863741797.83695221</v>
      </c>
      <c r="T257" s="81">
        <v>869124908.9194901</v>
      </c>
      <c r="U257" s="81">
        <v>874115531.64573145</v>
      </c>
      <c r="V257" s="81">
        <v>878715070.55807376</v>
      </c>
      <c r="W257" s="81">
        <v>882927724.14767289</v>
      </c>
      <c r="X257" s="81">
        <v>886760587.80680394</v>
      </c>
      <c r="Y257" s="81">
        <v>890223730.12301028</v>
      </c>
      <c r="Z257" s="81">
        <v>893330408.89989495</v>
      </c>
      <c r="AA257" s="81">
        <v>895261315.43407536</v>
      </c>
      <c r="AB257" s="81">
        <v>896875561.84169757</v>
      </c>
      <c r="AC257" s="81">
        <v>898197053.827829</v>
      </c>
      <c r="AD257" s="81">
        <v>899253236.13192225</v>
      </c>
      <c r="AE257" s="81">
        <v>900074932.58566988</v>
      </c>
      <c r="AF257" s="81">
        <v>900696701.26474285</v>
      </c>
      <c r="AG257" s="81">
        <v>901156760.88088405</v>
      </c>
      <c r="AH257" s="81">
        <v>901497176.92686963</v>
      </c>
      <c r="AI257" s="81">
        <v>901763963.0346967</v>
      </c>
      <c r="AJ257" s="81">
        <v>902007033.52830911</v>
      </c>
      <c r="AK257" s="81">
        <v>902488885.57970214</v>
      </c>
      <c r="AL257" s="81">
        <v>903058306.51226294</v>
      </c>
      <c r="AM257" s="81">
        <v>903778152.60823607</v>
      </c>
      <c r="AN257" s="81">
        <v>904715652.31945598</v>
      </c>
      <c r="AO257" s="81">
        <v>905942728.94135273</v>
      </c>
      <c r="AP257" s="81">
        <v>907536021.10402453</v>
      </c>
      <c r="AQ257" s="81">
        <v>909576963.27458048</v>
      </c>
      <c r="AR257" s="81">
        <v>912151929.18386924</v>
      </c>
      <c r="AS257" s="81">
        <v>915352377.47884119</v>
      </c>
      <c r="AT257" s="81">
        <v>919274935.53896201</v>
      </c>
    </row>
    <row r="258" spans="1:46" ht="15.75">
      <c r="A258" s="81" t="s">
        <v>450</v>
      </c>
      <c r="B258" s="80">
        <v>510100</v>
      </c>
      <c r="C258" s="80" t="s">
        <v>419</v>
      </c>
      <c r="D258" s="84" t="s">
        <v>594</v>
      </c>
      <c r="E258" s="81">
        <v>577109308.10177064</v>
      </c>
      <c r="F258" s="81">
        <v>594016596.49209046</v>
      </c>
      <c r="G258" s="81">
        <v>606748986.22964752</v>
      </c>
      <c r="H258" s="81">
        <v>618737066.32636499</v>
      </c>
      <c r="I258" s="81">
        <v>630016627.54295266</v>
      </c>
      <c r="J258" s="81">
        <v>640624033.41750121</v>
      </c>
      <c r="K258" s="81">
        <v>650595956.66368079</v>
      </c>
      <c r="L258" s="81">
        <v>659969318.49676168</v>
      </c>
      <c r="M258" s="81">
        <v>668781045.78806806</v>
      </c>
      <c r="N258" s="81">
        <v>677068007.45790219</v>
      </c>
      <c r="O258" s="81">
        <v>684866891.57039559</v>
      </c>
      <c r="P258" s="81">
        <v>692213856.16449618</v>
      </c>
      <c r="Q258" s="81">
        <v>696189046.17565668</v>
      </c>
      <c r="R258" s="81">
        <v>699783214.41165483</v>
      </c>
      <c r="S258" s="81">
        <v>703034736.98551011</v>
      </c>
      <c r="T258" s="81">
        <v>705980122.67158711</v>
      </c>
      <c r="U258" s="81">
        <v>708654061.5511049</v>
      </c>
      <c r="V258" s="81">
        <v>711089175.17722976</v>
      </c>
      <c r="W258" s="81">
        <v>713315997.97432148</v>
      </c>
      <c r="X258" s="81">
        <v>715362858.71923208</v>
      </c>
      <c r="Y258" s="81">
        <v>717255621.75200069</v>
      </c>
      <c r="Z258" s="81">
        <v>719017700.0221566</v>
      </c>
      <c r="AA258" s="81">
        <v>719997873.86455953</v>
      </c>
      <c r="AB258" s="81">
        <v>720889964.15169227</v>
      </c>
      <c r="AC258" s="81">
        <v>721709371.87893486</v>
      </c>
      <c r="AD258" s="81">
        <v>722468388.04063308</v>
      </c>
      <c r="AE258" s="81">
        <v>723176185.10098827</v>
      </c>
      <c r="AF258" s="81">
        <v>723838629.47749949</v>
      </c>
      <c r="AG258" s="81">
        <v>724458236.63076854</v>
      </c>
      <c r="AH258" s="81">
        <v>725033980.19470358</v>
      </c>
      <c r="AI258" s="81">
        <v>725561208.49309349</v>
      </c>
      <c r="AJ258" s="81">
        <v>726031561.34619021</v>
      </c>
      <c r="AK258" s="81">
        <v>726600426.27926874</v>
      </c>
      <c r="AL258" s="81">
        <v>727082885.92453623</v>
      </c>
      <c r="AM258" s="81">
        <v>727458506.31441331</v>
      </c>
      <c r="AN258" s="81">
        <v>727702514.5984261</v>
      </c>
      <c r="AO258" s="81">
        <v>727785858.87414551</v>
      </c>
      <c r="AP258" s="81">
        <v>727674845.73732531</v>
      </c>
      <c r="AQ258" s="81">
        <v>727331198.87313831</v>
      </c>
      <c r="AR258" s="81">
        <v>726711768.63459563</v>
      </c>
      <c r="AS258" s="81">
        <v>725768512.46841681</v>
      </c>
      <c r="AT258" s="81">
        <v>724448318.6501087</v>
      </c>
    </row>
    <row r="259" spans="1:46" ht="15.75">
      <c r="A259" s="81" t="s">
        <v>450</v>
      </c>
      <c r="B259" s="80">
        <v>510300</v>
      </c>
      <c r="C259" s="80" t="s">
        <v>419</v>
      </c>
      <c r="D259" s="84" t="s">
        <v>593</v>
      </c>
      <c r="E259" s="81">
        <v>48537947.624941237</v>
      </c>
      <c r="F259" s="81">
        <v>49545176.444733359</v>
      </c>
      <c r="G259" s="81">
        <v>50266707.127037078</v>
      </c>
      <c r="H259" s="81">
        <v>50985621.418270193</v>
      </c>
      <c r="I259" s="81">
        <v>51699530.87748231</v>
      </c>
      <c r="J259" s="81">
        <v>52406037.892234914</v>
      </c>
      <c r="K259" s="81">
        <v>53102911.379098982</v>
      </c>
      <c r="L259" s="81">
        <v>53787952.685592264</v>
      </c>
      <c r="M259" s="81">
        <v>54459111.932363197</v>
      </c>
      <c r="N259" s="81">
        <v>55114413.942205124</v>
      </c>
      <c r="O259" s="81">
        <v>55752011.929962657</v>
      </c>
      <c r="P259" s="81">
        <v>56370199.379922427</v>
      </c>
      <c r="Q259" s="81">
        <v>56726648.137675211</v>
      </c>
      <c r="R259" s="81">
        <v>57060449.818259791</v>
      </c>
      <c r="S259" s="81">
        <v>57370671.580882758</v>
      </c>
      <c r="T259" s="81">
        <v>57656621.859621666</v>
      </c>
      <c r="U259" s="81">
        <v>57917766.225870542</v>
      </c>
      <c r="V259" s="81">
        <v>58153781.513793901</v>
      </c>
      <c r="W259" s="81">
        <v>58364564.355200984</v>
      </c>
      <c r="X259" s="81">
        <v>58550263.96799913</v>
      </c>
      <c r="Y259" s="81">
        <v>58711218.787518285</v>
      </c>
      <c r="Z259" s="81">
        <v>58848037.001196593</v>
      </c>
      <c r="AA259" s="81">
        <v>58906569.668573223</v>
      </c>
      <c r="AB259" s="81">
        <v>58943275.152386524</v>
      </c>
      <c r="AC259" s="81">
        <v>58959604.53406781</v>
      </c>
      <c r="AD259" s="81">
        <v>58957258.675721258</v>
      </c>
      <c r="AE259" s="81">
        <v>58938220.891756088</v>
      </c>
      <c r="AF259" s="81">
        <v>58904714.029412135</v>
      </c>
      <c r="AG259" s="81">
        <v>58859335.71111495</v>
      </c>
      <c r="AH259" s="81">
        <v>58804939.734990232</v>
      </c>
      <c r="AI259" s="81">
        <v>58744694.950481541</v>
      </c>
      <c r="AJ259" s="81">
        <v>58682093.770258218</v>
      </c>
      <c r="AK259" s="81">
        <v>58634466.388686486</v>
      </c>
      <c r="AL259" s="81">
        <v>58592356.538691267</v>
      </c>
      <c r="AM259" s="81">
        <v>58560233.70507285</v>
      </c>
      <c r="AN259" s="81">
        <v>58543009.59648136</v>
      </c>
      <c r="AO259" s="81">
        <v>58545859.951242544</v>
      </c>
      <c r="AP259" s="81">
        <v>58574449.009818166</v>
      </c>
      <c r="AQ259" s="81">
        <v>58634722.304273851</v>
      </c>
      <c r="AR259" s="81">
        <v>58733106.508280151</v>
      </c>
      <c r="AS259" s="81">
        <v>58876354.334820226</v>
      </c>
      <c r="AT259" s="81">
        <v>59071719.96489206</v>
      </c>
    </row>
    <row r="260" spans="1:46" ht="15.75">
      <c r="A260" s="81" t="s">
        <v>450</v>
      </c>
      <c r="B260" s="80">
        <v>510400</v>
      </c>
      <c r="C260" s="80" t="s">
        <v>419</v>
      </c>
      <c r="D260" s="84" t="s">
        <v>592</v>
      </c>
      <c r="E260" s="81">
        <v>31043443.320072271</v>
      </c>
      <c r="F260" s="81">
        <v>31869738.299240693</v>
      </c>
      <c r="G260" s="81">
        <v>32500498.361682151</v>
      </c>
      <c r="H260" s="81">
        <v>33117788.717093818</v>
      </c>
      <c r="I260" s="81">
        <v>33721116.0092692</v>
      </c>
      <c r="J260" s="81">
        <v>34309995.011820063</v>
      </c>
      <c r="K260" s="81">
        <v>34883948.812196784</v>
      </c>
      <c r="L260" s="81">
        <v>35442537.448229745</v>
      </c>
      <c r="M260" s="81">
        <v>35985417.558486864</v>
      </c>
      <c r="N260" s="81">
        <v>36512231.35263516</v>
      </c>
      <c r="O260" s="81">
        <v>37022664.126627378</v>
      </c>
      <c r="P260" s="81">
        <v>37516446.351499699</v>
      </c>
      <c r="Q260" s="81">
        <v>37832805.976129614</v>
      </c>
      <c r="R260" s="81">
        <v>38131269.473039679</v>
      </c>
      <c r="S260" s="81">
        <v>38412014.547184043</v>
      </c>
      <c r="T260" s="81">
        <v>38675205.237580471</v>
      </c>
      <c r="U260" s="81">
        <v>38921053.187621787</v>
      </c>
      <c r="V260" s="81">
        <v>39149787.669869773</v>
      </c>
      <c r="W260" s="81">
        <v>39361750.75329344</v>
      </c>
      <c r="X260" s="81">
        <v>39557305.539230391</v>
      </c>
      <c r="Y260" s="81">
        <v>39736868.545005523</v>
      </c>
      <c r="Z260" s="81">
        <v>39900878.778614163</v>
      </c>
      <c r="AA260" s="81">
        <v>40012512.982417196</v>
      </c>
      <c r="AB260" s="81">
        <v>40109855.792775922</v>
      </c>
      <c r="AC260" s="81">
        <v>40193522.694447838</v>
      </c>
      <c r="AD260" s="81">
        <v>40264251.679240763</v>
      </c>
      <c r="AE260" s="81">
        <v>40322873.308515638</v>
      </c>
      <c r="AF260" s="81">
        <v>40370144.388623595</v>
      </c>
      <c r="AG260" s="81">
        <v>40407050.726877794</v>
      </c>
      <c r="AH260" s="81">
        <v>40434506.220350482</v>
      </c>
      <c r="AI260" s="81">
        <v>40453521.932227343</v>
      </c>
      <c r="AJ260" s="81">
        <v>40465208.635529153</v>
      </c>
      <c r="AK260" s="81">
        <v>40480051.818430796</v>
      </c>
      <c r="AL260" s="81">
        <v>40489893.497350916</v>
      </c>
      <c r="AM260" s="81">
        <v>40495977.475223303</v>
      </c>
      <c r="AN260" s="81">
        <v>40499654.24517142</v>
      </c>
      <c r="AO260" s="81">
        <v>40502383.712183647</v>
      </c>
      <c r="AP260" s="81">
        <v>40505629.559038773</v>
      </c>
      <c r="AQ260" s="81">
        <v>40510967.470590599</v>
      </c>
      <c r="AR260" s="81">
        <v>40520051.288861126</v>
      </c>
      <c r="AS260" s="81">
        <v>40534651.44092045</v>
      </c>
      <c r="AT260" s="81">
        <v>40556509.322135381</v>
      </c>
    </row>
    <row r="261" spans="1:46" ht="15.75">
      <c r="A261" s="81" t="s">
        <v>450</v>
      </c>
      <c r="B261" s="80">
        <v>510500</v>
      </c>
      <c r="C261" s="80" t="s">
        <v>419</v>
      </c>
      <c r="D261" s="84" t="s">
        <v>591</v>
      </c>
      <c r="E261" s="81">
        <v>80324040.132929832</v>
      </c>
      <c r="F261" s="81">
        <v>81925072.924539402</v>
      </c>
      <c r="G261" s="81">
        <v>83122579.435680121</v>
      </c>
      <c r="H261" s="81">
        <v>84379468.514189646</v>
      </c>
      <c r="I261" s="81">
        <v>85686156.906737268</v>
      </c>
      <c r="J261" s="81">
        <v>87033236.967646956</v>
      </c>
      <c r="K261" s="81">
        <v>88411396.533655971</v>
      </c>
      <c r="L261" s="81">
        <v>89811559.15884392</v>
      </c>
      <c r="M261" s="81">
        <v>91224885.205535412</v>
      </c>
      <c r="N261" s="81">
        <v>92642855.903123453</v>
      </c>
      <c r="O261" s="81">
        <v>94057231.394823521</v>
      </c>
      <c r="P261" s="81">
        <v>95460200.240788683</v>
      </c>
      <c r="Q261" s="81">
        <v>96434945.752361208</v>
      </c>
      <c r="R261" s="81">
        <v>97380158.018695951</v>
      </c>
      <c r="S261" s="81">
        <v>98289911.997538388</v>
      </c>
      <c r="T261" s="81">
        <v>99158882.175492138</v>
      </c>
      <c r="U261" s="81">
        <v>99982440.412437335</v>
      </c>
      <c r="V261" s="81">
        <v>100756642.38497737</v>
      </c>
      <c r="W261" s="81">
        <v>101478212.20987162</v>
      </c>
      <c r="X261" s="81">
        <v>102144735.5838653</v>
      </c>
      <c r="Y261" s="81">
        <v>102754484.07739954</v>
      </c>
      <c r="Z261" s="81">
        <v>103306657.22078483</v>
      </c>
      <c r="AA261" s="81">
        <v>103704375.76937898</v>
      </c>
      <c r="AB261" s="81">
        <v>104045525.16793716</v>
      </c>
      <c r="AC261" s="81">
        <v>104332039.32512483</v>
      </c>
      <c r="AD261" s="81">
        <v>104566831.41175914</v>
      </c>
      <c r="AE261" s="81">
        <v>104753751.54114558</v>
      </c>
      <c r="AF261" s="81">
        <v>104897690.16427571</v>
      </c>
      <c r="AG261" s="81">
        <v>105004535.34878907</v>
      </c>
      <c r="AH261" s="81">
        <v>105081277.7594189</v>
      </c>
      <c r="AI261" s="81">
        <v>105136018.0012631</v>
      </c>
      <c r="AJ261" s="81">
        <v>105177897.04475844</v>
      </c>
      <c r="AK261" s="81">
        <v>105241592.57497944</v>
      </c>
      <c r="AL261" s="81">
        <v>105314246.63129549</v>
      </c>
      <c r="AM261" s="81">
        <v>105408606.27783605</v>
      </c>
      <c r="AN261" s="81">
        <v>105538753.0910868</v>
      </c>
      <c r="AO261" s="81">
        <v>105720060.86607675</v>
      </c>
      <c r="AP261" s="81">
        <v>105969203.38419348</v>
      </c>
      <c r="AQ261" s="81">
        <v>106304294.63377294</v>
      </c>
      <c r="AR261" s="81">
        <v>106744819.0594611</v>
      </c>
      <c r="AS261" s="81">
        <v>107311665.84089918</v>
      </c>
      <c r="AT261" s="81">
        <v>108027299.38401729</v>
      </c>
    </row>
    <row r="262" spans="1:46" ht="15.75">
      <c r="A262" s="81" t="s">
        <v>450</v>
      </c>
      <c r="B262" s="80">
        <v>510600</v>
      </c>
      <c r="C262" s="80" t="s">
        <v>419</v>
      </c>
      <c r="D262" s="84" t="s">
        <v>590</v>
      </c>
      <c r="E262" s="81">
        <v>67741446.397526368</v>
      </c>
      <c r="F262" s="81">
        <v>69390841.845828637</v>
      </c>
      <c r="G262" s="81">
        <v>70590761.62906979</v>
      </c>
      <c r="H262" s="81">
        <v>71739744.324422836</v>
      </c>
      <c r="I262" s="81">
        <v>72837921.68771933</v>
      </c>
      <c r="J262" s="81">
        <v>73885516.727055073</v>
      </c>
      <c r="K262" s="81">
        <v>74882843.889835134</v>
      </c>
      <c r="L262" s="81">
        <v>75830330.960360974</v>
      </c>
      <c r="M262" s="81">
        <v>76728498.596615613</v>
      </c>
      <c r="N262" s="81">
        <v>77578005.052335605</v>
      </c>
      <c r="O262" s="81">
        <v>78379603.97642374</v>
      </c>
      <c r="P262" s="81">
        <v>79134098.832204595</v>
      </c>
      <c r="Q262" s="81">
        <v>79504982.166601375</v>
      </c>
      <c r="R262" s="81">
        <v>79831610.565045506</v>
      </c>
      <c r="S262" s="81">
        <v>80115625.316327557</v>
      </c>
      <c r="T262" s="81">
        <v>80358888.472868204</v>
      </c>
      <c r="U262" s="81">
        <v>80563203.804335326</v>
      </c>
      <c r="V262" s="81">
        <v>80730527.825072765</v>
      </c>
      <c r="W262" s="81">
        <v>80862828.413222045</v>
      </c>
      <c r="X262" s="81">
        <v>80962204.618510976</v>
      </c>
      <c r="Y262" s="81">
        <v>81030815.719860956</v>
      </c>
      <c r="Z262" s="81">
        <v>81070856.336906224</v>
      </c>
      <c r="AA262" s="81">
        <v>81009010.998748153</v>
      </c>
      <c r="AB262" s="81">
        <v>80924048.412723377</v>
      </c>
      <c r="AC262" s="81">
        <v>80818442.218011901</v>
      </c>
      <c r="AD262" s="81">
        <v>80694741.660337597</v>
      </c>
      <c r="AE262" s="81">
        <v>80555597.858084217</v>
      </c>
      <c r="AF262" s="81">
        <v>80403713.749348238</v>
      </c>
      <c r="AG262" s="81">
        <v>80241817.919794202</v>
      </c>
      <c r="AH262" s="81">
        <v>80072768.050542757</v>
      </c>
      <c r="AI262" s="81">
        <v>79899421.759142429</v>
      </c>
      <c r="AJ262" s="81">
        <v>79724767.047186658</v>
      </c>
      <c r="AK262" s="81">
        <v>79570208.466345891</v>
      </c>
      <c r="AL262" s="81">
        <v>79420222.265035838</v>
      </c>
      <c r="AM262" s="81">
        <v>79278041.60043475</v>
      </c>
      <c r="AN262" s="81">
        <v>79146875.055361137</v>
      </c>
      <c r="AO262" s="81">
        <v>79030068.06105496</v>
      </c>
      <c r="AP262" s="81">
        <v>78930967.467923164</v>
      </c>
      <c r="AQ262" s="81">
        <v>78853030.539614022</v>
      </c>
      <c r="AR262" s="81">
        <v>78799826.548754051</v>
      </c>
      <c r="AS262" s="81">
        <v>78774953.928615376</v>
      </c>
      <c r="AT262" s="81">
        <v>78782067.40546903</v>
      </c>
    </row>
    <row r="263" spans="1:46" ht="15.75">
      <c r="A263" s="81" t="s">
        <v>450</v>
      </c>
      <c r="B263" s="80">
        <v>510700</v>
      </c>
      <c r="C263" s="80" t="s">
        <v>419</v>
      </c>
      <c r="D263" s="84" t="s">
        <v>589</v>
      </c>
      <c r="E263" s="81">
        <v>95221106.370253563</v>
      </c>
      <c r="F263" s="81">
        <v>97589457.593830004</v>
      </c>
      <c r="G263" s="81">
        <v>99336847.068404824</v>
      </c>
      <c r="H263" s="81">
        <v>101022466.77699034</v>
      </c>
      <c r="I263" s="81">
        <v>102645376.94381</v>
      </c>
      <c r="J263" s="81">
        <v>104204869.63573365</v>
      </c>
      <c r="K263" s="81">
        <v>105700351.24494843</v>
      </c>
      <c r="L263" s="81">
        <v>107131432.06311734</v>
      </c>
      <c r="M263" s="81">
        <v>108497890.72327916</v>
      </c>
      <c r="N263" s="81">
        <v>109799679.88378525</v>
      </c>
      <c r="O263" s="81">
        <v>111036954.50606185</v>
      </c>
      <c r="P263" s="81">
        <v>112210056.24825831</v>
      </c>
      <c r="Q263" s="81">
        <v>112840481.22603802</v>
      </c>
      <c r="R263" s="81">
        <v>113408252.54505205</v>
      </c>
      <c r="S263" s="81">
        <v>113915052.79537861</v>
      </c>
      <c r="T263" s="81">
        <v>114362868.73898393</v>
      </c>
      <c r="U263" s="81">
        <v>114753739.45549127</v>
      </c>
      <c r="V263" s="81">
        <v>115089971.01544115</v>
      </c>
      <c r="W263" s="81">
        <v>115374047.61978406</v>
      </c>
      <c r="X263" s="81">
        <v>115608611.21204126</v>
      </c>
      <c r="Y263" s="81">
        <v>115796538.06081992</v>
      </c>
      <c r="Z263" s="81">
        <v>115940870.54087044</v>
      </c>
      <c r="AA263" s="81">
        <v>115936671.99009341</v>
      </c>
      <c r="AB263" s="81">
        <v>115896587.67474172</v>
      </c>
      <c r="AC263" s="81">
        <v>115824385.62951304</v>
      </c>
      <c r="AD263" s="81">
        <v>115724026.02211618</v>
      </c>
      <c r="AE263" s="81">
        <v>115599715.89225054</v>
      </c>
      <c r="AF263" s="81">
        <v>115455837.26425889</v>
      </c>
      <c r="AG263" s="81">
        <v>115297001.77464496</v>
      </c>
      <c r="AH263" s="81">
        <v>115128055.22058885</v>
      </c>
      <c r="AI263" s="81">
        <v>114954055.87391214</v>
      </c>
      <c r="AJ263" s="81">
        <v>114780278.22131743</v>
      </c>
      <c r="AK263" s="81">
        <v>114638700.45149727</v>
      </c>
      <c r="AL263" s="81">
        <v>114508362.79916377</v>
      </c>
      <c r="AM263" s="81">
        <v>114395280.63497819</v>
      </c>
      <c r="AN263" s="81">
        <v>114305734.87776047</v>
      </c>
      <c r="AO263" s="81">
        <v>114246222.25457732</v>
      </c>
      <c r="AP263" s="81">
        <v>114223541.11049342</v>
      </c>
      <c r="AQ263" s="81">
        <v>114244714.18435371</v>
      </c>
      <c r="AR263" s="81">
        <v>114317019.75202473</v>
      </c>
      <c r="AS263" s="81">
        <v>114448108.23183815</v>
      </c>
      <c r="AT263" s="81">
        <v>114645783.78831944</v>
      </c>
    </row>
    <row r="264" spans="1:46" ht="15.75">
      <c r="A264" s="81" t="s">
        <v>450</v>
      </c>
      <c r="B264" s="80">
        <v>510800</v>
      </c>
      <c r="C264" s="80" t="s">
        <v>419</v>
      </c>
      <c r="D264" s="84" t="s">
        <v>588</v>
      </c>
      <c r="E264" s="81">
        <v>38802275.948995501</v>
      </c>
      <c r="F264" s="81">
        <v>39768239.886643507</v>
      </c>
      <c r="G264" s="81">
        <v>40495734.023626409</v>
      </c>
      <c r="H264" s="81">
        <v>41211187.578401461</v>
      </c>
      <c r="I264" s="81">
        <v>41912756.977263138</v>
      </c>
      <c r="J264" s="81">
        <v>42598715.473903574</v>
      </c>
      <c r="K264" s="81">
        <v>43267409.089136392</v>
      </c>
      <c r="L264" s="81">
        <v>43917320.415405035</v>
      </c>
      <c r="M264" s="81">
        <v>44546985.601884767</v>
      </c>
      <c r="N264" s="81">
        <v>45155076.602606826</v>
      </c>
      <c r="O264" s="81">
        <v>45740392.369116925</v>
      </c>
      <c r="P264" s="81">
        <v>46301868.364921339</v>
      </c>
      <c r="Q264" s="81">
        <v>46640584.421150841</v>
      </c>
      <c r="R264" s="81">
        <v>46953176.937978968</v>
      </c>
      <c r="S264" s="81">
        <v>47239410.561785296</v>
      </c>
      <c r="T264" s="81">
        <v>47499139.741314873</v>
      </c>
      <c r="U264" s="81">
        <v>47732475.648214303</v>
      </c>
      <c r="V264" s="81">
        <v>47939651.900255658</v>
      </c>
      <c r="W264" s="81">
        <v>48121132.736450605</v>
      </c>
      <c r="X264" s="81">
        <v>48277558.705606557</v>
      </c>
      <c r="Y264" s="81">
        <v>48409731.669936404</v>
      </c>
      <c r="Z264" s="81">
        <v>48518747.734710313</v>
      </c>
      <c r="AA264" s="81">
        <v>48560485.184885576</v>
      </c>
      <c r="AB264" s="81">
        <v>48582111.292174332</v>
      </c>
      <c r="AC264" s="81">
        <v>48585401.021475591</v>
      </c>
      <c r="AD264" s="81">
        <v>48572294.847522825</v>
      </c>
      <c r="AE264" s="81">
        <v>48545034.977169417</v>
      </c>
      <c r="AF264" s="81">
        <v>48506107.605553195</v>
      </c>
      <c r="AG264" s="81">
        <v>48458182.562939465</v>
      </c>
      <c r="AH264" s="81">
        <v>48404252.384597905</v>
      </c>
      <c r="AI264" s="81">
        <v>48347505.611867353</v>
      </c>
      <c r="AJ264" s="81">
        <v>48291467.775318809</v>
      </c>
      <c r="AK264" s="81">
        <v>48251031.621110208</v>
      </c>
      <c r="AL264" s="81">
        <v>48218984.402586095</v>
      </c>
      <c r="AM264" s="81">
        <v>48199711.726297475</v>
      </c>
      <c r="AN264" s="81">
        <v>48197807.842713162</v>
      </c>
      <c r="AO264" s="81">
        <v>48218221.028687879</v>
      </c>
      <c r="AP264" s="81">
        <v>48266262.531469673</v>
      </c>
      <c r="AQ264" s="81">
        <v>48347448.560663201</v>
      </c>
      <c r="AR264" s="81">
        <v>48467695.951370396</v>
      </c>
      <c r="AS264" s="81">
        <v>48633259.565563619</v>
      </c>
      <c r="AT264" s="81">
        <v>48850691.217690714</v>
      </c>
    </row>
    <row r="265" spans="1:46" ht="15.75">
      <c r="A265" s="81" t="s">
        <v>450</v>
      </c>
      <c r="B265" s="80">
        <v>510900</v>
      </c>
      <c r="C265" s="80" t="s">
        <v>419</v>
      </c>
      <c r="D265" s="84" t="s">
        <v>587</v>
      </c>
      <c r="E265" s="81">
        <v>52231154.641182274</v>
      </c>
      <c r="F265" s="81">
        <v>53651000.496843636</v>
      </c>
      <c r="G265" s="81">
        <v>54728678.415218331</v>
      </c>
      <c r="H265" s="81">
        <v>55771221.417636067</v>
      </c>
      <c r="I265" s="81">
        <v>56778448.035397768</v>
      </c>
      <c r="J265" s="81">
        <v>57750327.324800052</v>
      </c>
      <c r="K265" s="81">
        <v>58686822.190364167</v>
      </c>
      <c r="L265" s="81">
        <v>59588070.87047226</v>
      </c>
      <c r="M265" s="81">
        <v>60454227.400027595</v>
      </c>
      <c r="N265" s="81">
        <v>61285628.014313497</v>
      </c>
      <c r="O265" s="81">
        <v>62082648.855016895</v>
      </c>
      <c r="P265" s="81">
        <v>62845769.490580097</v>
      </c>
      <c r="Q265" s="81">
        <v>63306820.912418716</v>
      </c>
      <c r="R265" s="81">
        <v>63734432.166879989</v>
      </c>
      <c r="S265" s="81">
        <v>64129826.988957845</v>
      </c>
      <c r="T265" s="81">
        <v>64494311.901221633</v>
      </c>
      <c r="U265" s="81">
        <v>64829255.146216825</v>
      </c>
      <c r="V265" s="81">
        <v>65136087.320936859</v>
      </c>
      <c r="W265" s="81">
        <v>65416393.841080345</v>
      </c>
      <c r="X265" s="81">
        <v>65671757.239908077</v>
      </c>
      <c r="Y265" s="81">
        <v>65903918.344398916</v>
      </c>
      <c r="Z265" s="81">
        <v>66114639.550721318</v>
      </c>
      <c r="AA265" s="81">
        <v>66243985.587807313</v>
      </c>
      <c r="AB265" s="81">
        <v>66356048.877878964</v>
      </c>
      <c r="AC265" s="81">
        <v>66452887.551340811</v>
      </c>
      <c r="AD265" s="81">
        <v>66536719.176239319</v>
      </c>
      <c r="AE265" s="81">
        <v>66609827.301058009</v>
      </c>
      <c r="AF265" s="81">
        <v>66674513.048574962</v>
      </c>
      <c r="AG265" s="81">
        <v>66733266.584747523</v>
      </c>
      <c r="AH265" s="81">
        <v>66788573.284415573</v>
      </c>
      <c r="AI265" s="81">
        <v>66843061.715996414</v>
      </c>
      <c r="AJ265" s="81">
        <v>66899431.26030048</v>
      </c>
      <c r="AK265" s="81">
        <v>66975935.172123179</v>
      </c>
      <c r="AL265" s="81">
        <v>67059964.643579438</v>
      </c>
      <c r="AM265" s="81">
        <v>67154470.63413009</v>
      </c>
      <c r="AN265" s="81">
        <v>67262583.970760241</v>
      </c>
      <c r="AO265" s="81">
        <v>67387463.354915217</v>
      </c>
      <c r="AP265" s="81">
        <v>67532399.046225414</v>
      </c>
      <c r="AQ265" s="81">
        <v>67700788.895228788</v>
      </c>
      <c r="AR265" s="81">
        <v>67896139.88208349</v>
      </c>
      <c r="AS265" s="81">
        <v>68122042.933238134</v>
      </c>
      <c r="AT265" s="81">
        <v>68382227.403694764</v>
      </c>
    </row>
    <row r="266" spans="1:46" ht="15.75">
      <c r="A266" s="81" t="s">
        <v>450</v>
      </c>
      <c r="B266" s="80">
        <v>511000</v>
      </c>
      <c r="C266" s="80" t="s">
        <v>419</v>
      </c>
      <c r="D266" s="84" t="s">
        <v>586</v>
      </c>
      <c r="E266" s="81">
        <v>58164941.719984099</v>
      </c>
      <c r="F266" s="81">
        <v>59490829.002965562</v>
      </c>
      <c r="G266" s="81">
        <v>60464325.581173785</v>
      </c>
      <c r="H266" s="81">
        <v>61425905.923544593</v>
      </c>
      <c r="I266" s="81">
        <v>62373927.404958509</v>
      </c>
      <c r="J266" s="81">
        <v>63306774.030768223</v>
      </c>
      <c r="K266" s="81">
        <v>64222942.086036064</v>
      </c>
      <c r="L266" s="81">
        <v>65120968.146268912</v>
      </c>
      <c r="M266" s="81">
        <v>65999454.729406759</v>
      </c>
      <c r="N266" s="81">
        <v>66857118.638904527</v>
      </c>
      <c r="O266" s="81">
        <v>67692736.111272737</v>
      </c>
      <c r="P266" s="81">
        <v>68505212.657389551</v>
      </c>
      <c r="Q266" s="81">
        <v>69000644.241044641</v>
      </c>
      <c r="R266" s="81">
        <v>69470116.209416687</v>
      </c>
      <c r="S266" s="81">
        <v>69913252.652761519</v>
      </c>
      <c r="T266" s="81">
        <v>70329748.776920244</v>
      </c>
      <c r="U266" s="81">
        <v>70719463.475733906</v>
      </c>
      <c r="V266" s="81">
        <v>71082380.461715043</v>
      </c>
      <c r="W266" s="81">
        <v>71418635.735655829</v>
      </c>
      <c r="X266" s="81">
        <v>71728477.218211159</v>
      </c>
      <c r="Y266" s="81">
        <v>72012384.472426578</v>
      </c>
      <c r="Z266" s="81">
        <v>72270913.673602358</v>
      </c>
      <c r="AA266" s="81">
        <v>72437223.290834054</v>
      </c>
      <c r="AB266" s="81">
        <v>72580112.676083535</v>
      </c>
      <c r="AC266" s="81">
        <v>72700757.928865105</v>
      </c>
      <c r="AD266" s="81">
        <v>72800496.537845045</v>
      </c>
      <c r="AE266" s="81">
        <v>72880855.994466096</v>
      </c>
      <c r="AF266" s="81">
        <v>72943486.11453554</v>
      </c>
      <c r="AG266" s="81">
        <v>72990333.382441103</v>
      </c>
      <c r="AH266" s="81">
        <v>73023477.031949252</v>
      </c>
      <c r="AI266" s="81">
        <v>73045206.496085286</v>
      </c>
      <c r="AJ266" s="81">
        <v>73057976.92262435</v>
      </c>
      <c r="AK266" s="81">
        <v>73081405.052833021</v>
      </c>
      <c r="AL266" s="81">
        <v>73101415.871429339</v>
      </c>
      <c r="AM266" s="81">
        <v>73121169.043648988</v>
      </c>
      <c r="AN266" s="81">
        <v>73144013.437074125</v>
      </c>
      <c r="AO266" s="81">
        <v>73173568.902236819</v>
      </c>
      <c r="AP266" s="81">
        <v>73213707.117340893</v>
      </c>
      <c r="AQ266" s="81">
        <v>73268479.027284071</v>
      </c>
      <c r="AR266" s="81">
        <v>73342276.606294438</v>
      </c>
      <c r="AS266" s="81">
        <v>73439708.858859316</v>
      </c>
      <c r="AT266" s="81">
        <v>73565606.261023179</v>
      </c>
    </row>
    <row r="267" spans="1:46" ht="15.75">
      <c r="A267" s="81" t="s">
        <v>450</v>
      </c>
      <c r="B267" s="80">
        <v>511100</v>
      </c>
      <c r="C267" s="80" t="s">
        <v>419</v>
      </c>
      <c r="D267" s="84" t="s">
        <v>585</v>
      </c>
      <c r="E267" s="81">
        <v>60934796.537368983</v>
      </c>
      <c r="F267" s="81">
        <v>62388776.891508915</v>
      </c>
      <c r="G267" s="81">
        <v>63451131.063663699</v>
      </c>
      <c r="H267" s="81">
        <v>64479456.23294352</v>
      </c>
      <c r="I267" s="81">
        <v>65472886.37001618</v>
      </c>
      <c r="J267" s="81">
        <v>66430666.879929677</v>
      </c>
      <c r="K267" s="81">
        <v>67352139.468975425</v>
      </c>
      <c r="L267" s="81">
        <v>68236725.445781812</v>
      </c>
      <c r="M267" s="81">
        <v>69084015.639752284</v>
      </c>
      <c r="N267" s="81">
        <v>69893625.884786159</v>
      </c>
      <c r="O267" s="81">
        <v>70665351.702957854</v>
      </c>
      <c r="P267" s="81">
        <v>71399064.983087465</v>
      </c>
      <c r="Q267" s="81">
        <v>71790016.53167586</v>
      </c>
      <c r="R267" s="81">
        <v>72143328.759999439</v>
      </c>
      <c r="S267" s="81">
        <v>72459703.208209276</v>
      </c>
      <c r="T267" s="81">
        <v>72740049.160552949</v>
      </c>
      <c r="U267" s="81">
        <v>72985303.468253195</v>
      </c>
      <c r="V267" s="81">
        <v>73196595.25401853</v>
      </c>
      <c r="W267" s="81">
        <v>73375156.982481033</v>
      </c>
      <c r="X267" s="81">
        <v>73522302.956168652</v>
      </c>
      <c r="Y267" s="81">
        <v>73639575.75781253</v>
      </c>
      <c r="Z267" s="81">
        <v>73728583.101327106</v>
      </c>
      <c r="AA267" s="81">
        <v>73722279.357323349</v>
      </c>
      <c r="AB267" s="81">
        <v>73691976.6506394</v>
      </c>
      <c r="AC267" s="81">
        <v>73639815.389338568</v>
      </c>
      <c r="AD267" s="81">
        <v>73568053.243031532</v>
      </c>
      <c r="AE267" s="81">
        <v>73479042.242393389</v>
      </c>
      <c r="AF267" s="81">
        <v>73375382.366655827</v>
      </c>
      <c r="AG267" s="81">
        <v>73259723.915982425</v>
      </c>
      <c r="AH267" s="81">
        <v>73134947.189291358</v>
      </c>
      <c r="AI267" s="81">
        <v>73004038.931623146</v>
      </c>
      <c r="AJ267" s="81">
        <v>72870172.001759127</v>
      </c>
      <c r="AK267" s="81">
        <v>72753500.064947054</v>
      </c>
      <c r="AL267" s="81">
        <v>72640513.100193366</v>
      </c>
      <c r="AM267" s="81">
        <v>72534892.418174878</v>
      </c>
      <c r="AN267" s="81">
        <v>72440523.561419204</v>
      </c>
      <c r="AO267" s="81">
        <v>72361419.90160279</v>
      </c>
      <c r="AP267" s="81">
        <v>72301805.769531608</v>
      </c>
      <c r="AQ267" s="81">
        <v>72266093.636958018</v>
      </c>
      <c r="AR267" s="81">
        <v>72258860.232551217</v>
      </c>
      <c r="AS267" s="81">
        <v>72284904.623384282</v>
      </c>
      <c r="AT267" s="81">
        <v>72349224.934957981</v>
      </c>
    </row>
    <row r="268" spans="1:46" ht="15.75">
      <c r="A268" s="81" t="s">
        <v>450</v>
      </c>
      <c r="B268" s="80">
        <v>511300</v>
      </c>
      <c r="C268" s="80" t="s">
        <v>419</v>
      </c>
      <c r="D268" s="84" t="s">
        <v>584</v>
      </c>
      <c r="E268" s="81">
        <v>100116942.87507966</v>
      </c>
      <c r="F268" s="81">
        <v>102618104.63994154</v>
      </c>
      <c r="G268" s="81">
        <v>104499597.08149964</v>
      </c>
      <c r="H268" s="81">
        <v>106347109.76122536</v>
      </c>
      <c r="I268" s="81">
        <v>108157448.63594647</v>
      </c>
      <c r="J268" s="81">
        <v>109927571.00235225</v>
      </c>
      <c r="K268" s="81">
        <v>111654697.70231737</v>
      </c>
      <c r="L268" s="81">
        <v>113336155.86202194</v>
      </c>
      <c r="M268" s="81">
        <v>114969589.32466611</v>
      </c>
      <c r="N268" s="81">
        <v>116552859.51216701</v>
      </c>
      <c r="O268" s="81">
        <v>118084019.64194933</v>
      </c>
      <c r="P268" s="81">
        <v>119561515.20319739</v>
      </c>
      <c r="Q268" s="81">
        <v>120472559.55632886</v>
      </c>
      <c r="R268" s="81">
        <v>121325718.8032359</v>
      </c>
      <c r="S268" s="81">
        <v>122121031.34810868</v>
      </c>
      <c r="T268" s="81">
        <v>122858939.14868389</v>
      </c>
      <c r="U268" s="81">
        <v>123540172.72888343</v>
      </c>
      <c r="V268" s="81">
        <v>124165826.87605911</v>
      </c>
      <c r="W268" s="81">
        <v>124737373.46872188</v>
      </c>
      <c r="X268" s="81">
        <v>125256630.01749298</v>
      </c>
      <c r="Y268" s="81">
        <v>125725838.1715045</v>
      </c>
      <c r="Z268" s="81">
        <v>126147587.57016319</v>
      </c>
      <c r="AA268" s="81">
        <v>126406920.94595283</v>
      </c>
      <c r="AB268" s="81">
        <v>126625824.92323104</v>
      </c>
      <c r="AC268" s="81">
        <v>126808306.00196171</v>
      </c>
      <c r="AD268" s="81">
        <v>126958774.14348155</v>
      </c>
      <c r="AE268" s="81">
        <v>127082076.66111502</v>
      </c>
      <c r="AF268" s="81">
        <v>127183556.65783021</v>
      </c>
      <c r="AG268" s="81">
        <v>127269042.4835491</v>
      </c>
      <c r="AH268" s="81">
        <v>127344741.07045083</v>
      </c>
      <c r="AI268" s="81">
        <v>127417462.3232539</v>
      </c>
      <c r="AJ268" s="81">
        <v>127494465.97159941</v>
      </c>
      <c r="AK268" s="81">
        <v>127612996.23030324</v>
      </c>
      <c r="AL268" s="81">
        <v>127751770.23990063</v>
      </c>
      <c r="AM268" s="81">
        <v>127919682.19188756</v>
      </c>
      <c r="AN268" s="81">
        <v>128126156.36362782</v>
      </c>
      <c r="AO268" s="81">
        <v>128381209.10806157</v>
      </c>
      <c r="AP268" s="81">
        <v>128695437.53132607</v>
      </c>
      <c r="AQ268" s="81">
        <v>129080108.54065788</v>
      </c>
      <c r="AR268" s="81">
        <v>129546970.70083022</v>
      </c>
      <c r="AS268" s="81">
        <v>130108545.54063289</v>
      </c>
      <c r="AT268" s="81">
        <v>130777887.807478</v>
      </c>
    </row>
    <row r="269" spans="1:46" ht="15.75">
      <c r="A269" s="81" t="s">
        <v>450</v>
      </c>
      <c r="B269" s="80">
        <v>511400</v>
      </c>
      <c r="C269" s="80" t="s">
        <v>419</v>
      </c>
      <c r="D269" s="84" t="s">
        <v>583</v>
      </c>
      <c r="E269" s="81">
        <v>50910060.250995934</v>
      </c>
      <c r="F269" s="81">
        <v>52109985.929466948</v>
      </c>
      <c r="G269" s="81">
        <v>52985024.221746869</v>
      </c>
      <c r="H269" s="81">
        <v>53833660.322051704</v>
      </c>
      <c r="I269" s="81">
        <v>54654888.997644365</v>
      </c>
      <c r="J269" s="81">
        <v>55447802.693347014</v>
      </c>
      <c r="K269" s="81">
        <v>56211597.813225262</v>
      </c>
      <c r="L269" s="81">
        <v>56945562.00148721</v>
      </c>
      <c r="M269" s="81">
        <v>57649079.365325585</v>
      </c>
      <c r="N269" s="81">
        <v>58321655.342018716</v>
      </c>
      <c r="O269" s="81">
        <v>58962883.645595394</v>
      </c>
      <c r="P269" s="81">
        <v>59572550.825920269</v>
      </c>
      <c r="Q269" s="81">
        <v>59896188.464338422</v>
      </c>
      <c r="R269" s="81">
        <v>60188299.889592148</v>
      </c>
      <c r="S269" s="81">
        <v>60449377.985571243</v>
      </c>
      <c r="T269" s="81">
        <v>60680074.868783958</v>
      </c>
      <c r="U269" s="81">
        <v>60881207.264334396</v>
      </c>
      <c r="V269" s="81">
        <v>61053656.604005642</v>
      </c>
      <c r="W269" s="81">
        <v>61198518.9627674</v>
      </c>
      <c r="X269" s="81">
        <v>61316962.435246415</v>
      </c>
      <c r="Y269" s="81">
        <v>61410379.496324442</v>
      </c>
      <c r="Z269" s="81">
        <v>61480242.113343216</v>
      </c>
      <c r="AA269" s="81">
        <v>61470831.789423473</v>
      </c>
      <c r="AB269" s="81">
        <v>61441876.751840293</v>
      </c>
      <c r="AC269" s="81">
        <v>61395390.691721432</v>
      </c>
      <c r="AD269" s="81">
        <v>61333561.110350333</v>
      </c>
      <c r="AE269" s="81">
        <v>61258731.157545805</v>
      </c>
      <c r="AF269" s="81">
        <v>61173448.538236499</v>
      </c>
      <c r="AG269" s="81">
        <v>61080402.279093027</v>
      </c>
      <c r="AH269" s="81">
        <v>60982448.597457379</v>
      </c>
      <c r="AI269" s="81">
        <v>60882637.716366172</v>
      </c>
      <c r="AJ269" s="81">
        <v>60784218.373752505</v>
      </c>
      <c r="AK269" s="81">
        <v>60704628.779972136</v>
      </c>
      <c r="AL269" s="81">
        <v>60633314.86690788</v>
      </c>
      <c r="AM269" s="81">
        <v>60574108.767235249</v>
      </c>
      <c r="AN269" s="81">
        <v>60531037.937780999</v>
      </c>
      <c r="AO269" s="81">
        <v>60508353.298338957</v>
      </c>
      <c r="AP269" s="81">
        <v>60510485.683643781</v>
      </c>
      <c r="AQ269" s="81">
        <v>60542122.353676818</v>
      </c>
      <c r="AR269" s="81">
        <v>60608139.121265598</v>
      </c>
      <c r="AS269" s="81">
        <v>60713628.464184977</v>
      </c>
      <c r="AT269" s="81">
        <v>60863978.432747096</v>
      </c>
    </row>
    <row r="270" spans="1:46" ht="15.75">
      <c r="A270" s="81" t="s">
        <v>450</v>
      </c>
      <c r="B270" s="80">
        <v>511500</v>
      </c>
      <c r="C270" s="80" t="s">
        <v>419</v>
      </c>
      <c r="D270" s="84" t="s">
        <v>582</v>
      </c>
      <c r="E270" s="81">
        <v>84892524.863136306</v>
      </c>
      <c r="F270" s="81">
        <v>86796898.595329538</v>
      </c>
      <c r="G270" s="81">
        <v>88254541.950560853</v>
      </c>
      <c r="H270" s="81">
        <v>89755764.899602711</v>
      </c>
      <c r="I270" s="81">
        <v>91291578.607189819</v>
      </c>
      <c r="J270" s="81">
        <v>92853082.85169442</v>
      </c>
      <c r="K270" s="81">
        <v>94431581.02348125</v>
      </c>
      <c r="L270" s="81">
        <v>96018599.615773529</v>
      </c>
      <c r="M270" s="81">
        <v>97605948.237011328</v>
      </c>
      <c r="N270" s="81">
        <v>99185718.82674408</v>
      </c>
      <c r="O270" s="81">
        <v>100750346.10953301</v>
      </c>
      <c r="P270" s="81">
        <v>102292648.71431166</v>
      </c>
      <c r="Q270" s="81">
        <v>103367071.76320867</v>
      </c>
      <c r="R270" s="81">
        <v>104401967.93843657</v>
      </c>
      <c r="S270" s="81">
        <v>105392211.99698196</v>
      </c>
      <c r="T270" s="81">
        <v>106333252.26517165</v>
      </c>
      <c r="U270" s="81">
        <v>107221227.66740976</v>
      </c>
      <c r="V270" s="81">
        <v>108052953.79592401</v>
      </c>
      <c r="W270" s="81">
        <v>108825929.95995009</v>
      </c>
      <c r="X270" s="81">
        <v>109538414.3658893</v>
      </c>
      <c r="Y270" s="81">
        <v>110189409.2483851</v>
      </c>
      <c r="Z270" s="81">
        <v>110778714.13237305</v>
      </c>
      <c r="AA270" s="81">
        <v>111203223.09481707</v>
      </c>
      <c r="AB270" s="81">
        <v>111568330.525712</v>
      </c>
      <c r="AC270" s="81">
        <v>111876620.79499581</v>
      </c>
      <c r="AD270" s="81">
        <v>112131540.53857781</v>
      </c>
      <c r="AE270" s="81">
        <v>112337497.97369544</v>
      </c>
      <c r="AF270" s="81">
        <v>112499868.24400732</v>
      </c>
      <c r="AG270" s="81">
        <v>112625022.5239442</v>
      </c>
      <c r="AH270" s="81">
        <v>112720332.77893437</v>
      </c>
      <c r="AI270" s="81">
        <v>112794274.96019031</v>
      </c>
      <c r="AJ270" s="81">
        <v>112856360.78285377</v>
      </c>
      <c r="AK270" s="81">
        <v>112943282.34202625</v>
      </c>
      <c r="AL270" s="81">
        <v>113040680.28929928</v>
      </c>
      <c r="AM270" s="81">
        <v>113161520.89678811</v>
      </c>
      <c r="AN270" s="81">
        <v>113320015.65129434</v>
      </c>
      <c r="AO270" s="81">
        <v>113531603.01064803</v>
      </c>
      <c r="AP270" s="81">
        <v>113813084.32436393</v>
      </c>
      <c r="AQ270" s="81">
        <v>114182476.40255424</v>
      </c>
      <c r="AR270" s="81">
        <v>114659252.17905262</v>
      </c>
      <c r="AS270" s="81">
        <v>115264192.30075991</v>
      </c>
      <c r="AT270" s="81">
        <v>116019549.98367393</v>
      </c>
    </row>
    <row r="271" spans="1:46" ht="15.75">
      <c r="A271" s="81" t="s">
        <v>450</v>
      </c>
      <c r="B271" s="80">
        <v>511600</v>
      </c>
      <c r="C271" s="80" t="s">
        <v>419</v>
      </c>
      <c r="D271" s="84" t="s">
        <v>581</v>
      </c>
      <c r="E271" s="81">
        <v>50374858.891327009</v>
      </c>
      <c r="F271" s="81">
        <v>51533543.487584472</v>
      </c>
      <c r="G271" s="81">
        <v>52418187.422353551</v>
      </c>
      <c r="H271" s="81">
        <v>53320126.176779345</v>
      </c>
      <c r="I271" s="81">
        <v>54234381.26310356</v>
      </c>
      <c r="J271" s="81">
        <v>55156161.663559765</v>
      </c>
      <c r="K271" s="81">
        <v>56080755.78537938</v>
      </c>
      <c r="L271" s="81">
        <v>57003636.071400911</v>
      </c>
      <c r="M271" s="81">
        <v>57920466.38863685</v>
      </c>
      <c r="N271" s="81">
        <v>58827073.311974302</v>
      </c>
      <c r="O271" s="81">
        <v>59719573.964263052</v>
      </c>
      <c r="P271" s="81">
        <v>60594295.939703606</v>
      </c>
      <c r="Q271" s="81">
        <v>61188112.083753653</v>
      </c>
      <c r="R271" s="81">
        <v>61755615.778111853</v>
      </c>
      <c r="S271" s="81">
        <v>62294466.890945628</v>
      </c>
      <c r="T271" s="81">
        <v>62802695.546389021</v>
      </c>
      <c r="U271" s="81">
        <v>63278737.588298902</v>
      </c>
      <c r="V271" s="81">
        <v>63721433.307882473</v>
      </c>
      <c r="W271" s="81">
        <v>64130063.600510612</v>
      </c>
      <c r="X271" s="81">
        <v>64504368.006263241</v>
      </c>
      <c r="Y271" s="81">
        <v>64844543.583803624</v>
      </c>
      <c r="Z271" s="81">
        <v>65151282.113784172</v>
      </c>
      <c r="AA271" s="81">
        <v>65364733.631510355</v>
      </c>
      <c r="AB271" s="81">
        <v>65547795.787420534</v>
      </c>
      <c r="AC271" s="81">
        <v>65702792.588410862</v>
      </c>
      <c r="AD271" s="81">
        <v>65832605.454345554</v>
      </c>
      <c r="AE271" s="81">
        <v>65940670.050264992</v>
      </c>
      <c r="AF271" s="81">
        <v>66031033.46592515</v>
      </c>
      <c r="AG271" s="81">
        <v>66108310.83987762</v>
      </c>
      <c r="AH271" s="81">
        <v>66177763.333550528</v>
      </c>
      <c r="AI271" s="81">
        <v>66245233.508043997</v>
      </c>
      <c r="AJ271" s="81">
        <v>66317307.295472413</v>
      </c>
      <c r="AK271" s="81">
        <v>66416473.593424864</v>
      </c>
      <c r="AL271" s="81">
        <v>66535248.514881425</v>
      </c>
      <c r="AM271" s="81">
        <v>66682244.236774884</v>
      </c>
      <c r="AN271" s="81">
        <v>66866835.466297239</v>
      </c>
      <c r="AO271" s="81">
        <v>67099071.487916082</v>
      </c>
      <c r="AP271" s="81">
        <v>67389845.089418069</v>
      </c>
      <c r="AQ271" s="81">
        <v>67750804.95264788</v>
      </c>
      <c r="AR271" s="81">
        <v>68194440.23311536</v>
      </c>
      <c r="AS271" s="81">
        <v>68734012.566500589</v>
      </c>
      <c r="AT271" s="81">
        <v>69383663.479089171</v>
      </c>
    </row>
    <row r="272" spans="1:46" ht="15.75">
      <c r="A272" s="81" t="s">
        <v>450</v>
      </c>
      <c r="B272" s="80">
        <v>511700</v>
      </c>
      <c r="C272" s="80" t="s">
        <v>419</v>
      </c>
      <c r="D272" s="84" t="s">
        <v>580</v>
      </c>
      <c r="E272" s="81">
        <v>90908630.851346314</v>
      </c>
      <c r="F272" s="81">
        <v>92930219.371944159</v>
      </c>
      <c r="G272" s="81">
        <v>94457431.149868295</v>
      </c>
      <c r="H272" s="81">
        <v>96017194.963807926</v>
      </c>
      <c r="I272" s="81">
        <v>97601606.770092294</v>
      </c>
      <c r="J272" s="81">
        <v>99202964.402672738</v>
      </c>
      <c r="K272" s="81">
        <v>100813712.88934134</v>
      </c>
      <c r="L272" s="81">
        <v>102426513.91689046</v>
      </c>
      <c r="M272" s="81">
        <v>104034261.94206139</v>
      </c>
      <c r="N272" s="81">
        <v>105630137.71217068</v>
      </c>
      <c r="O272" s="81">
        <v>107207605.56929819</v>
      </c>
      <c r="P272" s="81">
        <v>108760526.2326007</v>
      </c>
      <c r="Q272" s="81">
        <v>109816894.80264744</v>
      </c>
      <c r="R272" s="81">
        <v>110833796.91367869</v>
      </c>
      <c r="S272" s="81">
        <v>111806940.50630586</v>
      </c>
      <c r="T272" s="81">
        <v>112732611.71885131</v>
      </c>
      <c r="U272" s="81">
        <v>113607578.90702064</v>
      </c>
      <c r="V272" s="81">
        <v>114429300.30928531</v>
      </c>
      <c r="W272" s="81">
        <v>115195829.14916493</v>
      </c>
      <c r="X272" s="81">
        <v>115905817.86352623</v>
      </c>
      <c r="Y272" s="81">
        <v>116558690.49529555</v>
      </c>
      <c r="Z272" s="81">
        <v>117154481.93155828</v>
      </c>
      <c r="AA272" s="81">
        <v>117584272.06539403</v>
      </c>
      <c r="AB272" s="81">
        <v>117959545.62796211</v>
      </c>
      <c r="AC272" s="81">
        <v>118282790.68427178</v>
      </c>
      <c r="AD272" s="81">
        <v>118557307.37304071</v>
      </c>
      <c r="AE272" s="81">
        <v>118787233.24309035</v>
      </c>
      <c r="AF272" s="81">
        <v>118977524.51133539</v>
      </c>
      <c r="AG272" s="81">
        <v>119134025.01842164</v>
      </c>
      <c r="AH272" s="81">
        <v>119263492.29267319</v>
      </c>
      <c r="AI272" s="81">
        <v>119373578.63516818</v>
      </c>
      <c r="AJ272" s="81">
        <v>119472947.21831602</v>
      </c>
      <c r="AK272" s="81">
        <v>119598787.64095949</v>
      </c>
      <c r="AL272" s="81">
        <v>119733970.16806224</v>
      </c>
      <c r="AM272" s="81">
        <v>119890162.88950905</v>
      </c>
      <c r="AN272" s="81">
        <v>120080118.69133452</v>
      </c>
      <c r="AO272" s="81">
        <v>120317656.98549852</v>
      </c>
      <c r="AP272" s="81">
        <v>120617762.35118768</v>
      </c>
      <c r="AQ272" s="81">
        <v>120996519.19596486</v>
      </c>
      <c r="AR272" s="81">
        <v>121471259.13247523</v>
      </c>
      <c r="AS272" s="81">
        <v>122060495.67913468</v>
      </c>
      <c r="AT272" s="81">
        <v>122784025.85176098</v>
      </c>
    </row>
    <row r="273" spans="1:46" ht="15.75">
      <c r="A273" s="81" t="s">
        <v>450</v>
      </c>
      <c r="B273" s="80">
        <v>511800</v>
      </c>
      <c r="C273" s="80" t="s">
        <v>419</v>
      </c>
      <c r="D273" s="84" t="s">
        <v>579</v>
      </c>
      <c r="E273" s="81">
        <v>24986684.117017422</v>
      </c>
      <c r="F273" s="81">
        <v>25619961.896140296</v>
      </c>
      <c r="G273" s="81">
        <v>26099197.231978964</v>
      </c>
      <c r="H273" s="81">
        <v>26570610.690220278</v>
      </c>
      <c r="I273" s="81">
        <v>27033373.597142994</v>
      </c>
      <c r="J273" s="81">
        <v>27486747.800175864</v>
      </c>
      <c r="K273" s="81">
        <v>27930016.529253226</v>
      </c>
      <c r="L273" s="81">
        <v>28362486.734671205</v>
      </c>
      <c r="M273" s="81">
        <v>28783550.188990183</v>
      </c>
      <c r="N273" s="81">
        <v>29192570.680429958</v>
      </c>
      <c r="O273" s="81">
        <v>29589063.419225667</v>
      </c>
      <c r="P273" s="81">
        <v>29972522.108583551</v>
      </c>
      <c r="Q273" s="81">
        <v>30214253.02790894</v>
      </c>
      <c r="R273" s="81">
        <v>30441595.590894975</v>
      </c>
      <c r="S273" s="81">
        <v>30654428.416798022</v>
      </c>
      <c r="T273" s="81">
        <v>30852740.371740248</v>
      </c>
      <c r="U273" s="81">
        <v>31036529.030459579</v>
      </c>
      <c r="V273" s="81">
        <v>31205950.130290587</v>
      </c>
      <c r="W273" s="81">
        <v>31361151.583990015</v>
      </c>
      <c r="X273" s="81">
        <v>31502402.832630012</v>
      </c>
      <c r="Y273" s="81">
        <v>31630055.576335762</v>
      </c>
      <c r="Z273" s="81">
        <v>31744502.490993556</v>
      </c>
      <c r="AA273" s="81">
        <v>31816567.364510067</v>
      </c>
      <c r="AB273" s="81">
        <v>31876666.334629819</v>
      </c>
      <c r="AC273" s="81">
        <v>31925491.181285363</v>
      </c>
      <c r="AD273" s="81">
        <v>31963893.114249047</v>
      </c>
      <c r="AE273" s="81">
        <v>31992728.120950975</v>
      </c>
      <c r="AF273" s="81">
        <v>32012994.056337327</v>
      </c>
      <c r="AG273" s="81">
        <v>32025765.475204844</v>
      </c>
      <c r="AH273" s="81">
        <v>32032265.187826209</v>
      </c>
      <c r="AI273" s="81">
        <v>32033774.817891758</v>
      </c>
      <c r="AJ273" s="81">
        <v>32031659.441312712</v>
      </c>
      <c r="AK273" s="81">
        <v>32034857.543977842</v>
      </c>
      <c r="AL273" s="81">
        <v>32037487.870865762</v>
      </c>
      <c r="AM273" s="81">
        <v>32041325.090985298</v>
      </c>
      <c r="AN273" s="81">
        <v>32048167.777413826</v>
      </c>
      <c r="AO273" s="81">
        <v>32060008.61902285</v>
      </c>
      <c r="AP273" s="81">
        <v>32078917.062954847</v>
      </c>
      <c r="AQ273" s="81">
        <v>32107114.692360174</v>
      </c>
      <c r="AR273" s="81">
        <v>32146954.111560632</v>
      </c>
      <c r="AS273" s="81">
        <v>32200871.823987149</v>
      </c>
      <c r="AT273" s="81">
        <v>32271490.369885813</v>
      </c>
    </row>
    <row r="274" spans="1:46" ht="15.75">
      <c r="A274" s="81" t="s">
        <v>450</v>
      </c>
      <c r="B274" s="80">
        <v>511900</v>
      </c>
      <c r="C274" s="80" t="s">
        <v>419</v>
      </c>
      <c r="D274" s="84" t="s">
        <v>578</v>
      </c>
      <c r="E274" s="81">
        <v>42129110.371802904</v>
      </c>
      <c r="F274" s="81">
        <v>43263358.476458997</v>
      </c>
      <c r="G274" s="81">
        <v>44152817.254025318</v>
      </c>
      <c r="H274" s="81">
        <v>45042355.238806911</v>
      </c>
      <c r="I274" s="81">
        <v>45929091.065829962</v>
      </c>
      <c r="J274" s="81">
        <v>46810192.126267202</v>
      </c>
      <c r="K274" s="81">
        <v>47682970.322256401</v>
      </c>
      <c r="L274" s="81">
        <v>48544812.025257915</v>
      </c>
      <c r="M274" s="81">
        <v>49393276.430949457</v>
      </c>
      <c r="N274" s="81">
        <v>50226041.43346034</v>
      </c>
      <c r="O274" s="81">
        <v>51040934.008113451</v>
      </c>
      <c r="P274" s="81">
        <v>51835962.126814112</v>
      </c>
      <c r="Q274" s="81">
        <v>52386951.567121461</v>
      </c>
      <c r="R274" s="81">
        <v>52912567.890194282</v>
      </c>
      <c r="S274" s="81">
        <v>53411800.559575595</v>
      </c>
      <c r="T274" s="81">
        <v>53883848.499821775</v>
      </c>
      <c r="U274" s="81">
        <v>54328204.636474222</v>
      </c>
      <c r="V274" s="81">
        <v>54744591.753167182</v>
      </c>
      <c r="W274" s="81">
        <v>55132990.859253049</v>
      </c>
      <c r="X274" s="81">
        <v>55493689.928134382</v>
      </c>
      <c r="Y274" s="81">
        <v>55827276.054824553</v>
      </c>
      <c r="Z274" s="81">
        <v>56134567.835064963</v>
      </c>
      <c r="AA274" s="81">
        <v>56364148.120796606</v>
      </c>
      <c r="AB274" s="81">
        <v>56570175.611970976</v>
      </c>
      <c r="AC274" s="81">
        <v>56754501.352961406</v>
      </c>
      <c r="AD274" s="81">
        <v>56919380.263503708</v>
      </c>
      <c r="AE274" s="81">
        <v>57067381.624755509</v>
      </c>
      <c r="AF274" s="81">
        <v>57201377.474955454</v>
      </c>
      <c r="AG274" s="81">
        <v>57324695.216021657</v>
      </c>
      <c r="AH274" s="81">
        <v>57440985.503317975</v>
      </c>
      <c r="AI274" s="81">
        <v>57554272.492946513</v>
      </c>
      <c r="AJ274" s="81">
        <v>57669005.840143129</v>
      </c>
      <c r="AK274" s="81">
        <v>57803370.014479995</v>
      </c>
      <c r="AL274" s="81">
        <v>57949245.799932331</v>
      </c>
      <c r="AM274" s="81">
        <v>58112330.550439961</v>
      </c>
      <c r="AN274" s="81">
        <v>58298752.775567412</v>
      </c>
      <c r="AO274" s="81">
        <v>58515104.700029135</v>
      </c>
      <c r="AP274" s="81">
        <v>58768453.889153525</v>
      </c>
      <c r="AQ274" s="81">
        <v>59066310.853006504</v>
      </c>
      <c r="AR274" s="81">
        <v>59416706.026005752</v>
      </c>
      <c r="AS274" s="81">
        <v>59828135.357822068</v>
      </c>
      <c r="AT274" s="81">
        <v>60309660.888232432</v>
      </c>
    </row>
    <row r="275" spans="1:46" ht="15.75">
      <c r="A275" s="81" t="s">
        <v>450</v>
      </c>
      <c r="B275" s="80">
        <v>512000</v>
      </c>
      <c r="C275" s="80" t="s">
        <v>419</v>
      </c>
      <c r="D275" s="84" t="s">
        <v>577</v>
      </c>
      <c r="E275" s="81">
        <v>37011174.10502325</v>
      </c>
      <c r="F275" s="81">
        <v>37705966.500614576</v>
      </c>
      <c r="G275" s="81">
        <v>38192304.698269077</v>
      </c>
      <c r="H275" s="81">
        <v>38685699.799804471</v>
      </c>
      <c r="I275" s="81">
        <v>39183927.63689629</v>
      </c>
      <c r="J275" s="81">
        <v>39684827.245811045</v>
      </c>
      <c r="K275" s="81">
        <v>40186259.4170257</v>
      </c>
      <c r="L275" s="81">
        <v>40686185.083862484</v>
      </c>
      <c r="M275" s="81">
        <v>41182588.150549911</v>
      </c>
      <c r="N275" s="81">
        <v>41673572.985774197</v>
      </c>
      <c r="O275" s="81">
        <v>42157303.646413431</v>
      </c>
      <c r="P275" s="81">
        <v>42632049.31443134</v>
      </c>
      <c r="Q275" s="81">
        <v>42914013.490386404</v>
      </c>
      <c r="R275" s="81">
        <v>43183487.25961227</v>
      </c>
      <c r="S275" s="81">
        <v>43439278.667164028</v>
      </c>
      <c r="T275" s="81">
        <v>43680376.391909242</v>
      </c>
      <c r="U275" s="81">
        <v>43905880.530270487</v>
      </c>
      <c r="V275" s="81">
        <v>44115085.863648735</v>
      </c>
      <c r="W275" s="81">
        <v>44307470.57409206</v>
      </c>
      <c r="X275" s="81">
        <v>44482703.943905599</v>
      </c>
      <c r="Y275" s="81">
        <v>44640594.199560814</v>
      </c>
      <c r="Z275" s="81">
        <v>44781194.717704915</v>
      </c>
      <c r="AA275" s="81">
        <v>44862894.963499099</v>
      </c>
      <c r="AB275" s="81">
        <v>44928253.985399216</v>
      </c>
      <c r="AC275" s="81">
        <v>44977949.71200747</v>
      </c>
      <c r="AD275" s="81">
        <v>45012995.451321803</v>
      </c>
      <c r="AE275" s="81">
        <v>45034521.463785894</v>
      </c>
      <c r="AF275" s="81">
        <v>45044008.83405488</v>
      </c>
      <c r="AG275" s="81">
        <v>45043068.094151586</v>
      </c>
      <c r="AH275" s="81">
        <v>45033655.062197842</v>
      </c>
      <c r="AI275" s="81">
        <v>45017974.204807185</v>
      </c>
      <c r="AJ275" s="81">
        <v>44998442.448518552</v>
      </c>
      <c r="AK275" s="81">
        <v>44988207.539697997</v>
      </c>
      <c r="AL275" s="81">
        <v>44979801.129127532</v>
      </c>
      <c r="AM275" s="81">
        <v>44976540.288060531</v>
      </c>
      <c r="AN275" s="81">
        <v>44982030.285296433</v>
      </c>
      <c r="AO275" s="81">
        <v>45000216.686633609</v>
      </c>
      <c r="AP275" s="81">
        <v>45035304.663353771</v>
      </c>
      <c r="AQ275" s="81">
        <v>45091900.714030057</v>
      </c>
      <c r="AR275" s="81">
        <v>45174886.927659072</v>
      </c>
      <c r="AS275" s="81">
        <v>45289495.96490626</v>
      </c>
      <c r="AT275" s="81">
        <v>45441342.737955712</v>
      </c>
    </row>
    <row r="276" spans="1:46" ht="15.75">
      <c r="A276" s="81" t="s">
        <v>450</v>
      </c>
      <c r="B276" s="80">
        <v>513200</v>
      </c>
      <c r="C276" s="80" t="s">
        <v>419</v>
      </c>
      <c r="D276" s="84" t="s">
        <v>576</v>
      </c>
      <c r="E276" s="81">
        <v>12333611.753924306</v>
      </c>
      <c r="F276" s="81">
        <v>12716394.901986497</v>
      </c>
      <c r="G276" s="81">
        <v>13023938.783099381</v>
      </c>
      <c r="H276" s="81">
        <v>13328430.739562429</v>
      </c>
      <c r="I276" s="81">
        <v>13629516.741558556</v>
      </c>
      <c r="J276" s="81">
        <v>13926835.729485095</v>
      </c>
      <c r="K276" s="81">
        <v>14220069.113027196</v>
      </c>
      <c r="L276" s="81">
        <v>14508877.013470557</v>
      </c>
      <c r="M276" s="81">
        <v>14792981.895293297</v>
      </c>
      <c r="N276" s="81">
        <v>15072087.051654899</v>
      </c>
      <c r="O276" s="81">
        <v>15345927.664612498</v>
      </c>
      <c r="P276" s="81">
        <v>15614272.986141007</v>
      </c>
      <c r="Q276" s="81">
        <v>15809811.657776212</v>
      </c>
      <c r="R276" s="81">
        <v>15998535.856272645</v>
      </c>
      <c r="S276" s="81">
        <v>16180427.906385995</v>
      </c>
      <c r="T276" s="81">
        <v>16355419.880692173</v>
      </c>
      <c r="U276" s="81">
        <v>16523519.712550005</v>
      </c>
      <c r="V276" s="81">
        <v>16684758.761779835</v>
      </c>
      <c r="W276" s="81">
        <v>16839173.995487001</v>
      </c>
      <c r="X276" s="81">
        <v>16986864.340522893</v>
      </c>
      <c r="Y276" s="81">
        <v>17127917.329768434</v>
      </c>
      <c r="Z276" s="81">
        <v>17262522.795402348</v>
      </c>
      <c r="AA276" s="81">
        <v>17374623.596716031</v>
      </c>
      <c r="AB276" s="81">
        <v>17480598.968647726</v>
      </c>
      <c r="AC276" s="81">
        <v>17580705.434318095</v>
      </c>
      <c r="AD276" s="81">
        <v>17675248.415465523</v>
      </c>
      <c r="AE276" s="81">
        <v>17764603.37275533</v>
      </c>
      <c r="AF276" s="81">
        <v>17849118.638128221</v>
      </c>
      <c r="AG276" s="81">
        <v>17929254.100439578</v>
      </c>
      <c r="AH276" s="81">
        <v>18005443.813386261</v>
      </c>
      <c r="AI276" s="81">
        <v>18078196.056728221</v>
      </c>
      <c r="AJ276" s="81">
        <v>18148054.697101854</v>
      </c>
      <c r="AK276" s="81">
        <v>18219825.419586897</v>
      </c>
      <c r="AL276" s="81">
        <v>18289944.197572228</v>
      </c>
      <c r="AM276" s="81">
        <v>18359066.647634234</v>
      </c>
      <c r="AN276" s="81">
        <v>18427950.767280385</v>
      </c>
      <c r="AO276" s="81">
        <v>18497312.241873711</v>
      </c>
      <c r="AP276" s="81">
        <v>18568034.904305995</v>
      </c>
      <c r="AQ276" s="81">
        <v>18640940.668114085</v>
      </c>
      <c r="AR276" s="81">
        <v>18717002.144925077</v>
      </c>
      <c r="AS276" s="81">
        <v>18797152.082084939</v>
      </c>
      <c r="AT276" s="81">
        <v>18882434.128725864</v>
      </c>
    </row>
    <row r="277" spans="1:46" ht="15.75">
      <c r="A277" s="81" t="s">
        <v>450</v>
      </c>
      <c r="B277" s="80">
        <v>513300</v>
      </c>
      <c r="C277" s="80" t="s">
        <v>419</v>
      </c>
      <c r="D277" s="84" t="s">
        <v>575</v>
      </c>
      <c r="E277" s="81">
        <v>12996089.343671499</v>
      </c>
      <c r="F277" s="81">
        <v>13365954.249227898</v>
      </c>
      <c r="G277" s="81">
        <v>13665034.759722255</v>
      </c>
      <c r="H277" s="81">
        <v>13968843.431930328</v>
      </c>
      <c r="I277" s="81">
        <v>14276425.72825814</v>
      </c>
      <c r="J277" s="81">
        <v>14586837.999836465</v>
      </c>
      <c r="K277" s="81">
        <v>14899163.927579571</v>
      </c>
      <c r="L277" s="81">
        <v>15212505.900651863</v>
      </c>
      <c r="M277" s="81">
        <v>15525962.22652615</v>
      </c>
      <c r="N277" s="81">
        <v>15838682.764305653</v>
      </c>
      <c r="O277" s="81">
        <v>16149833.685276495</v>
      </c>
      <c r="P277" s="81">
        <v>16458627.940174785</v>
      </c>
      <c r="Q277" s="81">
        <v>16693420.232497247</v>
      </c>
      <c r="R277" s="81">
        <v>16923151.631084707</v>
      </c>
      <c r="S277" s="81">
        <v>17147248.128946099</v>
      </c>
      <c r="T277" s="81">
        <v>17365163.79622538</v>
      </c>
      <c r="U277" s="81">
        <v>17576425.276784986</v>
      </c>
      <c r="V277" s="81">
        <v>17780635.108601838</v>
      </c>
      <c r="W277" s="81">
        <v>17977416.950966299</v>
      </c>
      <c r="X277" s="81">
        <v>18166504.565941878</v>
      </c>
      <c r="Y277" s="81">
        <v>18347687.338422261</v>
      </c>
      <c r="Z277" s="81">
        <v>18520797.700974468</v>
      </c>
      <c r="AA277" s="81">
        <v>18668361.581819043</v>
      </c>
      <c r="AB277" s="81">
        <v>18807686.065812666</v>
      </c>
      <c r="AC277" s="81">
        <v>18938892.667480692</v>
      </c>
      <c r="AD277" s="81">
        <v>19062155.827953901</v>
      </c>
      <c r="AE277" s="81">
        <v>19177781.523532726</v>
      </c>
      <c r="AF277" s="81">
        <v>19286134.014793351</v>
      </c>
      <c r="AG277" s="81">
        <v>19387668.733406834</v>
      </c>
      <c r="AH277" s="81">
        <v>19482919.314460699</v>
      </c>
      <c r="AI277" s="81">
        <v>19572563.099034902</v>
      </c>
      <c r="AJ277" s="81">
        <v>19657345.905573968</v>
      </c>
      <c r="AK277" s="81">
        <v>19742656.168690588</v>
      </c>
      <c r="AL277" s="81">
        <v>19824912.025431357</v>
      </c>
      <c r="AM277" s="81">
        <v>19905157.077568341</v>
      </c>
      <c r="AN277" s="81">
        <v>19984562.851763994</v>
      </c>
      <c r="AO277" s="81">
        <v>20064432.388088029</v>
      </c>
      <c r="AP277" s="81">
        <v>20146137.523217153</v>
      </c>
      <c r="AQ277" s="81">
        <v>20231237.183508735</v>
      </c>
      <c r="AR277" s="81">
        <v>20321331.463194057</v>
      </c>
      <c r="AS277" s="81">
        <v>20418231.178731803</v>
      </c>
      <c r="AT277" s="81">
        <v>20523827.582238346</v>
      </c>
    </row>
    <row r="278" spans="1:46" ht="15.75">
      <c r="A278" s="81" t="s">
        <v>450</v>
      </c>
      <c r="B278" s="80">
        <v>513400</v>
      </c>
      <c r="C278" s="80" t="s">
        <v>419</v>
      </c>
      <c r="D278" s="84" t="s">
        <v>574</v>
      </c>
      <c r="E278" s="81">
        <v>64235480.701955669</v>
      </c>
      <c r="F278" s="81">
        <v>65876076.830353394</v>
      </c>
      <c r="G278" s="81">
        <v>67220096.459609568</v>
      </c>
      <c r="H278" s="81">
        <v>68636298.220305383</v>
      </c>
      <c r="I278" s="81">
        <v>70115550.159122348</v>
      </c>
      <c r="J278" s="81">
        <v>71648809.372649059</v>
      </c>
      <c r="K278" s="81">
        <v>73227101.006140158</v>
      </c>
      <c r="L278" s="81">
        <v>74841654.768020004</v>
      </c>
      <c r="M278" s="81">
        <v>76483841.846463233</v>
      </c>
      <c r="N278" s="81">
        <v>78145239.983039066</v>
      </c>
      <c r="O278" s="81">
        <v>79817731.873841137</v>
      </c>
      <c r="P278" s="81">
        <v>81493469.836540788</v>
      </c>
      <c r="Q278" s="81">
        <v>82813364.162300467</v>
      </c>
      <c r="R278" s="81">
        <v>84114527.587863818</v>
      </c>
      <c r="S278" s="81">
        <v>85390647.174491987</v>
      </c>
      <c r="T278" s="81">
        <v>86636004.655955151</v>
      </c>
      <c r="U278" s="81">
        <v>87845425.757479653</v>
      </c>
      <c r="V278" s="81">
        <v>89014339.398408011</v>
      </c>
      <c r="W278" s="81">
        <v>90138789.778531387</v>
      </c>
      <c r="X278" s="81">
        <v>91215513.844645128</v>
      </c>
      <c r="Y278" s="81">
        <v>92241888.728989154</v>
      </c>
      <c r="Z278" s="81">
        <v>93216076.222361282</v>
      </c>
      <c r="AA278" s="81">
        <v>94049111.837394223</v>
      </c>
      <c r="AB278" s="81">
        <v>94827693.708240762</v>
      </c>
      <c r="AC278" s="81">
        <v>95552410.459012821</v>
      </c>
      <c r="AD278" s="81">
        <v>96224716.03682968</v>
      </c>
      <c r="AE278" s="81">
        <v>96846888.95541437</v>
      </c>
      <c r="AF278" s="81">
        <v>97422110.904932603</v>
      </c>
      <c r="AG278" s="81">
        <v>97954442.54687959</v>
      </c>
      <c r="AH278" s="81">
        <v>98448921.006353199</v>
      </c>
      <c r="AI278" s="81">
        <v>98911518.320717052</v>
      </c>
      <c r="AJ278" s="81">
        <v>99349240.410638884</v>
      </c>
      <c r="AK278" s="81">
        <v>99793116.058945462</v>
      </c>
      <c r="AL278" s="81">
        <v>100229204.97841781</v>
      </c>
      <c r="AM278" s="81">
        <v>100667647.94328082</v>
      </c>
      <c r="AN278" s="81">
        <v>101119711.22855853</v>
      </c>
      <c r="AO278" s="81">
        <v>101597836.20320749</v>
      </c>
      <c r="AP278" s="81">
        <v>102115615.43516256</v>
      </c>
      <c r="AQ278" s="81">
        <v>102687879.37397297</v>
      </c>
      <c r="AR278" s="81">
        <v>103330672.27624048</v>
      </c>
      <c r="AS278" s="81">
        <v>104061359.22076195</v>
      </c>
      <c r="AT278" s="81">
        <v>104898621.62196341</v>
      </c>
    </row>
    <row r="279" spans="1:46" ht="15.75">
      <c r="A279" s="81" t="s">
        <v>450</v>
      </c>
      <c r="B279" s="80">
        <v>520100</v>
      </c>
      <c r="C279" s="80" t="s">
        <v>418</v>
      </c>
      <c r="D279" s="84" t="s">
        <v>573</v>
      </c>
      <c r="E279" s="81">
        <v>111540062.07587874</v>
      </c>
      <c r="F279" s="81">
        <v>114811019.85736038</v>
      </c>
      <c r="G279" s="81">
        <v>117369090.86898358</v>
      </c>
      <c r="H279" s="81">
        <v>119869518.93027478</v>
      </c>
      <c r="I279" s="81">
        <v>122311481.02901192</v>
      </c>
      <c r="J279" s="81">
        <v>124694179.14316335</v>
      </c>
      <c r="K279" s="81">
        <v>127017020.96646887</v>
      </c>
      <c r="L279" s="81">
        <v>129279482.84888685</v>
      </c>
      <c r="M279" s="81">
        <v>131481192.84491406</v>
      </c>
      <c r="N279" s="81">
        <v>133621892.4281463</v>
      </c>
      <c r="O279" s="81">
        <v>135701459.68437579</v>
      </c>
      <c r="P279" s="81">
        <v>137719912.29947898</v>
      </c>
      <c r="Q279" s="81">
        <v>139086905.14771831</v>
      </c>
      <c r="R279" s="81">
        <v>140388368.9561682</v>
      </c>
      <c r="S279" s="81">
        <v>141625598.16597825</v>
      </c>
      <c r="T279" s="81">
        <v>142799972.52882937</v>
      </c>
      <c r="U279" s="81">
        <v>143913071.67228445</v>
      </c>
      <c r="V279" s="81">
        <v>144966451.48550916</v>
      </c>
      <c r="W279" s="81">
        <v>145961871.4349277</v>
      </c>
      <c r="X279" s="81">
        <v>146901160.42593485</v>
      </c>
      <c r="Y279" s="81">
        <v>147786240.30613694</v>
      </c>
      <c r="Z279" s="81">
        <v>148619197.75025508</v>
      </c>
      <c r="AA279" s="81">
        <v>149262860.86894119</v>
      </c>
      <c r="AB279" s="81">
        <v>149858820.02549616</v>
      </c>
      <c r="AC279" s="81">
        <v>150409604.76679999</v>
      </c>
      <c r="AD279" s="81">
        <v>150917858.04042846</v>
      </c>
      <c r="AE279" s="81">
        <v>151386313.3578577</v>
      </c>
      <c r="AF279" s="81">
        <v>151817820.22853655</v>
      </c>
      <c r="AG279" s="81">
        <v>152215296.20768347</v>
      </c>
      <c r="AH279" s="81">
        <v>152581826.71895999</v>
      </c>
      <c r="AI279" s="81">
        <v>152920592.98421744</v>
      </c>
      <c r="AJ279" s="81">
        <v>153234898.14234304</v>
      </c>
      <c r="AK279" s="81">
        <v>153563558.42782691</v>
      </c>
      <c r="AL279" s="81">
        <v>153874575.18479648</v>
      </c>
      <c r="AM279" s="81">
        <v>154171566.24341774</v>
      </c>
      <c r="AN279" s="81">
        <v>154458280.23389909</v>
      </c>
      <c r="AO279" s="81">
        <v>154738624.53551105</v>
      </c>
      <c r="AP279" s="81">
        <v>155016588.89298996</v>
      </c>
      <c r="AQ279" s="81">
        <v>155296325.02398658</v>
      </c>
      <c r="AR279" s="81">
        <v>155582069.18428215</v>
      </c>
      <c r="AS279" s="81">
        <v>155878249.73428476</v>
      </c>
      <c r="AT279" s="81">
        <v>156189355.41164717</v>
      </c>
    </row>
    <row r="280" spans="1:46" ht="15.75">
      <c r="A280" s="81" t="s">
        <v>450</v>
      </c>
      <c r="B280" s="80">
        <v>520200</v>
      </c>
      <c r="C280" s="80" t="s">
        <v>418</v>
      </c>
      <c r="D280" s="84" t="s">
        <v>572</v>
      </c>
      <c r="E280" s="81">
        <v>46244783.82571356</v>
      </c>
      <c r="F280" s="81">
        <v>47599412.147988111</v>
      </c>
      <c r="G280" s="81">
        <v>48699376.379289269</v>
      </c>
      <c r="H280" s="81">
        <v>49812533.352894679</v>
      </c>
      <c r="I280" s="81">
        <v>50934751.840392575</v>
      </c>
      <c r="J280" s="81">
        <v>52061930.109761283</v>
      </c>
      <c r="K280" s="81">
        <v>53190110.284620941</v>
      </c>
      <c r="L280" s="81">
        <v>54315430.837373726</v>
      </c>
      <c r="M280" s="81">
        <v>55434160.206004567</v>
      </c>
      <c r="N280" s="81">
        <v>56542697.122356713</v>
      </c>
      <c r="O280" s="81">
        <v>57637675.791359164</v>
      </c>
      <c r="P280" s="81">
        <v>58715881.37594112</v>
      </c>
      <c r="Q280" s="81">
        <v>59521581.292520709</v>
      </c>
      <c r="R280" s="81">
        <v>60300751.449404001</v>
      </c>
      <c r="S280" s="81">
        <v>61051267.318214141</v>
      </c>
      <c r="T280" s="81">
        <v>61771305.798452176</v>
      </c>
      <c r="U280" s="81">
        <v>62459321.679327972</v>
      </c>
      <c r="V280" s="81">
        <v>63114135.014641844</v>
      </c>
      <c r="W280" s="81">
        <v>63734852.069392219</v>
      </c>
      <c r="X280" s="81">
        <v>64320915.335932039</v>
      </c>
      <c r="Y280" s="81">
        <v>64872136.282717787</v>
      </c>
      <c r="Z280" s="81">
        <v>65388690.444337718</v>
      </c>
      <c r="AA280" s="81">
        <v>65809719.638844095</v>
      </c>
      <c r="AB280" s="81">
        <v>66197369.16417776</v>
      </c>
      <c r="AC280" s="81">
        <v>66553102.202427454</v>
      </c>
      <c r="AD280" s="81">
        <v>66878774.650040545</v>
      </c>
      <c r="AE280" s="81">
        <v>67176727.222188547</v>
      </c>
      <c r="AF280" s="81">
        <v>67449679.28206481</v>
      </c>
      <c r="AG280" s="81">
        <v>67700841.220448777</v>
      </c>
      <c r="AH280" s="81">
        <v>67933887.9728394</v>
      </c>
      <c r="AI280" s="81">
        <v>68152951.602350369</v>
      </c>
      <c r="AJ280" s="81">
        <v>68362716.73832199</v>
      </c>
      <c r="AK280" s="81">
        <v>68584160.11319527</v>
      </c>
      <c r="AL280" s="81">
        <v>68807088.626558051</v>
      </c>
      <c r="AM280" s="81">
        <v>69037768.565141723</v>
      </c>
      <c r="AN280" s="81">
        <v>69282955.499383569</v>
      </c>
      <c r="AO280" s="81">
        <v>69550013.704402611</v>
      </c>
      <c r="AP280" s="81">
        <v>69846889.017066419</v>
      </c>
      <c r="AQ280" s="81">
        <v>70182080.090659961</v>
      </c>
      <c r="AR280" s="81">
        <v>70564761.095699072</v>
      </c>
      <c r="AS280" s="81">
        <v>71004732.825862169</v>
      </c>
      <c r="AT280" s="81">
        <v>71512393.469584391</v>
      </c>
    </row>
    <row r="281" spans="1:46" ht="15.75">
      <c r="A281" s="81" t="s">
        <v>450</v>
      </c>
      <c r="B281" s="80">
        <v>520300</v>
      </c>
      <c r="C281" s="80" t="s">
        <v>418</v>
      </c>
      <c r="D281" s="84" t="s">
        <v>571</v>
      </c>
      <c r="E281" s="81">
        <v>118070387.39178686</v>
      </c>
      <c r="F281" s="81">
        <v>120952376.33727141</v>
      </c>
      <c r="G281" s="81">
        <v>123223087.61364122</v>
      </c>
      <c r="H281" s="81">
        <v>125562954.43579412</v>
      </c>
      <c r="I281" s="81">
        <v>127957844.14310163</v>
      </c>
      <c r="J281" s="81">
        <v>130393915.02871203</v>
      </c>
      <c r="K281" s="81">
        <v>132857621.07929364</v>
      </c>
      <c r="L281" s="81">
        <v>135335713.16288263</v>
      </c>
      <c r="M281" s="81">
        <v>137815397.13597265</v>
      </c>
      <c r="N281" s="81">
        <v>140284378.5939939</v>
      </c>
      <c r="O281" s="81">
        <v>142730865.91274002</v>
      </c>
      <c r="P281" s="81">
        <v>145143652.97688046</v>
      </c>
      <c r="Q281" s="81">
        <v>146888706.82901898</v>
      </c>
      <c r="R281" s="81">
        <v>148572054.34192619</v>
      </c>
      <c r="S281" s="81">
        <v>150185767.60312247</v>
      </c>
      <c r="T281" s="81">
        <v>151722825.75358385</v>
      </c>
      <c r="U281" s="81">
        <v>153177266.55076134</v>
      </c>
      <c r="V281" s="81">
        <v>154544146.80541575</v>
      </c>
      <c r="W281" s="81">
        <v>155819653.50737804</v>
      </c>
      <c r="X281" s="81">
        <v>157001129.73412064</v>
      </c>
      <c r="Y281" s="81">
        <v>158087122.44623995</v>
      </c>
      <c r="Z281" s="81">
        <v>159077430.81765598</v>
      </c>
      <c r="AA281" s="81">
        <v>159823942.12684</v>
      </c>
      <c r="AB281" s="81">
        <v>160478268.07704383</v>
      </c>
      <c r="AC281" s="81">
        <v>161044458.41400611</v>
      </c>
      <c r="AD281" s="81">
        <v>161528057.84123865</v>
      </c>
      <c r="AE281" s="81">
        <v>161936012.96986863</v>
      </c>
      <c r="AF281" s="81">
        <v>162276832.66906142</v>
      </c>
      <c r="AG281" s="81">
        <v>162560540.54853469</v>
      </c>
      <c r="AH281" s="81">
        <v>162798814.71264267</v>
      </c>
      <c r="AI281" s="81">
        <v>163004963.83695024</v>
      </c>
      <c r="AJ281" s="81">
        <v>163193973.26130772</v>
      </c>
      <c r="AK281" s="81">
        <v>163420315.38548344</v>
      </c>
      <c r="AL281" s="81">
        <v>163664647.49146649</v>
      </c>
      <c r="AM281" s="81">
        <v>163947418.9702121</v>
      </c>
      <c r="AN281" s="81">
        <v>164290942.9626627</v>
      </c>
      <c r="AO281" s="81">
        <v>164719495.59935153</v>
      </c>
      <c r="AP281" s="81">
        <v>165259367.40444517</v>
      </c>
      <c r="AQ281" s="81">
        <v>165938915.16487092</v>
      </c>
      <c r="AR281" s="81">
        <v>166788665.25936773</v>
      </c>
      <c r="AS281" s="81">
        <v>167841214.15696386</v>
      </c>
      <c r="AT281" s="81">
        <v>169131459.14169735</v>
      </c>
    </row>
    <row r="282" spans="1:46" ht="15.75">
      <c r="A282" s="81" t="s">
        <v>450</v>
      </c>
      <c r="B282" s="80">
        <v>520400</v>
      </c>
      <c r="C282" s="80" t="s">
        <v>418</v>
      </c>
      <c r="D282" s="84" t="s">
        <v>570</v>
      </c>
      <c r="E282" s="81">
        <v>37867994.103555478</v>
      </c>
      <c r="F282" s="81">
        <v>38790966.651617229</v>
      </c>
      <c r="G282" s="81">
        <v>39528408.186758488</v>
      </c>
      <c r="H282" s="81">
        <v>40298096.916214421</v>
      </c>
      <c r="I282" s="81">
        <v>41095068.642894238</v>
      </c>
      <c r="J282" s="81">
        <v>41914384.619968973</v>
      </c>
      <c r="K282" s="81">
        <v>42751233.429533526</v>
      </c>
      <c r="L282" s="81">
        <v>43600869.76496809</v>
      </c>
      <c r="M282" s="81">
        <v>44458701.928517178</v>
      </c>
      <c r="N282" s="81">
        <v>45320245.455430128</v>
      </c>
      <c r="O282" s="81">
        <v>46181230.661811411</v>
      </c>
      <c r="P282" s="81">
        <v>47037538.415350124</v>
      </c>
      <c r="Q282" s="81">
        <v>47682847.884793676</v>
      </c>
      <c r="R282" s="81">
        <v>48312722.82311064</v>
      </c>
      <c r="S282" s="81">
        <v>48924036.666453928</v>
      </c>
      <c r="T282" s="81">
        <v>49514016.930915028</v>
      </c>
      <c r="U282" s="81">
        <v>50080169.162137285</v>
      </c>
      <c r="V282" s="81">
        <v>50620402.944777057</v>
      </c>
      <c r="W282" s="81">
        <v>51133012.198733523</v>
      </c>
      <c r="X282" s="81">
        <v>51616596.716908053</v>
      </c>
      <c r="Y282" s="81">
        <v>52070267.477421425</v>
      </c>
      <c r="Z282" s="81">
        <v>52493454.660417758</v>
      </c>
      <c r="AA282" s="81">
        <v>52836755.248296089</v>
      </c>
      <c r="AB282" s="81">
        <v>53149667.951855093</v>
      </c>
      <c r="AC282" s="81">
        <v>53433108.658162974</v>
      </c>
      <c r="AD282" s="81">
        <v>53688469.162975997</v>
      </c>
      <c r="AE282" s="81">
        <v>53917632.399164014</v>
      </c>
      <c r="AF282" s="81">
        <v>54123028.143413454</v>
      </c>
      <c r="AG282" s="81">
        <v>54307548.400465533</v>
      </c>
      <c r="AH282" s="81">
        <v>54474704.100279726</v>
      </c>
      <c r="AI282" s="81">
        <v>54628479.064576469</v>
      </c>
      <c r="AJ282" s="81">
        <v>54773529.650493838</v>
      </c>
      <c r="AK282" s="81">
        <v>54927714.112086155</v>
      </c>
      <c r="AL282" s="81">
        <v>55084121.724354297</v>
      </c>
      <c r="AM282" s="81">
        <v>55249225.105389565</v>
      </c>
      <c r="AN282" s="81">
        <v>55430097.870147683</v>
      </c>
      <c r="AO282" s="81">
        <v>55634473.420907207</v>
      </c>
      <c r="AP282" s="81">
        <v>55870784.049152322</v>
      </c>
      <c r="AQ282" s="81">
        <v>56148201.07072103</v>
      </c>
      <c r="AR282" s="81">
        <v>56476544.802501477</v>
      </c>
      <c r="AS282" s="81">
        <v>56866410.451223664</v>
      </c>
      <c r="AT282" s="81">
        <v>57329121.267066672</v>
      </c>
    </row>
    <row r="283" spans="1:46" ht="15.75">
      <c r="A283" s="81" t="s">
        <v>450</v>
      </c>
      <c r="B283" s="80">
        <v>520500</v>
      </c>
      <c r="C283" s="80" t="s">
        <v>418</v>
      </c>
      <c r="D283" s="84" t="s">
        <v>569</v>
      </c>
      <c r="E283" s="81">
        <v>105707561.59564923</v>
      </c>
      <c r="F283" s="81">
        <v>108331184.51523519</v>
      </c>
      <c r="G283" s="81">
        <v>110514238.45844173</v>
      </c>
      <c r="H283" s="81">
        <v>112857879.66813526</v>
      </c>
      <c r="I283" s="81">
        <v>115341427.72803168</v>
      </c>
      <c r="J283" s="81">
        <v>117944460.71337733</v>
      </c>
      <c r="K283" s="81">
        <v>120646785.69322878</v>
      </c>
      <c r="L283" s="81">
        <v>123428639.42584467</v>
      </c>
      <c r="M283" s="81">
        <v>126270744.66951863</v>
      </c>
      <c r="N283" s="81">
        <v>129154313.00727072</v>
      </c>
      <c r="O283" s="81">
        <v>132061289.5747664</v>
      </c>
      <c r="P283" s="81">
        <v>134974289.38368803</v>
      </c>
      <c r="Q283" s="81">
        <v>137293926.88075557</v>
      </c>
      <c r="R283" s="81">
        <v>139574274.14111987</v>
      </c>
      <c r="S283" s="81">
        <v>141801636.9088558</v>
      </c>
      <c r="T283" s="81">
        <v>143963593.32656881</v>
      </c>
      <c r="U283" s="81">
        <v>146049150.70287344</v>
      </c>
      <c r="V283" s="81">
        <v>148048719.93558607</v>
      </c>
      <c r="W283" s="81">
        <v>149954237.50314942</v>
      </c>
      <c r="X283" s="81">
        <v>151759233.74530697</v>
      </c>
      <c r="Y283" s="81">
        <v>153458825.10172436</v>
      </c>
      <c r="Z283" s="81">
        <v>155049916.44200858</v>
      </c>
      <c r="AA283" s="81">
        <v>156385137.65826729</v>
      </c>
      <c r="AB283" s="81">
        <v>157609894.21999994</v>
      </c>
      <c r="AC283" s="81">
        <v>158726905.01992324</v>
      </c>
      <c r="AD283" s="81">
        <v>159740902.18301299</v>
      </c>
      <c r="AE283" s="81">
        <v>160658616.33873293</v>
      </c>
      <c r="AF283" s="81">
        <v>161488920.59829304</v>
      </c>
      <c r="AG283" s="81">
        <v>162242816.00962341</v>
      </c>
      <c r="AH283" s="81">
        <v>162933618.75134584</v>
      </c>
      <c r="AI283" s="81">
        <v>163576844.26211905</v>
      </c>
      <c r="AJ283" s="81">
        <v>164190457.41529128</v>
      </c>
      <c r="AK283" s="81">
        <v>164832838.3886503</v>
      </c>
      <c r="AL283" s="81">
        <v>165488861.25249919</v>
      </c>
      <c r="AM283" s="81">
        <v>166184031.66361144</v>
      </c>
      <c r="AN283" s="81">
        <v>166946439.36856222</v>
      </c>
      <c r="AO283" s="81">
        <v>167807021.20837238</v>
      </c>
      <c r="AP283" s="81">
        <v>168799465.82662249</v>
      </c>
      <c r="AQ283" s="81">
        <v>169960351.02813673</v>
      </c>
      <c r="AR283" s="81">
        <v>171329240.68625814</v>
      </c>
      <c r="AS283" s="81">
        <v>172948739.17695796</v>
      </c>
      <c r="AT283" s="81">
        <v>174864567.77285355</v>
      </c>
    </row>
    <row r="284" spans="1:46" ht="15.75">
      <c r="A284" s="81" t="s">
        <v>450</v>
      </c>
      <c r="B284" s="80">
        <v>520600</v>
      </c>
      <c r="C284" s="80" t="s">
        <v>418</v>
      </c>
      <c r="D284" s="84" t="s">
        <v>568</v>
      </c>
      <c r="E284" s="81">
        <v>53425653.478389606</v>
      </c>
      <c r="F284" s="81">
        <v>54654685.11704383</v>
      </c>
      <c r="G284" s="81">
        <v>55641318.885286741</v>
      </c>
      <c r="H284" s="81">
        <v>56690904.246383056</v>
      </c>
      <c r="I284" s="81">
        <v>57794506.731239498</v>
      </c>
      <c r="J284" s="81">
        <v>58943342.967778347</v>
      </c>
      <c r="K284" s="81">
        <v>60128767.63562727</v>
      </c>
      <c r="L284" s="81">
        <v>61342292.802267961</v>
      </c>
      <c r="M284" s="81">
        <v>62575715.455362216</v>
      </c>
      <c r="N284" s="81">
        <v>63821050.227345109</v>
      </c>
      <c r="O284" s="81">
        <v>65070622.054093771</v>
      </c>
      <c r="P284" s="81">
        <v>66317125.88830135</v>
      </c>
      <c r="Q284" s="81">
        <v>67268060.192529678</v>
      </c>
      <c r="R284" s="81">
        <v>68197596.876904309</v>
      </c>
      <c r="S284" s="81">
        <v>69100114.008671686</v>
      </c>
      <c r="T284" s="81">
        <v>69970623.875217631</v>
      </c>
      <c r="U284" s="81">
        <v>70804685.734423324</v>
      </c>
      <c r="V284" s="81">
        <v>71598570.603948653</v>
      </c>
      <c r="W284" s="81">
        <v>72349173.598083004</v>
      </c>
      <c r="X284" s="81">
        <v>73054122.044238672</v>
      </c>
      <c r="Y284" s="81">
        <v>73711786.380537197</v>
      </c>
      <c r="Z284" s="81">
        <v>74321310.877810016</v>
      </c>
      <c r="AA284" s="81">
        <v>74812768.347180411</v>
      </c>
      <c r="AB284" s="81">
        <v>75256509.440159872</v>
      </c>
      <c r="AC284" s="81">
        <v>75654255.042006269</v>
      </c>
      <c r="AD284" s="81">
        <v>76008633.545723006</v>
      </c>
      <c r="AE284" s="81">
        <v>76323231.149501234</v>
      </c>
      <c r="AF284" s="81">
        <v>76602494.335593492</v>
      </c>
      <c r="AG284" s="81">
        <v>76851863.137369424</v>
      </c>
      <c r="AH284" s="81">
        <v>77077822.706935614</v>
      </c>
      <c r="AI284" s="81">
        <v>77287782.333674237</v>
      </c>
      <c r="AJ284" s="81">
        <v>77490320.247777835</v>
      </c>
      <c r="AK284" s="81">
        <v>77712932.450414643</v>
      </c>
      <c r="AL284" s="81">
        <v>77948434.133482933</v>
      </c>
      <c r="AM284" s="81">
        <v>78208676.14192532</v>
      </c>
      <c r="AN284" s="81">
        <v>78506725.230265602</v>
      </c>
      <c r="AO284" s="81">
        <v>78856919.853338644</v>
      </c>
      <c r="AP284" s="81">
        <v>79274745.028107285</v>
      </c>
      <c r="AQ284" s="81">
        <v>79777090.744678944</v>
      </c>
      <c r="AR284" s="81">
        <v>80382058.346371114</v>
      </c>
      <c r="AS284" s="81">
        <v>81109199.369240344</v>
      </c>
      <c r="AT284" s="81">
        <v>81979342.056525648</v>
      </c>
    </row>
    <row r="285" spans="1:46" ht="15.75">
      <c r="A285" s="81" t="s">
        <v>450</v>
      </c>
      <c r="B285" s="80">
        <v>522300</v>
      </c>
      <c r="C285" s="80" t="s">
        <v>418</v>
      </c>
      <c r="D285" s="84" t="s">
        <v>567</v>
      </c>
      <c r="E285" s="81">
        <v>46209856.857861944</v>
      </c>
      <c r="F285" s="81">
        <v>47340061.74152872</v>
      </c>
      <c r="G285" s="81">
        <v>48259864.162518241</v>
      </c>
      <c r="H285" s="81">
        <v>49233761.183371671</v>
      </c>
      <c r="I285" s="81">
        <v>50254425.755453736</v>
      </c>
      <c r="J285" s="81">
        <v>51314612.406412967</v>
      </c>
      <c r="K285" s="81">
        <v>52407170.6166237</v>
      </c>
      <c r="L285" s="81">
        <v>53525091.369378299</v>
      </c>
      <c r="M285" s="81">
        <v>54661555.491753168</v>
      </c>
      <c r="N285" s="81">
        <v>55809896.656129383</v>
      </c>
      <c r="O285" s="81">
        <v>56963736.10600242</v>
      </c>
      <c r="P285" s="81">
        <v>58116875.594697133</v>
      </c>
      <c r="Q285" s="81">
        <v>59012961.94207938</v>
      </c>
      <c r="R285" s="81">
        <v>59892187.965269268</v>
      </c>
      <c r="S285" s="81">
        <v>60749705.787912168</v>
      </c>
      <c r="T285" s="81">
        <v>61581171.28821484</v>
      </c>
      <c r="U285" s="81">
        <v>62382731.531129815</v>
      </c>
      <c r="V285" s="81">
        <v>63150991.950025268</v>
      </c>
      <c r="W285" s="81">
        <v>63883151.269670427</v>
      </c>
      <c r="X285" s="81">
        <v>64576913.404474206</v>
      </c>
      <c r="Y285" s="81">
        <v>65230586.304491796</v>
      </c>
      <c r="Z285" s="81">
        <v>65843087.888794608</v>
      </c>
      <c r="AA285" s="81">
        <v>66351994.508845277</v>
      </c>
      <c r="AB285" s="81">
        <v>66819060.204418004</v>
      </c>
      <c r="AC285" s="81">
        <v>67245279.614583656</v>
      </c>
      <c r="AD285" s="81">
        <v>67632329.622070074</v>
      </c>
      <c r="AE285" s="81">
        <v>67982571.389321595</v>
      </c>
      <c r="AF285" s="81">
        <v>68299172.785060897</v>
      </c>
      <c r="AG285" s="81">
        <v>68586032.097123355</v>
      </c>
      <c r="AH285" s="81">
        <v>68847820.516164094</v>
      </c>
      <c r="AI285" s="81">
        <v>69090025.651495352</v>
      </c>
      <c r="AJ285" s="81">
        <v>69318996.088542864</v>
      </c>
      <c r="AK285" s="81">
        <v>69557956.658070326</v>
      </c>
      <c r="AL285" s="81">
        <v>69798931.724156693</v>
      </c>
      <c r="AM285" s="81">
        <v>70050880.606120586</v>
      </c>
      <c r="AN285" s="81">
        <v>70323729.618276581</v>
      </c>
      <c r="AO285" s="81">
        <v>70628355.836127967</v>
      </c>
      <c r="AP285" s="81">
        <v>70976655.668511733</v>
      </c>
      <c r="AQ285" s="81">
        <v>71381485.084000036</v>
      </c>
      <c r="AR285" s="81">
        <v>71856815.247173324</v>
      </c>
      <c r="AS285" s="81">
        <v>72417629.486801237</v>
      </c>
      <c r="AT285" s="81">
        <v>73080036.836920932</v>
      </c>
    </row>
    <row r="286" spans="1:46" ht="15.75">
      <c r="A286" s="81" t="s">
        <v>450</v>
      </c>
      <c r="B286" s="80">
        <v>522600</v>
      </c>
      <c r="C286" s="80" t="s">
        <v>418</v>
      </c>
      <c r="D286" s="84" t="s">
        <v>566</v>
      </c>
      <c r="E286" s="81">
        <v>60900016.324323066</v>
      </c>
      <c r="F286" s="81">
        <v>62279747.562429294</v>
      </c>
      <c r="G286" s="81">
        <v>63361674.8431025</v>
      </c>
      <c r="H286" s="81">
        <v>64495933.40944463</v>
      </c>
      <c r="I286" s="81">
        <v>65674428.904095866</v>
      </c>
      <c r="J286" s="81">
        <v>66889176.496051773</v>
      </c>
      <c r="K286" s="81">
        <v>68132299.463456139</v>
      </c>
      <c r="L286" s="81">
        <v>69396115.23789902</v>
      </c>
      <c r="M286" s="81">
        <v>70673153.469076708</v>
      </c>
      <c r="N286" s="81">
        <v>71956173.268812463</v>
      </c>
      <c r="O286" s="81">
        <v>73238160.984765872</v>
      </c>
      <c r="P286" s="81">
        <v>74512514.319629103</v>
      </c>
      <c r="Q286" s="81">
        <v>75452578.066532388</v>
      </c>
      <c r="R286" s="81">
        <v>76368315.774305761</v>
      </c>
      <c r="S286" s="81">
        <v>77254689.461377621</v>
      </c>
      <c r="T286" s="81">
        <v>78107179.21970354</v>
      </c>
      <c r="U286" s="81">
        <v>78921749.596012339</v>
      </c>
      <c r="V286" s="81">
        <v>79695050.982325375</v>
      </c>
      <c r="W286" s="81">
        <v>80424250.69620502</v>
      </c>
      <c r="X286" s="81">
        <v>81107196.799951062</v>
      </c>
      <c r="Y286" s="81">
        <v>81742406.428993568</v>
      </c>
      <c r="Z286" s="81">
        <v>82329032.104507282</v>
      </c>
      <c r="AA286" s="81">
        <v>82789688.23141183</v>
      </c>
      <c r="AB286" s="81">
        <v>83202172.566223115</v>
      </c>
      <c r="AC286" s="81">
        <v>83568023.396329701</v>
      </c>
      <c r="AD286" s="81">
        <v>83889555.503943577</v>
      </c>
      <c r="AE286" s="81">
        <v>84169927.277678847</v>
      </c>
      <c r="AF286" s="81">
        <v>84413103.382598355</v>
      </c>
      <c r="AG286" s="81">
        <v>84623965.071442887</v>
      </c>
      <c r="AH286" s="81">
        <v>84808230.07620278</v>
      </c>
      <c r="AI286" s="81">
        <v>84972542.12952733</v>
      </c>
      <c r="AJ286" s="81">
        <v>85124541.468232945</v>
      </c>
      <c r="AK286" s="81">
        <v>85292445.677710712</v>
      </c>
      <c r="AL286" s="81">
        <v>85466115.789567515</v>
      </c>
      <c r="AM286" s="81">
        <v>85656115.356172115</v>
      </c>
      <c r="AN286" s="81">
        <v>85874123.997242168</v>
      </c>
      <c r="AO286" s="81">
        <v>86132922.787113994</v>
      </c>
      <c r="AP286" s="81">
        <v>86446355.317908362</v>
      </c>
      <c r="AQ286" s="81">
        <v>86829469.647839069</v>
      </c>
      <c r="AR286" s="81">
        <v>87298480.503097638</v>
      </c>
      <c r="AS286" s="81">
        <v>87870798.673801959</v>
      </c>
      <c r="AT286" s="81">
        <v>88565060.670161337</v>
      </c>
    </row>
    <row r="287" spans="1:46" ht="15.75">
      <c r="A287" s="81" t="s">
        <v>450</v>
      </c>
      <c r="B287" s="80">
        <v>522700</v>
      </c>
      <c r="C287" s="80" t="s">
        <v>418</v>
      </c>
      <c r="D287" s="84" t="s">
        <v>565</v>
      </c>
      <c r="E287" s="81">
        <v>56482780.022197299</v>
      </c>
      <c r="F287" s="81">
        <v>57901225.575187646</v>
      </c>
      <c r="G287" s="81">
        <v>59022428.147363268</v>
      </c>
      <c r="H287" s="81">
        <v>60172524.286359534</v>
      </c>
      <c r="I287" s="81">
        <v>61345375.036931045</v>
      </c>
      <c r="J287" s="81">
        <v>62534940.594403058</v>
      </c>
      <c r="K287" s="81">
        <v>63735323.527244993</v>
      </c>
      <c r="L287" s="81">
        <v>64940777.92313423</v>
      </c>
      <c r="M287" s="81">
        <v>66145753.904653378</v>
      </c>
      <c r="N287" s="81">
        <v>67344907.15657267</v>
      </c>
      <c r="O287" s="81">
        <v>68533107.483826816</v>
      </c>
      <c r="P287" s="81">
        <v>69705521.823269561</v>
      </c>
      <c r="Q287" s="81">
        <v>70558030.440983966</v>
      </c>
      <c r="R287" s="81">
        <v>71382114.927397788</v>
      </c>
      <c r="S287" s="81">
        <v>72174317.95290044</v>
      </c>
      <c r="T287" s="81">
        <v>72931694.854170606</v>
      </c>
      <c r="U287" s="81">
        <v>73651621.071605325</v>
      </c>
      <c r="V287" s="81">
        <v>74332044.773872077</v>
      </c>
      <c r="W287" s="81">
        <v>74971332.007919714</v>
      </c>
      <c r="X287" s="81">
        <v>75568365.024545133</v>
      </c>
      <c r="Y287" s="81">
        <v>76122543.270662531</v>
      </c>
      <c r="Z287" s="81">
        <v>76633804.091596514</v>
      </c>
      <c r="AA287" s="81">
        <v>77030779.221559078</v>
      </c>
      <c r="AB287" s="81">
        <v>77386383.492278382</v>
      </c>
      <c r="AC287" s="81">
        <v>77702406.988532335</v>
      </c>
      <c r="AD287" s="81">
        <v>77981315.164778948</v>
      </c>
      <c r="AE287" s="81">
        <v>78226143.314758107</v>
      </c>
      <c r="AF287" s="81">
        <v>78440641.46118544</v>
      </c>
      <c r="AG287" s="81">
        <v>78629231.763349488</v>
      </c>
      <c r="AH287" s="81">
        <v>78796963.538210377</v>
      </c>
      <c r="AI287" s="81">
        <v>78949704.706181526</v>
      </c>
      <c r="AJ287" s="81">
        <v>79093968.780074507</v>
      </c>
      <c r="AK287" s="81">
        <v>79255399.376094967</v>
      </c>
      <c r="AL287" s="81">
        <v>79423712.485658258</v>
      </c>
      <c r="AM287" s="81">
        <v>79607838.988100186</v>
      </c>
      <c r="AN287" s="81">
        <v>79817466.413390681</v>
      </c>
      <c r="AO287" s="81">
        <v>80063194.194465891</v>
      </c>
      <c r="AP287" s="81">
        <v>80356489.68633765</v>
      </c>
      <c r="AQ287" s="81">
        <v>80709687.486807063</v>
      </c>
      <c r="AR287" s="81">
        <v>81136034.185283422</v>
      </c>
      <c r="AS287" s="81">
        <v>81649780.694782928</v>
      </c>
      <c r="AT287" s="81">
        <v>82266043.706346348</v>
      </c>
    </row>
    <row r="288" spans="1:46" ht="15.75">
      <c r="A288" s="81" t="s">
        <v>450</v>
      </c>
      <c r="B288" s="80">
        <v>530100</v>
      </c>
      <c r="C288" s="80" t="s">
        <v>417</v>
      </c>
      <c r="D288" s="84" t="s">
        <v>564</v>
      </c>
      <c r="E288" s="81">
        <v>249430086.44918779</v>
      </c>
      <c r="F288" s="81">
        <v>256458515.10044119</v>
      </c>
      <c r="G288" s="81">
        <v>261872036.17831826</v>
      </c>
      <c r="H288" s="81">
        <v>267139355.45621058</v>
      </c>
      <c r="I288" s="81">
        <v>272261865.96703237</v>
      </c>
      <c r="J288" s="81">
        <v>277241099.23817462</v>
      </c>
      <c r="K288" s="81">
        <v>282078777.11830193</v>
      </c>
      <c r="L288" s="81">
        <v>286776704.34666187</v>
      </c>
      <c r="M288" s="81">
        <v>291336919.1596427</v>
      </c>
      <c r="N288" s="81">
        <v>295761519.7920742</v>
      </c>
      <c r="O288" s="81">
        <v>300052750.69181198</v>
      </c>
      <c r="P288" s="81">
        <v>304212923.61071068</v>
      </c>
      <c r="Q288" s="81">
        <v>306941459.19835383</v>
      </c>
      <c r="R288" s="81">
        <v>309535513.49287552</v>
      </c>
      <c r="S288" s="81">
        <v>311999434.75254333</v>
      </c>
      <c r="T288" s="81">
        <v>314337550.09206992</v>
      </c>
      <c r="U288" s="81">
        <v>316554050.08796179</v>
      </c>
      <c r="V288" s="81">
        <v>318653157.81361043</v>
      </c>
      <c r="W288" s="81">
        <v>320638904.83598918</v>
      </c>
      <c r="X288" s="81">
        <v>322515264.632258</v>
      </c>
      <c r="Y288" s="81">
        <v>324286181.55403847</v>
      </c>
      <c r="Z288" s="81">
        <v>325955414.5578078</v>
      </c>
      <c r="AA288" s="81">
        <v>327221149.97780144</v>
      </c>
      <c r="AB288" s="81">
        <v>328392670.86196864</v>
      </c>
      <c r="AC288" s="81">
        <v>329473588.60854113</v>
      </c>
      <c r="AD288" s="81">
        <v>330467383.39043659</v>
      </c>
      <c r="AE288" s="81">
        <v>331377357.60509419</v>
      </c>
      <c r="AF288" s="81">
        <v>332206626.59376723</v>
      </c>
      <c r="AG288" s="81">
        <v>332958148.45134574</v>
      </c>
      <c r="AH288" s="81">
        <v>333634597.47789174</v>
      </c>
      <c r="AI288" s="81">
        <v>334238510.84094638</v>
      </c>
      <c r="AJ288" s="81">
        <v>334772201.54367995</v>
      </c>
      <c r="AK288" s="81">
        <v>335315094.67600292</v>
      </c>
      <c r="AL288" s="81">
        <v>335791266.06738991</v>
      </c>
      <c r="AM288" s="81">
        <v>336202254.20616126</v>
      </c>
      <c r="AN288" s="81">
        <v>336549335.3427186</v>
      </c>
      <c r="AO288" s="81">
        <v>336833512.9341628</v>
      </c>
      <c r="AP288" s="81">
        <v>337055506.97689772</v>
      </c>
      <c r="AQ288" s="81">
        <v>337215701.28998065</v>
      </c>
      <c r="AR288" s="81">
        <v>337314257.87123841</v>
      </c>
      <c r="AS288" s="81">
        <v>337350981.20765865</v>
      </c>
      <c r="AT288" s="81">
        <v>337325305.74949992</v>
      </c>
    </row>
    <row r="289" spans="1:46" ht="15.75">
      <c r="A289" s="81" t="s">
        <v>450</v>
      </c>
      <c r="B289" s="80">
        <v>530300</v>
      </c>
      <c r="C289" s="80" t="s">
        <v>417</v>
      </c>
      <c r="D289" s="84" t="s">
        <v>563</v>
      </c>
      <c r="E289" s="81">
        <v>110508677.31373049</v>
      </c>
      <c r="F289" s="81">
        <v>113307398.39800154</v>
      </c>
      <c r="G289" s="81">
        <v>115555256.82442126</v>
      </c>
      <c r="H289" s="81">
        <v>117889060.96059272</v>
      </c>
      <c r="I289" s="81">
        <v>120295613.04283327</v>
      </c>
      <c r="J289" s="81">
        <v>122761758.47552773</v>
      </c>
      <c r="K289" s="81">
        <v>125274620.74387388</v>
      </c>
      <c r="L289" s="81">
        <v>127821511.51132719</v>
      </c>
      <c r="M289" s="81">
        <v>130390045.58154999</v>
      </c>
      <c r="N289" s="81">
        <v>132968196.16409533</v>
      </c>
      <c r="O289" s="81">
        <v>135544351.00292063</v>
      </c>
      <c r="P289" s="81">
        <v>138107369.36773199</v>
      </c>
      <c r="Q289" s="81">
        <v>140052036.15505797</v>
      </c>
      <c r="R289" s="81">
        <v>141952961.15841427</v>
      </c>
      <c r="S289" s="81">
        <v>143801578.92490581</v>
      </c>
      <c r="T289" s="81">
        <v>145590075.54540259</v>
      </c>
      <c r="U289" s="81">
        <v>147311519.53782073</v>
      </c>
      <c r="V289" s="81">
        <v>148959833.31396607</v>
      </c>
      <c r="W289" s="81">
        <v>150529951.07896075</v>
      </c>
      <c r="X289" s="81">
        <v>152017696.60675606</v>
      </c>
      <c r="Y289" s="81">
        <v>153419966.12857339</v>
      </c>
      <c r="Z289" s="81">
        <v>154734676.18089664</v>
      </c>
      <c r="AA289" s="81">
        <v>155815454.30749768</v>
      </c>
      <c r="AB289" s="81">
        <v>156807221.08045247</v>
      </c>
      <c r="AC289" s="81">
        <v>157711608.47804755</v>
      </c>
      <c r="AD289" s="81">
        <v>158531477.50251839</v>
      </c>
      <c r="AE289" s="81">
        <v>159270932.83923545</v>
      </c>
      <c r="AF289" s="81">
        <v>159935362.12602141</v>
      </c>
      <c r="AG289" s="81">
        <v>160531551.83097136</v>
      </c>
      <c r="AH289" s="81">
        <v>161067601.9498032</v>
      </c>
      <c r="AI289" s="81">
        <v>161553067.72785443</v>
      </c>
      <c r="AJ289" s="81">
        <v>161998976.25914386</v>
      </c>
      <c r="AK289" s="81">
        <v>162455308.8953217</v>
      </c>
      <c r="AL289" s="81">
        <v>162898606.47377571</v>
      </c>
      <c r="AM289" s="81">
        <v>163344514.10633618</v>
      </c>
      <c r="AN289" s="81">
        <v>163810333.69326913</v>
      </c>
      <c r="AO289" s="81">
        <v>164315069.18992171</v>
      </c>
      <c r="AP289" s="81">
        <v>164879445.28669491</v>
      </c>
      <c r="AQ289" s="81">
        <v>165525979.78592595</v>
      </c>
      <c r="AR289" s="81">
        <v>166279030.11509556</v>
      </c>
      <c r="AS289" s="81">
        <v>167164812.70476002</v>
      </c>
      <c r="AT289" s="81">
        <v>168211504.89022559</v>
      </c>
    </row>
    <row r="290" spans="1:46" ht="15.75">
      <c r="A290" s="81" t="s">
        <v>450</v>
      </c>
      <c r="B290" s="80">
        <v>530400</v>
      </c>
      <c r="C290" s="80" t="s">
        <v>417</v>
      </c>
      <c r="D290" s="84" t="s">
        <v>562</v>
      </c>
      <c r="E290" s="81">
        <v>46132443.374914132</v>
      </c>
      <c r="F290" s="81">
        <v>47358792.221342675</v>
      </c>
      <c r="G290" s="81">
        <v>48313267.872400321</v>
      </c>
      <c r="H290" s="81">
        <v>49264938.762582116</v>
      </c>
      <c r="I290" s="81">
        <v>50211499.176393934</v>
      </c>
      <c r="J290" s="81">
        <v>51150720.941664822</v>
      </c>
      <c r="K290" s="81">
        <v>52080441.451242439</v>
      </c>
      <c r="L290" s="81">
        <v>52998527.310669944</v>
      </c>
      <c r="M290" s="81">
        <v>53902973.076934755</v>
      </c>
      <c r="N290" s="81">
        <v>54791796.81314154</v>
      </c>
      <c r="O290" s="81">
        <v>55663163.631312259</v>
      </c>
      <c r="P290" s="81">
        <v>56515350.472669929</v>
      </c>
      <c r="Q290" s="81">
        <v>57104284.484572776</v>
      </c>
      <c r="R290" s="81">
        <v>57668669.352218896</v>
      </c>
      <c r="S290" s="81">
        <v>58207483.545492567</v>
      </c>
      <c r="T290" s="81">
        <v>58719862.501759484</v>
      </c>
      <c r="U290" s="81">
        <v>59205130.430231668</v>
      </c>
      <c r="V290" s="81">
        <v>59662732.788472772</v>
      </c>
      <c r="W290" s="81">
        <v>60092342.701093428</v>
      </c>
      <c r="X290" s="81">
        <v>60493793.393995598</v>
      </c>
      <c r="Y290" s="81">
        <v>60867058.60523627</v>
      </c>
      <c r="Z290" s="81">
        <v>61212361.629869863</v>
      </c>
      <c r="AA290" s="81">
        <v>61472749.615517683</v>
      </c>
      <c r="AB290" s="81">
        <v>61706192.898309059</v>
      </c>
      <c r="AC290" s="81">
        <v>61913626.988808937</v>
      </c>
      <c r="AD290" s="81">
        <v>62096157.632923238</v>
      </c>
      <c r="AE290" s="81">
        <v>62255119.39676147</v>
      </c>
      <c r="AF290" s="81">
        <v>62392082.402335495</v>
      </c>
      <c r="AG290" s="81">
        <v>62508886.348006755</v>
      </c>
      <c r="AH290" s="81">
        <v>62607566.074236527</v>
      </c>
      <c r="AI290" s="81">
        <v>62690439.422946624</v>
      </c>
      <c r="AJ290" s="81">
        <v>62760031.826452807</v>
      </c>
      <c r="AK290" s="81">
        <v>62833694.528764293</v>
      </c>
      <c r="AL290" s="81">
        <v>62899924.67204015</v>
      </c>
      <c r="AM290" s="81">
        <v>62962130.993337177</v>
      </c>
      <c r="AN290" s="81">
        <v>63023988.816031009</v>
      </c>
      <c r="AO290" s="81">
        <v>63089389.201457225</v>
      </c>
      <c r="AP290" s="81">
        <v>63162617.265162058</v>
      </c>
      <c r="AQ290" s="81">
        <v>63248275.432284601</v>
      </c>
      <c r="AR290" s="81">
        <v>63351232.585180759</v>
      </c>
      <c r="AS290" s="81">
        <v>63476688.992148645</v>
      </c>
      <c r="AT290" s="81">
        <v>63630213.936112702</v>
      </c>
    </row>
    <row r="291" spans="1:46" ht="15.75">
      <c r="A291" s="81" t="s">
        <v>450</v>
      </c>
      <c r="B291" s="80">
        <v>530500</v>
      </c>
      <c r="C291" s="80" t="s">
        <v>417</v>
      </c>
      <c r="D291" s="84" t="s">
        <v>561</v>
      </c>
      <c r="E291" s="81">
        <v>34912377.02862975</v>
      </c>
      <c r="F291" s="81">
        <v>35795918.415117703</v>
      </c>
      <c r="G291" s="81">
        <v>36485767.747565679</v>
      </c>
      <c r="H291" s="81">
        <v>37184539.516659699</v>
      </c>
      <c r="I291" s="81">
        <v>37889482.425804704</v>
      </c>
      <c r="J291" s="81">
        <v>38597897.898880012</v>
      </c>
      <c r="K291" s="81">
        <v>39307151.54500521</v>
      </c>
      <c r="L291" s="81">
        <v>40014637.001779445</v>
      </c>
      <c r="M291" s="81">
        <v>40717897.669264719</v>
      </c>
      <c r="N291" s="81">
        <v>41414495.702212252</v>
      </c>
      <c r="O291" s="81">
        <v>42102168.015949599</v>
      </c>
      <c r="P291" s="81">
        <v>42778691.941375345</v>
      </c>
      <c r="Q291" s="81">
        <v>43258401.769637078</v>
      </c>
      <c r="R291" s="81">
        <v>43721016.770333387</v>
      </c>
      <c r="S291" s="81">
        <v>44165019.440757036</v>
      </c>
      <c r="T291" s="81">
        <v>44589114.930113427</v>
      </c>
      <c r="U291" s="81">
        <v>44992188.803532913</v>
      </c>
      <c r="V291" s="81">
        <v>45373280.001085244</v>
      </c>
      <c r="W291" s="81">
        <v>45731694.046215117</v>
      </c>
      <c r="X291" s="81">
        <v>46066942.69212912</v>
      </c>
      <c r="Y291" s="81">
        <v>46378716.329208836</v>
      </c>
      <c r="Z291" s="81">
        <v>46666981.856765345</v>
      </c>
      <c r="AA291" s="81">
        <v>46888170.021986738</v>
      </c>
      <c r="AB291" s="81">
        <v>47086487.876078807</v>
      </c>
      <c r="AC291" s="81">
        <v>47262706.342483692</v>
      </c>
      <c r="AD291" s="81">
        <v>47417869.61383532</v>
      </c>
      <c r="AE291" s="81">
        <v>47553284.894152194</v>
      </c>
      <c r="AF291" s="81">
        <v>47670549.279908001</v>
      </c>
      <c r="AG291" s="81">
        <v>47771577.483151868</v>
      </c>
      <c r="AH291" s="81">
        <v>47858515.413036093</v>
      </c>
      <c r="AI291" s="81">
        <v>47933881.518827505</v>
      </c>
      <c r="AJ291" s="81">
        <v>48000499.953138933</v>
      </c>
      <c r="AK291" s="81">
        <v>48072583.907814957</v>
      </c>
      <c r="AL291" s="81">
        <v>48142472.089061297</v>
      </c>
      <c r="AM291" s="81">
        <v>48213977.712016188</v>
      </c>
      <c r="AN291" s="81">
        <v>48291277.888568111</v>
      </c>
      <c r="AO291" s="81">
        <v>48378923.319721982</v>
      </c>
      <c r="AP291" s="81">
        <v>48481827.843747534</v>
      </c>
      <c r="AQ291" s="81">
        <v>48605277.622575611</v>
      </c>
      <c r="AR291" s="81">
        <v>48754960.916001163</v>
      </c>
      <c r="AS291" s="81">
        <v>48936998.762284555</v>
      </c>
      <c r="AT291" s="81">
        <v>49157872.666769795</v>
      </c>
    </row>
    <row r="292" spans="1:46" ht="15.75">
      <c r="A292" s="81" t="s">
        <v>450</v>
      </c>
      <c r="B292" s="80">
        <v>530600</v>
      </c>
      <c r="C292" s="80" t="s">
        <v>417</v>
      </c>
      <c r="D292" s="84" t="s">
        <v>560</v>
      </c>
      <c r="E292" s="81">
        <v>68051901.824577481</v>
      </c>
      <c r="F292" s="81">
        <v>70037712.925275818</v>
      </c>
      <c r="G292" s="81">
        <v>71679684.290540963</v>
      </c>
      <c r="H292" s="81">
        <v>73370248.258243218</v>
      </c>
      <c r="I292" s="81">
        <v>75101578.256025538</v>
      </c>
      <c r="J292" s="81">
        <v>76865891.359672844</v>
      </c>
      <c r="K292" s="81">
        <v>78655578.847865582</v>
      </c>
      <c r="L292" s="81">
        <v>80463166.614142001</v>
      </c>
      <c r="M292" s="81">
        <v>82281390.988919809</v>
      </c>
      <c r="N292" s="81">
        <v>84103217.438682124</v>
      </c>
      <c r="O292" s="81">
        <v>85921874.091845423</v>
      </c>
      <c r="P292" s="81">
        <v>87730854.467422232</v>
      </c>
      <c r="Q292" s="81">
        <v>89145582.415730953</v>
      </c>
      <c r="R292" s="81">
        <v>90530957.669759259</v>
      </c>
      <c r="S292" s="81">
        <v>91882139.774942696</v>
      </c>
      <c r="T292" s="81">
        <v>93194819.045047089</v>
      </c>
      <c r="U292" s="81">
        <v>94465144.219437748</v>
      </c>
      <c r="V292" s="81">
        <v>95689892.167093709</v>
      </c>
      <c r="W292" s="81">
        <v>96866363.388677761</v>
      </c>
      <c r="X292" s="81">
        <v>97992471.834209636</v>
      </c>
      <c r="Y292" s="81">
        <v>99066737.207417116</v>
      </c>
      <c r="Z292" s="81">
        <v>100088326.84135115</v>
      </c>
      <c r="AA292" s="81">
        <v>100962870.32362129</v>
      </c>
      <c r="AB292" s="81">
        <v>101784394.39993189</v>
      </c>
      <c r="AC292" s="81">
        <v>102554284.88312253</v>
      </c>
      <c r="AD292" s="81">
        <v>103274773.59378818</v>
      </c>
      <c r="AE292" s="81">
        <v>103948755.06649908</v>
      </c>
      <c r="AF292" s="81">
        <v>104579965.8804899</v>
      </c>
      <c r="AG292" s="81">
        <v>105172975.02509837</v>
      </c>
      <c r="AH292" s="81">
        <v>105733155.17797594</v>
      </c>
      <c r="AI292" s="81">
        <v>106266724.14591454</v>
      </c>
      <c r="AJ292" s="81">
        <v>106780859.81451118</v>
      </c>
      <c r="AK292" s="81">
        <v>107308328.61941987</v>
      </c>
      <c r="AL292" s="81">
        <v>107833460.90770866</v>
      </c>
      <c r="AM292" s="81">
        <v>108366182.98976785</v>
      </c>
      <c r="AN292" s="81">
        <v>108917438.93569934</v>
      </c>
      <c r="AO292" s="81">
        <v>109499236.9696316</v>
      </c>
      <c r="AP292" s="81">
        <v>110124621.28845645</v>
      </c>
      <c r="AQ292" s="81">
        <v>110807660.87074986</v>
      </c>
      <c r="AR292" s="81">
        <v>111563609.37407956</v>
      </c>
      <c r="AS292" s="81">
        <v>112408839.26933302</v>
      </c>
      <c r="AT292" s="81">
        <v>113360869.43781106</v>
      </c>
    </row>
    <row r="293" spans="1:46" ht="15.75">
      <c r="A293" s="81" t="s">
        <v>450</v>
      </c>
      <c r="B293" s="80">
        <v>530700</v>
      </c>
      <c r="C293" s="80" t="s">
        <v>417</v>
      </c>
      <c r="D293" s="84" t="s">
        <v>559</v>
      </c>
      <c r="E293" s="81">
        <v>19791213.152815636</v>
      </c>
      <c r="F293" s="81">
        <v>20364332.721762542</v>
      </c>
      <c r="G293" s="81">
        <v>20815659.352065269</v>
      </c>
      <c r="H293" s="81">
        <v>21261101.514830146</v>
      </c>
      <c r="I293" s="81">
        <v>21700150.033702385</v>
      </c>
      <c r="J293" s="81">
        <v>22132287.744286757</v>
      </c>
      <c r="K293" s="81">
        <v>22557076.210928705</v>
      </c>
      <c r="L293" s="81">
        <v>22974038.274043616</v>
      </c>
      <c r="M293" s="81">
        <v>23382762.616063915</v>
      </c>
      <c r="N293" s="81">
        <v>23782836.173560936</v>
      </c>
      <c r="O293" s="81">
        <v>24173917.199575957</v>
      </c>
      <c r="P293" s="81">
        <v>24555647.442498691</v>
      </c>
      <c r="Q293" s="81">
        <v>24822348.409430142</v>
      </c>
      <c r="R293" s="81">
        <v>25078054.768179666</v>
      </c>
      <c r="S293" s="81">
        <v>25322707.028444611</v>
      </c>
      <c r="T293" s="81">
        <v>25556251.287748419</v>
      </c>
      <c r="U293" s="81">
        <v>25778697.050025251</v>
      </c>
      <c r="V293" s="81">
        <v>25990061.403576139</v>
      </c>
      <c r="W293" s="81">
        <v>26190427.782151461</v>
      </c>
      <c r="X293" s="81">
        <v>26379908.960139897</v>
      </c>
      <c r="Y293" s="81">
        <v>26558687.674197812</v>
      </c>
      <c r="Z293" s="81">
        <v>26726938.988356888</v>
      </c>
      <c r="AA293" s="81">
        <v>26859857.777132783</v>
      </c>
      <c r="AB293" s="81">
        <v>26982790.34477035</v>
      </c>
      <c r="AC293" s="81">
        <v>27096081.604951739</v>
      </c>
      <c r="AD293" s="81">
        <v>27200193.045637429</v>
      </c>
      <c r="AE293" s="81">
        <v>27295561.326439548</v>
      </c>
      <c r="AF293" s="81">
        <v>27382743.032208789</v>
      </c>
      <c r="AG293" s="81">
        <v>27462271.340151418</v>
      </c>
      <c r="AH293" s="81">
        <v>27534823.892473422</v>
      </c>
      <c r="AI293" s="81">
        <v>27601035.664916378</v>
      </c>
      <c r="AJ293" s="81">
        <v>27661646.98492704</v>
      </c>
      <c r="AK293" s="81">
        <v>27723883.292807266</v>
      </c>
      <c r="AL293" s="81">
        <v>27782156.98319767</v>
      </c>
      <c r="AM293" s="81">
        <v>27837406.666608512</v>
      </c>
      <c r="AN293" s="81">
        <v>27890575.982497446</v>
      </c>
      <c r="AO293" s="81">
        <v>27942723.917321399</v>
      </c>
      <c r="AP293" s="81">
        <v>27994938.762721583</v>
      </c>
      <c r="AQ293" s="81">
        <v>28048383.296546925</v>
      </c>
      <c r="AR293" s="81">
        <v>28104341.777423188</v>
      </c>
      <c r="AS293" s="81">
        <v>28164063.837170437</v>
      </c>
      <c r="AT293" s="81">
        <v>28228968.779786367</v>
      </c>
    </row>
    <row r="294" spans="1:46" ht="15.75">
      <c r="A294" s="81" t="s">
        <v>450</v>
      </c>
      <c r="B294" s="80">
        <v>530800</v>
      </c>
      <c r="C294" s="80" t="s">
        <v>417</v>
      </c>
      <c r="D294" s="84" t="s">
        <v>558</v>
      </c>
      <c r="E294" s="81">
        <v>41179519.924584113</v>
      </c>
      <c r="F294" s="81">
        <v>42306445.384210356</v>
      </c>
      <c r="G294" s="81">
        <v>43181803.837913141</v>
      </c>
      <c r="H294" s="81">
        <v>44046998.829993248</v>
      </c>
      <c r="I294" s="81">
        <v>44901176.992816992</v>
      </c>
      <c r="J294" s="81">
        <v>45743491.849405088</v>
      </c>
      <c r="K294" s="81">
        <v>46573142.570241116</v>
      </c>
      <c r="L294" s="81">
        <v>47389377.595333442</v>
      </c>
      <c r="M294" s="81">
        <v>48191440.458084852</v>
      </c>
      <c r="N294" s="81">
        <v>48978608.876479611</v>
      </c>
      <c r="O294" s="81">
        <v>49750217.033211745</v>
      </c>
      <c r="P294" s="81">
        <v>50505659.354458936</v>
      </c>
      <c r="Q294" s="81">
        <v>51027687.027839467</v>
      </c>
      <c r="R294" s="81">
        <v>51530413.422985539</v>
      </c>
      <c r="S294" s="81">
        <v>52013585.463054843</v>
      </c>
      <c r="T294" s="81">
        <v>52477058.589802407</v>
      </c>
      <c r="U294" s="81">
        <v>52920696.76162082</v>
      </c>
      <c r="V294" s="81">
        <v>53344414.601919666</v>
      </c>
      <c r="W294" s="81">
        <v>53748221.555597365</v>
      </c>
      <c r="X294" s="81">
        <v>54132097.277119569</v>
      </c>
      <c r="Y294" s="81">
        <v>54496183.770601079</v>
      </c>
      <c r="Z294" s="81">
        <v>54840596.262236811</v>
      </c>
      <c r="AA294" s="81">
        <v>55114105.689440392</v>
      </c>
      <c r="AB294" s="81">
        <v>55368354.537382975</v>
      </c>
      <c r="AC294" s="81">
        <v>55603718.126420975</v>
      </c>
      <c r="AD294" s="81">
        <v>55820634.850441091</v>
      </c>
      <c r="AE294" s="81">
        <v>56019652.749632142</v>
      </c>
      <c r="AF294" s="81">
        <v>56201319.775352523</v>
      </c>
      <c r="AG294" s="81">
        <v>56366274.214835577</v>
      </c>
      <c r="AH294" s="81">
        <v>56515247.188566223</v>
      </c>
      <c r="AI294" s="81">
        <v>56649019.067680106</v>
      </c>
      <c r="AJ294" s="81">
        <v>56768443.682248421</v>
      </c>
      <c r="AK294" s="81">
        <v>56887555.642015502</v>
      </c>
      <c r="AL294" s="81">
        <v>56994234.356911972</v>
      </c>
      <c r="AM294" s="81">
        <v>57089534.247558475</v>
      </c>
      <c r="AN294" s="81">
        <v>57174614.784735583</v>
      </c>
      <c r="AO294" s="81">
        <v>57250719.20261813</v>
      </c>
      <c r="AP294" s="81">
        <v>57319200.606568061</v>
      </c>
      <c r="AQ294" s="81">
        <v>57381427.395709015</v>
      </c>
      <c r="AR294" s="81">
        <v>57438954.27869615</v>
      </c>
      <c r="AS294" s="81">
        <v>57493330.219164722</v>
      </c>
      <c r="AT294" s="81">
        <v>57546295.781159729</v>
      </c>
    </row>
    <row r="295" spans="1:46" ht="15.75">
      <c r="A295" s="81" t="s">
        <v>450</v>
      </c>
      <c r="B295" s="80">
        <v>530900</v>
      </c>
      <c r="C295" s="80" t="s">
        <v>417</v>
      </c>
      <c r="D295" s="84" t="s">
        <v>557</v>
      </c>
      <c r="E295" s="81">
        <v>37083771.613909826</v>
      </c>
      <c r="F295" s="81">
        <v>38124509.098249882</v>
      </c>
      <c r="G295" s="81">
        <v>38946823.694033273</v>
      </c>
      <c r="H295" s="81">
        <v>39767434.775691703</v>
      </c>
      <c r="I295" s="81">
        <v>40584852.823339127</v>
      </c>
      <c r="J295" s="81">
        <v>41397688.35787262</v>
      </c>
      <c r="K295" s="81">
        <v>42204481.38576562</v>
      </c>
      <c r="L295" s="81">
        <v>43003918.954513133</v>
      </c>
      <c r="M295" s="81">
        <v>43794662.44093848</v>
      </c>
      <c r="N295" s="81">
        <v>44575442.009980045</v>
      </c>
      <c r="O295" s="81">
        <v>45345044.318095356</v>
      </c>
      <c r="P295" s="81">
        <v>46102318.103236765</v>
      </c>
      <c r="Q295" s="81">
        <v>46648145.964139067</v>
      </c>
      <c r="R295" s="81">
        <v>47177102.395841002</v>
      </c>
      <c r="S295" s="81">
        <v>47688533.822824843</v>
      </c>
      <c r="T295" s="81">
        <v>48181837.273587167</v>
      </c>
      <c r="U295" s="81">
        <v>48656502.744617656</v>
      </c>
      <c r="V295" s="81">
        <v>49112117.170926921</v>
      </c>
      <c r="W295" s="81">
        <v>49548368.441405445</v>
      </c>
      <c r="X295" s="81">
        <v>49965049.459013328</v>
      </c>
      <c r="Y295" s="81">
        <v>50362062.245801225</v>
      </c>
      <c r="Z295" s="81">
        <v>50739422.092762277</v>
      </c>
      <c r="AA295" s="81">
        <v>51049587.71764569</v>
      </c>
      <c r="AB295" s="81">
        <v>51340283.912896685</v>
      </c>
      <c r="AC295" s="81">
        <v>51611966.231786482</v>
      </c>
      <c r="AD295" s="81">
        <v>51865132.605373442</v>
      </c>
      <c r="AE295" s="81">
        <v>52100496.575671241</v>
      </c>
      <c r="AF295" s="81">
        <v>52318842.274134494</v>
      </c>
      <c r="AG295" s="81">
        <v>52521113.455444232</v>
      </c>
      <c r="AH295" s="81">
        <v>52708396.182843037</v>
      </c>
      <c r="AI295" s="81">
        <v>52881922.798010081</v>
      </c>
      <c r="AJ295" s="81">
        <v>53043053.654794</v>
      </c>
      <c r="AK295" s="81">
        <v>53205581.987988867</v>
      </c>
      <c r="AL295" s="81">
        <v>53358928.829168327</v>
      </c>
      <c r="AM295" s="81">
        <v>53504878.556390271</v>
      </c>
      <c r="AN295" s="81">
        <v>53645473.83169169</v>
      </c>
      <c r="AO295" s="81">
        <v>53782884.777207486</v>
      </c>
      <c r="AP295" s="81">
        <v>53919411.810199291</v>
      </c>
      <c r="AQ295" s="81">
        <v>54057628.648447946</v>
      </c>
      <c r="AR295" s="81">
        <v>54200201.785963453</v>
      </c>
      <c r="AS295" s="81">
        <v>54350057.561088949</v>
      </c>
      <c r="AT295" s="81">
        <v>54510246.075377837</v>
      </c>
    </row>
    <row r="296" spans="1:46" ht="15.75">
      <c r="A296" s="81" t="s">
        <v>450</v>
      </c>
      <c r="B296" s="80">
        <v>532300</v>
      </c>
      <c r="C296" s="80" t="s">
        <v>417</v>
      </c>
      <c r="D296" s="84" t="s">
        <v>556</v>
      </c>
      <c r="E296" s="81">
        <v>43014327.237650059</v>
      </c>
      <c r="F296" s="81">
        <v>44153672.533982143</v>
      </c>
      <c r="G296" s="81">
        <v>45033953.143780075</v>
      </c>
      <c r="H296" s="81">
        <v>45906386.630945988</v>
      </c>
      <c r="I296" s="81">
        <v>46769138.313212447</v>
      </c>
      <c r="J296" s="81">
        <v>47620440.408384003</v>
      </c>
      <c r="K296" s="81">
        <v>48458600.143391557</v>
      </c>
      <c r="L296" s="81">
        <v>49281968.440446049</v>
      </c>
      <c r="M296" s="81">
        <v>50088965.754247315</v>
      </c>
      <c r="N296" s="81">
        <v>50878109.529004291</v>
      </c>
      <c r="O296" s="81">
        <v>51647981.683297127</v>
      </c>
      <c r="P296" s="81">
        <v>52397297.106646977</v>
      </c>
      <c r="Q296" s="81">
        <v>52900232.783366084</v>
      </c>
      <c r="R296" s="81">
        <v>53378600.845314071</v>
      </c>
      <c r="S296" s="81">
        <v>53831742.041372545</v>
      </c>
      <c r="T296" s="81">
        <v>54259185.407876343</v>
      </c>
      <c r="U296" s="81">
        <v>54660504.463030092</v>
      </c>
      <c r="V296" s="81">
        <v>55035515.428405941</v>
      </c>
      <c r="W296" s="81">
        <v>55384088.86296054</v>
      </c>
      <c r="X296" s="81">
        <v>55706306.767729029</v>
      </c>
      <c r="Y296" s="81">
        <v>56002381.223788902</v>
      </c>
      <c r="Z296" s="81">
        <v>56272681.523959048</v>
      </c>
      <c r="AA296" s="81">
        <v>56465054.199604489</v>
      </c>
      <c r="AB296" s="81">
        <v>56632992.934046641</v>
      </c>
      <c r="AC296" s="81">
        <v>56777459.15481855</v>
      </c>
      <c r="AD296" s="81">
        <v>56899612.656109937</v>
      </c>
      <c r="AE296" s="81">
        <v>57000747.517649814</v>
      </c>
      <c r="AF296" s="81">
        <v>57082366.021563433</v>
      </c>
      <c r="AG296" s="81">
        <v>57146184.584332824</v>
      </c>
      <c r="AH296" s="81">
        <v>57194068.40022134</v>
      </c>
      <c r="AI296" s="81">
        <v>57228130.855031148</v>
      </c>
      <c r="AJ296" s="81">
        <v>57250716.307028502</v>
      </c>
      <c r="AK296" s="81">
        <v>57277503.81628523</v>
      </c>
      <c r="AL296" s="81">
        <v>57297987.784886107</v>
      </c>
      <c r="AM296" s="81">
        <v>57315115.333344847</v>
      </c>
      <c r="AN296" s="81">
        <v>57332113.908050962</v>
      </c>
      <c r="AO296" s="81">
        <v>57352423.896323673</v>
      </c>
      <c r="AP296" s="81">
        <v>57379728.690977156</v>
      </c>
      <c r="AQ296" s="81">
        <v>57417985.813760221</v>
      </c>
      <c r="AR296" s="81">
        <v>57471382.774676956</v>
      </c>
      <c r="AS296" s="81">
        <v>57544419.021053918</v>
      </c>
      <c r="AT296" s="81">
        <v>57641810.502725199</v>
      </c>
    </row>
    <row r="297" spans="1:46" ht="15.75">
      <c r="A297" s="81" t="s">
        <v>450</v>
      </c>
      <c r="B297" s="80">
        <v>532500</v>
      </c>
      <c r="C297" s="80" t="s">
        <v>417</v>
      </c>
      <c r="D297" s="84" t="s">
        <v>555</v>
      </c>
      <c r="E297" s="81">
        <v>84851852.970753461</v>
      </c>
      <c r="F297" s="81">
        <v>87026133.906759828</v>
      </c>
      <c r="G297" s="81">
        <v>88739829.265919656</v>
      </c>
      <c r="H297" s="81">
        <v>90485496.10028033</v>
      </c>
      <c r="I297" s="81">
        <v>92256455.109311059</v>
      </c>
      <c r="J297" s="81">
        <v>94046099.283751786</v>
      </c>
      <c r="K297" s="81">
        <v>95847939.705295593</v>
      </c>
      <c r="L297" s="81">
        <v>97655590.278366357</v>
      </c>
      <c r="M297" s="81">
        <v>99462856.147408023</v>
      </c>
      <c r="N297" s="81">
        <v>101263697.95873646</v>
      </c>
      <c r="O297" s="81">
        <v>103052257.19133438</v>
      </c>
      <c r="P297" s="81">
        <v>104822948.2360609</v>
      </c>
      <c r="Q297" s="81">
        <v>106119913.9538095</v>
      </c>
      <c r="R297" s="81">
        <v>107382613.36923793</v>
      </c>
      <c r="S297" s="81">
        <v>108606896.24443306</v>
      </c>
      <c r="T297" s="81">
        <v>109788983.74670278</v>
      </c>
      <c r="U297" s="81">
        <v>110925532.83154705</v>
      </c>
      <c r="V297" s="81">
        <v>112013633.40938663</v>
      </c>
      <c r="W297" s="81">
        <v>113050828.03968091</v>
      </c>
      <c r="X297" s="81">
        <v>114035108.26736324</v>
      </c>
      <c r="Y297" s="81">
        <v>114964981.38173829</v>
      </c>
      <c r="Z297" s="81">
        <v>115839491.71938649</v>
      </c>
      <c r="AA297" s="81">
        <v>116549399.0051275</v>
      </c>
      <c r="AB297" s="81">
        <v>117203257.78703466</v>
      </c>
      <c r="AC297" s="81">
        <v>117801910.4437575</v>
      </c>
      <c r="AD297" s="81">
        <v>118346813.06686105</v>
      </c>
      <c r="AE297" s="81">
        <v>118840030.37845039</v>
      </c>
      <c r="AF297" s="81">
        <v>119284229.83443208</v>
      </c>
      <c r="AG297" s="81">
        <v>119682750.27730937</v>
      </c>
      <c r="AH297" s="81">
        <v>120039596.91052033</v>
      </c>
      <c r="AI297" s="81">
        <v>120359460.9121241</v>
      </c>
      <c r="AJ297" s="81">
        <v>120647739.23303838</v>
      </c>
      <c r="AK297" s="81">
        <v>120938465.58269791</v>
      </c>
      <c r="AL297" s="81">
        <v>121210524.08181266</v>
      </c>
      <c r="AM297" s="81">
        <v>121471569.01541121</v>
      </c>
      <c r="AN297" s="81">
        <v>121730023.63800648</v>
      </c>
      <c r="AO297" s="81">
        <v>121995153.84294747</v>
      </c>
      <c r="AP297" s="81">
        <v>122277037.36501965</v>
      </c>
      <c r="AQ297" s="81">
        <v>122586638.5584491</v>
      </c>
      <c r="AR297" s="81">
        <v>122935831.40580249</v>
      </c>
      <c r="AS297" s="81">
        <v>123337313.75263666</v>
      </c>
      <c r="AT297" s="81">
        <v>123804791.65199563</v>
      </c>
    </row>
    <row r="298" spans="1:46" ht="15.75">
      <c r="A298" s="81" t="s">
        <v>450</v>
      </c>
      <c r="B298" s="80">
        <v>532600</v>
      </c>
      <c r="C298" s="80" t="s">
        <v>417</v>
      </c>
      <c r="D298" s="84" t="s">
        <v>554</v>
      </c>
      <c r="E298" s="81">
        <v>57654349.577191949</v>
      </c>
      <c r="F298" s="81">
        <v>59147433.563031934</v>
      </c>
      <c r="G298" s="81">
        <v>60342929.507931508</v>
      </c>
      <c r="H298" s="81">
        <v>61574465.52171842</v>
      </c>
      <c r="I298" s="81">
        <v>62836549.059196405</v>
      </c>
      <c r="J298" s="81">
        <v>64123694.643756792</v>
      </c>
      <c r="K298" s="81">
        <v>65430532.245994024</v>
      </c>
      <c r="L298" s="81">
        <v>66751721.991080843</v>
      </c>
      <c r="M298" s="81">
        <v>68082101.387449622</v>
      </c>
      <c r="N298" s="81">
        <v>69416580.354020223</v>
      </c>
      <c r="O298" s="81">
        <v>70750273.436121494</v>
      </c>
      <c r="P298" s="81">
        <v>72078448.700744554</v>
      </c>
      <c r="Q298" s="81">
        <v>73086317.004800752</v>
      </c>
      <c r="R298" s="81">
        <v>74074744.53959243</v>
      </c>
      <c r="S298" s="81">
        <v>75040025.376643956</v>
      </c>
      <c r="T298" s="81">
        <v>75978826.295517743</v>
      </c>
      <c r="U298" s="81">
        <v>76888144.957955405</v>
      </c>
      <c r="V298" s="81">
        <v>77765305.756413773</v>
      </c>
      <c r="W298" s="81">
        <v>78608036.208527431</v>
      </c>
      <c r="X298" s="81">
        <v>79414443.974963397</v>
      </c>
      <c r="Y298" s="81">
        <v>80183012.795166597</v>
      </c>
      <c r="Z298" s="81">
        <v>80912660.084195927</v>
      </c>
      <c r="AA298" s="81">
        <v>81526694.262756363</v>
      </c>
      <c r="AB298" s="81">
        <v>82100553.628174976</v>
      </c>
      <c r="AC298" s="81">
        <v>82634658.762538001</v>
      </c>
      <c r="AD298" s="81">
        <v>83129908.924189121</v>
      </c>
      <c r="AE298" s="81">
        <v>83587719.146783054</v>
      </c>
      <c r="AF298" s="81">
        <v>84009993.315651447</v>
      </c>
      <c r="AG298" s="81">
        <v>84399204.798288837</v>
      </c>
      <c r="AH298" s="81">
        <v>84758369.979504317</v>
      </c>
      <c r="AI298" s="81">
        <v>85091064.444646612</v>
      </c>
      <c r="AJ298" s="81">
        <v>85401439.315888047</v>
      </c>
      <c r="AK298" s="81">
        <v>85714064.257691503</v>
      </c>
      <c r="AL298" s="81">
        <v>86014507.707163095</v>
      </c>
      <c r="AM298" s="81">
        <v>86308834.555650443</v>
      </c>
      <c r="AN298" s="81">
        <v>86603669.145687982</v>
      </c>
      <c r="AO298" s="81">
        <v>86906371.244512528</v>
      </c>
      <c r="AP298" s="81">
        <v>87225009.899781197</v>
      </c>
      <c r="AQ298" s="81">
        <v>87568335.603370592</v>
      </c>
      <c r="AR298" s="81">
        <v>87945821.284293696</v>
      </c>
      <c r="AS298" s="81">
        <v>88367728.075283527</v>
      </c>
      <c r="AT298" s="81">
        <v>88845077.820659474</v>
      </c>
    </row>
    <row r="299" spans="1:46" ht="15.75">
      <c r="A299" s="81" t="s">
        <v>450</v>
      </c>
      <c r="B299" s="80">
        <v>532800</v>
      </c>
      <c r="C299" s="80" t="s">
        <v>417</v>
      </c>
      <c r="D299" s="84" t="s">
        <v>553</v>
      </c>
      <c r="E299" s="81">
        <v>24693381.252024174</v>
      </c>
      <c r="F299" s="81">
        <v>25380836.338133212</v>
      </c>
      <c r="G299" s="81">
        <v>25920082.514573585</v>
      </c>
      <c r="H299" s="81">
        <v>26455537.99330717</v>
      </c>
      <c r="I299" s="81">
        <v>26986388.073409166</v>
      </c>
      <c r="J299" s="81">
        <v>27511791.605682388</v>
      </c>
      <c r="K299" s="81">
        <v>28030964.076304883</v>
      </c>
      <c r="L299" s="81">
        <v>28543119.431185246</v>
      </c>
      <c r="M299" s="81">
        <v>29047513.977477245</v>
      </c>
      <c r="N299" s="81">
        <v>29543406.974348314</v>
      </c>
      <c r="O299" s="81">
        <v>30030149.538193867</v>
      </c>
      <c r="P299" s="81">
        <v>30507035.976654984</v>
      </c>
      <c r="Q299" s="81">
        <v>30842545.864590369</v>
      </c>
      <c r="R299" s="81">
        <v>31165651.852371518</v>
      </c>
      <c r="S299" s="81">
        <v>31476003.350430146</v>
      </c>
      <c r="T299" s="81">
        <v>31773292.918025505</v>
      </c>
      <c r="U299" s="81">
        <v>32057258.104639269</v>
      </c>
      <c r="V299" s="81">
        <v>32327683.312083673</v>
      </c>
      <c r="W299" s="81">
        <v>32584425.160865292</v>
      </c>
      <c r="X299" s="81">
        <v>32827367.985266637</v>
      </c>
      <c r="Y299" s="81">
        <v>33056496.39995579</v>
      </c>
      <c r="Z299" s="81">
        <v>33271826.988124792</v>
      </c>
      <c r="AA299" s="81">
        <v>33442216.398088869</v>
      </c>
      <c r="AB299" s="81">
        <v>33598971.953394368</v>
      </c>
      <c r="AC299" s="81">
        <v>33742350.272194393</v>
      </c>
      <c r="AD299" s="81">
        <v>33872694.952845193</v>
      </c>
      <c r="AE299" s="81">
        <v>33990339.703209095</v>
      </c>
      <c r="AF299" s="81">
        <v>34095757.919102721</v>
      </c>
      <c r="AG299" s="81">
        <v>34189491.397822976</v>
      </c>
      <c r="AH299" s="81">
        <v>34272152.197031572</v>
      </c>
      <c r="AI299" s="81">
        <v>34344373.399280317</v>
      </c>
      <c r="AJ299" s="81">
        <v>34406963.65522559</v>
      </c>
      <c r="AK299" s="81">
        <v>34468686.142487861</v>
      </c>
      <c r="AL299" s="81">
        <v>34522465.570769705</v>
      </c>
      <c r="AM299" s="81">
        <v>34569315.07322336</v>
      </c>
      <c r="AN299" s="81">
        <v>34610357.741796158</v>
      </c>
      <c r="AO299" s="81">
        <v>34646723.111772507</v>
      </c>
      <c r="AP299" s="81">
        <v>34679707.336542584</v>
      </c>
      <c r="AQ299" s="81">
        <v>34710670.066326864</v>
      </c>
      <c r="AR299" s="81">
        <v>34741062.823171355</v>
      </c>
      <c r="AS299" s="81">
        <v>34772513.164251707</v>
      </c>
      <c r="AT299" s="81">
        <v>34806609.364363506</v>
      </c>
    </row>
    <row r="300" spans="1:46" ht="15.75">
      <c r="A300" s="81" t="s">
        <v>450</v>
      </c>
      <c r="B300" s="80">
        <v>532900</v>
      </c>
      <c r="C300" s="80" t="s">
        <v>417</v>
      </c>
      <c r="D300" s="84" t="s">
        <v>552</v>
      </c>
      <c r="E300" s="81">
        <v>61847924.288304761</v>
      </c>
      <c r="F300" s="81">
        <v>63432816.106830657</v>
      </c>
      <c r="G300" s="81">
        <v>64663732.805166088</v>
      </c>
      <c r="H300" s="81">
        <v>65900653.549549393</v>
      </c>
      <c r="I300" s="81">
        <v>67139747.631176621</v>
      </c>
      <c r="J300" s="81">
        <v>68377232.998116657</v>
      </c>
      <c r="K300" s="81">
        <v>69609430.403371215</v>
      </c>
      <c r="L300" s="81">
        <v>70832718.085761264</v>
      </c>
      <c r="M300" s="81">
        <v>72043627.777466372</v>
      </c>
      <c r="N300" s="81">
        <v>73238799.594472736</v>
      </c>
      <c r="O300" s="81">
        <v>74415017.858644426</v>
      </c>
      <c r="P300" s="81">
        <v>75569227.112119734</v>
      </c>
      <c r="Q300" s="81">
        <v>76374340.710198134</v>
      </c>
      <c r="R300" s="81">
        <v>77148709.290800184</v>
      </c>
      <c r="S300" s="81">
        <v>77890319.14654772</v>
      </c>
      <c r="T300" s="81">
        <v>78597403.235992387</v>
      </c>
      <c r="U300" s="81">
        <v>79268452.498077214</v>
      </c>
      <c r="V300" s="81">
        <v>79902250.002688512</v>
      </c>
      <c r="W300" s="81">
        <v>80497791.888800725</v>
      </c>
      <c r="X300" s="81">
        <v>81054457.827286378</v>
      </c>
      <c r="Y300" s="81">
        <v>81571840.495269477</v>
      </c>
      <c r="Z300" s="81">
        <v>82049917.928525805</v>
      </c>
      <c r="AA300" s="81">
        <v>82411997.865481794</v>
      </c>
      <c r="AB300" s="81">
        <v>82735690.907076851</v>
      </c>
      <c r="AC300" s="81">
        <v>83022054.569385841</v>
      </c>
      <c r="AD300" s="81">
        <v>83272480.39803645</v>
      </c>
      <c r="AE300" s="81">
        <v>83488825.43305932</v>
      </c>
      <c r="AF300" s="81">
        <v>83673231.379854992</v>
      </c>
      <c r="AG300" s="81">
        <v>83828304.619533375</v>
      </c>
      <c r="AH300" s="81">
        <v>83956981.626573339</v>
      </c>
      <c r="AI300" s="81">
        <v>84062662.50231044</v>
      </c>
      <c r="AJ300" s="81">
        <v>84149174.082501918</v>
      </c>
      <c r="AK300" s="81">
        <v>84240197.929738641</v>
      </c>
      <c r="AL300" s="81">
        <v>84320906.299074247</v>
      </c>
      <c r="AM300" s="81">
        <v>84396422.750246257</v>
      </c>
      <c r="AN300" s="81">
        <v>84472426.130267933</v>
      </c>
      <c r="AO300" s="81">
        <v>84555010.140988633</v>
      </c>
      <c r="AP300" s="81">
        <v>84650824.006235093</v>
      </c>
      <c r="AQ300" s="81">
        <v>84767034.464001253</v>
      </c>
      <c r="AR300" s="81">
        <v>84911259.298186123</v>
      </c>
      <c r="AS300" s="81">
        <v>85091790.910628349</v>
      </c>
      <c r="AT300" s="81">
        <v>85317345.670620739</v>
      </c>
    </row>
    <row r="301" spans="1:46" ht="15.75">
      <c r="A301" s="81" t="s">
        <v>450</v>
      </c>
      <c r="B301" s="80">
        <v>533100</v>
      </c>
      <c r="C301" s="80" t="s">
        <v>417</v>
      </c>
      <c r="D301" s="84" t="s">
        <v>551</v>
      </c>
      <c r="E301" s="81">
        <v>24054460.971617915</v>
      </c>
      <c r="F301" s="81">
        <v>24716072.073843718</v>
      </c>
      <c r="G301" s="81">
        <v>25240778.446956176</v>
      </c>
      <c r="H301" s="81">
        <v>25768764.51873583</v>
      </c>
      <c r="I301" s="81">
        <v>26298679.211139988</v>
      </c>
      <c r="J301" s="81">
        <v>26829183.415039092</v>
      </c>
      <c r="K301" s="81">
        <v>27358974.475933161</v>
      </c>
      <c r="L301" s="81">
        <v>27886771.653008249</v>
      </c>
      <c r="M301" s="81">
        <v>28411320.690560926</v>
      </c>
      <c r="N301" s="81">
        <v>28931440.169169571</v>
      </c>
      <c r="O301" s="81">
        <v>29445923.269658819</v>
      </c>
      <c r="P301" s="81">
        <v>29953688.288288202</v>
      </c>
      <c r="Q301" s="81">
        <v>30324921.487726703</v>
      </c>
      <c r="R301" s="81">
        <v>30685626.558585513</v>
      </c>
      <c r="S301" s="81">
        <v>31035070.453327633</v>
      </c>
      <c r="T301" s="81">
        <v>31372526.298850421</v>
      </c>
      <c r="U301" s="81">
        <v>31697407.735310316</v>
      </c>
      <c r="V301" s="81">
        <v>32009162.822072886</v>
      </c>
      <c r="W301" s="81">
        <v>32307388.850458153</v>
      </c>
      <c r="X301" s="81">
        <v>32591701.766657025</v>
      </c>
      <c r="Y301" s="81">
        <v>32861874.933615074</v>
      </c>
      <c r="Z301" s="81">
        <v>33117752.809127782</v>
      </c>
      <c r="AA301" s="81">
        <v>33328189.654637296</v>
      </c>
      <c r="AB301" s="81">
        <v>33524245.991577428</v>
      </c>
      <c r="AC301" s="81">
        <v>33706134.593036696</v>
      </c>
      <c r="AD301" s="81">
        <v>33874199.366225705</v>
      </c>
      <c r="AE301" s="81">
        <v>34028895.551980808</v>
      </c>
      <c r="AF301" s="81">
        <v>34170768.991062187</v>
      </c>
      <c r="AG301" s="81">
        <v>34300531.599262998</v>
      </c>
      <c r="AH301" s="81">
        <v>34419042.000702225</v>
      </c>
      <c r="AI301" s="81">
        <v>34527235.995030798</v>
      </c>
      <c r="AJ301" s="81">
        <v>34626227.565591857</v>
      </c>
      <c r="AK301" s="81">
        <v>34725278.329474002</v>
      </c>
      <c r="AL301" s="81">
        <v>34817719.097547844</v>
      </c>
      <c r="AM301" s="81">
        <v>34905071.334270433</v>
      </c>
      <c r="AN301" s="81">
        <v>34989078.857089467</v>
      </c>
      <c r="AO301" s="81">
        <v>35071534.792330936</v>
      </c>
      <c r="AP301" s="81">
        <v>35154436.871364653</v>
      </c>
      <c r="AQ301" s="81">
        <v>35239993.07380376</v>
      </c>
      <c r="AR301" s="81">
        <v>35330522.673531473</v>
      </c>
      <c r="AS301" s="81">
        <v>35428563.829156555</v>
      </c>
      <c r="AT301" s="81">
        <v>35536799.819308609</v>
      </c>
    </row>
    <row r="302" spans="1:46" ht="15.75">
      <c r="A302" s="81" t="s">
        <v>450</v>
      </c>
      <c r="B302" s="80">
        <v>533300</v>
      </c>
      <c r="C302" s="80" t="s">
        <v>417</v>
      </c>
      <c r="D302" s="84" t="s">
        <v>550</v>
      </c>
      <c r="E302" s="81">
        <v>7091982.7219732841</v>
      </c>
      <c r="F302" s="81">
        <v>7290695.3963718768</v>
      </c>
      <c r="G302" s="81">
        <v>7449728.3706120308</v>
      </c>
      <c r="H302" s="81">
        <v>7610370.52560928</v>
      </c>
      <c r="I302" s="81">
        <v>7772216.1301458133</v>
      </c>
      <c r="J302" s="81">
        <v>7934824.3614890222</v>
      </c>
      <c r="K302" s="81">
        <v>8097774.5248725275</v>
      </c>
      <c r="L302" s="81">
        <v>8260654.2670473382</v>
      </c>
      <c r="M302" s="81">
        <v>8423090.104418477</v>
      </c>
      <c r="N302" s="81">
        <v>8584663.0385006685</v>
      </c>
      <c r="O302" s="81">
        <v>8744995.5018235333</v>
      </c>
      <c r="P302" s="81">
        <v>8903739.8717429005</v>
      </c>
      <c r="Q302" s="81">
        <v>9022248.8445236832</v>
      </c>
      <c r="R302" s="81">
        <v>9137887.7139346451</v>
      </c>
      <c r="S302" s="81">
        <v>9250427.6879891176</v>
      </c>
      <c r="T302" s="81">
        <v>9359603.7757250555</v>
      </c>
      <c r="U302" s="81">
        <v>9465222.9329088684</v>
      </c>
      <c r="V302" s="81">
        <v>9567072.5860571787</v>
      </c>
      <c r="W302" s="81">
        <v>9665015.279892575</v>
      </c>
      <c r="X302" s="81">
        <v>9758911.7445685249</v>
      </c>
      <c r="Y302" s="81">
        <v>9848653.1586901955</v>
      </c>
      <c r="Z302" s="81">
        <v>9934178.6718721613</v>
      </c>
      <c r="AA302" s="81">
        <v>10006120.550647108</v>
      </c>
      <c r="AB302" s="81">
        <v>10073725.703216018</v>
      </c>
      <c r="AC302" s="81">
        <v>10137065.603954647</v>
      </c>
      <c r="AD302" s="81">
        <v>10196215.61761013</v>
      </c>
      <c r="AE302" s="81">
        <v>10251288.691631503</v>
      </c>
      <c r="AF302" s="81">
        <v>10302436.53376149</v>
      </c>
      <c r="AG302" s="81">
        <v>10349833.745527802</v>
      </c>
      <c r="AH302" s="81">
        <v>10393747.129847694</v>
      </c>
      <c r="AI302" s="81">
        <v>10434417.628323946</v>
      </c>
      <c r="AJ302" s="81">
        <v>10472181.047918936</v>
      </c>
      <c r="AK302" s="81">
        <v>10509826.488536358</v>
      </c>
      <c r="AL302" s="81">
        <v>10545301.845070194</v>
      </c>
      <c r="AM302" s="81">
        <v>10579097.732176622</v>
      </c>
      <c r="AN302" s="81">
        <v>10611683.265506262</v>
      </c>
      <c r="AO302" s="81">
        <v>10643612.994543327</v>
      </c>
      <c r="AP302" s="81">
        <v>10675493.202417953</v>
      </c>
      <c r="AQ302" s="81">
        <v>10707965.010645956</v>
      </c>
      <c r="AR302" s="81">
        <v>10741723.502375919</v>
      </c>
      <c r="AS302" s="81">
        <v>10777537.590653555</v>
      </c>
      <c r="AT302" s="81">
        <v>10816214.785876449</v>
      </c>
    </row>
    <row r="303" spans="1:46" ht="15.75">
      <c r="A303" s="81" t="s">
        <v>450</v>
      </c>
      <c r="B303" s="80">
        <v>533400</v>
      </c>
      <c r="C303" s="80" t="s">
        <v>417</v>
      </c>
      <c r="D303" s="84" t="s">
        <v>549</v>
      </c>
      <c r="E303" s="81">
        <v>5398266.4461001819</v>
      </c>
      <c r="F303" s="81">
        <v>5562761.3756764662</v>
      </c>
      <c r="G303" s="81">
        <v>5693343.1011523427</v>
      </c>
      <c r="H303" s="81">
        <v>5821722.19481776</v>
      </c>
      <c r="I303" s="81">
        <v>5947867.3819631245</v>
      </c>
      <c r="J303" s="81">
        <v>6071737.0530858142</v>
      </c>
      <c r="K303" s="81">
        <v>6193309.0201789606</v>
      </c>
      <c r="L303" s="81">
        <v>6312566.0396546889</v>
      </c>
      <c r="M303" s="81">
        <v>6429448.6799429627</v>
      </c>
      <c r="N303" s="81">
        <v>6543963.9350888487</v>
      </c>
      <c r="O303" s="81">
        <v>6656092.4778471887</v>
      </c>
      <c r="P303" s="81">
        <v>6765803.0566334724</v>
      </c>
      <c r="Q303" s="81">
        <v>6844046.3601048486</v>
      </c>
      <c r="R303" s="81">
        <v>6919519.0005210824</v>
      </c>
      <c r="S303" s="81">
        <v>6992275.5199879194</v>
      </c>
      <c r="T303" s="81">
        <v>7062340.4114725515</v>
      </c>
      <c r="U303" s="81">
        <v>7129740.8292825874</v>
      </c>
      <c r="V303" s="81">
        <v>7194540.916840449</v>
      </c>
      <c r="W303" s="81">
        <v>7256756.7767361458</v>
      </c>
      <c r="X303" s="81">
        <v>7316441.5667405799</v>
      </c>
      <c r="Y303" s="81">
        <v>7373651.7812613379</v>
      </c>
      <c r="Z303" s="81">
        <v>7428411.89110942</v>
      </c>
      <c r="AA303" s="81">
        <v>7473807.7932522045</v>
      </c>
      <c r="AB303" s="81">
        <v>7516839.4748713849</v>
      </c>
      <c r="AC303" s="81">
        <v>7557564.461353193</v>
      </c>
      <c r="AD303" s="81">
        <v>7596042.8950884659</v>
      </c>
      <c r="AE303" s="81">
        <v>7632337.560259914</v>
      </c>
      <c r="AF303" s="81">
        <v>7666513.9076293772</v>
      </c>
      <c r="AG303" s="81">
        <v>7698602.9588402258</v>
      </c>
      <c r="AH303" s="81">
        <v>7728712.1932842685</v>
      </c>
      <c r="AI303" s="81">
        <v>7756877.5870195329</v>
      </c>
      <c r="AJ303" s="81">
        <v>7783174.7484984118</v>
      </c>
      <c r="AK303" s="81">
        <v>7809465.3312391145</v>
      </c>
      <c r="AL303" s="81">
        <v>7834045.5057082493</v>
      </c>
      <c r="AM303" s="81">
        <v>7856940.2226105193</v>
      </c>
      <c r="AN303" s="81">
        <v>7878234.186641911</v>
      </c>
      <c r="AO303" s="81">
        <v>7898015.0749719758</v>
      </c>
      <c r="AP303" s="81">
        <v>7916334.1126777083</v>
      </c>
      <c r="AQ303" s="81">
        <v>7933264.3439473445</v>
      </c>
      <c r="AR303" s="81">
        <v>7948881.3253922015</v>
      </c>
      <c r="AS303" s="81">
        <v>7963263.1481477953</v>
      </c>
      <c r="AT303" s="81">
        <v>7976490.459974926</v>
      </c>
    </row>
    <row r="304" spans="1:46" ht="15.75">
      <c r="A304" s="81" t="s">
        <v>450</v>
      </c>
      <c r="B304" s="80">
        <v>540100</v>
      </c>
      <c r="C304" s="80" t="s">
        <v>416</v>
      </c>
      <c r="D304" s="84" t="s">
        <v>548</v>
      </c>
      <c r="E304" s="81">
        <v>21894764.885928262</v>
      </c>
      <c r="F304" s="81">
        <v>22597927.88387569</v>
      </c>
      <c r="G304" s="81">
        <v>23048177.731919684</v>
      </c>
      <c r="H304" s="81">
        <v>23483003.442788832</v>
      </c>
      <c r="I304" s="81">
        <v>23902809.304324362</v>
      </c>
      <c r="J304" s="81">
        <v>24308080.395823587</v>
      </c>
      <c r="K304" s="81">
        <v>24699303.656388402</v>
      </c>
      <c r="L304" s="81">
        <v>25076884.840024985</v>
      </c>
      <c r="M304" s="81">
        <v>25441310.022833481</v>
      </c>
      <c r="N304" s="81">
        <v>25792953.123580497</v>
      </c>
      <c r="O304" s="81">
        <v>26132267.081019845</v>
      </c>
      <c r="P304" s="81">
        <v>26459616.435860515</v>
      </c>
      <c r="Q304" s="81">
        <v>26664513.939753316</v>
      </c>
      <c r="R304" s="81">
        <v>26856829.22411273</v>
      </c>
      <c r="S304" s="81">
        <v>27037115.623222727</v>
      </c>
      <c r="T304" s="81">
        <v>27205851.220127914</v>
      </c>
      <c r="U304" s="81">
        <v>27363466.0558387</v>
      </c>
      <c r="V304" s="81">
        <v>27510370.032255631</v>
      </c>
      <c r="W304" s="81">
        <v>27646981.512621995</v>
      </c>
      <c r="X304" s="81">
        <v>27773639.554006368</v>
      </c>
      <c r="Y304" s="81">
        <v>27890660.948602155</v>
      </c>
      <c r="Z304" s="81">
        <v>27998369.166777253</v>
      </c>
      <c r="AA304" s="81">
        <v>28099519.457743838</v>
      </c>
      <c r="AB304" s="81">
        <v>28191845.790530339</v>
      </c>
      <c r="AC304" s="81">
        <v>28275478.374983631</v>
      </c>
      <c r="AD304" s="81">
        <v>28350670.904103581</v>
      </c>
      <c r="AE304" s="81">
        <v>28417441.709338006</v>
      </c>
      <c r="AF304" s="81">
        <v>28475961.895739429</v>
      </c>
      <c r="AG304" s="81">
        <v>28526194.187985402</v>
      </c>
      <c r="AH304" s="81">
        <v>28568223.875584595</v>
      </c>
      <c r="AI304" s="81">
        <v>28601955.316045374</v>
      </c>
      <c r="AJ304" s="81">
        <v>28627354.010237854</v>
      </c>
      <c r="AK304" s="81">
        <v>28617354.10832794</v>
      </c>
      <c r="AL304" s="81">
        <v>28598730.948835332</v>
      </c>
      <c r="AM304" s="81">
        <v>28571380.680836882</v>
      </c>
      <c r="AN304" s="81">
        <v>28535043.630027995</v>
      </c>
      <c r="AO304" s="81">
        <v>28489457.88043106</v>
      </c>
      <c r="AP304" s="81">
        <v>28434327.997635558</v>
      </c>
      <c r="AQ304" s="81">
        <v>28369324.561782803</v>
      </c>
      <c r="AR304" s="81">
        <v>28294052.236984745</v>
      </c>
      <c r="AS304" s="81">
        <v>28208048.83729355</v>
      </c>
      <c r="AT304" s="81">
        <v>28110847.693415388</v>
      </c>
    </row>
    <row r="305" spans="1:46" ht="15.75">
      <c r="A305" s="81" t="s">
        <v>450</v>
      </c>
      <c r="B305" s="80">
        <v>540200</v>
      </c>
      <c r="C305" s="80" t="s">
        <v>416</v>
      </c>
      <c r="D305" s="84" t="s">
        <v>547</v>
      </c>
      <c r="E305" s="81">
        <v>5788889.6818339815</v>
      </c>
      <c r="F305" s="81">
        <v>5956160.0721050091</v>
      </c>
      <c r="G305" s="81">
        <v>6093567.9192644414</v>
      </c>
      <c r="H305" s="81">
        <v>6234626.235091581</v>
      </c>
      <c r="I305" s="81">
        <v>6378786.3519503661</v>
      </c>
      <c r="J305" s="81">
        <v>6525522.1496488741</v>
      </c>
      <c r="K305" s="81">
        <v>6674301.3845093232</v>
      </c>
      <c r="L305" s="81">
        <v>6824611.1145993676</v>
      </c>
      <c r="M305" s="81">
        <v>6975919.5822109357</v>
      </c>
      <c r="N305" s="81">
        <v>7127750.978335808</v>
      </c>
      <c r="O305" s="81">
        <v>7279614.8840413233</v>
      </c>
      <c r="P305" s="81">
        <v>7431049.0082877772</v>
      </c>
      <c r="Q305" s="81">
        <v>7549563.5870824475</v>
      </c>
      <c r="R305" s="81">
        <v>7666116.050055122</v>
      </c>
      <c r="S305" s="81">
        <v>7780365.8201715276</v>
      </c>
      <c r="T305" s="81">
        <v>7891971.8144409638</v>
      </c>
      <c r="U305" s="81">
        <v>8000636.9302350795</v>
      </c>
      <c r="V305" s="81">
        <v>8106110.0875363508</v>
      </c>
      <c r="W305" s="81">
        <v>8208152.3554139575</v>
      </c>
      <c r="X305" s="81">
        <v>8306591.9537139637</v>
      </c>
      <c r="Y305" s="81">
        <v>8401254.0500296354</v>
      </c>
      <c r="Z305" s="81">
        <v>8492052.7327091265</v>
      </c>
      <c r="AA305" s="81">
        <v>8570901.2316687983</v>
      </c>
      <c r="AB305" s="81">
        <v>8645713.2060867436</v>
      </c>
      <c r="AC305" s="81">
        <v>8716528.8660805505</v>
      </c>
      <c r="AD305" s="81">
        <v>8783410.2926578186</v>
      </c>
      <c r="AE305" s="81">
        <v>8846499.2213743366</v>
      </c>
      <c r="AF305" s="81">
        <v>8905981.323354492</v>
      </c>
      <c r="AG305" s="81">
        <v>8962087.5504160393</v>
      </c>
      <c r="AH305" s="81">
        <v>9015085.7805253733</v>
      </c>
      <c r="AI305" s="81">
        <v>9065340.5291240532</v>
      </c>
      <c r="AJ305" s="81">
        <v>9113227.3769712988</v>
      </c>
      <c r="AK305" s="81">
        <v>9161326.6461942643</v>
      </c>
      <c r="AL305" s="81">
        <v>9208029.7724258248</v>
      </c>
      <c r="AM305" s="81">
        <v>9253929.7722911704</v>
      </c>
      <c r="AN305" s="81">
        <v>9299656.6910612434</v>
      </c>
      <c r="AO305" s="81">
        <v>9345919.1702010445</v>
      </c>
      <c r="AP305" s="81">
        <v>9393465.6501054987</v>
      </c>
      <c r="AQ305" s="81">
        <v>9443167.8037008792</v>
      </c>
      <c r="AR305" s="81">
        <v>9495899.4692778047</v>
      </c>
      <c r="AS305" s="81">
        <v>9552672.1442078967</v>
      </c>
      <c r="AT305" s="81">
        <v>9614533.6970789712</v>
      </c>
    </row>
    <row r="306" spans="1:46" ht="15.75">
      <c r="A306" s="81" t="s">
        <v>450</v>
      </c>
      <c r="B306" s="80">
        <v>540300</v>
      </c>
      <c r="C306" s="80" t="s">
        <v>416</v>
      </c>
      <c r="D306" s="84" t="s">
        <v>546</v>
      </c>
      <c r="E306" s="81">
        <v>6813365.003421871</v>
      </c>
      <c r="F306" s="81">
        <v>7008634.4264141442</v>
      </c>
      <c r="G306" s="81">
        <v>7169558.0869254554</v>
      </c>
      <c r="H306" s="81">
        <v>7335557.3569820113</v>
      </c>
      <c r="I306" s="81">
        <v>7505982.2200539522</v>
      </c>
      <c r="J306" s="81">
        <v>7680181.6118563367</v>
      </c>
      <c r="K306" s="81">
        <v>7857495.6463688677</v>
      </c>
      <c r="L306" s="81">
        <v>8037306.9131710734</v>
      </c>
      <c r="M306" s="81">
        <v>8218964.4097991586</v>
      </c>
      <c r="N306" s="81">
        <v>8401875.1699244697</v>
      </c>
      <c r="O306" s="81">
        <v>8585447.5778070875</v>
      </c>
      <c r="P306" s="81">
        <v>8769092.9832574092</v>
      </c>
      <c r="Q306" s="81">
        <v>8914415.1009492297</v>
      </c>
      <c r="R306" s="81">
        <v>9057926.975069277</v>
      </c>
      <c r="S306" s="81">
        <v>9199158.2590588573</v>
      </c>
      <c r="T306" s="81">
        <v>9337679.3212704938</v>
      </c>
      <c r="U306" s="81">
        <v>9473125.1275878977</v>
      </c>
      <c r="V306" s="81">
        <v>9605143.1821359359</v>
      </c>
      <c r="W306" s="81">
        <v>9733438.6801327039</v>
      </c>
      <c r="X306" s="81">
        <v>9857754.715904437</v>
      </c>
      <c r="Y306" s="81">
        <v>9977873.9926557094</v>
      </c>
      <c r="Z306" s="81">
        <v>10093643.26050408</v>
      </c>
      <c r="AA306" s="81">
        <v>10195424.541922616</v>
      </c>
      <c r="AB306" s="81">
        <v>10292588.946077283</v>
      </c>
      <c r="AC306" s="81">
        <v>10385134.320472611</v>
      </c>
      <c r="AD306" s="81">
        <v>10473130.639765713</v>
      </c>
      <c r="AE306" s="81">
        <v>10556698.912223484</v>
      </c>
      <c r="AF306" s="81">
        <v>10636036.466317749</v>
      </c>
      <c r="AG306" s="81">
        <v>10711371.765604276</v>
      </c>
      <c r="AH306" s="81">
        <v>10783013.226706753</v>
      </c>
      <c r="AI306" s="81">
        <v>10851351.701690163</v>
      </c>
      <c r="AJ306" s="81">
        <v>10916826.538253481</v>
      </c>
      <c r="AK306" s="81">
        <v>10982473.736119388</v>
      </c>
      <c r="AL306" s="81">
        <v>11046359.81776898</v>
      </c>
      <c r="AM306" s="81">
        <v>11109139.869707489</v>
      </c>
      <c r="AN306" s="81">
        <v>11171550.086682094</v>
      </c>
      <c r="AO306" s="81">
        <v>11234384.911523625</v>
      </c>
      <c r="AP306" s="81">
        <v>11298561.76117247</v>
      </c>
      <c r="AQ306" s="81">
        <v>11365022.699749243</v>
      </c>
      <c r="AR306" s="81">
        <v>11434850.079679465</v>
      </c>
      <c r="AS306" s="81">
        <v>11509180.228911348</v>
      </c>
      <c r="AT306" s="81">
        <v>11589230.540428551</v>
      </c>
    </row>
    <row r="307" spans="1:46" ht="15.75">
      <c r="A307" s="81" t="s">
        <v>450</v>
      </c>
      <c r="B307" s="80">
        <v>540400</v>
      </c>
      <c r="C307" s="80" t="s">
        <v>416</v>
      </c>
      <c r="D307" s="84" t="s">
        <v>545</v>
      </c>
      <c r="E307" s="81">
        <v>3028264.9298743522</v>
      </c>
      <c r="F307" s="81">
        <v>3122721.5800456749</v>
      </c>
      <c r="G307" s="81">
        <v>3199923.5952026029</v>
      </c>
      <c r="H307" s="81">
        <v>3277550.1833462901</v>
      </c>
      <c r="I307" s="81">
        <v>3355443.4800399938</v>
      </c>
      <c r="J307" s="81">
        <v>3433438.1796508576</v>
      </c>
      <c r="K307" s="81">
        <v>3511403.3458675221</v>
      </c>
      <c r="L307" s="81">
        <v>3589188.462169453</v>
      </c>
      <c r="M307" s="81">
        <v>3666651.1191566167</v>
      </c>
      <c r="N307" s="81">
        <v>3743643.3514335696</v>
      </c>
      <c r="O307" s="81">
        <v>3820055.6610237435</v>
      </c>
      <c r="P307" s="81">
        <v>3895730.4555530818</v>
      </c>
      <c r="Q307" s="81">
        <v>3953779.825252397</v>
      </c>
      <c r="R307" s="81">
        <v>4010547.2084807605</v>
      </c>
      <c r="S307" s="81">
        <v>4065960.0803896049</v>
      </c>
      <c r="T307" s="81">
        <v>4119929.2292765831</v>
      </c>
      <c r="U307" s="81">
        <v>4172379.1117101596</v>
      </c>
      <c r="V307" s="81">
        <v>4223248.4580228869</v>
      </c>
      <c r="W307" s="81">
        <v>4272490.8847457841</v>
      </c>
      <c r="X307" s="81">
        <v>4320043.7865156839</v>
      </c>
      <c r="Y307" s="81">
        <v>4365875.6767507866</v>
      </c>
      <c r="Z307" s="81">
        <v>4409971.3255603453</v>
      </c>
      <c r="AA307" s="81">
        <v>4448147.7185634635</v>
      </c>
      <c r="AB307" s="81">
        <v>4484540.8787104776</v>
      </c>
      <c r="AC307" s="81">
        <v>4519159.7776784739</v>
      </c>
      <c r="AD307" s="81">
        <v>4551997.8966940064</v>
      </c>
      <c r="AE307" s="81">
        <v>4583132.7172698192</v>
      </c>
      <c r="AF307" s="81">
        <v>4612611.0454635452</v>
      </c>
      <c r="AG307" s="81">
        <v>4640464.8051344724</v>
      </c>
      <c r="AH307" s="81">
        <v>4666812.5699534789</v>
      </c>
      <c r="AI307" s="81">
        <v>4691708.280909555</v>
      </c>
      <c r="AJ307" s="81">
        <v>4715276.9282168858</v>
      </c>
      <c r="AK307" s="81">
        <v>4738706.3558530482</v>
      </c>
      <c r="AL307" s="81">
        <v>4761090.0671730386</v>
      </c>
      <c r="AM307" s="81">
        <v>4782529.4579025097</v>
      </c>
      <c r="AN307" s="81">
        <v>4803200.0207433067</v>
      </c>
      <c r="AO307" s="81">
        <v>4823300.2614955371</v>
      </c>
      <c r="AP307" s="81">
        <v>4842998.4645089908</v>
      </c>
      <c r="AQ307" s="81">
        <v>4862540.0219536265</v>
      </c>
      <c r="AR307" s="81">
        <v>4882140.6836327175</v>
      </c>
      <c r="AS307" s="81">
        <v>4902058.6964791575</v>
      </c>
      <c r="AT307" s="81">
        <v>4922559.1805907311</v>
      </c>
    </row>
    <row r="308" spans="1:46" ht="15.75">
      <c r="A308" s="81" t="s">
        <v>450</v>
      </c>
      <c r="B308" s="80">
        <v>540500</v>
      </c>
      <c r="C308" s="80" t="s">
        <v>416</v>
      </c>
      <c r="D308" s="84" t="s">
        <v>544</v>
      </c>
      <c r="E308" s="81">
        <v>3988570.2848039125</v>
      </c>
      <c r="F308" s="81">
        <v>4109414.9930585823</v>
      </c>
      <c r="G308" s="81">
        <v>4206592.7188645815</v>
      </c>
      <c r="H308" s="81">
        <v>4303441.9503752552</v>
      </c>
      <c r="I308" s="81">
        <v>4399781.6499649435</v>
      </c>
      <c r="J308" s="81">
        <v>4495484.9815196218</v>
      </c>
      <c r="K308" s="81">
        <v>4590384.0237266757</v>
      </c>
      <c r="L308" s="81">
        <v>4684355.2595640197</v>
      </c>
      <c r="M308" s="81">
        <v>4777246.4029797586</v>
      </c>
      <c r="N308" s="81">
        <v>4868939.1789956866</v>
      </c>
      <c r="O308" s="81">
        <v>4959299.5266779475</v>
      </c>
      <c r="P308" s="81">
        <v>5048216.3980900915</v>
      </c>
      <c r="Q308" s="81">
        <v>5113866.8816639967</v>
      </c>
      <c r="R308" s="81">
        <v>5177546.6626164131</v>
      </c>
      <c r="S308" s="81">
        <v>5239183.1092584515</v>
      </c>
      <c r="T308" s="81">
        <v>5298729.9848222071</v>
      </c>
      <c r="U308" s="81">
        <v>5356154.7821461791</v>
      </c>
      <c r="V308" s="81">
        <v>5411397.6761404471</v>
      </c>
      <c r="W308" s="81">
        <v>5464454.293727438</v>
      </c>
      <c r="X308" s="81">
        <v>5515293.3995686397</v>
      </c>
      <c r="Y308" s="81">
        <v>5563940.9984874558</v>
      </c>
      <c r="Z308" s="81">
        <v>5610382.397042918</v>
      </c>
      <c r="AA308" s="81">
        <v>5649387.9994630832</v>
      </c>
      <c r="AB308" s="81">
        <v>5686222.3891096143</v>
      </c>
      <c r="AC308" s="81">
        <v>5720940.4890895952</v>
      </c>
      <c r="AD308" s="81">
        <v>5753629.1088586999</v>
      </c>
      <c r="AE308" s="81">
        <v>5784363.5436748434</v>
      </c>
      <c r="AF308" s="81">
        <v>5813236.9194425978</v>
      </c>
      <c r="AG308" s="81">
        <v>5840360.7225424303</v>
      </c>
      <c r="AH308" s="81">
        <v>5865850.2249897737</v>
      </c>
      <c r="AI308" s="81">
        <v>5889870.1507522985</v>
      </c>
      <c r="AJ308" s="81">
        <v>5912559.6705358475</v>
      </c>
      <c r="AK308" s="81">
        <v>5935462.9104039399</v>
      </c>
      <c r="AL308" s="81">
        <v>5957389.8343079258</v>
      </c>
      <c r="AM308" s="81">
        <v>5978571.4382794742</v>
      </c>
      <c r="AN308" s="81">
        <v>5999213.9462604327</v>
      </c>
      <c r="AO308" s="81">
        <v>6019561.1728185294</v>
      </c>
      <c r="AP308" s="81">
        <v>6039863.7441212479</v>
      </c>
      <c r="AQ308" s="81">
        <v>6060427.3312456179</v>
      </c>
      <c r="AR308" s="81">
        <v>6081517.3272867799</v>
      </c>
      <c r="AS308" s="81">
        <v>6103471.2153397407</v>
      </c>
      <c r="AT308" s="81">
        <v>6126618.8811808126</v>
      </c>
    </row>
    <row r="309" spans="1:46" ht="15.75">
      <c r="A309" s="81" t="s">
        <v>450</v>
      </c>
      <c r="B309" s="80">
        <v>540600</v>
      </c>
      <c r="C309" s="80" t="s">
        <v>416</v>
      </c>
      <c r="D309" s="84" t="s">
        <v>543</v>
      </c>
      <c r="E309" s="81">
        <v>6272103.677319875</v>
      </c>
      <c r="F309" s="81">
        <v>6442609.2524556024</v>
      </c>
      <c r="G309" s="81">
        <v>6586066.7946167039</v>
      </c>
      <c r="H309" s="81">
        <v>6738470.486391007</v>
      </c>
      <c r="I309" s="81">
        <v>6898889.207542941</v>
      </c>
      <c r="J309" s="81">
        <v>7066437.6536810873</v>
      </c>
      <c r="K309" s="81">
        <v>7240200.8195079602</v>
      </c>
      <c r="L309" s="81">
        <v>7419276.5198591463</v>
      </c>
      <c r="M309" s="81">
        <v>7602807.1429114034</v>
      </c>
      <c r="N309" s="81">
        <v>7789900.263408755</v>
      </c>
      <c r="O309" s="81">
        <v>7979729.3994154288</v>
      </c>
      <c r="P309" s="81">
        <v>8171468.0188977625</v>
      </c>
      <c r="Q309" s="81">
        <v>8328962.4934764197</v>
      </c>
      <c r="R309" s="81">
        <v>8485839.684825426</v>
      </c>
      <c r="S309" s="81">
        <v>8641410.9101159088</v>
      </c>
      <c r="T309" s="81">
        <v>8795026.4255066868</v>
      </c>
      <c r="U309" s="81">
        <v>8946092.7668737005</v>
      </c>
      <c r="V309" s="81">
        <v>9094060.3513896912</v>
      </c>
      <c r="W309" s="81">
        <v>9238456.4867272023</v>
      </c>
      <c r="X309" s="81">
        <v>9378826.9341914896</v>
      </c>
      <c r="Y309" s="81">
        <v>9514846.3041610345</v>
      </c>
      <c r="Z309" s="81">
        <v>9646181.872073628</v>
      </c>
      <c r="AA309" s="81">
        <v>9763522.3205861859</v>
      </c>
      <c r="AB309" s="81">
        <v>9875645.2466360293</v>
      </c>
      <c r="AC309" s="81">
        <v>9982524.4773711376</v>
      </c>
      <c r="AD309" s="81">
        <v>10084135.620064873</v>
      </c>
      <c r="AE309" s="81">
        <v>10180570.044725366</v>
      </c>
      <c r="AF309" s="81">
        <v>10272005.984470785</v>
      </c>
      <c r="AG309" s="81">
        <v>10358678.346970551</v>
      </c>
      <c r="AH309" s="81">
        <v>10440946.893265553</v>
      </c>
      <c r="AI309" s="81">
        <v>10519233.319215884</v>
      </c>
      <c r="AJ309" s="81">
        <v>10594056.704327602</v>
      </c>
      <c r="AK309" s="81">
        <v>10668481.625684276</v>
      </c>
      <c r="AL309" s="81">
        <v>10740801.023220422</v>
      </c>
      <c r="AM309" s="81">
        <v>10811808.321429187</v>
      </c>
      <c r="AN309" s="81">
        <v>10882423.393883009</v>
      </c>
      <c r="AO309" s="81">
        <v>10953661.445128508</v>
      </c>
      <c r="AP309" s="81">
        <v>11026688.197168283</v>
      </c>
      <c r="AQ309" s="81">
        <v>11102718.332029661</v>
      </c>
      <c r="AR309" s="81">
        <v>11183140.763582345</v>
      </c>
      <c r="AS309" s="81">
        <v>11269434.20060735</v>
      </c>
      <c r="AT309" s="81">
        <v>11363187.247463759</v>
      </c>
    </row>
    <row r="310" spans="1:46" ht="15.75">
      <c r="A310" s="81" t="s">
        <v>450</v>
      </c>
      <c r="B310" s="80">
        <v>542500</v>
      </c>
      <c r="C310" s="80" t="s">
        <v>416</v>
      </c>
      <c r="D310" s="84" t="s">
        <v>542</v>
      </c>
      <c r="E310" s="81">
        <v>1163166.3095966822</v>
      </c>
      <c r="F310" s="81">
        <v>1197289.7454166301</v>
      </c>
      <c r="G310" s="81">
        <v>1225551.4904564773</v>
      </c>
      <c r="H310" s="81">
        <v>1254701.6749444588</v>
      </c>
      <c r="I310" s="81">
        <v>1284630.6828191618</v>
      </c>
      <c r="J310" s="81">
        <v>1315242.6290440245</v>
      </c>
      <c r="K310" s="81">
        <v>1346425.4962167633</v>
      </c>
      <c r="L310" s="81">
        <v>1378081.9196702405</v>
      </c>
      <c r="M310" s="81">
        <v>1410119.8210294791</v>
      </c>
      <c r="N310" s="81">
        <v>1442420.686843615</v>
      </c>
      <c r="O310" s="81">
        <v>1474903.6442162357</v>
      </c>
      <c r="P310" s="81">
        <v>1507472.8685809474</v>
      </c>
      <c r="Q310" s="81">
        <v>1533528.9913875677</v>
      </c>
      <c r="R310" s="81">
        <v>1559338.7871772384</v>
      </c>
      <c r="S310" s="81">
        <v>1584823.0217787425</v>
      </c>
      <c r="T310" s="81">
        <v>1609923.0062752957</v>
      </c>
      <c r="U310" s="81">
        <v>1634555.46201484</v>
      </c>
      <c r="V310" s="81">
        <v>1658669.5857029152</v>
      </c>
      <c r="W310" s="81">
        <v>1682213.3377443608</v>
      </c>
      <c r="X310" s="81">
        <v>1705121.6470317212</v>
      </c>
      <c r="Y310" s="81">
        <v>1727387.2030809668</v>
      </c>
      <c r="Z310" s="81">
        <v>1748943.0637297912</v>
      </c>
      <c r="AA310" s="81">
        <v>1768130.4761771986</v>
      </c>
      <c r="AB310" s="81">
        <v>1786546.4687803749</v>
      </c>
      <c r="AC310" s="81">
        <v>1804197.2907991789</v>
      </c>
      <c r="AD310" s="81">
        <v>1821077.4293846667</v>
      </c>
      <c r="AE310" s="81">
        <v>1837193.9703352766</v>
      </c>
      <c r="AF310" s="81">
        <v>1852554.5498396128</v>
      </c>
      <c r="AG310" s="81">
        <v>1867205.0240587078</v>
      </c>
      <c r="AH310" s="81">
        <v>1881167.5458705237</v>
      </c>
      <c r="AI310" s="81">
        <v>1894490.6269278196</v>
      </c>
      <c r="AJ310" s="81">
        <v>1907237.1872621467</v>
      </c>
      <c r="AK310" s="81">
        <v>1919902.295551629</v>
      </c>
      <c r="AL310" s="81">
        <v>1932124.9009985798</v>
      </c>
      <c r="AM310" s="81">
        <v>1943986.6286049562</v>
      </c>
      <c r="AN310" s="81">
        <v>1955611.0245355899</v>
      </c>
      <c r="AO310" s="81">
        <v>1967072.1468830907</v>
      </c>
      <c r="AP310" s="81">
        <v>1978526.2294825059</v>
      </c>
      <c r="AQ310" s="81">
        <v>1990080.0719159557</v>
      </c>
      <c r="AR310" s="81">
        <v>2001883.931512428</v>
      </c>
      <c r="AS310" s="81">
        <v>2014119.2931126219</v>
      </c>
      <c r="AT310" s="81">
        <v>2026931.2868594003</v>
      </c>
    </row>
    <row r="311" spans="1:46" ht="15.75">
      <c r="A311" s="81" t="s">
        <v>450</v>
      </c>
      <c r="B311" s="80">
        <v>610100</v>
      </c>
      <c r="C311" s="80" t="s">
        <v>415</v>
      </c>
      <c r="D311" s="84" t="s">
        <v>541</v>
      </c>
      <c r="E311" s="81">
        <v>264485453.45505947</v>
      </c>
      <c r="F311" s="81">
        <v>272908974.9734</v>
      </c>
      <c r="G311" s="81">
        <v>279425912.61928582</v>
      </c>
      <c r="H311" s="81">
        <v>285607646.79334438</v>
      </c>
      <c r="I311" s="81">
        <v>291469876.88655257</v>
      </c>
      <c r="J311" s="81">
        <v>297028489.41647619</v>
      </c>
      <c r="K311" s="81">
        <v>302299669.21050262</v>
      </c>
      <c r="L311" s="81">
        <v>307299658.54308981</v>
      </c>
      <c r="M311" s="81">
        <v>312044870.65380871</v>
      </c>
      <c r="N311" s="81">
        <v>316551665.33291435</v>
      </c>
      <c r="O311" s="81">
        <v>320836371.55428082</v>
      </c>
      <c r="P311" s="81">
        <v>324915244.08727568</v>
      </c>
      <c r="Q311" s="81">
        <v>327414289.32888699</v>
      </c>
      <c r="R311" s="81">
        <v>329734093.92424667</v>
      </c>
      <c r="S311" s="81">
        <v>331892219.54683506</v>
      </c>
      <c r="T311" s="81">
        <v>333905495.08941966</v>
      </c>
      <c r="U311" s="81">
        <v>335789941.71128893</v>
      </c>
      <c r="V311" s="81">
        <v>337560746.38913375</v>
      </c>
      <c r="W311" s="81">
        <v>339232236.02153802</v>
      </c>
      <c r="X311" s="81">
        <v>340817800.96008378</v>
      </c>
      <c r="Y311" s="81">
        <v>342329816.70239669</v>
      </c>
      <c r="Z311" s="81">
        <v>343779667.63510072</v>
      </c>
      <c r="AA311" s="81">
        <v>344855679.46136111</v>
      </c>
      <c r="AB311" s="81">
        <v>345889516.04015082</v>
      </c>
      <c r="AC311" s="81">
        <v>346889197.77759916</v>
      </c>
      <c r="AD311" s="81">
        <v>347861404.95787126</v>
      </c>
      <c r="AE311" s="81">
        <v>348811506.86241561</v>
      </c>
      <c r="AF311" s="81">
        <v>349743485.39318252</v>
      </c>
      <c r="AG311" s="81">
        <v>350659938.81550717</v>
      </c>
      <c r="AH311" s="81">
        <v>351561867.78273481</v>
      </c>
      <c r="AI311" s="81">
        <v>352448840.76371884</v>
      </c>
      <c r="AJ311" s="81">
        <v>353318750.87218738</v>
      </c>
      <c r="AK311" s="81">
        <v>354249684.3132416</v>
      </c>
      <c r="AL311" s="81">
        <v>355154266.59300745</v>
      </c>
      <c r="AM311" s="81">
        <v>356025326.46235043</v>
      </c>
      <c r="AN311" s="81">
        <v>356853877.69981152</v>
      </c>
      <c r="AO311" s="81">
        <v>357629062.23948854</v>
      </c>
      <c r="AP311" s="81">
        <v>358338034.84030563</v>
      </c>
      <c r="AQ311" s="81">
        <v>358966078.03459245</v>
      </c>
      <c r="AR311" s="81">
        <v>359496312.75266129</v>
      </c>
      <c r="AS311" s="81">
        <v>359909842.09162945</v>
      </c>
      <c r="AT311" s="81">
        <v>360185575.66721356</v>
      </c>
    </row>
    <row r="312" spans="1:46" ht="15.75">
      <c r="A312" s="81" t="s">
        <v>450</v>
      </c>
      <c r="B312" s="80">
        <v>610200</v>
      </c>
      <c r="C312" s="80" t="s">
        <v>415</v>
      </c>
      <c r="D312" s="84" t="s">
        <v>540</v>
      </c>
      <c r="E312" s="81">
        <v>11177812.876449611</v>
      </c>
      <c r="F312" s="81">
        <v>11494079.95523414</v>
      </c>
      <c r="G312" s="81">
        <v>11734669.10702288</v>
      </c>
      <c r="H312" s="81">
        <v>11965387.66767432</v>
      </c>
      <c r="I312" s="81">
        <v>12186302.918349318</v>
      </c>
      <c r="J312" s="81">
        <v>12397472.458909102</v>
      </c>
      <c r="K312" s="81">
        <v>12598995.038775096</v>
      </c>
      <c r="L312" s="81">
        <v>12790976.395661123</v>
      </c>
      <c r="M312" s="81">
        <v>12973582.571702905</v>
      </c>
      <c r="N312" s="81">
        <v>13146914.633671571</v>
      </c>
      <c r="O312" s="81">
        <v>13311188.273462513</v>
      </c>
      <c r="P312" s="81">
        <v>13466571.286124587</v>
      </c>
      <c r="Q312" s="81">
        <v>13555726.400264941</v>
      </c>
      <c r="R312" s="81">
        <v>13636334.565625964</v>
      </c>
      <c r="S312" s="81">
        <v>13708779.329458982</v>
      </c>
      <c r="T312" s="81">
        <v>13773384.44783435</v>
      </c>
      <c r="U312" s="81">
        <v>13830527.999180861</v>
      </c>
      <c r="V312" s="81">
        <v>13880604.775856607</v>
      </c>
      <c r="W312" s="81">
        <v>13924006.633725893</v>
      </c>
      <c r="X312" s="81">
        <v>13961141.851928044</v>
      </c>
      <c r="Y312" s="81">
        <v>13992395.027427735</v>
      </c>
      <c r="Z312" s="81">
        <v>14018206.825459145</v>
      </c>
      <c r="AA312" s="81">
        <v>14025921.643660158</v>
      </c>
      <c r="AB312" s="81">
        <v>14029163.372304056</v>
      </c>
      <c r="AC312" s="81">
        <v>14028390.895253219</v>
      </c>
      <c r="AD312" s="81">
        <v>14024098.146897446</v>
      </c>
      <c r="AE312" s="81">
        <v>14016730.957863733</v>
      </c>
      <c r="AF312" s="81">
        <v>14006790.74351399</v>
      </c>
      <c r="AG312" s="81">
        <v>13994750.918791836</v>
      </c>
      <c r="AH312" s="81">
        <v>13981141.28807289</v>
      </c>
      <c r="AI312" s="81">
        <v>13966463.32241212</v>
      </c>
      <c r="AJ312" s="81">
        <v>13951210.554012945</v>
      </c>
      <c r="AK312" s="81">
        <v>13939150.509648357</v>
      </c>
      <c r="AL312" s="81">
        <v>13927537.10880539</v>
      </c>
      <c r="AM312" s="81">
        <v>13916927.716872903</v>
      </c>
      <c r="AN312" s="81">
        <v>13907872.116369495</v>
      </c>
      <c r="AO312" s="81">
        <v>13900889.404982548</v>
      </c>
      <c r="AP312" s="81">
        <v>13896557.060827091</v>
      </c>
      <c r="AQ312" s="81">
        <v>13895444.264837135</v>
      </c>
      <c r="AR312" s="81">
        <v>13898111.251528043</v>
      </c>
      <c r="AS312" s="81">
        <v>13905154.806210088</v>
      </c>
      <c r="AT312" s="81">
        <v>13917116.217490382</v>
      </c>
    </row>
    <row r="313" spans="1:46" ht="15.75">
      <c r="A313" s="81" t="s">
        <v>450</v>
      </c>
      <c r="B313" s="80">
        <v>610300</v>
      </c>
      <c r="C313" s="80" t="s">
        <v>415</v>
      </c>
      <c r="D313" s="84" t="s">
        <v>539</v>
      </c>
      <c r="E313" s="81">
        <v>56116093.499397717</v>
      </c>
      <c r="F313" s="81">
        <v>57739539.912679166</v>
      </c>
      <c r="G313" s="81">
        <v>58988455.640199661</v>
      </c>
      <c r="H313" s="81">
        <v>60192883.395800889</v>
      </c>
      <c r="I313" s="81">
        <v>61352786.534096383</v>
      </c>
      <c r="J313" s="81">
        <v>62468208.719903</v>
      </c>
      <c r="K313" s="81">
        <v>63539329.844429307</v>
      </c>
      <c r="L313" s="81">
        <v>64566432.205238707</v>
      </c>
      <c r="M313" s="81">
        <v>65549844.76379253</v>
      </c>
      <c r="N313" s="81">
        <v>66490075.98606202</v>
      </c>
      <c r="O313" s="81">
        <v>67387702.868327066</v>
      </c>
      <c r="P313" s="81">
        <v>68243409.481829703</v>
      </c>
      <c r="Q313" s="81">
        <v>68766038.070435464</v>
      </c>
      <c r="R313" s="81">
        <v>69247428.620442867</v>
      </c>
      <c r="S313" s="81">
        <v>69689092.312239394</v>
      </c>
      <c r="T313" s="81">
        <v>70092635.307714716</v>
      </c>
      <c r="U313" s="81">
        <v>70459760.346165225</v>
      </c>
      <c r="V313" s="81">
        <v>70792226.820999458</v>
      </c>
      <c r="W313" s="81">
        <v>71091850.740664482</v>
      </c>
      <c r="X313" s="81">
        <v>71360589.062414214</v>
      </c>
      <c r="Y313" s="81">
        <v>71600436.655804172</v>
      </c>
      <c r="Z313" s="81">
        <v>71813425.424591765</v>
      </c>
      <c r="AA313" s="81">
        <v>71934626.057777911</v>
      </c>
      <c r="AB313" s="81">
        <v>72033731.366185442</v>
      </c>
      <c r="AC313" s="81">
        <v>72113154.417675987</v>
      </c>
      <c r="AD313" s="81">
        <v>72175316.605066329</v>
      </c>
      <c r="AE313" s="81">
        <v>72222734.736859843</v>
      </c>
      <c r="AF313" s="81">
        <v>72258022.418351784</v>
      </c>
      <c r="AG313" s="81">
        <v>72283824.019934788</v>
      </c>
      <c r="AH313" s="81">
        <v>72302926.928728074</v>
      </c>
      <c r="AI313" s="81">
        <v>72318127.796249822</v>
      </c>
      <c r="AJ313" s="81">
        <v>72332322.61494121</v>
      </c>
      <c r="AK313" s="81">
        <v>72365209.047642514</v>
      </c>
      <c r="AL313" s="81">
        <v>72403037.09537518</v>
      </c>
      <c r="AM313" s="81">
        <v>72448944.726108432</v>
      </c>
      <c r="AN313" s="81">
        <v>72506128.753590792</v>
      </c>
      <c r="AO313" s="81">
        <v>72577963.33517237</v>
      </c>
      <c r="AP313" s="81">
        <v>72667788.899761245</v>
      </c>
      <c r="AQ313" s="81">
        <v>72779077.13287963</v>
      </c>
      <c r="AR313" s="81">
        <v>72915433.263092101</v>
      </c>
      <c r="AS313" s="81">
        <v>73080476.516256288</v>
      </c>
      <c r="AT313" s="81">
        <v>73277936.493617341</v>
      </c>
    </row>
    <row r="314" spans="1:46" ht="15.75">
      <c r="A314" s="81" t="s">
        <v>450</v>
      </c>
      <c r="B314" s="80">
        <v>610400</v>
      </c>
      <c r="C314" s="80" t="s">
        <v>415</v>
      </c>
      <c r="D314" s="84" t="s">
        <v>538</v>
      </c>
      <c r="E314" s="81">
        <v>78627610.899269611</v>
      </c>
      <c r="F314" s="81">
        <v>81011314.730032176</v>
      </c>
      <c r="G314" s="81">
        <v>82868089.709078446</v>
      </c>
      <c r="H314" s="81">
        <v>84660901.877318844</v>
      </c>
      <c r="I314" s="81">
        <v>86390304.476315722</v>
      </c>
      <c r="J314" s="81">
        <v>88056946.439631805</v>
      </c>
      <c r="K314" s="81">
        <v>89661590.064823523</v>
      </c>
      <c r="L314" s="81">
        <v>91205151.016454622</v>
      </c>
      <c r="M314" s="81">
        <v>92688657.189238429</v>
      </c>
      <c r="N314" s="81">
        <v>94113247.012729034</v>
      </c>
      <c r="O314" s="81">
        <v>95480210.926407635</v>
      </c>
      <c r="P314" s="81">
        <v>96790926.63478145</v>
      </c>
      <c r="Q314" s="81">
        <v>97632446.456831202</v>
      </c>
      <c r="R314" s="81">
        <v>98418548.193640321</v>
      </c>
      <c r="S314" s="81">
        <v>99151698.183283642</v>
      </c>
      <c r="T314" s="81">
        <v>99834432.54449217</v>
      </c>
      <c r="U314" s="81">
        <v>100469310.97617222</v>
      </c>
      <c r="V314" s="81">
        <v>101058960.21796104</v>
      </c>
      <c r="W314" s="81">
        <v>101606119.6645555</v>
      </c>
      <c r="X314" s="81">
        <v>102113525.82843447</v>
      </c>
      <c r="Y314" s="81">
        <v>102583979.41657008</v>
      </c>
      <c r="Z314" s="81">
        <v>103020368.27957138</v>
      </c>
      <c r="AA314" s="81">
        <v>103329165.52035299</v>
      </c>
      <c r="AB314" s="81">
        <v>103610012.33665608</v>
      </c>
      <c r="AC314" s="81">
        <v>103866048.27915141</v>
      </c>
      <c r="AD314" s="81">
        <v>104100363.62360206</v>
      </c>
      <c r="AE314" s="81">
        <v>104316117.86946465</v>
      </c>
      <c r="AF314" s="81">
        <v>104516564.40808156</v>
      </c>
      <c r="AG314" s="81">
        <v>104704877.32233882</v>
      </c>
      <c r="AH314" s="81">
        <v>104884371.55932952</v>
      </c>
      <c r="AI314" s="81">
        <v>105058329.02413455</v>
      </c>
      <c r="AJ314" s="81">
        <v>105230096.58984093</v>
      </c>
      <c r="AK314" s="81">
        <v>105427340.65104757</v>
      </c>
      <c r="AL314" s="81">
        <v>105629073.17880505</v>
      </c>
      <c r="AM314" s="81">
        <v>105838683.85443741</v>
      </c>
      <c r="AN314" s="81">
        <v>106059625.84361506</v>
      </c>
      <c r="AO314" s="81">
        <v>106295415.65073416</v>
      </c>
      <c r="AP314" s="81">
        <v>106549527.29165596</v>
      </c>
      <c r="AQ314" s="81">
        <v>106825468.35368012</v>
      </c>
      <c r="AR314" s="81">
        <v>107126832.45590197</v>
      </c>
      <c r="AS314" s="81">
        <v>107457192.11638024</v>
      </c>
      <c r="AT314" s="81">
        <v>107820095.83719449</v>
      </c>
    </row>
    <row r="315" spans="1:46" ht="15.75">
      <c r="A315" s="81" t="s">
        <v>450</v>
      </c>
      <c r="B315" s="80">
        <v>610500</v>
      </c>
      <c r="C315" s="80" t="s">
        <v>415</v>
      </c>
      <c r="D315" s="84" t="s">
        <v>537</v>
      </c>
      <c r="E315" s="81">
        <v>79201491.304505989</v>
      </c>
      <c r="F315" s="81">
        <v>81497166.894563496</v>
      </c>
      <c r="G315" s="81">
        <v>83258880.521526366</v>
      </c>
      <c r="H315" s="81">
        <v>84952807.992308751</v>
      </c>
      <c r="I315" s="81">
        <v>86579255.515675887</v>
      </c>
      <c r="J315" s="81">
        <v>88138641.032789066</v>
      </c>
      <c r="K315" s="81">
        <v>89631585.794453278</v>
      </c>
      <c r="L315" s="81">
        <v>91058787.382898256</v>
      </c>
      <c r="M315" s="81">
        <v>92421168.397407413</v>
      </c>
      <c r="N315" s="81">
        <v>93719727.989934236</v>
      </c>
      <c r="O315" s="81">
        <v>94955635.750818178</v>
      </c>
      <c r="P315" s="81">
        <v>96130233.942927957</v>
      </c>
      <c r="Q315" s="81">
        <v>96833853.896869659</v>
      </c>
      <c r="R315" s="81">
        <v>97478061.732863128</v>
      </c>
      <c r="S315" s="81">
        <v>98065359.417613506</v>
      </c>
      <c r="T315" s="81">
        <v>98598284.79973051</v>
      </c>
      <c r="U315" s="81">
        <v>99079574.33559218</v>
      </c>
      <c r="V315" s="81">
        <v>99511959.929388776</v>
      </c>
      <c r="W315" s="81">
        <v>99898311.691954479</v>
      </c>
      <c r="X315" s="81">
        <v>100241555.56380691</v>
      </c>
      <c r="Y315" s="81">
        <v>100544778.30846035</v>
      </c>
      <c r="Z315" s="81">
        <v>100811080.3423562</v>
      </c>
      <c r="AA315" s="81">
        <v>100949469.39405122</v>
      </c>
      <c r="AB315" s="81">
        <v>101058022.65905812</v>
      </c>
      <c r="AC315" s="81">
        <v>101140200.37732169</v>
      </c>
      <c r="AD315" s="81">
        <v>101199590.60868323</v>
      </c>
      <c r="AE315" s="81">
        <v>101239800.03359097</v>
      </c>
      <c r="AF315" s="81">
        <v>101264518.83851628</v>
      </c>
      <c r="AG315" s="81">
        <v>101277543.33646218</v>
      </c>
      <c r="AH315" s="81">
        <v>101282708.98856193</v>
      </c>
      <c r="AI315" s="81">
        <v>101283980.12955391</v>
      </c>
      <c r="AJ315" s="81">
        <v>101285336.96684557</v>
      </c>
      <c r="AK315" s="81">
        <v>101314247.72917549</v>
      </c>
      <c r="AL315" s="81">
        <v>101351374.22846667</v>
      </c>
      <c r="AM315" s="81">
        <v>101400933.95826834</v>
      </c>
      <c r="AN315" s="81">
        <v>101467254.37932003</v>
      </c>
      <c r="AO315" s="81">
        <v>101554750.10031366</v>
      </c>
      <c r="AP315" s="81">
        <v>101667922.979059</v>
      </c>
      <c r="AQ315" s="81">
        <v>101811314.12436026</v>
      </c>
      <c r="AR315" s="81">
        <v>101989574.98583078</v>
      </c>
      <c r="AS315" s="81">
        <v>102207419.49235523</v>
      </c>
      <c r="AT315" s="81">
        <v>102469672.36664981</v>
      </c>
    </row>
    <row r="316" spans="1:46" ht="15.75">
      <c r="A316" s="81" t="s">
        <v>450</v>
      </c>
      <c r="B316" s="80">
        <v>610600</v>
      </c>
      <c r="C316" s="80" t="s">
        <v>415</v>
      </c>
      <c r="D316" s="84" t="s">
        <v>536</v>
      </c>
      <c r="E316" s="81">
        <v>38470088.270853788</v>
      </c>
      <c r="F316" s="81">
        <v>39675529.782647014</v>
      </c>
      <c r="G316" s="81">
        <v>40633070.665204093</v>
      </c>
      <c r="H316" s="81">
        <v>41568908.546338357</v>
      </c>
      <c r="I316" s="81">
        <v>42482881.529392309</v>
      </c>
      <c r="J316" s="81">
        <v>43374949.872934617</v>
      </c>
      <c r="K316" s="81">
        <v>44245034.373480961</v>
      </c>
      <c r="L316" s="81">
        <v>45093142.784291506</v>
      </c>
      <c r="M316" s="81">
        <v>45919353.889570251</v>
      </c>
      <c r="N316" s="81">
        <v>46723703.675116405</v>
      </c>
      <c r="O316" s="81">
        <v>47506355.825020485</v>
      </c>
      <c r="P316" s="81">
        <v>48267449.031298056</v>
      </c>
      <c r="Q316" s="81">
        <v>48800043.711297855</v>
      </c>
      <c r="R316" s="81">
        <v>49309402.342077062</v>
      </c>
      <c r="S316" s="81">
        <v>49796159.080083482</v>
      </c>
      <c r="T316" s="81">
        <v>50260943.457681932</v>
      </c>
      <c r="U316" s="81">
        <v>50704399.729178384</v>
      </c>
      <c r="V316" s="81">
        <v>51127227.950969726</v>
      </c>
      <c r="W316" s="81">
        <v>51530164.247913353</v>
      </c>
      <c r="X316" s="81">
        <v>51913917.90213576</v>
      </c>
      <c r="Y316" s="81">
        <v>52279275.540239342</v>
      </c>
      <c r="Z316" s="81">
        <v>52627017.444973744</v>
      </c>
      <c r="AA316" s="81">
        <v>52908549.508194983</v>
      </c>
      <c r="AB316" s="81">
        <v>53174032.660524234</v>
      </c>
      <c r="AC316" s="81">
        <v>53424332.499742627</v>
      </c>
      <c r="AD316" s="81">
        <v>53660433.29860121</v>
      </c>
      <c r="AE316" s="81">
        <v>53883219.547197863</v>
      </c>
      <c r="AF316" s="81">
        <v>54093694.970849484</v>
      </c>
      <c r="AG316" s="81">
        <v>54292828.494473904</v>
      </c>
      <c r="AH316" s="81">
        <v>54481620.134034276</v>
      </c>
      <c r="AI316" s="81">
        <v>54661124.042924762</v>
      </c>
      <c r="AJ316" s="81">
        <v>54832380.757625788</v>
      </c>
      <c r="AK316" s="81">
        <v>55009134.410000883</v>
      </c>
      <c r="AL316" s="81">
        <v>55179780.683240831</v>
      </c>
      <c r="AM316" s="81">
        <v>55345404.23555807</v>
      </c>
      <c r="AN316" s="81">
        <v>55507145.208098672</v>
      </c>
      <c r="AO316" s="81">
        <v>55666105.403560363</v>
      </c>
      <c r="AP316" s="81">
        <v>55823489.46099972</v>
      </c>
      <c r="AQ316" s="81">
        <v>55980463.262389503</v>
      </c>
      <c r="AR316" s="81">
        <v>56138248.614304602</v>
      </c>
      <c r="AS316" s="81">
        <v>56298026.842970788</v>
      </c>
      <c r="AT316" s="81">
        <v>56461059.281995766</v>
      </c>
    </row>
    <row r="317" spans="1:46" ht="15.75">
      <c r="A317" s="81" t="s">
        <v>450</v>
      </c>
      <c r="B317" s="80">
        <v>610700</v>
      </c>
      <c r="C317" s="80" t="s">
        <v>415</v>
      </c>
      <c r="D317" s="84" t="s">
        <v>535</v>
      </c>
      <c r="E317" s="81">
        <v>51601933.998930894</v>
      </c>
      <c r="F317" s="81">
        <v>52858292.356733754</v>
      </c>
      <c r="G317" s="81">
        <v>53788453.245032579</v>
      </c>
      <c r="H317" s="81">
        <v>54694652.018925965</v>
      </c>
      <c r="I317" s="81">
        <v>55575574.548176698</v>
      </c>
      <c r="J317" s="81">
        <v>56430031.461411394</v>
      </c>
      <c r="K317" s="81">
        <v>57256879.279336333</v>
      </c>
      <c r="L317" s="81">
        <v>58055130.776262708</v>
      </c>
      <c r="M317" s="81">
        <v>58823857.130057901</v>
      </c>
      <c r="N317" s="81">
        <v>59562246.379238449</v>
      </c>
      <c r="O317" s="81">
        <v>60269629.081435196</v>
      </c>
      <c r="P317" s="81">
        <v>60945430.516905658</v>
      </c>
      <c r="Q317" s="81">
        <v>61328875.092635162</v>
      </c>
      <c r="R317" s="81">
        <v>61679770.705639981</v>
      </c>
      <c r="S317" s="81">
        <v>61998409.237184688</v>
      </c>
      <c r="T317" s="81">
        <v>62285150.589535616</v>
      </c>
      <c r="U317" s="81">
        <v>62540580.626939535</v>
      </c>
      <c r="V317" s="81">
        <v>62765381.679124318</v>
      </c>
      <c r="W317" s="81">
        <v>62960414.569607332</v>
      </c>
      <c r="X317" s="81">
        <v>63126684.582588524</v>
      </c>
      <c r="Y317" s="81">
        <v>63265366.001071364</v>
      </c>
      <c r="Z317" s="81">
        <v>63377787.05336576</v>
      </c>
      <c r="AA317" s="81">
        <v>63406287.695602201</v>
      </c>
      <c r="AB317" s="81">
        <v>63412166.533956163</v>
      </c>
      <c r="AC317" s="81">
        <v>63397397.553570136</v>
      </c>
      <c r="AD317" s="81">
        <v>63364038.015472904</v>
      </c>
      <c r="AE317" s="81">
        <v>63314376.685594924</v>
      </c>
      <c r="AF317" s="81">
        <v>63250918.933525182</v>
      </c>
      <c r="AG317" s="81">
        <v>63176307.187887959</v>
      </c>
      <c r="AH317" s="81">
        <v>63093409.40224985</v>
      </c>
      <c r="AI317" s="81">
        <v>63005281.580274522</v>
      </c>
      <c r="AJ317" s="81">
        <v>62915237.182762258</v>
      </c>
      <c r="AK317" s="81">
        <v>62841203.52519346</v>
      </c>
      <c r="AL317" s="81">
        <v>62772299.584128663</v>
      </c>
      <c r="AM317" s="81">
        <v>62712409.475008965</v>
      </c>
      <c r="AN317" s="81">
        <v>62665720.563546054</v>
      </c>
      <c r="AO317" s="81">
        <v>62636641.274399057</v>
      </c>
      <c r="AP317" s="81">
        <v>62629783.169348203</v>
      </c>
      <c r="AQ317" s="81">
        <v>62650033.228339046</v>
      </c>
      <c r="AR317" s="81">
        <v>62702537.224411696</v>
      </c>
      <c r="AS317" s="81">
        <v>62792659.15280965</v>
      </c>
      <c r="AT317" s="81">
        <v>62926101.474014409</v>
      </c>
    </row>
    <row r="318" spans="1:46" ht="15.75">
      <c r="A318" s="81" t="s">
        <v>450</v>
      </c>
      <c r="B318" s="80">
        <v>610800</v>
      </c>
      <c r="C318" s="80" t="s">
        <v>415</v>
      </c>
      <c r="D318" s="84" t="s">
        <v>534</v>
      </c>
      <c r="E318" s="81">
        <v>61075666.530272044</v>
      </c>
      <c r="F318" s="81">
        <v>63003963.110829487</v>
      </c>
      <c r="G318" s="81">
        <v>64529820.61134778</v>
      </c>
      <c r="H318" s="81">
        <v>66012920.17186477</v>
      </c>
      <c r="I318" s="81">
        <v>67453732.519814029</v>
      </c>
      <c r="J318" s="81">
        <v>68852767.241086468</v>
      </c>
      <c r="K318" s="81">
        <v>70210624.289424822</v>
      </c>
      <c r="L318" s="81">
        <v>71527955.693232119</v>
      </c>
      <c r="M318" s="81">
        <v>72805481.48446849</v>
      </c>
      <c r="N318" s="81">
        <v>74043987.723534629</v>
      </c>
      <c r="O318" s="81">
        <v>75244363.55408299</v>
      </c>
      <c r="P318" s="81">
        <v>76407482.870165497</v>
      </c>
      <c r="Q318" s="81">
        <v>77206574.888915315</v>
      </c>
      <c r="R318" s="81">
        <v>77967431.990365654</v>
      </c>
      <c r="S318" s="81">
        <v>78691609.186301112</v>
      </c>
      <c r="T318" s="81">
        <v>79380737.220778778</v>
      </c>
      <c r="U318" s="81">
        <v>80036440.959828496</v>
      </c>
      <c r="V318" s="81">
        <v>80660357.64874357</v>
      </c>
      <c r="W318" s="81">
        <v>81254114.265396193</v>
      </c>
      <c r="X318" s="81">
        <v>81819367.136660561</v>
      </c>
      <c r="Y318" s="81">
        <v>82357779.730532721</v>
      </c>
      <c r="Z318" s="81">
        <v>82870999.426650017</v>
      </c>
      <c r="AA318" s="81">
        <v>83282956.230478406</v>
      </c>
      <c r="AB318" s="81">
        <v>83672937.548217684</v>
      </c>
      <c r="AC318" s="81">
        <v>84042673.69988361</v>
      </c>
      <c r="AD318" s="81">
        <v>84393863.578228161</v>
      </c>
      <c r="AE318" s="81">
        <v>84728194.328270212</v>
      </c>
      <c r="AF318" s="81">
        <v>85047339.575033754</v>
      </c>
      <c r="AG318" s="81">
        <v>85353002.575644955</v>
      </c>
      <c r="AH318" s="81">
        <v>85646780.166105971</v>
      </c>
      <c r="AI318" s="81">
        <v>85930317.332052708</v>
      </c>
      <c r="AJ318" s="81">
        <v>86205215.905211419</v>
      </c>
      <c r="AK318" s="81">
        <v>86493016.448846191</v>
      </c>
      <c r="AL318" s="81">
        <v>86775276.534336448</v>
      </c>
      <c r="AM318" s="81">
        <v>87053544.429792404</v>
      </c>
      <c r="AN318" s="81">
        <v>87329318.374368876</v>
      </c>
      <c r="AO318" s="81">
        <v>87604020.026461765</v>
      </c>
      <c r="AP318" s="81">
        <v>87879134.106743217</v>
      </c>
      <c r="AQ318" s="81">
        <v>88155993.119999632</v>
      </c>
      <c r="AR318" s="81">
        <v>88436013.291047454</v>
      </c>
      <c r="AS318" s="81">
        <v>88720477.149688244</v>
      </c>
      <c r="AT318" s="81">
        <v>89010650.794330478</v>
      </c>
    </row>
    <row r="319" spans="1:46" ht="15.75">
      <c r="A319" s="81" t="s">
        <v>450</v>
      </c>
      <c r="B319" s="80">
        <v>610900</v>
      </c>
      <c r="C319" s="80" t="s">
        <v>415</v>
      </c>
      <c r="D319" s="84" t="s">
        <v>533</v>
      </c>
      <c r="E319" s="81">
        <v>39960824.713634863</v>
      </c>
      <c r="F319" s="81">
        <v>41040449.179865427</v>
      </c>
      <c r="G319" s="81">
        <v>41869816.558492169</v>
      </c>
      <c r="H319" s="81">
        <v>42682870.955434866</v>
      </c>
      <c r="I319" s="81">
        <v>43478478.477008574</v>
      </c>
      <c r="J319" s="81">
        <v>44255644.456503086</v>
      </c>
      <c r="K319" s="81">
        <v>45013365.319402598</v>
      </c>
      <c r="L319" s="81">
        <v>45750753.285162538</v>
      </c>
      <c r="M319" s="81">
        <v>46466990.268973611</v>
      </c>
      <c r="N319" s="81">
        <v>47161314.295767263</v>
      </c>
      <c r="O319" s="81">
        <v>47833115.610513784</v>
      </c>
      <c r="P319" s="81">
        <v>48481833.710251644</v>
      </c>
      <c r="Q319" s="81">
        <v>48899406.758262135</v>
      </c>
      <c r="R319" s="81">
        <v>49291929.921597302</v>
      </c>
      <c r="S319" s="81">
        <v>49659519.215241231</v>
      </c>
      <c r="T319" s="81">
        <v>50002368.540363409</v>
      </c>
      <c r="U319" s="81">
        <v>50320810.76905781</v>
      </c>
      <c r="V319" s="81">
        <v>50615263.686131172</v>
      </c>
      <c r="W319" s="81">
        <v>50886272.26205238</v>
      </c>
      <c r="X319" s="81">
        <v>51134512.884870149</v>
      </c>
      <c r="Y319" s="81">
        <v>51360817.770137988</v>
      </c>
      <c r="Z319" s="81">
        <v>51566078.608717747</v>
      </c>
      <c r="AA319" s="81">
        <v>51703127.803221859</v>
      </c>
      <c r="AB319" s="81">
        <v>51821574.994163543</v>
      </c>
      <c r="AC319" s="81">
        <v>51922841.315837555</v>
      </c>
      <c r="AD319" s="81">
        <v>52008415.026184291</v>
      </c>
      <c r="AE319" s="81">
        <v>52079999.598435141</v>
      </c>
      <c r="AF319" s="81">
        <v>52139435.266339123</v>
      </c>
      <c r="AG319" s="81">
        <v>52188659.764852889</v>
      </c>
      <c r="AH319" s="81">
        <v>52229838.777812526</v>
      </c>
      <c r="AI319" s="81">
        <v>52265242.752227738</v>
      </c>
      <c r="AJ319" s="81">
        <v>52297335.704577155</v>
      </c>
      <c r="AK319" s="81">
        <v>52340794.07816048</v>
      </c>
      <c r="AL319" s="81">
        <v>52386271.733588241</v>
      </c>
      <c r="AM319" s="81">
        <v>52436755.673451677</v>
      </c>
      <c r="AN319" s="81">
        <v>52495357.433803357</v>
      </c>
      <c r="AO319" s="81">
        <v>52565427.591483034</v>
      </c>
      <c r="AP319" s="81">
        <v>52650493.910750896</v>
      </c>
      <c r="AQ319" s="81">
        <v>52754265.105942108</v>
      </c>
      <c r="AR319" s="81">
        <v>52880634.634530909</v>
      </c>
      <c r="AS319" s="81">
        <v>53033730.67465806</v>
      </c>
      <c r="AT319" s="81">
        <v>53217898.289564937</v>
      </c>
    </row>
    <row r="320" spans="1:46" ht="15.75">
      <c r="A320" s="81" t="s">
        <v>450</v>
      </c>
      <c r="B320" s="80">
        <v>611000</v>
      </c>
      <c r="C320" s="80" t="s">
        <v>415</v>
      </c>
      <c r="D320" s="84" t="s">
        <v>532</v>
      </c>
      <c r="E320" s="81">
        <v>32612286.291472759</v>
      </c>
      <c r="F320" s="81">
        <v>33598191.294635899</v>
      </c>
      <c r="G320" s="81">
        <v>34369271.320925355</v>
      </c>
      <c r="H320" s="81">
        <v>35117247.643956229</v>
      </c>
      <c r="I320" s="81">
        <v>35842016.01060833</v>
      </c>
      <c r="J320" s="81">
        <v>36543556.704769351</v>
      </c>
      <c r="K320" s="81">
        <v>37221867.199753106</v>
      </c>
      <c r="L320" s="81">
        <v>37877014.060762443</v>
      </c>
      <c r="M320" s="81">
        <v>38509116.770817459</v>
      </c>
      <c r="N320" s="81">
        <v>39118348.463897787</v>
      </c>
      <c r="O320" s="81">
        <v>39704936.658085123</v>
      </c>
      <c r="P320" s="81">
        <v>40269145.253075525</v>
      </c>
      <c r="Q320" s="81">
        <v>40638789.473611452</v>
      </c>
      <c r="R320" s="81">
        <v>40985668.268360026</v>
      </c>
      <c r="S320" s="81">
        <v>41310529.46419163</v>
      </c>
      <c r="T320" s="81">
        <v>41614140.356543444</v>
      </c>
      <c r="U320" s="81">
        <v>41897345.860806607</v>
      </c>
      <c r="V320" s="81">
        <v>42160991.822964862</v>
      </c>
      <c r="W320" s="81">
        <v>42406022.964624599</v>
      </c>
      <c r="X320" s="81">
        <v>42633345.80647435</v>
      </c>
      <c r="Y320" s="81">
        <v>42843966.873182394</v>
      </c>
      <c r="Z320" s="81">
        <v>43038914.293962039</v>
      </c>
      <c r="AA320" s="81">
        <v>43178972.219731584</v>
      </c>
      <c r="AB320" s="81">
        <v>43305623.958466783</v>
      </c>
      <c r="AC320" s="81">
        <v>43420077.573616832</v>
      </c>
      <c r="AD320" s="81">
        <v>43523558.695647918</v>
      </c>
      <c r="AE320" s="81">
        <v>43617352.142771825</v>
      </c>
      <c r="AF320" s="81">
        <v>43702760.686088108</v>
      </c>
      <c r="AG320" s="81">
        <v>43781125.953929164</v>
      </c>
      <c r="AH320" s="81">
        <v>43853828.763442934</v>
      </c>
      <c r="AI320" s="81">
        <v>43922332.588499583</v>
      </c>
      <c r="AJ320" s="81">
        <v>43988076.770937435</v>
      </c>
      <c r="AK320" s="81">
        <v>44062753.079511844</v>
      </c>
      <c r="AL320" s="81">
        <v>44137696.272969872</v>
      </c>
      <c r="AM320" s="81">
        <v>44214512.813000336</v>
      </c>
      <c r="AN320" s="81">
        <v>44294852.411855459</v>
      </c>
      <c r="AO320" s="81">
        <v>44380385.926804706</v>
      </c>
      <c r="AP320" s="81">
        <v>44472827.576784723</v>
      </c>
      <c r="AQ320" s="81">
        <v>44573980.837572411</v>
      </c>
      <c r="AR320" s="81">
        <v>44685648.634746946</v>
      </c>
      <c r="AS320" s="81">
        <v>44809678.325975098</v>
      </c>
      <c r="AT320" s="81">
        <v>44947985.286992818</v>
      </c>
    </row>
    <row r="321" spans="1:46" ht="15.75">
      <c r="A321" s="81" t="s">
        <v>450</v>
      </c>
      <c r="B321" s="80">
        <v>620100</v>
      </c>
      <c r="C321" s="80" t="s">
        <v>414</v>
      </c>
      <c r="D321" s="84" t="s">
        <v>531</v>
      </c>
      <c r="E321" s="81">
        <v>115338047.57872796</v>
      </c>
      <c r="F321" s="81">
        <v>118896887.52506329</v>
      </c>
      <c r="G321" s="81">
        <v>121643414.76549791</v>
      </c>
      <c r="H321" s="81">
        <v>124261223.62318876</v>
      </c>
      <c r="I321" s="81">
        <v>126755426.06607173</v>
      </c>
      <c r="J321" s="81">
        <v>129131307.63092442</v>
      </c>
      <c r="K321" s="81">
        <v>131394222.62578367</v>
      </c>
      <c r="L321" s="81">
        <v>133549600.25634031</v>
      </c>
      <c r="M321" s="81">
        <v>135602982.50871715</v>
      </c>
      <c r="N321" s="81">
        <v>137559854.28021538</v>
      </c>
      <c r="O321" s="81">
        <v>139425768.27828673</v>
      </c>
      <c r="P321" s="81">
        <v>141206232.63772056</v>
      </c>
      <c r="Q321" s="81">
        <v>141529312.28645858</v>
      </c>
      <c r="R321" s="81">
        <v>141772353.64122364</v>
      </c>
      <c r="S321" s="81">
        <v>141942825.5504494</v>
      </c>
      <c r="T321" s="81">
        <v>142047782.16977084</v>
      </c>
      <c r="U321" s="81">
        <v>142093981.97518286</v>
      </c>
      <c r="V321" s="81">
        <v>142087661.7953268</v>
      </c>
      <c r="W321" s="81">
        <v>142034781.78402993</v>
      </c>
      <c r="X321" s="81">
        <v>141940767.02140597</v>
      </c>
      <c r="Y321" s="81">
        <v>141810753.84758952</v>
      </c>
      <c r="Z321" s="81">
        <v>141649393.91719896</v>
      </c>
      <c r="AA321" s="81">
        <v>141523040.48608512</v>
      </c>
      <c r="AB321" s="81">
        <v>141373168.73037395</v>
      </c>
      <c r="AC321" s="81">
        <v>141203102.3355768</v>
      </c>
      <c r="AD321" s="81">
        <v>141015723.27662694</v>
      </c>
      <c r="AE321" s="81">
        <v>140813561.63337481</v>
      </c>
      <c r="AF321" s="81">
        <v>140598530.10459006</v>
      </c>
      <c r="AG321" s="81">
        <v>140372239.87153459</v>
      </c>
      <c r="AH321" s="81">
        <v>140135701.87774849</v>
      </c>
      <c r="AI321" s="81">
        <v>139889579.61684114</v>
      </c>
      <c r="AJ321" s="81">
        <v>139633921.02930573</v>
      </c>
      <c r="AK321" s="81">
        <v>139380882.60788286</v>
      </c>
      <c r="AL321" s="81">
        <v>139116927.97829607</v>
      </c>
      <c r="AM321" s="81">
        <v>138840769.00777432</v>
      </c>
      <c r="AN321" s="81">
        <v>138550437.8611134</v>
      </c>
      <c r="AO321" s="81">
        <v>138243543.7797274</v>
      </c>
      <c r="AP321" s="81">
        <v>137917166.75152078</v>
      </c>
      <c r="AQ321" s="81">
        <v>137567816.47420785</v>
      </c>
      <c r="AR321" s="81">
        <v>137191458.01040611</v>
      </c>
      <c r="AS321" s="81">
        <v>136783571.78742114</v>
      </c>
      <c r="AT321" s="81">
        <v>136339045.56915081</v>
      </c>
    </row>
    <row r="322" spans="1:46" ht="15.75">
      <c r="A322" s="81" t="s">
        <v>450</v>
      </c>
      <c r="B322" s="80">
        <v>620200</v>
      </c>
      <c r="C322" s="80" t="s">
        <v>414</v>
      </c>
      <c r="D322" s="84" t="s">
        <v>530</v>
      </c>
      <c r="E322" s="81">
        <v>9087696.7449485715</v>
      </c>
      <c r="F322" s="81">
        <v>9193383.5190045256</v>
      </c>
      <c r="G322" s="81">
        <v>9286107.4786878526</v>
      </c>
      <c r="H322" s="81">
        <v>9370408.3325695433</v>
      </c>
      <c r="I322" s="81">
        <v>9446621.5621671751</v>
      </c>
      <c r="J322" s="81">
        <v>9515057.8940824177</v>
      </c>
      <c r="K322" s="81">
        <v>9576032.7044319175</v>
      </c>
      <c r="L322" s="81">
        <v>9629866.0188472718</v>
      </c>
      <c r="M322" s="81">
        <v>9676852.4821479488</v>
      </c>
      <c r="N322" s="81">
        <v>9717321.1507542171</v>
      </c>
      <c r="O322" s="81">
        <v>9751545.3122921232</v>
      </c>
      <c r="P322" s="81">
        <v>9779802.1885926779</v>
      </c>
      <c r="Q322" s="81">
        <v>9803280.3780905567</v>
      </c>
      <c r="R322" s="81">
        <v>9821355.6302034706</v>
      </c>
      <c r="S322" s="81">
        <v>9834285.0485474356</v>
      </c>
      <c r="T322" s="81">
        <v>9842360.0891440883</v>
      </c>
      <c r="U322" s="81">
        <v>9845814.7433890179</v>
      </c>
      <c r="V322" s="81">
        <v>9844886.3194537535</v>
      </c>
      <c r="W322" s="81">
        <v>9839877.3292798027</v>
      </c>
      <c r="X322" s="81">
        <v>9830939.1604976077</v>
      </c>
      <c r="Y322" s="81">
        <v>9818349.9229709227</v>
      </c>
      <c r="Z322" s="81">
        <v>9802297.7521851193</v>
      </c>
      <c r="AA322" s="81">
        <v>9799359.5899647232</v>
      </c>
      <c r="AB322" s="81">
        <v>9793328.9560356587</v>
      </c>
      <c r="AC322" s="81">
        <v>9784356.5505005047</v>
      </c>
      <c r="AD322" s="81">
        <v>9772660.0020620115</v>
      </c>
      <c r="AE322" s="81">
        <v>9758365.6178568359</v>
      </c>
      <c r="AF322" s="81">
        <v>9741666.6725948229</v>
      </c>
      <c r="AG322" s="81">
        <v>9722695.9379565381</v>
      </c>
      <c r="AH322" s="81">
        <v>9701621.3887629937</v>
      </c>
      <c r="AI322" s="81">
        <v>9678549.3615623973</v>
      </c>
      <c r="AJ322" s="81">
        <v>9653653.8105408214</v>
      </c>
      <c r="AK322" s="81">
        <v>9617946.2375223637</v>
      </c>
      <c r="AL322" s="81">
        <v>9580685.3426738381</v>
      </c>
      <c r="AM322" s="81">
        <v>9542024.0596258417</v>
      </c>
      <c r="AN322" s="81">
        <v>9502018.20521296</v>
      </c>
      <c r="AO322" s="81">
        <v>9460791.0329396594</v>
      </c>
      <c r="AP322" s="81">
        <v>9418400.8964427952</v>
      </c>
      <c r="AQ322" s="81">
        <v>9374940.565268809</v>
      </c>
      <c r="AR322" s="81">
        <v>9330436.9797520991</v>
      </c>
      <c r="AS322" s="81">
        <v>9284984.9944403544</v>
      </c>
      <c r="AT322" s="81">
        <v>9238579.3254287411</v>
      </c>
    </row>
    <row r="323" spans="1:46" ht="15.75">
      <c r="A323" s="81" t="s">
        <v>450</v>
      </c>
      <c r="B323" s="80">
        <v>620300</v>
      </c>
      <c r="C323" s="80" t="s">
        <v>414</v>
      </c>
      <c r="D323" s="84" t="s">
        <v>529</v>
      </c>
      <c r="E323" s="81">
        <v>9957093.1091126371</v>
      </c>
      <c r="F323" s="81">
        <v>10217852.836712852</v>
      </c>
      <c r="G323" s="81">
        <v>10417292.271512657</v>
      </c>
      <c r="H323" s="81">
        <v>10613583.418288212</v>
      </c>
      <c r="I323" s="81">
        <v>10806302.236730261</v>
      </c>
      <c r="J323" s="81">
        <v>10995060.337430505</v>
      </c>
      <c r="K323" s="81">
        <v>11179508.065056305</v>
      </c>
      <c r="L323" s="81">
        <v>11359261.892424313</v>
      </c>
      <c r="M323" s="81">
        <v>11533979.43062626</v>
      </c>
      <c r="N323" s="81">
        <v>11703388.496578179</v>
      </c>
      <c r="O323" s="81">
        <v>11867160.853196695</v>
      </c>
      <c r="P323" s="81">
        <v>12025015.11169159</v>
      </c>
      <c r="Q323" s="81">
        <v>12125245.075359955</v>
      </c>
      <c r="R323" s="81">
        <v>12218891.701967236</v>
      </c>
      <c r="S323" s="81">
        <v>12305812.5341559</v>
      </c>
      <c r="T323" s="81">
        <v>12385974.407905683</v>
      </c>
      <c r="U323" s="81">
        <v>12459291.995736985</v>
      </c>
      <c r="V323" s="81">
        <v>12525848.565766448</v>
      </c>
      <c r="W323" s="81">
        <v>12585593.695859604</v>
      </c>
      <c r="X323" s="81">
        <v>12638677.508012723</v>
      </c>
      <c r="Y323" s="81">
        <v>12685144.649098713</v>
      </c>
      <c r="Z323" s="81">
        <v>12725188.721593356</v>
      </c>
      <c r="AA323" s="81">
        <v>12747056.140520705</v>
      </c>
      <c r="AB323" s="81">
        <v>12762981.202417698</v>
      </c>
      <c r="AC323" s="81">
        <v>12773231.414546143</v>
      </c>
      <c r="AD323" s="81">
        <v>12778113.511844326</v>
      </c>
      <c r="AE323" s="81">
        <v>12778034.0607624</v>
      </c>
      <c r="AF323" s="81">
        <v>12773382.745426064</v>
      </c>
      <c r="AG323" s="81">
        <v>12764652.110256668</v>
      </c>
      <c r="AH323" s="81">
        <v>12752319.259445276</v>
      </c>
      <c r="AI323" s="81">
        <v>12736967.231911475</v>
      </c>
      <c r="AJ323" s="81">
        <v>12719195.873833068</v>
      </c>
      <c r="AK323" s="81">
        <v>12702584.543974599</v>
      </c>
      <c r="AL323" s="81">
        <v>12684931.895074774</v>
      </c>
      <c r="AM323" s="81">
        <v>12666923.589581944</v>
      </c>
      <c r="AN323" s="81">
        <v>12649453.888838366</v>
      </c>
      <c r="AO323" s="81">
        <v>12633345.717795018</v>
      </c>
      <c r="AP323" s="81">
        <v>12619572.005939525</v>
      </c>
      <c r="AQ323" s="81">
        <v>12609131.114522802</v>
      </c>
      <c r="AR323" s="81">
        <v>12603047.044858366</v>
      </c>
      <c r="AS323" s="81">
        <v>12602435.05588286</v>
      </c>
      <c r="AT323" s="81">
        <v>12608536.980545208</v>
      </c>
    </row>
    <row r="324" spans="1:46" ht="15.75">
      <c r="A324" s="81" t="s">
        <v>450</v>
      </c>
      <c r="B324" s="80">
        <v>620400</v>
      </c>
      <c r="C324" s="80" t="s">
        <v>414</v>
      </c>
      <c r="D324" s="84" t="s">
        <v>528</v>
      </c>
      <c r="E324" s="81">
        <v>23878732.974205192</v>
      </c>
      <c r="F324" s="81">
        <v>24668363.135408968</v>
      </c>
      <c r="G324" s="81">
        <v>25302743.723731741</v>
      </c>
      <c r="H324" s="81">
        <v>25921738.801670067</v>
      </c>
      <c r="I324" s="81">
        <v>26524746.23422236</v>
      </c>
      <c r="J324" s="81">
        <v>27111189.705932677</v>
      </c>
      <c r="K324" s="81">
        <v>27680607.198588453</v>
      </c>
      <c r="L324" s="81">
        <v>28232552.059056409</v>
      </c>
      <c r="M324" s="81">
        <v>28766664.8079549</v>
      </c>
      <c r="N324" s="81">
        <v>29282659.871387642</v>
      </c>
      <c r="O324" s="81">
        <v>29780311.00024065</v>
      </c>
      <c r="P324" s="81">
        <v>30259472.494161874</v>
      </c>
      <c r="Q324" s="81">
        <v>30590219.357331429</v>
      </c>
      <c r="R324" s="81">
        <v>30901127.548337545</v>
      </c>
      <c r="S324" s="81">
        <v>31192580.094835382</v>
      </c>
      <c r="T324" s="81">
        <v>31465023.782204945</v>
      </c>
      <c r="U324" s="81">
        <v>31718970.971069485</v>
      </c>
      <c r="V324" s="81">
        <v>31955040.40902156</v>
      </c>
      <c r="W324" s="81">
        <v>32173901.703766432</v>
      </c>
      <c r="X324" s="81">
        <v>32376335.823522035</v>
      </c>
      <c r="Y324" s="81">
        <v>32563198.641561575</v>
      </c>
      <c r="Z324" s="81">
        <v>32735463.08298099</v>
      </c>
      <c r="AA324" s="81">
        <v>32863484.880258139</v>
      </c>
      <c r="AB324" s="81">
        <v>32979104.735105511</v>
      </c>
      <c r="AC324" s="81">
        <v>33083633.347236149</v>
      </c>
      <c r="AD324" s="81">
        <v>33178401.672639914</v>
      </c>
      <c r="AE324" s="81">
        <v>33264906.250128634</v>
      </c>
      <c r="AF324" s="81">
        <v>33344688.074198615</v>
      </c>
      <c r="AG324" s="81">
        <v>33419459.531180769</v>
      </c>
      <c r="AH324" s="81">
        <v>33490939.159682684</v>
      </c>
      <c r="AI324" s="81">
        <v>33561064.404261433</v>
      </c>
      <c r="AJ324" s="81">
        <v>33631825.569670349</v>
      </c>
      <c r="AK324" s="81">
        <v>33713068.452031456</v>
      </c>
      <c r="AL324" s="81">
        <v>33799269.014510803</v>
      </c>
      <c r="AM324" s="81">
        <v>33892719.52088929</v>
      </c>
      <c r="AN324" s="81">
        <v>33995927.226243727</v>
      </c>
      <c r="AO324" s="81">
        <v>34111464.2716197</v>
      </c>
      <c r="AP324" s="81">
        <v>34242035.467329487</v>
      </c>
      <c r="AQ324" s="81">
        <v>34390503.663179964</v>
      </c>
      <c r="AR324" s="81">
        <v>34559825.1719414</v>
      </c>
      <c r="AS324" s="81">
        <v>34753142.587916158</v>
      </c>
      <c r="AT324" s="81">
        <v>34973697.079157434</v>
      </c>
    </row>
    <row r="325" spans="1:46" ht="15.75">
      <c r="A325" s="81" t="s">
        <v>450</v>
      </c>
      <c r="B325" s="80">
        <v>620500</v>
      </c>
      <c r="C325" s="80" t="s">
        <v>414</v>
      </c>
      <c r="D325" s="84" t="s">
        <v>527</v>
      </c>
      <c r="E325" s="81">
        <v>37426934.53842856</v>
      </c>
      <c r="F325" s="81">
        <v>38541632.849806204</v>
      </c>
      <c r="G325" s="81">
        <v>39437442.077633239</v>
      </c>
      <c r="H325" s="81">
        <v>40332121.115360551</v>
      </c>
      <c r="I325" s="81">
        <v>41223261.375020109</v>
      </c>
      <c r="J325" s="81">
        <v>42108524.141746469</v>
      </c>
      <c r="K325" s="81">
        <v>42985664.761497959</v>
      </c>
      <c r="L325" s="81">
        <v>43852516.137450933</v>
      </c>
      <c r="M325" s="81">
        <v>44706998.551721334</v>
      </c>
      <c r="N325" s="81">
        <v>45547186.975932032</v>
      </c>
      <c r="O325" s="81">
        <v>46371237.716385804</v>
      </c>
      <c r="P325" s="81">
        <v>47177470.384432569</v>
      </c>
      <c r="Q325" s="81">
        <v>47761560.907831535</v>
      </c>
      <c r="R325" s="81">
        <v>48322249.421616666</v>
      </c>
      <c r="S325" s="81">
        <v>48858660.608623333</v>
      </c>
      <c r="T325" s="81">
        <v>49370089.372941874</v>
      </c>
      <c r="U325" s="81">
        <v>49856054.002796739</v>
      </c>
      <c r="V325" s="81">
        <v>50316243.635118678</v>
      </c>
      <c r="W325" s="81">
        <v>50750556.169136971</v>
      </c>
      <c r="X325" s="81">
        <v>51159122.062601715</v>
      </c>
      <c r="Y325" s="81">
        <v>51542281.571390703</v>
      </c>
      <c r="Z325" s="81">
        <v>51900608.355509579</v>
      </c>
      <c r="AA325" s="81">
        <v>52186219.850313187</v>
      </c>
      <c r="AB325" s="81">
        <v>52448795.876682706</v>
      </c>
      <c r="AC325" s="81">
        <v>52689722.777116798</v>
      </c>
      <c r="AD325" s="81">
        <v>52910630.993289366</v>
      </c>
      <c r="AE325" s="81">
        <v>53113468.054905303</v>
      </c>
      <c r="AF325" s="81">
        <v>53300391.887903757</v>
      </c>
      <c r="AG325" s="81">
        <v>53473876.558998376</v>
      </c>
      <c r="AH325" s="81">
        <v>53636704.455039792</v>
      </c>
      <c r="AI325" s="81">
        <v>53791924.027929835</v>
      </c>
      <c r="AJ325" s="81">
        <v>53942873.718930334</v>
      </c>
      <c r="AK325" s="81">
        <v>54105762.111015141</v>
      </c>
      <c r="AL325" s="81">
        <v>54272067.203565739</v>
      </c>
      <c r="AM325" s="81">
        <v>54446137.545525856</v>
      </c>
      <c r="AN325" s="81">
        <v>54632648.6503838</v>
      </c>
      <c r="AO325" s="81">
        <v>54836628.733346045</v>
      </c>
      <c r="AP325" s="81">
        <v>55063467.491995357</v>
      </c>
      <c r="AQ325" s="81">
        <v>55318942.828530177</v>
      </c>
      <c r="AR325" s="81">
        <v>55609176.433685467</v>
      </c>
      <c r="AS325" s="81">
        <v>55940714.01744736</v>
      </c>
      <c r="AT325" s="81">
        <v>56320444.47684519</v>
      </c>
    </row>
    <row r="326" spans="1:46" ht="15.75">
      <c r="A326" s="81" t="s">
        <v>450</v>
      </c>
      <c r="B326" s="80">
        <v>620600</v>
      </c>
      <c r="C326" s="80" t="s">
        <v>414</v>
      </c>
      <c r="D326" s="84" t="s">
        <v>526</v>
      </c>
      <c r="E326" s="81">
        <v>18383421.914557073</v>
      </c>
      <c r="F326" s="81">
        <v>18956438.91176451</v>
      </c>
      <c r="G326" s="81">
        <v>19412315.571745567</v>
      </c>
      <c r="H326" s="81">
        <v>19858597.252049647</v>
      </c>
      <c r="I326" s="81">
        <v>20294704.013285402</v>
      </c>
      <c r="J326" s="81">
        <v>20720119.564357307</v>
      </c>
      <c r="K326" s="81">
        <v>21134340.442410413</v>
      </c>
      <c r="L326" s="81">
        <v>21536904.974072054</v>
      </c>
      <c r="M326" s="81">
        <v>21927424.410085514</v>
      </c>
      <c r="N326" s="81">
        <v>22305530.080068801</v>
      </c>
      <c r="O326" s="81">
        <v>22670903.525670741</v>
      </c>
      <c r="P326" s="81">
        <v>23023308.836760361</v>
      </c>
      <c r="Q326" s="81">
        <v>23263761.930005357</v>
      </c>
      <c r="R326" s="81">
        <v>23490034.204565372</v>
      </c>
      <c r="S326" s="81">
        <v>23702215.647954211</v>
      </c>
      <c r="T326" s="81">
        <v>23900499.727174267</v>
      </c>
      <c r="U326" s="81">
        <v>24085110.519838739</v>
      </c>
      <c r="V326" s="81">
        <v>24256349.870374046</v>
      </c>
      <c r="W326" s="81">
        <v>24414600.02588911</v>
      </c>
      <c r="X326" s="81">
        <v>24560263.481580853</v>
      </c>
      <c r="Y326" s="81">
        <v>24693858.162416764</v>
      </c>
      <c r="Z326" s="81">
        <v>24815941.602991026</v>
      </c>
      <c r="AA326" s="81">
        <v>24903945.212107595</v>
      </c>
      <c r="AB326" s="81">
        <v>24981846.075683482</v>
      </c>
      <c r="AC326" s="81">
        <v>25050484.697601438</v>
      </c>
      <c r="AD326" s="81">
        <v>25110745.085926551</v>
      </c>
      <c r="AE326" s="81">
        <v>25163621.573604621</v>
      </c>
      <c r="AF326" s="81">
        <v>25210172.000929754</v>
      </c>
      <c r="AG326" s="81">
        <v>25251535.828111447</v>
      </c>
      <c r="AH326" s="81">
        <v>25288919.248606645</v>
      </c>
      <c r="AI326" s="81">
        <v>25323664.420338381</v>
      </c>
      <c r="AJ326" s="81">
        <v>25357150.736855298</v>
      </c>
      <c r="AK326" s="81">
        <v>25396725.096205581</v>
      </c>
      <c r="AL326" s="81">
        <v>25438098.119023226</v>
      </c>
      <c r="AM326" s="81">
        <v>25482926.203738701</v>
      </c>
      <c r="AN326" s="81">
        <v>25532997.604598127</v>
      </c>
      <c r="AO326" s="81">
        <v>25590200.456389908</v>
      </c>
      <c r="AP326" s="81">
        <v>25656489.39372915</v>
      </c>
      <c r="AQ326" s="81">
        <v>25733940.251607895</v>
      </c>
      <c r="AR326" s="81">
        <v>25824770.89706197</v>
      </c>
      <c r="AS326" s="81">
        <v>25931253.95816958</v>
      </c>
      <c r="AT326" s="81">
        <v>26055790.314758632</v>
      </c>
    </row>
    <row r="327" spans="1:46" ht="15.75">
      <c r="A327" s="81" t="s">
        <v>450</v>
      </c>
      <c r="B327" s="80">
        <v>620700</v>
      </c>
      <c r="C327" s="80" t="s">
        <v>414</v>
      </c>
      <c r="D327" s="84" t="s">
        <v>525</v>
      </c>
      <c r="E327" s="81">
        <v>16512191.670719471</v>
      </c>
      <c r="F327" s="81">
        <v>16961082.335036147</v>
      </c>
      <c r="G327" s="81">
        <v>17307244.871184498</v>
      </c>
      <c r="H327" s="81">
        <v>17647187.080336493</v>
      </c>
      <c r="I327" s="81">
        <v>17980265.060725342</v>
      </c>
      <c r="J327" s="81">
        <v>18305881.118182272</v>
      </c>
      <c r="K327" s="81">
        <v>18623487.749364853</v>
      </c>
      <c r="L327" s="81">
        <v>18932542.995564777</v>
      </c>
      <c r="M327" s="81">
        <v>19232544.285077576</v>
      </c>
      <c r="N327" s="81">
        <v>19523031.511273172</v>
      </c>
      <c r="O327" s="81">
        <v>19803573.295741756</v>
      </c>
      <c r="P327" s="81">
        <v>20073803.233272232</v>
      </c>
      <c r="Q327" s="81">
        <v>20247433.800785754</v>
      </c>
      <c r="R327" s="81">
        <v>20409666.290971864</v>
      </c>
      <c r="S327" s="81">
        <v>20560415.520039365</v>
      </c>
      <c r="T327" s="81">
        <v>20699671.360697635</v>
      </c>
      <c r="U327" s="81">
        <v>20827448.321437117</v>
      </c>
      <c r="V327" s="81">
        <v>20943857.998769414</v>
      </c>
      <c r="W327" s="81">
        <v>21049022.449579485</v>
      </c>
      <c r="X327" s="81">
        <v>21143165.307950541</v>
      </c>
      <c r="Y327" s="81">
        <v>21226542.119866386</v>
      </c>
      <c r="Z327" s="81">
        <v>21299515.159595672</v>
      </c>
      <c r="AA327" s="81">
        <v>21342560.111221626</v>
      </c>
      <c r="AB327" s="81">
        <v>21376149.598136853</v>
      </c>
      <c r="AC327" s="81">
        <v>21400875.061765403</v>
      </c>
      <c r="AD327" s="81">
        <v>21417366.870763369</v>
      </c>
      <c r="AE327" s="81">
        <v>21426352.531333819</v>
      </c>
      <c r="AF327" s="81">
        <v>21428582.424326729</v>
      </c>
      <c r="AG327" s="81">
        <v>21424965.725312013</v>
      </c>
      <c r="AH327" s="81">
        <v>21416419.014007811</v>
      </c>
      <c r="AI327" s="81">
        <v>21403964.099060688</v>
      </c>
      <c r="AJ327" s="81">
        <v>21388730.868059233</v>
      </c>
      <c r="AK327" s="81">
        <v>21376833.915631227</v>
      </c>
      <c r="AL327" s="81">
        <v>21364592.384227946</v>
      </c>
      <c r="AM327" s="81">
        <v>21353335.236686513</v>
      </c>
      <c r="AN327" s="81">
        <v>21344569.727202423</v>
      </c>
      <c r="AO327" s="81">
        <v>21339843.264420968</v>
      </c>
      <c r="AP327" s="81">
        <v>21340784.956130773</v>
      </c>
      <c r="AQ327" s="81">
        <v>21349169.568097599</v>
      </c>
      <c r="AR327" s="81">
        <v>21366858.7000742</v>
      </c>
      <c r="AS327" s="81">
        <v>21395802.550610088</v>
      </c>
      <c r="AT327" s="81">
        <v>21438062.86091499</v>
      </c>
    </row>
    <row r="328" spans="1:46" ht="15.75">
      <c r="A328" s="81" t="s">
        <v>450</v>
      </c>
      <c r="B328" s="80">
        <v>620800</v>
      </c>
      <c r="C328" s="80" t="s">
        <v>414</v>
      </c>
      <c r="D328" s="84" t="s">
        <v>524</v>
      </c>
      <c r="E328" s="81">
        <v>23299093.42348605</v>
      </c>
      <c r="F328" s="81">
        <v>23969556.344740395</v>
      </c>
      <c r="G328" s="81">
        <v>24502458.786460415</v>
      </c>
      <c r="H328" s="81">
        <v>25033250.716615815</v>
      </c>
      <c r="I328" s="81">
        <v>25560415.454108663</v>
      </c>
      <c r="J328" s="81">
        <v>26082424.93371379</v>
      </c>
      <c r="K328" s="81">
        <v>26597839.524904493</v>
      </c>
      <c r="L328" s="81">
        <v>27105261.089236133</v>
      </c>
      <c r="M328" s="81">
        <v>27603409.757831305</v>
      </c>
      <c r="N328" s="81">
        <v>28091019.111299209</v>
      </c>
      <c r="O328" s="81">
        <v>28566955.985539023</v>
      </c>
      <c r="P328" s="81">
        <v>29030142.480551012</v>
      </c>
      <c r="Q328" s="81">
        <v>29355030.837308064</v>
      </c>
      <c r="R328" s="81">
        <v>29664038.104752488</v>
      </c>
      <c r="S328" s="81">
        <v>29956699.631916422</v>
      </c>
      <c r="T328" s="81">
        <v>30232592.181089692</v>
      </c>
      <c r="U328" s="81">
        <v>30491489.4211009</v>
      </c>
      <c r="V328" s="81">
        <v>30733261.492824201</v>
      </c>
      <c r="W328" s="81">
        <v>30957941.225033563</v>
      </c>
      <c r="X328" s="81">
        <v>31165698.942971833</v>
      </c>
      <c r="Y328" s="81">
        <v>31356847.576448899</v>
      </c>
      <c r="Z328" s="81">
        <v>31531879.794252072</v>
      </c>
      <c r="AA328" s="81">
        <v>31661870.859948672</v>
      </c>
      <c r="AB328" s="81">
        <v>31777218.69992318</v>
      </c>
      <c r="AC328" s="81">
        <v>31878947.825489804</v>
      </c>
      <c r="AD328" s="81">
        <v>31968248.268888865</v>
      </c>
      <c r="AE328" s="81">
        <v>32046513.431581296</v>
      </c>
      <c r="AF328" s="81">
        <v>32115296.060900185</v>
      </c>
      <c r="AG328" s="81">
        <v>32176346.082226396</v>
      </c>
      <c r="AH328" s="81">
        <v>32231632.946239032</v>
      </c>
      <c r="AI328" s="81">
        <v>32283283.753250096</v>
      </c>
      <c r="AJ328" s="81">
        <v>32333672.644658577</v>
      </c>
      <c r="AK328" s="81">
        <v>32392851.744935609</v>
      </c>
      <c r="AL328" s="81">
        <v>32456087.28149173</v>
      </c>
      <c r="AM328" s="81">
        <v>32526414.848833293</v>
      </c>
      <c r="AN328" s="81">
        <v>32607073.858555555</v>
      </c>
      <c r="AO328" s="81">
        <v>32701547.785499562</v>
      </c>
      <c r="AP328" s="81">
        <v>32813552.442859784</v>
      </c>
      <c r="AQ328" s="81">
        <v>32947077.40166226</v>
      </c>
      <c r="AR328" s="81">
        <v>33106338.616066534</v>
      </c>
      <c r="AS328" s="81">
        <v>33295819.824798796</v>
      </c>
      <c r="AT328" s="81">
        <v>33520297.151442688</v>
      </c>
    </row>
    <row r="329" spans="1:46" ht="15.75">
      <c r="A329" s="81" t="s">
        <v>450</v>
      </c>
      <c r="B329" s="80">
        <v>620900</v>
      </c>
      <c r="C329" s="80" t="s">
        <v>414</v>
      </c>
      <c r="D329" s="84" t="s">
        <v>523</v>
      </c>
      <c r="E329" s="81">
        <v>20451256.495311514</v>
      </c>
      <c r="F329" s="81">
        <v>21015570.880384549</v>
      </c>
      <c r="G329" s="81">
        <v>21451964.652673963</v>
      </c>
      <c r="H329" s="81">
        <v>21880011.872849688</v>
      </c>
      <c r="I329" s="81">
        <v>22299026.283727266</v>
      </c>
      <c r="J329" s="81">
        <v>22708286.776937488</v>
      </c>
      <c r="K329" s="81">
        <v>23107142.254998744</v>
      </c>
      <c r="L329" s="81">
        <v>23494995.489867907</v>
      </c>
      <c r="M329" s="81">
        <v>23871285.395235829</v>
      </c>
      <c r="N329" s="81">
        <v>24235445.587650429</v>
      </c>
      <c r="O329" s="81">
        <v>24587038.653875005</v>
      </c>
      <c r="P329" s="81">
        <v>24925605.965011738</v>
      </c>
      <c r="Q329" s="81">
        <v>25144060.705359239</v>
      </c>
      <c r="R329" s="81">
        <v>25348216.764242165</v>
      </c>
      <c r="S329" s="81">
        <v>25537981.958950486</v>
      </c>
      <c r="T329" s="81">
        <v>25713387.300112262</v>
      </c>
      <c r="U329" s="81">
        <v>25874473.817819577</v>
      </c>
      <c r="V329" s="81">
        <v>26021387.801793534</v>
      </c>
      <c r="W329" s="81">
        <v>26154312.800019626</v>
      </c>
      <c r="X329" s="81">
        <v>26273543.195598491</v>
      </c>
      <c r="Y329" s="81">
        <v>26379366.42574605</v>
      </c>
      <c r="Z329" s="81">
        <v>26472209.458185688</v>
      </c>
      <c r="AA329" s="81">
        <v>26527831.473568123</v>
      </c>
      <c r="AB329" s="81">
        <v>26571656.374177266</v>
      </c>
      <c r="AC329" s="81">
        <v>26604383.100910697</v>
      </c>
      <c r="AD329" s="81">
        <v>26626734.402893975</v>
      </c>
      <c r="AE329" s="81">
        <v>26639609.407683212</v>
      </c>
      <c r="AF329" s="81">
        <v>26643910.037389576</v>
      </c>
      <c r="AG329" s="81">
        <v>26640643.342528872</v>
      </c>
      <c r="AH329" s="81">
        <v>26630950.250134557</v>
      </c>
      <c r="AI329" s="81">
        <v>26616031.042298496</v>
      </c>
      <c r="AJ329" s="81">
        <v>26597146.508215886</v>
      </c>
      <c r="AK329" s="81">
        <v>26581859.581386983</v>
      </c>
      <c r="AL329" s="81">
        <v>26565451.53907631</v>
      </c>
      <c r="AM329" s="81">
        <v>26549536.990698215</v>
      </c>
      <c r="AN329" s="81">
        <v>26535828.521298658</v>
      </c>
      <c r="AO329" s="81">
        <v>26526111.723779187</v>
      </c>
      <c r="AP329" s="81">
        <v>26522301.205945015</v>
      </c>
      <c r="AQ329" s="81">
        <v>26526416.207848396</v>
      </c>
      <c r="AR329" s="81">
        <v>26540666.028695192</v>
      </c>
      <c r="AS329" s="81">
        <v>26567231.816275883</v>
      </c>
      <c r="AT329" s="81">
        <v>26608573.269671187</v>
      </c>
    </row>
    <row r="330" spans="1:46" ht="15.75">
      <c r="A330" s="81" t="s">
        <v>450</v>
      </c>
      <c r="B330" s="80">
        <v>621000</v>
      </c>
      <c r="C330" s="80" t="s">
        <v>414</v>
      </c>
      <c r="D330" s="84" t="s">
        <v>522</v>
      </c>
      <c r="E330" s="81">
        <v>25509976.440734647</v>
      </c>
      <c r="F330" s="81">
        <v>26234888.737090569</v>
      </c>
      <c r="G330" s="81">
        <v>26807866.683974009</v>
      </c>
      <c r="H330" s="81">
        <v>27377555.484958109</v>
      </c>
      <c r="I330" s="81">
        <v>27942550.28145165</v>
      </c>
      <c r="J330" s="81">
        <v>28501515.597848188</v>
      </c>
      <c r="K330" s="81">
        <v>29053128.726653107</v>
      </c>
      <c r="L330" s="81">
        <v>29596161.505623709</v>
      </c>
      <c r="M330" s="81">
        <v>30129449.446460158</v>
      </c>
      <c r="N330" s="81">
        <v>30651871.322133698</v>
      </c>
      <c r="O330" s="81">
        <v>31162407.998936728</v>
      </c>
      <c r="P330" s="81">
        <v>31660136.912671074</v>
      </c>
      <c r="Q330" s="81">
        <v>32008300.205113392</v>
      </c>
      <c r="R330" s="81">
        <v>32340649.374874726</v>
      </c>
      <c r="S330" s="81">
        <v>32656763.15106811</v>
      </c>
      <c r="T330" s="81">
        <v>32956344.716814402</v>
      </c>
      <c r="U330" s="81">
        <v>33239184.035400026</v>
      </c>
      <c r="V330" s="81">
        <v>33505247.582927372</v>
      </c>
      <c r="W330" s="81">
        <v>33754569.345900036</v>
      </c>
      <c r="X330" s="81">
        <v>33987355.490836889</v>
      </c>
      <c r="Y330" s="81">
        <v>34203917.230664916</v>
      </c>
      <c r="Z330" s="81">
        <v>34404748.673699684</v>
      </c>
      <c r="AA330" s="81">
        <v>34558199.742942691</v>
      </c>
      <c r="AB330" s="81">
        <v>34697300.084131919</v>
      </c>
      <c r="AC330" s="81">
        <v>34822983.217860468</v>
      </c>
      <c r="AD330" s="81">
        <v>34936412.440043889</v>
      </c>
      <c r="AE330" s="81">
        <v>35038834.306272671</v>
      </c>
      <c r="AF330" s="81">
        <v>35131704.174905062</v>
      </c>
      <c r="AG330" s="81">
        <v>35216630.034829088</v>
      </c>
      <c r="AH330" s="81">
        <v>35295423.541786596</v>
      </c>
      <c r="AI330" s="81">
        <v>35370058.353957333</v>
      </c>
      <c r="AJ330" s="81">
        <v>35442658.376130298</v>
      </c>
      <c r="AK330" s="81">
        <v>35523795.705772869</v>
      </c>
      <c r="AL330" s="81">
        <v>35607785.957667805</v>
      </c>
      <c r="AM330" s="81">
        <v>35697363.124792829</v>
      </c>
      <c r="AN330" s="81">
        <v>35795481.134296671</v>
      </c>
      <c r="AO330" s="81">
        <v>35905319.445084535</v>
      </c>
      <c r="AP330" s="81">
        <v>36030222.541115731</v>
      </c>
      <c r="AQ330" s="81">
        <v>36173803.297776319</v>
      </c>
      <c r="AR330" s="81">
        <v>36339899.548092231</v>
      </c>
      <c r="AS330" s="81">
        <v>36532562.436628886</v>
      </c>
      <c r="AT330" s="81">
        <v>36756095.103355996</v>
      </c>
    </row>
    <row r="331" spans="1:46" ht="15.75">
      <c r="A331" s="81" t="s">
        <v>450</v>
      </c>
      <c r="B331" s="80">
        <v>621100</v>
      </c>
      <c r="C331" s="80" t="s">
        <v>414</v>
      </c>
      <c r="D331" s="84" t="s">
        <v>521</v>
      </c>
      <c r="E331" s="81">
        <v>27009828.281235341</v>
      </c>
      <c r="F331" s="81">
        <v>27797235.77366947</v>
      </c>
      <c r="G331" s="81">
        <v>28421371.263694428</v>
      </c>
      <c r="H331" s="81">
        <v>29039583.897069644</v>
      </c>
      <c r="I331" s="81">
        <v>29650373.679343231</v>
      </c>
      <c r="J331" s="81">
        <v>30252265.184665155</v>
      </c>
      <c r="K331" s="81">
        <v>30843871.103362452</v>
      </c>
      <c r="L331" s="81">
        <v>31423865.094907939</v>
      </c>
      <c r="M331" s="81">
        <v>31991000.29387185</v>
      </c>
      <c r="N331" s="81">
        <v>32544128.834282625</v>
      </c>
      <c r="O331" s="81">
        <v>33082148.12680091</v>
      </c>
      <c r="P331" s="81">
        <v>33604105.550909467</v>
      </c>
      <c r="Q331" s="81">
        <v>33964942.728929304</v>
      </c>
      <c r="R331" s="81">
        <v>34306709.848350666</v>
      </c>
      <c r="S331" s="81">
        <v>34629020.423183739</v>
      </c>
      <c r="T331" s="81">
        <v>34931656.476721324</v>
      </c>
      <c r="U331" s="81">
        <v>35214510.08206296</v>
      </c>
      <c r="V331" s="81">
        <v>35477600.782316312</v>
      </c>
      <c r="W331" s="81">
        <v>35721106.946678281</v>
      </c>
      <c r="X331" s="81">
        <v>35945358.34385284</v>
      </c>
      <c r="Y331" s="81">
        <v>36150828.146568321</v>
      </c>
      <c r="Z331" s="81">
        <v>36338151.513323873</v>
      </c>
      <c r="AA331" s="81">
        <v>36474070.187109381</v>
      </c>
      <c r="AB331" s="81">
        <v>36593669.622410454</v>
      </c>
      <c r="AC331" s="81">
        <v>36698118.451283619</v>
      </c>
      <c r="AD331" s="81">
        <v>36788805.371330693</v>
      </c>
      <c r="AE331" s="81">
        <v>36867247.314796709</v>
      </c>
      <c r="AF331" s="81">
        <v>36935177.545822985</v>
      </c>
      <c r="AG331" s="81">
        <v>36994523.313031308</v>
      </c>
      <c r="AH331" s="81">
        <v>37047411.0788261</v>
      </c>
      <c r="AI331" s="81">
        <v>37096128.504496992</v>
      </c>
      <c r="AJ331" s="81">
        <v>37143215.490395494</v>
      </c>
      <c r="AK331" s="81">
        <v>37199983.136163689</v>
      </c>
      <c r="AL331" s="81">
        <v>37260773.416150779</v>
      </c>
      <c r="AM331" s="81">
        <v>37328762.874379002</v>
      </c>
      <c r="AN331" s="81">
        <v>37407361.889732413</v>
      </c>
      <c r="AO331" s="81">
        <v>37500205.419925325</v>
      </c>
      <c r="AP331" s="81">
        <v>37611188.583612248</v>
      </c>
      <c r="AQ331" s="81">
        <v>37744427.339797817</v>
      </c>
      <c r="AR331" s="81">
        <v>37904340.077029869</v>
      </c>
      <c r="AS331" s="81">
        <v>38095547.046361342</v>
      </c>
      <c r="AT331" s="81">
        <v>38322983.133722641</v>
      </c>
    </row>
    <row r="332" spans="1:46" ht="15.75">
      <c r="A332" s="81" t="s">
        <v>450</v>
      </c>
      <c r="B332" s="80">
        <v>621200</v>
      </c>
      <c r="C332" s="80" t="s">
        <v>414</v>
      </c>
      <c r="D332" s="84" t="s">
        <v>520</v>
      </c>
      <c r="E332" s="81">
        <v>24689212.860054359</v>
      </c>
      <c r="F332" s="81">
        <v>25378569.298697907</v>
      </c>
      <c r="G332" s="81">
        <v>25922262.173231751</v>
      </c>
      <c r="H332" s="81">
        <v>26464191.94603847</v>
      </c>
      <c r="I332" s="81">
        <v>27003048.608703259</v>
      </c>
      <c r="J332" s="81">
        <v>27537566.286661346</v>
      </c>
      <c r="K332" s="81">
        <v>28066495.381150156</v>
      </c>
      <c r="L332" s="81">
        <v>28588663.44729289</v>
      </c>
      <c r="M332" s="81">
        <v>29102913.417840175</v>
      </c>
      <c r="N332" s="81">
        <v>29608188.776029967</v>
      </c>
      <c r="O332" s="81">
        <v>30103470.928020224</v>
      </c>
      <c r="P332" s="81">
        <v>30587807.343447931</v>
      </c>
      <c r="Q332" s="81">
        <v>30929027.382791642</v>
      </c>
      <c r="R332" s="81">
        <v>31256255.345120352</v>
      </c>
      <c r="S332" s="81">
        <v>31569002.093987636</v>
      </c>
      <c r="T332" s="81">
        <v>31866859.065831255</v>
      </c>
      <c r="U332" s="81">
        <v>32149539.2065989</v>
      </c>
      <c r="V332" s="81">
        <v>32416844.181313157</v>
      </c>
      <c r="W332" s="81">
        <v>32668693.306468811</v>
      </c>
      <c r="X332" s="81">
        <v>32905115.344354272</v>
      </c>
      <c r="Y332" s="81">
        <v>33126252.637654934</v>
      </c>
      <c r="Z332" s="81">
        <v>33332378.286340099</v>
      </c>
      <c r="AA332" s="81">
        <v>33492636.641148306</v>
      </c>
      <c r="AB332" s="81">
        <v>33638765.230523817</v>
      </c>
      <c r="AC332" s="81">
        <v>33771481.057014167</v>
      </c>
      <c r="AD332" s="81">
        <v>33891620.202047005</v>
      </c>
      <c r="AE332" s="81">
        <v>34000154.682021886</v>
      </c>
      <c r="AF332" s="81">
        <v>34098182.803891219</v>
      </c>
      <c r="AG332" s="81">
        <v>34187000.793684542</v>
      </c>
      <c r="AH332" s="81">
        <v>34267998.815085851</v>
      </c>
      <c r="AI332" s="81">
        <v>34342773.658820979</v>
      </c>
      <c r="AJ332" s="81">
        <v>34413037.278698519</v>
      </c>
      <c r="AK332" s="81">
        <v>34488649.011004411</v>
      </c>
      <c r="AL332" s="81">
        <v>34563719.922849715</v>
      </c>
      <c r="AM332" s="81">
        <v>34640456.986515284</v>
      </c>
      <c r="AN332" s="81">
        <v>34721298.81672366</v>
      </c>
      <c r="AO332" s="81">
        <v>34808864.444759972</v>
      </c>
      <c r="AP332" s="81">
        <v>34905914.298807688</v>
      </c>
      <c r="AQ332" s="81">
        <v>35015455.307162806</v>
      </c>
      <c r="AR332" s="81">
        <v>35140673.956143156</v>
      </c>
      <c r="AS332" s="81">
        <v>35284955.139163442</v>
      </c>
      <c r="AT332" s="81">
        <v>35451886.75273025</v>
      </c>
    </row>
    <row r="333" spans="1:46" ht="15.75">
      <c r="A333" s="81" t="s">
        <v>450</v>
      </c>
      <c r="B333" s="80">
        <v>622900</v>
      </c>
      <c r="C333" s="80" t="s">
        <v>414</v>
      </c>
      <c r="D333" s="84" t="s">
        <v>519</v>
      </c>
      <c r="E333" s="81">
        <v>23153679.176848657</v>
      </c>
      <c r="F333" s="81">
        <v>23813826.606647838</v>
      </c>
      <c r="G333" s="81">
        <v>24345007.876410365</v>
      </c>
      <c r="H333" s="81">
        <v>24881697.368183367</v>
      </c>
      <c r="I333" s="81">
        <v>25422131.316426385</v>
      </c>
      <c r="J333" s="81">
        <v>25964632.186676227</v>
      </c>
      <c r="K333" s="81">
        <v>26507510.754022006</v>
      </c>
      <c r="L333" s="81">
        <v>27049167.563581727</v>
      </c>
      <c r="M333" s="81">
        <v>27588016.406199496</v>
      </c>
      <c r="N333" s="81">
        <v>28122576.743467402</v>
      </c>
      <c r="O333" s="81">
        <v>28651395.220432345</v>
      </c>
      <c r="P333" s="81">
        <v>29173127.667908996</v>
      </c>
      <c r="Q333" s="81">
        <v>29561002.472732887</v>
      </c>
      <c r="R333" s="81">
        <v>29937461.082672652</v>
      </c>
      <c r="S333" s="81">
        <v>30301592.692762632</v>
      </c>
      <c r="T333" s="81">
        <v>30652638.04383887</v>
      </c>
      <c r="U333" s="81">
        <v>30989929.292423993</v>
      </c>
      <c r="V333" s="81">
        <v>31312934.622032464</v>
      </c>
      <c r="W333" s="81">
        <v>31621264.060759556</v>
      </c>
      <c r="X333" s="81">
        <v>31914675.364804585</v>
      </c>
      <c r="Y333" s="81">
        <v>32193052.35312108</v>
      </c>
      <c r="Z333" s="81">
        <v>32456423.75306813</v>
      </c>
      <c r="AA333" s="81">
        <v>32674496.245486576</v>
      </c>
      <c r="AB333" s="81">
        <v>32877998.940038554</v>
      </c>
      <c r="AC333" s="81">
        <v>33067484.847729817</v>
      </c>
      <c r="AD333" s="81">
        <v>33243714.427353393</v>
      </c>
      <c r="AE333" s="81">
        <v>33407575.708963081</v>
      </c>
      <c r="AF333" s="81">
        <v>33560189.420685992</v>
      </c>
      <c r="AG333" s="81">
        <v>33702813.942420334</v>
      </c>
      <c r="AH333" s="81">
        <v>33836937.203442067</v>
      </c>
      <c r="AI333" s="81">
        <v>33964224.252835557</v>
      </c>
      <c r="AJ333" s="81">
        <v>34086566.748264879</v>
      </c>
      <c r="AK333" s="81">
        <v>34213910.483241901</v>
      </c>
      <c r="AL333" s="81">
        <v>34340693.774443157</v>
      </c>
      <c r="AM333" s="81">
        <v>34469404.151268385</v>
      </c>
      <c r="AN333" s="81">
        <v>34602796.075281397</v>
      </c>
      <c r="AO333" s="81">
        <v>34743852.051627457</v>
      </c>
      <c r="AP333" s="81">
        <v>34895803.9714325</v>
      </c>
      <c r="AQ333" s="81">
        <v>35062092.674421392</v>
      </c>
      <c r="AR333" s="81">
        <v>35246435.718571052</v>
      </c>
      <c r="AS333" s="81">
        <v>35452834.418921158</v>
      </c>
      <c r="AT333" s="81">
        <v>35685517.224353425</v>
      </c>
    </row>
    <row r="334" spans="1:46" ht="15.75">
      <c r="A334" s="81" t="s">
        <v>450</v>
      </c>
      <c r="B334" s="80">
        <v>623000</v>
      </c>
      <c r="C334" s="80" t="s">
        <v>414</v>
      </c>
      <c r="D334" s="84" t="s">
        <v>518</v>
      </c>
      <c r="E334" s="81">
        <v>7424375.6482316572</v>
      </c>
      <c r="F334" s="81">
        <v>7641604.0980315208</v>
      </c>
      <c r="G334" s="81">
        <v>7817323.8962578271</v>
      </c>
      <c r="H334" s="81">
        <v>7994664.199849111</v>
      </c>
      <c r="I334" s="81">
        <v>8173100.6099117417</v>
      </c>
      <c r="J334" s="81">
        <v>8352128.3376250742</v>
      </c>
      <c r="K334" s="81">
        <v>8531217.7376115024</v>
      </c>
      <c r="L334" s="81">
        <v>8709897.7046623118</v>
      </c>
      <c r="M334" s="81">
        <v>8887663.9114076775</v>
      </c>
      <c r="N334" s="81">
        <v>9064075.9013412967</v>
      </c>
      <c r="O334" s="81">
        <v>9238687.7758907042</v>
      </c>
      <c r="P334" s="81">
        <v>9411086.5031623766</v>
      </c>
      <c r="Q334" s="81">
        <v>9540355.3099002987</v>
      </c>
      <c r="R334" s="81">
        <v>9666002.4355612174</v>
      </c>
      <c r="S334" s="81">
        <v>9787736.5461051073</v>
      </c>
      <c r="T334" s="81">
        <v>9905324.5457440708</v>
      </c>
      <c r="U334" s="81">
        <v>10018541.766852107</v>
      </c>
      <c r="V334" s="81">
        <v>10127212.044202209</v>
      </c>
      <c r="W334" s="81">
        <v>10231223.08556555</v>
      </c>
      <c r="X334" s="81">
        <v>10330448.657416994</v>
      </c>
      <c r="Y334" s="81">
        <v>10424869.665166589</v>
      </c>
      <c r="Z334" s="81">
        <v>10514442.223225879</v>
      </c>
      <c r="AA334" s="81">
        <v>10589349.068130044</v>
      </c>
      <c r="AB334" s="81">
        <v>10659495.878345955</v>
      </c>
      <c r="AC334" s="81">
        <v>10725015.68326073</v>
      </c>
      <c r="AD334" s="81">
        <v>10786117.238136705</v>
      </c>
      <c r="AE334" s="81">
        <v>10843045.184845459</v>
      </c>
      <c r="AF334" s="81">
        <v>10896109.447631676</v>
      </c>
      <c r="AG334" s="81">
        <v>10945644.379746975</v>
      </c>
      <c r="AH334" s="81">
        <v>10992066.843116786</v>
      </c>
      <c r="AI334" s="81">
        <v>11035864.23608996</v>
      </c>
      <c r="AJ334" s="81">
        <v>11077523.682171067</v>
      </c>
      <c r="AK334" s="81">
        <v>11120230.07732176</v>
      </c>
      <c r="AL334" s="81">
        <v>11162068.51700997</v>
      </c>
      <c r="AM334" s="81">
        <v>11203722.042399792</v>
      </c>
      <c r="AN334" s="81">
        <v>11245997.490617869</v>
      </c>
      <c r="AO334" s="81">
        <v>11289738.759838829</v>
      </c>
      <c r="AP334" s="81">
        <v>11335873.038023787</v>
      </c>
      <c r="AQ334" s="81">
        <v>11385351.916344931</v>
      </c>
      <c r="AR334" s="81">
        <v>11439290.040568924</v>
      </c>
      <c r="AS334" s="81">
        <v>11498784.1138674</v>
      </c>
      <c r="AT334" s="81">
        <v>11565067.47614233</v>
      </c>
    </row>
    <row r="335" spans="1:46" ht="15.75">
      <c r="A335" s="81" t="s">
        <v>450</v>
      </c>
      <c r="B335" s="80">
        <v>630100</v>
      </c>
      <c r="C335" s="80" t="s">
        <v>413</v>
      </c>
      <c r="D335" s="84" t="s">
        <v>517</v>
      </c>
      <c r="E335" s="81">
        <v>46951216.371208392</v>
      </c>
      <c r="F335" s="81">
        <v>48247324.671219371</v>
      </c>
      <c r="G335" s="81">
        <v>49255761.802827179</v>
      </c>
      <c r="H335" s="81">
        <v>50251163.06528642</v>
      </c>
      <c r="I335" s="81">
        <v>51232022.764295846</v>
      </c>
      <c r="J335" s="81">
        <v>52196879.157956921</v>
      </c>
      <c r="K335" s="81">
        <v>53144298.626990452</v>
      </c>
      <c r="L335" s="81">
        <v>54072921.763895623</v>
      </c>
      <c r="M335" s="81">
        <v>54981469.925952435</v>
      </c>
      <c r="N335" s="81">
        <v>55868730.179707497</v>
      </c>
      <c r="O335" s="81">
        <v>56733560.667768419</v>
      </c>
      <c r="P335" s="81">
        <v>57574896.050234057</v>
      </c>
      <c r="Q335" s="81">
        <v>58144957.140893564</v>
      </c>
      <c r="R335" s="81">
        <v>58687717.059707485</v>
      </c>
      <c r="S335" s="81">
        <v>59202757.896148399</v>
      </c>
      <c r="T335" s="81">
        <v>59689827.283130407</v>
      </c>
      <c r="U335" s="81">
        <v>60148798.61782565</v>
      </c>
      <c r="V335" s="81">
        <v>60579559.071691446</v>
      </c>
      <c r="W335" s="81">
        <v>60982245.164110377</v>
      </c>
      <c r="X335" s="81">
        <v>61357038.740794227</v>
      </c>
      <c r="Y335" s="81">
        <v>61704239.899767376</v>
      </c>
      <c r="Z335" s="81">
        <v>62024343.312408976</v>
      </c>
      <c r="AA335" s="81">
        <v>62259806.245989405</v>
      </c>
      <c r="AB335" s="81">
        <v>62469549.247675627</v>
      </c>
      <c r="AC335" s="81">
        <v>62654531.435646415</v>
      </c>
      <c r="AD335" s="81">
        <v>62815847.878865734</v>
      </c>
      <c r="AE335" s="81">
        <v>62954733.301186144</v>
      </c>
      <c r="AF335" s="81">
        <v>63072616.031821467</v>
      </c>
      <c r="AG335" s="81">
        <v>63171022.36844974</v>
      </c>
      <c r="AH335" s="81">
        <v>63251655.031008355</v>
      </c>
      <c r="AI335" s="81">
        <v>63316449.086412646</v>
      </c>
      <c r="AJ335" s="81">
        <v>63367397.881723776</v>
      </c>
      <c r="AK335" s="81">
        <v>63421398.035031974</v>
      </c>
      <c r="AL335" s="81">
        <v>63466105.962417468</v>
      </c>
      <c r="AM335" s="81">
        <v>63504145.65792644</v>
      </c>
      <c r="AN335" s="81">
        <v>63538242.24588348</v>
      </c>
      <c r="AO335" s="81">
        <v>63571410.287375443</v>
      </c>
      <c r="AP335" s="81">
        <v>63606773.607675761</v>
      </c>
      <c r="AQ335" s="81">
        <v>63647729.153008007</v>
      </c>
      <c r="AR335" s="81">
        <v>63697845.145972915</v>
      </c>
      <c r="AS335" s="81">
        <v>63760891.966017582</v>
      </c>
      <c r="AT335" s="81">
        <v>63840901.747202396</v>
      </c>
    </row>
    <row r="336" spans="1:46" ht="15.75">
      <c r="A336" s="81" t="s">
        <v>450</v>
      </c>
      <c r="B336" s="80">
        <v>630200</v>
      </c>
      <c r="C336" s="80" t="s">
        <v>413</v>
      </c>
      <c r="D336" s="84" t="s">
        <v>516</v>
      </c>
      <c r="E336" s="81">
        <v>24500158.125583924</v>
      </c>
      <c r="F336" s="81">
        <v>25153308.480520148</v>
      </c>
      <c r="G336" s="81">
        <v>25675758.26300567</v>
      </c>
      <c r="H336" s="81">
        <v>26209275.884817779</v>
      </c>
      <c r="I336" s="81">
        <v>26751534.634969085</v>
      </c>
      <c r="J336" s="81">
        <v>27300192.469787013</v>
      </c>
      <c r="K336" s="81">
        <v>27852997.024504501</v>
      </c>
      <c r="L336" s="81">
        <v>28407718.085257951</v>
      </c>
      <c r="M336" s="81">
        <v>28962195.844376877</v>
      </c>
      <c r="N336" s="81">
        <v>29514371.831333008</v>
      </c>
      <c r="O336" s="81">
        <v>30062196.676166739</v>
      </c>
      <c r="P336" s="81">
        <v>30603762.045625158</v>
      </c>
      <c r="Q336" s="81">
        <v>31005644.133829888</v>
      </c>
      <c r="R336" s="81">
        <v>31395825.40767327</v>
      </c>
      <c r="S336" s="81">
        <v>31772872.717898294</v>
      </c>
      <c r="T336" s="81">
        <v>32135598.295350119</v>
      </c>
      <c r="U336" s="81">
        <v>32482895.240585212</v>
      </c>
      <c r="V336" s="81">
        <v>32813830.143016003</v>
      </c>
      <c r="W336" s="81">
        <v>33127628.502149489</v>
      </c>
      <c r="X336" s="81">
        <v>33423749.063088492</v>
      </c>
      <c r="Y336" s="81">
        <v>33701780.232132792</v>
      </c>
      <c r="Z336" s="81">
        <v>33961513.874911889</v>
      </c>
      <c r="AA336" s="81">
        <v>34171078.836871095</v>
      </c>
      <c r="AB336" s="81">
        <v>34362424.877797604</v>
      </c>
      <c r="AC336" s="81">
        <v>34536075.62751805</v>
      </c>
      <c r="AD336" s="81">
        <v>34692694.22108268</v>
      </c>
      <c r="AE336" s="81">
        <v>34833205.58710704</v>
      </c>
      <c r="AF336" s="81">
        <v>34958757.122400582</v>
      </c>
      <c r="AG336" s="81">
        <v>35070749.338865615</v>
      </c>
      <c r="AH336" s="81">
        <v>35170795.239153869</v>
      </c>
      <c r="AI336" s="81">
        <v>35260823.39758826</v>
      </c>
      <c r="AJ336" s="81">
        <v>35342989.594453081</v>
      </c>
      <c r="AK336" s="81">
        <v>35427859.264783323</v>
      </c>
      <c r="AL336" s="81">
        <v>35509988.20731803</v>
      </c>
      <c r="AM336" s="81">
        <v>35592328.605818875</v>
      </c>
      <c r="AN336" s="81">
        <v>35678190.165616661</v>
      </c>
      <c r="AO336" s="81">
        <v>35771174.365814187</v>
      </c>
      <c r="AP336" s="81">
        <v>35875131.167294048</v>
      </c>
      <c r="AQ336" s="81">
        <v>35994318.641883083</v>
      </c>
      <c r="AR336" s="81">
        <v>36133285.204193369</v>
      </c>
      <c r="AS336" s="81">
        <v>36296902.516205847</v>
      </c>
      <c r="AT336" s="81">
        <v>36490399.492307343</v>
      </c>
    </row>
    <row r="337" spans="1:46" ht="15.75">
      <c r="A337" s="81" t="s">
        <v>450</v>
      </c>
      <c r="B337" s="80">
        <v>632200</v>
      </c>
      <c r="C337" s="80" t="s">
        <v>413</v>
      </c>
      <c r="D337" s="84" t="s">
        <v>515</v>
      </c>
      <c r="E337" s="81">
        <v>4771304.7878657719</v>
      </c>
      <c r="F337" s="81">
        <v>4912722.7247527353</v>
      </c>
      <c r="G337" s="81">
        <v>5027522.2520431895</v>
      </c>
      <c r="H337" s="81">
        <v>5143417.0999768265</v>
      </c>
      <c r="I337" s="81">
        <v>5260010.4376769001</v>
      </c>
      <c r="J337" s="81">
        <v>5376943.4893159419</v>
      </c>
      <c r="K337" s="81">
        <v>5493859.5657079909</v>
      </c>
      <c r="L337" s="81">
        <v>5610385.1086888481</v>
      </c>
      <c r="M337" s="81">
        <v>5726170.0937383873</v>
      </c>
      <c r="N337" s="81">
        <v>5840910.9845556365</v>
      </c>
      <c r="O337" s="81">
        <v>5954271.2108768532</v>
      </c>
      <c r="P337" s="81">
        <v>6065942.9598520864</v>
      </c>
      <c r="Q337" s="81">
        <v>6149543.1983964965</v>
      </c>
      <c r="R337" s="81">
        <v>6230480.0178802805</v>
      </c>
      <c r="S337" s="81">
        <v>6308565.8342018221</v>
      </c>
      <c r="T337" s="81">
        <v>6383608.954661252</v>
      </c>
      <c r="U337" s="81">
        <v>6455457.431649697</v>
      </c>
      <c r="V337" s="81">
        <v>6523956.5472037736</v>
      </c>
      <c r="W337" s="81">
        <v>6588993.3830118813</v>
      </c>
      <c r="X337" s="81">
        <v>6650543.5118411398</v>
      </c>
      <c r="Y337" s="81">
        <v>6708493.34730474</v>
      </c>
      <c r="Z337" s="81">
        <v>6762864.8731770655</v>
      </c>
      <c r="AA337" s="81">
        <v>6807282.5848570233</v>
      </c>
      <c r="AB337" s="81">
        <v>6848171.6934755323</v>
      </c>
      <c r="AC337" s="81">
        <v>6885550.186151227</v>
      </c>
      <c r="AD337" s="81">
        <v>6919602.3039524639</v>
      </c>
      <c r="AE337" s="81">
        <v>6950471.5724769933</v>
      </c>
      <c r="AF337" s="81">
        <v>6978330.5976433344</v>
      </c>
      <c r="AG337" s="81">
        <v>7003429.7949570995</v>
      </c>
      <c r="AH337" s="81">
        <v>7026027.5568480641</v>
      </c>
      <c r="AI337" s="81">
        <v>7046463.1079608994</v>
      </c>
      <c r="AJ337" s="81">
        <v>7065061.3094114419</v>
      </c>
      <c r="AK337" s="81">
        <v>7083865.1404621825</v>
      </c>
      <c r="AL337" s="81">
        <v>7101655.9359427262</v>
      </c>
      <c r="AM337" s="81">
        <v>7118964.3353704195</v>
      </c>
      <c r="AN337" s="81">
        <v>7136260.5310082408</v>
      </c>
      <c r="AO337" s="81">
        <v>7154128.733693894</v>
      </c>
      <c r="AP337" s="81">
        <v>7173245.2617331892</v>
      </c>
      <c r="AQ337" s="81">
        <v>7194227.5628016805</v>
      </c>
      <c r="AR337" s="81">
        <v>7217838.0695345998</v>
      </c>
      <c r="AS337" s="81">
        <v>7244832.8962302068</v>
      </c>
      <c r="AT337" s="81">
        <v>7276039.5296048662</v>
      </c>
    </row>
    <row r="338" spans="1:46" ht="15.75">
      <c r="A338" s="81" t="s">
        <v>450</v>
      </c>
      <c r="B338" s="80">
        <v>632300</v>
      </c>
      <c r="C338" s="80" t="s">
        <v>413</v>
      </c>
      <c r="D338" s="84" t="s">
        <v>514</v>
      </c>
      <c r="E338" s="81">
        <v>4967743.7865882209</v>
      </c>
      <c r="F338" s="81">
        <v>5114293.3031636048</v>
      </c>
      <c r="G338" s="81">
        <v>5235855.9879793255</v>
      </c>
      <c r="H338" s="81">
        <v>5361107.5496058892</v>
      </c>
      <c r="I338" s="81">
        <v>5489538.5863439245</v>
      </c>
      <c r="J338" s="81">
        <v>5620589.3836472109</v>
      </c>
      <c r="K338" s="81">
        <v>5753766.9604483219</v>
      </c>
      <c r="L338" s="81">
        <v>5888510.8397304295</v>
      </c>
      <c r="M338" s="81">
        <v>6024352.51806542</v>
      </c>
      <c r="N338" s="81">
        <v>6160799.5633281907</v>
      </c>
      <c r="O338" s="81">
        <v>6297335.3437201055</v>
      </c>
      <c r="P338" s="81">
        <v>6433545.210955183</v>
      </c>
      <c r="Q338" s="81">
        <v>6541184.3146771975</v>
      </c>
      <c r="R338" s="81">
        <v>6647027.7773940703</v>
      </c>
      <c r="S338" s="81">
        <v>6750686.5118521629</v>
      </c>
      <c r="T338" s="81">
        <v>6851869.2921322845</v>
      </c>
      <c r="U338" s="81">
        <v>6950255.3664000425</v>
      </c>
      <c r="V338" s="81">
        <v>7045581.9888102273</v>
      </c>
      <c r="W338" s="81">
        <v>7137669.2841820233</v>
      </c>
      <c r="X338" s="81">
        <v>7226288.9015377536</v>
      </c>
      <c r="Y338" s="81">
        <v>7311298.1078443741</v>
      </c>
      <c r="Z338" s="81">
        <v>7392620.4834476653</v>
      </c>
      <c r="AA338" s="81">
        <v>7463189.9320947984</v>
      </c>
      <c r="AB338" s="81">
        <v>7529920.1961522913</v>
      </c>
      <c r="AC338" s="81">
        <v>7592817.9524474638</v>
      </c>
      <c r="AD338" s="81">
        <v>7652009.1263562422</v>
      </c>
      <c r="AE338" s="81">
        <v>7707601.1850071857</v>
      </c>
      <c r="AF338" s="81">
        <v>7759777.5011464637</v>
      </c>
      <c r="AG338" s="81">
        <v>7808799.8031675369</v>
      </c>
      <c r="AH338" s="81">
        <v>7854938.3477767566</v>
      </c>
      <c r="AI338" s="81">
        <v>7898569.0426192516</v>
      </c>
      <c r="AJ338" s="81">
        <v>7940030.2181264497</v>
      </c>
      <c r="AK338" s="81">
        <v>7981709.0375954472</v>
      </c>
      <c r="AL338" s="81">
        <v>8022230.4182093488</v>
      </c>
      <c r="AM338" s="81">
        <v>8062192.8300802931</v>
      </c>
      <c r="AN338" s="81">
        <v>8102261.78506938</v>
      </c>
      <c r="AO338" s="81">
        <v>8143121.1425245972</v>
      </c>
      <c r="AP338" s="81">
        <v>8185600.4754820857</v>
      </c>
      <c r="AQ338" s="81">
        <v>8230474.6042363159</v>
      </c>
      <c r="AR338" s="81">
        <v>8278719.0590694575</v>
      </c>
      <c r="AS338" s="81">
        <v>8331308.6211227942</v>
      </c>
      <c r="AT338" s="81">
        <v>8389321.1915211268</v>
      </c>
    </row>
    <row r="339" spans="1:46" ht="15.75">
      <c r="A339" s="81" t="s">
        <v>450</v>
      </c>
      <c r="B339" s="80">
        <v>632500</v>
      </c>
      <c r="C339" s="80" t="s">
        <v>413</v>
      </c>
      <c r="D339" s="84" t="s">
        <v>513</v>
      </c>
      <c r="E339" s="81">
        <v>8047860.7964169364</v>
      </c>
      <c r="F339" s="81">
        <v>8276522.0199034447</v>
      </c>
      <c r="G339" s="81">
        <v>8463780.8818879332</v>
      </c>
      <c r="H339" s="81">
        <v>8656171.8322491124</v>
      </c>
      <c r="I339" s="81">
        <v>8852887.2037677635</v>
      </c>
      <c r="J339" s="81">
        <v>9053130.0714318417</v>
      </c>
      <c r="K339" s="81">
        <v>9256077.9541442115</v>
      </c>
      <c r="L339" s="81">
        <v>9460983.7564796582</v>
      </c>
      <c r="M339" s="81">
        <v>9667081.5030853599</v>
      </c>
      <c r="N339" s="81">
        <v>9873607.7397352401</v>
      </c>
      <c r="O339" s="81">
        <v>10079866.14126124</v>
      </c>
      <c r="P339" s="81">
        <v>10285149.326959202</v>
      </c>
      <c r="Q339" s="81">
        <v>10444443.033312237</v>
      </c>
      <c r="R339" s="81">
        <v>10600611.38728511</v>
      </c>
      <c r="S339" s="81">
        <v>10753115.995121559</v>
      </c>
      <c r="T339" s="81">
        <v>10901468.9778779</v>
      </c>
      <c r="U339" s="81">
        <v>11045235.462604087</v>
      </c>
      <c r="V339" s="81">
        <v>11184013.984315846</v>
      </c>
      <c r="W339" s="81">
        <v>11317482.745192869</v>
      </c>
      <c r="X339" s="81">
        <v>11445335.65675961</v>
      </c>
      <c r="Y339" s="81">
        <v>11567373.770893207</v>
      </c>
      <c r="Z339" s="81">
        <v>11683441.204868739</v>
      </c>
      <c r="AA339" s="81">
        <v>11782451.403176906</v>
      </c>
      <c r="AB339" s="81">
        <v>11875277.170323407</v>
      </c>
      <c r="AC339" s="81">
        <v>11961945.122704217</v>
      </c>
      <c r="AD339" s="81">
        <v>12042649.61538399</v>
      </c>
      <c r="AE339" s="81">
        <v>12117545.788661335</v>
      </c>
      <c r="AF339" s="81">
        <v>12186914.495556869</v>
      </c>
      <c r="AG339" s="81">
        <v>12251118.499248913</v>
      </c>
      <c r="AH339" s="81">
        <v>12310604.979052721</v>
      </c>
      <c r="AI339" s="81">
        <v>12365859.536364833</v>
      </c>
      <c r="AJ339" s="81">
        <v>12417504.824073654</v>
      </c>
      <c r="AK339" s="81">
        <v>12469084.093332572</v>
      </c>
      <c r="AL339" s="81">
        <v>12518530.325059285</v>
      </c>
      <c r="AM339" s="81">
        <v>12566723.434329631</v>
      </c>
      <c r="AN339" s="81">
        <v>12614568.227581082</v>
      </c>
      <c r="AO339" s="81">
        <v>12663171.512675833</v>
      </c>
      <c r="AP339" s="81">
        <v>12713695.645417897</v>
      </c>
      <c r="AQ339" s="81">
        <v>12767410.867365427</v>
      </c>
      <c r="AR339" s="81">
        <v>12825646.573828006</v>
      </c>
      <c r="AS339" s="81">
        <v>12889922.248472989</v>
      </c>
      <c r="AT339" s="81">
        <v>12961848.414602133</v>
      </c>
    </row>
    <row r="340" spans="1:46" ht="15.75">
      <c r="A340" s="81" t="s">
        <v>450</v>
      </c>
      <c r="B340" s="80">
        <v>632600</v>
      </c>
      <c r="C340" s="80" t="s">
        <v>413</v>
      </c>
      <c r="D340" s="84" t="s">
        <v>512</v>
      </c>
      <c r="E340" s="81">
        <v>3884105.8562223818</v>
      </c>
      <c r="F340" s="81">
        <v>3991508.5187524436</v>
      </c>
      <c r="G340" s="81">
        <v>4081040.3761340696</v>
      </c>
      <c r="H340" s="81">
        <v>4175069.2716644285</v>
      </c>
      <c r="I340" s="81">
        <v>4273058.67029355</v>
      </c>
      <c r="J340" s="81">
        <v>4374476.7306232583</v>
      </c>
      <c r="K340" s="81">
        <v>4478838.0085943714</v>
      </c>
      <c r="L340" s="81">
        <v>4585587.9716096278</v>
      </c>
      <c r="M340" s="81">
        <v>4694262.4445086308</v>
      </c>
      <c r="N340" s="81">
        <v>4804330.5748609295</v>
      </c>
      <c r="O340" s="81">
        <v>4915358.4537718128</v>
      </c>
      <c r="P340" s="81">
        <v>5026848.0288730701</v>
      </c>
      <c r="Q340" s="81">
        <v>5116661.9970335867</v>
      </c>
      <c r="R340" s="81">
        <v>5205518.9078846341</v>
      </c>
      <c r="S340" s="81">
        <v>5293074.6264659176</v>
      </c>
      <c r="T340" s="81">
        <v>5378974.9146526186</v>
      </c>
      <c r="U340" s="81">
        <v>5462855.3393869884</v>
      </c>
      <c r="V340" s="81">
        <v>5544473.8931454029</v>
      </c>
      <c r="W340" s="81">
        <v>5623537.8273730436</v>
      </c>
      <c r="X340" s="81">
        <v>5699836.6619174592</v>
      </c>
      <c r="Y340" s="81">
        <v>5773177.721107306</v>
      </c>
      <c r="Z340" s="81">
        <v>5843409.8120602947</v>
      </c>
      <c r="AA340" s="81">
        <v>5904912.9435998807</v>
      </c>
      <c r="AB340" s="81">
        <v>5963071.953722815</v>
      </c>
      <c r="AC340" s="81">
        <v>6017857.4817595314</v>
      </c>
      <c r="AD340" s="81">
        <v>6069311.2956877323</v>
      </c>
      <c r="AE340" s="81">
        <v>6117501.4562709061</v>
      </c>
      <c r="AF340" s="81">
        <v>6162546.9224316422</v>
      </c>
      <c r="AG340" s="81">
        <v>6204619.1881570928</v>
      </c>
      <c r="AH340" s="81">
        <v>6243943.9353900496</v>
      </c>
      <c r="AI340" s="81">
        <v>6280778.4408989437</v>
      </c>
      <c r="AJ340" s="81">
        <v>6315485.7229759907</v>
      </c>
      <c r="AK340" s="81">
        <v>6349855.8058395823</v>
      </c>
      <c r="AL340" s="81">
        <v>6382910.5624220083</v>
      </c>
      <c r="AM340" s="81">
        <v>6415145.451981022</v>
      </c>
      <c r="AN340" s="81">
        <v>6447095.1306833709</v>
      </c>
      <c r="AO340" s="81">
        <v>6479384.9668412097</v>
      </c>
      <c r="AP340" s="81">
        <v>6512682.8487007041</v>
      </c>
      <c r="AQ340" s="81">
        <v>6547777.0281040492</v>
      </c>
      <c r="AR340" s="81">
        <v>6585450.7822213881</v>
      </c>
      <c r="AS340" s="81">
        <v>6626585.5575915929</v>
      </c>
      <c r="AT340" s="81">
        <v>6672137.6041753488</v>
      </c>
    </row>
    <row r="341" spans="1:46" ht="15.75">
      <c r="A341" s="81" t="s">
        <v>450</v>
      </c>
      <c r="B341" s="80">
        <v>632700</v>
      </c>
      <c r="C341" s="80" t="s">
        <v>413</v>
      </c>
      <c r="D341" s="84" t="s">
        <v>511</v>
      </c>
      <c r="E341" s="81">
        <v>7684602.1025604932</v>
      </c>
      <c r="F341" s="81">
        <v>7872917.9506749194</v>
      </c>
      <c r="G341" s="81">
        <v>8031349.0339967115</v>
      </c>
      <c r="H341" s="81">
        <v>8203711.9513583733</v>
      </c>
      <c r="I341" s="81">
        <v>8388627.4975218661</v>
      </c>
      <c r="J341" s="81">
        <v>8584680.908833554</v>
      </c>
      <c r="K341" s="81">
        <v>8790543.2385784183</v>
      </c>
      <c r="L341" s="81">
        <v>9004821.489393089</v>
      </c>
      <c r="M341" s="81">
        <v>9226180.6736489013</v>
      </c>
      <c r="N341" s="81">
        <v>9453290.2207915932</v>
      </c>
      <c r="O341" s="81">
        <v>9684869.8999697454</v>
      </c>
      <c r="P341" s="81">
        <v>9919675.7209289987</v>
      </c>
      <c r="Q341" s="81">
        <v>10113549.635751508</v>
      </c>
      <c r="R341" s="81">
        <v>10307061.531459903</v>
      </c>
      <c r="S341" s="81">
        <v>10499167.613312045</v>
      </c>
      <c r="T341" s="81">
        <v>10688813.348815816</v>
      </c>
      <c r="U341" s="81">
        <v>10875131.52938378</v>
      </c>
      <c r="V341" s="81">
        <v>11057251.680713821</v>
      </c>
      <c r="W341" s="81">
        <v>11234434.483028756</v>
      </c>
      <c r="X341" s="81">
        <v>11406032.792445986</v>
      </c>
      <c r="Y341" s="81">
        <v>11571450.6018869</v>
      </c>
      <c r="Z341" s="81">
        <v>11730236.876938289</v>
      </c>
      <c r="AA341" s="81">
        <v>11870964.533296144</v>
      </c>
      <c r="AB341" s="81">
        <v>12004272.253453191</v>
      </c>
      <c r="AC341" s="81">
        <v>12130105.874808056</v>
      </c>
      <c r="AD341" s="81">
        <v>12248413.236117607</v>
      </c>
      <c r="AE341" s="81">
        <v>12359333.155877193</v>
      </c>
      <c r="AF341" s="81">
        <v>12463106.741675263</v>
      </c>
      <c r="AG341" s="81">
        <v>12560152.487596469</v>
      </c>
      <c r="AH341" s="81">
        <v>12650927.398041615</v>
      </c>
      <c r="AI341" s="81">
        <v>12736146.281467644</v>
      </c>
      <c r="AJ341" s="81">
        <v>12816545.747214168</v>
      </c>
      <c r="AK341" s="81">
        <v>12896057.325741777</v>
      </c>
      <c r="AL341" s="81">
        <v>12972800.577672752</v>
      </c>
      <c r="AM341" s="81">
        <v>13048060.658714138</v>
      </c>
      <c r="AN341" s="81">
        <v>13123184.140561227</v>
      </c>
      <c r="AO341" s="81">
        <v>13199782.342089687</v>
      </c>
      <c r="AP341" s="81">
        <v>13279586.690007063</v>
      </c>
      <c r="AQ341" s="81">
        <v>13364477.273728918</v>
      </c>
      <c r="AR341" s="81">
        <v>13456564.03259054</v>
      </c>
      <c r="AS341" s="81">
        <v>13558141.292136766</v>
      </c>
      <c r="AT341" s="81">
        <v>13671666.411855003</v>
      </c>
    </row>
    <row r="342" spans="1:46" ht="15.75">
      <c r="A342" s="81" t="s">
        <v>450</v>
      </c>
      <c r="B342" s="80">
        <v>632800</v>
      </c>
      <c r="C342" s="80" t="s">
        <v>413</v>
      </c>
      <c r="D342" s="84" t="s">
        <v>510</v>
      </c>
      <c r="E342" s="81">
        <v>8400350.4853512757</v>
      </c>
      <c r="F342" s="81">
        <v>8669608.7192497924</v>
      </c>
      <c r="G342" s="81">
        <v>8886397.5289959274</v>
      </c>
      <c r="H342" s="81">
        <v>9099921.052129006</v>
      </c>
      <c r="I342" s="81">
        <v>9310016.3126159441</v>
      </c>
      <c r="J342" s="81">
        <v>9516463.4122385941</v>
      </c>
      <c r="K342" s="81">
        <v>9719080.654600272</v>
      </c>
      <c r="L342" s="81">
        <v>9917687.0462418851</v>
      </c>
      <c r="M342" s="81">
        <v>10112102.331986722</v>
      </c>
      <c r="N342" s="81">
        <v>10302188.139143229</v>
      </c>
      <c r="O342" s="81">
        <v>10487767.355393581</v>
      </c>
      <c r="P342" s="81">
        <v>10668705.878262108</v>
      </c>
      <c r="Q342" s="81">
        <v>10799006.580804428</v>
      </c>
      <c r="R342" s="81">
        <v>10923828.971533982</v>
      </c>
      <c r="S342" s="81">
        <v>11043148.368938193</v>
      </c>
      <c r="T342" s="81">
        <v>11156921.30739408</v>
      </c>
      <c r="U342" s="81">
        <v>11265150.532100204</v>
      </c>
      <c r="V342" s="81">
        <v>11367798.311768167</v>
      </c>
      <c r="W342" s="81">
        <v>11464918.492224082</v>
      </c>
      <c r="X342" s="81">
        <v>11556502.763540344</v>
      </c>
      <c r="Y342" s="81">
        <v>11642591.302726839</v>
      </c>
      <c r="Z342" s="81">
        <v>11723251.766863517</v>
      </c>
      <c r="AA342" s="81">
        <v>11787507.982929239</v>
      </c>
      <c r="AB342" s="81">
        <v>11846395.601657106</v>
      </c>
      <c r="AC342" s="81">
        <v>11900081.911281785</v>
      </c>
      <c r="AD342" s="81">
        <v>11948600.321629448</v>
      </c>
      <c r="AE342" s="81">
        <v>11992152.691802001</v>
      </c>
      <c r="AF342" s="81">
        <v>12030829.613635117</v>
      </c>
      <c r="AG342" s="81">
        <v>12064797.984003035</v>
      </c>
      <c r="AH342" s="81">
        <v>12094207.061051071</v>
      </c>
      <c r="AI342" s="81">
        <v>12119284.763040245</v>
      </c>
      <c r="AJ342" s="81">
        <v>12140218.032519348</v>
      </c>
      <c r="AK342" s="81">
        <v>12160006.821997534</v>
      </c>
      <c r="AL342" s="81">
        <v>12176106.727359971</v>
      </c>
      <c r="AM342" s="81">
        <v>12188699.073561912</v>
      </c>
      <c r="AN342" s="81">
        <v>12198097.062000144</v>
      </c>
      <c r="AO342" s="81">
        <v>12204573.192935172</v>
      </c>
      <c r="AP342" s="81">
        <v>12208408.524406258</v>
      </c>
      <c r="AQ342" s="81">
        <v>12209918.360522812</v>
      </c>
      <c r="AR342" s="81">
        <v>12209453.187038064</v>
      </c>
      <c r="AS342" s="81">
        <v>12207373.656147448</v>
      </c>
      <c r="AT342" s="81">
        <v>12204050.672008116</v>
      </c>
    </row>
    <row r="343" spans="1:46" ht="15.75">
      <c r="A343" s="81" t="s">
        <v>450</v>
      </c>
      <c r="B343" s="80">
        <v>640100</v>
      </c>
      <c r="C343" s="80" t="s">
        <v>412</v>
      </c>
      <c r="D343" s="84" t="s">
        <v>509</v>
      </c>
      <c r="E343" s="81">
        <v>57185892.207990378</v>
      </c>
      <c r="F343" s="81">
        <v>58951622.497132145</v>
      </c>
      <c r="G343" s="81">
        <v>60346716.604006439</v>
      </c>
      <c r="H343" s="81">
        <v>61707727.039116219</v>
      </c>
      <c r="I343" s="81">
        <v>63034806.130737029</v>
      </c>
      <c r="J343" s="81">
        <v>64328136.430088758</v>
      </c>
      <c r="K343" s="81">
        <v>65587949.813126102</v>
      </c>
      <c r="L343" s="81">
        <v>66814548.237183906</v>
      </c>
      <c r="M343" s="81">
        <v>68008213.173947334</v>
      </c>
      <c r="N343" s="81">
        <v>69169336.999082118</v>
      </c>
      <c r="O343" s="81">
        <v>70298286.559633002</v>
      </c>
      <c r="P343" s="81">
        <v>71395537.928468406</v>
      </c>
      <c r="Q343" s="81">
        <v>72155218.179526001</v>
      </c>
      <c r="R343" s="81">
        <v>72881201.225671068</v>
      </c>
      <c r="S343" s="81">
        <v>73574484.662079558</v>
      </c>
      <c r="T343" s="81">
        <v>74236048.301906273</v>
      </c>
      <c r="U343" s="81">
        <v>74866900.712200537</v>
      </c>
      <c r="V343" s="81">
        <v>75468004.904505163</v>
      </c>
      <c r="W343" s="81">
        <v>76040349.449690104</v>
      </c>
      <c r="X343" s="81">
        <v>76584948.019177258</v>
      </c>
      <c r="Y343" s="81">
        <v>77102738.026896447</v>
      </c>
      <c r="Z343" s="81">
        <v>77594728.704493374</v>
      </c>
      <c r="AA343" s="81">
        <v>77989048.724203959</v>
      </c>
      <c r="AB343" s="81">
        <v>78359362.280466273</v>
      </c>
      <c r="AC343" s="81">
        <v>78706622.244863242</v>
      </c>
      <c r="AD343" s="81">
        <v>79031870.073710829</v>
      </c>
      <c r="AE343" s="81">
        <v>79336001.196208492</v>
      </c>
      <c r="AF343" s="81">
        <v>79620023.926996484</v>
      </c>
      <c r="AG343" s="81">
        <v>79884795.859376386</v>
      </c>
      <c r="AH343" s="81">
        <v>80131205.778003335</v>
      </c>
      <c r="AI343" s="81">
        <v>80360146.919515923</v>
      </c>
      <c r="AJ343" s="81">
        <v>80572407.553822964</v>
      </c>
      <c r="AK343" s="81">
        <v>80787475.692709833</v>
      </c>
      <c r="AL343" s="81">
        <v>80987400.083321199</v>
      </c>
      <c r="AM343" s="81">
        <v>81172902.935807437</v>
      </c>
      <c r="AN343" s="81">
        <v>81344676.111951977</v>
      </c>
      <c r="AO343" s="81">
        <v>81503379.454139039</v>
      </c>
      <c r="AP343" s="81">
        <v>81649582.429650366</v>
      </c>
      <c r="AQ343" s="81">
        <v>81783931.653492913</v>
      </c>
      <c r="AR343" s="81">
        <v>81906865.82575725</v>
      </c>
      <c r="AS343" s="81">
        <v>82018926.214572489</v>
      </c>
      <c r="AT343" s="81">
        <v>82120526.880484104</v>
      </c>
    </row>
    <row r="344" spans="1:46" ht="15.75">
      <c r="A344" s="81" t="s">
        <v>450</v>
      </c>
      <c r="B344" s="80">
        <v>640200</v>
      </c>
      <c r="C344" s="80" t="s">
        <v>412</v>
      </c>
      <c r="D344" s="84" t="s">
        <v>508</v>
      </c>
      <c r="E344" s="81">
        <v>12926049.389057256</v>
      </c>
      <c r="F344" s="81">
        <v>13262431.363856021</v>
      </c>
      <c r="G344" s="81">
        <v>13519813.33399388</v>
      </c>
      <c r="H344" s="81">
        <v>13773801.368868753</v>
      </c>
      <c r="I344" s="81">
        <v>14023900.442071198</v>
      </c>
      <c r="J344" s="81">
        <v>14269636.835458769</v>
      </c>
      <c r="K344" s="81">
        <v>14510579.273222914</v>
      </c>
      <c r="L344" s="81">
        <v>14746304.25140061</v>
      </c>
      <c r="M344" s="81">
        <v>14976397.165038817</v>
      </c>
      <c r="N344" s="81">
        <v>15200453.452205732</v>
      </c>
      <c r="O344" s="81">
        <v>15418139.28120314</v>
      </c>
      <c r="P344" s="81">
        <v>15629116.099001676</v>
      </c>
      <c r="Q344" s="81">
        <v>15766129.501637932</v>
      </c>
      <c r="R344" s="81">
        <v>15895469.62365534</v>
      </c>
      <c r="S344" s="81">
        <v>16016955.956813693</v>
      </c>
      <c r="T344" s="81">
        <v>16130510.888531579</v>
      </c>
      <c r="U344" s="81">
        <v>16236080.201843077</v>
      </c>
      <c r="V344" s="81">
        <v>16333591.778425546</v>
      </c>
      <c r="W344" s="81">
        <v>16423061.069460433</v>
      </c>
      <c r="X344" s="81">
        <v>16504551.659950815</v>
      </c>
      <c r="Y344" s="81">
        <v>16578155.431718223</v>
      </c>
      <c r="Z344" s="81">
        <v>16643949.965708395</v>
      </c>
      <c r="AA344" s="81">
        <v>16686574.938110644</v>
      </c>
      <c r="AB344" s="81">
        <v>16721892.128832141</v>
      </c>
      <c r="AC344" s="81">
        <v>16750136.453094224</v>
      </c>
      <c r="AD344" s="81">
        <v>16771664.017798422</v>
      </c>
      <c r="AE344" s="81">
        <v>16786865.944979355</v>
      </c>
      <c r="AF344" s="81">
        <v>16796123.90981967</v>
      </c>
      <c r="AG344" s="81">
        <v>16799969.240089722</v>
      </c>
      <c r="AH344" s="81">
        <v>16798903.836312022</v>
      </c>
      <c r="AI344" s="81">
        <v>16793491.288270887</v>
      </c>
      <c r="AJ344" s="81">
        <v>16784405.118519522</v>
      </c>
      <c r="AK344" s="81">
        <v>16776186.557033474</v>
      </c>
      <c r="AL344" s="81">
        <v>16765690.751767512</v>
      </c>
      <c r="AM344" s="81">
        <v>16753721.031882122</v>
      </c>
      <c r="AN344" s="81">
        <v>16741151.138726532</v>
      </c>
      <c r="AO344" s="81">
        <v>16728902.951438954</v>
      </c>
      <c r="AP344" s="81">
        <v>16717996.011621796</v>
      </c>
      <c r="AQ344" s="81">
        <v>16709501.350157145</v>
      </c>
      <c r="AR344" s="81">
        <v>16704517.949410439</v>
      </c>
      <c r="AS344" s="81">
        <v>16704247.211387789</v>
      </c>
      <c r="AT344" s="81">
        <v>16709995.665950101</v>
      </c>
    </row>
    <row r="345" spans="1:46" ht="15.75">
      <c r="A345" s="81" t="s">
        <v>450</v>
      </c>
      <c r="B345" s="80">
        <v>640300</v>
      </c>
      <c r="C345" s="80" t="s">
        <v>412</v>
      </c>
      <c r="D345" s="84" t="s">
        <v>507</v>
      </c>
      <c r="E345" s="81">
        <v>23746943.06739765</v>
      </c>
      <c r="F345" s="81">
        <v>24405924.593487643</v>
      </c>
      <c r="G345" s="81">
        <v>24943837.517206043</v>
      </c>
      <c r="H345" s="81">
        <v>25497739.329567716</v>
      </c>
      <c r="I345" s="81">
        <v>26064973.217547387</v>
      </c>
      <c r="J345" s="81">
        <v>26642948.156106237</v>
      </c>
      <c r="K345" s="81">
        <v>27229038.504327279</v>
      </c>
      <c r="L345" s="81">
        <v>27820761.527801268</v>
      </c>
      <c r="M345" s="81">
        <v>28415620.033032514</v>
      </c>
      <c r="N345" s="81">
        <v>29011225.842190336</v>
      </c>
      <c r="O345" s="81">
        <v>29605273.556227915</v>
      </c>
      <c r="P345" s="81">
        <v>30195551.714214724</v>
      </c>
      <c r="Q345" s="81">
        <v>30649837.340933796</v>
      </c>
      <c r="R345" s="81">
        <v>31093818.606783189</v>
      </c>
      <c r="S345" s="81">
        <v>31525883.139828846</v>
      </c>
      <c r="T345" s="81">
        <v>31944457.714987472</v>
      </c>
      <c r="U345" s="81">
        <v>32348241.299266364</v>
      </c>
      <c r="V345" s="81">
        <v>32736048.551704612</v>
      </c>
      <c r="W345" s="81">
        <v>33106921.697865009</v>
      </c>
      <c r="X345" s="81">
        <v>33460054.729062498</v>
      </c>
      <c r="Y345" s="81">
        <v>33794907.973467655</v>
      </c>
      <c r="Z345" s="81">
        <v>34111088.466904044</v>
      </c>
      <c r="AA345" s="81">
        <v>34376376.373411007</v>
      </c>
      <c r="AB345" s="81">
        <v>34622733.930827342</v>
      </c>
      <c r="AC345" s="81">
        <v>34850549.38879893</v>
      </c>
      <c r="AD345" s="81">
        <v>35060431.298920557</v>
      </c>
      <c r="AE345" s="81">
        <v>35253238.052302279</v>
      </c>
      <c r="AF345" s="81">
        <v>35430153.736814611</v>
      </c>
      <c r="AG345" s="81">
        <v>35592515.792529956</v>
      </c>
      <c r="AH345" s="81">
        <v>35742025.96602457</v>
      </c>
      <c r="AI345" s="81">
        <v>35880622.690420642</v>
      </c>
      <c r="AJ345" s="81">
        <v>36010604.123702511</v>
      </c>
      <c r="AK345" s="81">
        <v>36142792.48274406</v>
      </c>
      <c r="AL345" s="81">
        <v>36271750.527075872</v>
      </c>
      <c r="AM345" s="81">
        <v>36400651.496666238</v>
      </c>
      <c r="AN345" s="81">
        <v>36532947.879536591</v>
      </c>
      <c r="AO345" s="81">
        <v>36672547.290625915</v>
      </c>
      <c r="AP345" s="81">
        <v>36823582.952089667</v>
      </c>
      <c r="AQ345" s="81">
        <v>36990613.99074509</v>
      </c>
      <c r="AR345" s="81">
        <v>37178563.259651393</v>
      </c>
      <c r="AS345" s="81">
        <v>37392677.046149455</v>
      </c>
      <c r="AT345" s="81">
        <v>37638632.349225752</v>
      </c>
    </row>
    <row r="346" spans="1:46" ht="15.75">
      <c r="A346" s="81" t="s">
        <v>450</v>
      </c>
      <c r="B346" s="80">
        <v>640400</v>
      </c>
      <c r="C346" s="80" t="s">
        <v>412</v>
      </c>
      <c r="D346" s="84" t="s">
        <v>506</v>
      </c>
      <c r="E346" s="81">
        <v>19646059.856416401</v>
      </c>
      <c r="F346" s="81">
        <v>20159716.82050002</v>
      </c>
      <c r="G346" s="81">
        <v>20581513.209333718</v>
      </c>
      <c r="H346" s="81">
        <v>21024162.913216982</v>
      </c>
      <c r="I346" s="81">
        <v>21484788.096741401</v>
      </c>
      <c r="J346" s="81">
        <v>21960535.394851431</v>
      </c>
      <c r="K346" s="81">
        <v>22448643.715434432</v>
      </c>
      <c r="L346" s="81">
        <v>22946325.61067735</v>
      </c>
      <c r="M346" s="81">
        <v>23450909.431326374</v>
      </c>
      <c r="N346" s="81">
        <v>23959796.021078266</v>
      </c>
      <c r="O346" s="81">
        <v>24470450.868947741</v>
      </c>
      <c r="P346" s="81">
        <v>24980455.226248793</v>
      </c>
      <c r="Q346" s="81">
        <v>25379796.011200726</v>
      </c>
      <c r="R346" s="81">
        <v>25771818.429328747</v>
      </c>
      <c r="S346" s="81">
        <v>26154640.391961806</v>
      </c>
      <c r="T346" s="81">
        <v>26526574.294275001</v>
      </c>
      <c r="U346" s="81">
        <v>26886073.766315594</v>
      </c>
      <c r="V346" s="81">
        <v>27231825.123491835</v>
      </c>
      <c r="W346" s="81">
        <v>27562736.664429497</v>
      </c>
      <c r="X346" s="81">
        <v>27877884.235814407</v>
      </c>
      <c r="Y346" s="81">
        <v>28176583.411007635</v>
      </c>
      <c r="Z346" s="81">
        <v>28458421.287430316</v>
      </c>
      <c r="AA346" s="81">
        <v>28696370.743592944</v>
      </c>
      <c r="AB346" s="81">
        <v>28917094.034292612</v>
      </c>
      <c r="AC346" s="81">
        <v>29120970.212348722</v>
      </c>
      <c r="AD346" s="81">
        <v>29308597.652383134</v>
      </c>
      <c r="AE346" s="81">
        <v>29480913.640627984</v>
      </c>
      <c r="AF346" s="81">
        <v>29639114.595154218</v>
      </c>
      <c r="AG346" s="81">
        <v>29784686.826289747</v>
      </c>
      <c r="AH346" s="81">
        <v>29919438.294254974</v>
      </c>
      <c r="AI346" s="81">
        <v>30045461.988883592</v>
      </c>
      <c r="AJ346" s="81">
        <v>30165213.962136544</v>
      </c>
      <c r="AK346" s="81">
        <v>30288420.328233622</v>
      </c>
      <c r="AL346" s="81">
        <v>30411239.042552873</v>
      </c>
      <c r="AM346" s="81">
        <v>30537111.75052375</v>
      </c>
      <c r="AN346" s="81">
        <v>30669885.172956396</v>
      </c>
      <c r="AO346" s="81">
        <v>30813726.100922897</v>
      </c>
      <c r="AP346" s="81">
        <v>30973226.612094905</v>
      </c>
      <c r="AQ346" s="81">
        <v>31153366.783630289</v>
      </c>
      <c r="AR346" s="81">
        <v>31359549.285659246</v>
      </c>
      <c r="AS346" s="81">
        <v>31597511.32001641</v>
      </c>
      <c r="AT346" s="81">
        <v>31873531.632401444</v>
      </c>
    </row>
    <row r="347" spans="1:46" ht="15.75">
      <c r="A347" s="81" t="s">
        <v>450</v>
      </c>
      <c r="B347" s="80">
        <v>640500</v>
      </c>
      <c r="C347" s="80" t="s">
        <v>412</v>
      </c>
      <c r="D347" s="84" t="s">
        <v>505</v>
      </c>
      <c r="E347" s="81">
        <v>18315834.534005806</v>
      </c>
      <c r="F347" s="81">
        <v>18839385.169008598</v>
      </c>
      <c r="G347" s="81">
        <v>19267516.77960103</v>
      </c>
      <c r="H347" s="81">
        <v>19706080.181848846</v>
      </c>
      <c r="I347" s="81">
        <v>20153086.431123514</v>
      </c>
      <c r="J347" s="81">
        <v>20606655.3599093</v>
      </c>
      <c r="K347" s="81">
        <v>21064877.976023037</v>
      </c>
      <c r="L347" s="81">
        <v>21525934.75097166</v>
      </c>
      <c r="M347" s="81">
        <v>21988009.99710685</v>
      </c>
      <c r="N347" s="81">
        <v>22449394.952309974</v>
      </c>
      <c r="O347" s="81">
        <v>22908399.964589495</v>
      </c>
      <c r="P347" s="81">
        <v>23363460.285958774</v>
      </c>
      <c r="Q347" s="81">
        <v>23712380.626281668</v>
      </c>
      <c r="R347" s="81">
        <v>24052612.214521922</v>
      </c>
      <c r="S347" s="81">
        <v>24382952.057062842</v>
      </c>
      <c r="T347" s="81">
        <v>24702393.341090772</v>
      </c>
      <c r="U347" s="81">
        <v>25010029.72852204</v>
      </c>
      <c r="V347" s="81">
        <v>25305081.247274693</v>
      </c>
      <c r="W347" s="81">
        <v>25586899.992862288</v>
      </c>
      <c r="X347" s="81">
        <v>25855040.161155187</v>
      </c>
      <c r="Y347" s="81">
        <v>26109136.872445978</v>
      </c>
      <c r="Z347" s="81">
        <v>26349061.86743715</v>
      </c>
      <c r="AA347" s="81">
        <v>26549995.84100695</v>
      </c>
      <c r="AB347" s="81">
        <v>26736743.096829075</v>
      </c>
      <c r="AC347" s="81">
        <v>26909728.657481868</v>
      </c>
      <c r="AD347" s="81">
        <v>27069507.276332878</v>
      </c>
      <c r="AE347" s="81">
        <v>27216857.46706669</v>
      </c>
      <c r="AF347" s="81">
        <v>27352720.554404259</v>
      </c>
      <c r="AG347" s="81">
        <v>27478296.787058562</v>
      </c>
      <c r="AH347" s="81">
        <v>27594915.43462057</v>
      </c>
      <c r="AI347" s="81">
        <v>27704153.830810428</v>
      </c>
      <c r="AJ347" s="81">
        <v>27807867.950322222</v>
      </c>
      <c r="AK347" s="81">
        <v>27914478.77278382</v>
      </c>
      <c r="AL347" s="81">
        <v>28019815.927750599</v>
      </c>
      <c r="AM347" s="81">
        <v>28126400.965582326</v>
      </c>
      <c r="AN347" s="81">
        <v>28236944.338370334</v>
      </c>
      <c r="AO347" s="81">
        <v>28354470.50051314</v>
      </c>
      <c r="AP347" s="81">
        <v>28482253.913513895</v>
      </c>
      <c r="AQ347" s="81">
        <v>28623776.603317179</v>
      </c>
      <c r="AR347" s="81">
        <v>28782880.458547655</v>
      </c>
      <c r="AS347" s="81">
        <v>28963603.795629311</v>
      </c>
      <c r="AT347" s="81">
        <v>29170359.837164715</v>
      </c>
    </row>
    <row r="348" spans="1:46" ht="15.75">
      <c r="A348" s="81" t="s">
        <v>450</v>
      </c>
      <c r="B348" s="80">
        <v>650100</v>
      </c>
      <c r="C348" s="80" t="s">
        <v>411</v>
      </c>
      <c r="D348" s="84" t="s">
        <v>504</v>
      </c>
      <c r="E348" s="81">
        <v>96611341.352387354</v>
      </c>
      <c r="F348" s="81">
        <v>99446348.110477567</v>
      </c>
      <c r="G348" s="81">
        <v>100834390.05918391</v>
      </c>
      <c r="H348" s="81">
        <v>102124899.91190277</v>
      </c>
      <c r="I348" s="81">
        <v>103323060.94394097</v>
      </c>
      <c r="J348" s="81">
        <v>104433925.42404692</v>
      </c>
      <c r="K348" s="81">
        <v>105462408.02543652</v>
      </c>
      <c r="L348" s="81">
        <v>106413253.81285487</v>
      </c>
      <c r="M348" s="81">
        <v>107291081.8291866</v>
      </c>
      <c r="N348" s="81">
        <v>108100327.73273233</v>
      </c>
      <c r="O348" s="81">
        <v>108845210.47022909</v>
      </c>
      <c r="P348" s="81">
        <v>109529827.64941983</v>
      </c>
      <c r="Q348" s="81">
        <v>110126996.19224906</v>
      </c>
      <c r="R348" s="81">
        <v>110671285.77137382</v>
      </c>
      <c r="S348" s="81">
        <v>111166198.12009466</v>
      </c>
      <c r="T348" s="81">
        <v>111615028.90092629</v>
      </c>
      <c r="U348" s="81">
        <v>112020860.8069956</v>
      </c>
      <c r="V348" s="81">
        <v>112386583.34104443</v>
      </c>
      <c r="W348" s="81">
        <v>112714779.01049218</v>
      </c>
      <c r="X348" s="81">
        <v>113007822.24112138</v>
      </c>
      <c r="Y348" s="81">
        <v>113267818.64965601</v>
      </c>
      <c r="Z348" s="81">
        <v>113496651.7384562</v>
      </c>
      <c r="AA348" s="81">
        <v>113587896.66960992</v>
      </c>
      <c r="AB348" s="81">
        <v>113650917.22884594</v>
      </c>
      <c r="AC348" s="81">
        <v>113686881.59999004</v>
      </c>
      <c r="AD348" s="81">
        <v>113696593.00578317</v>
      </c>
      <c r="AE348" s="81">
        <v>113680565.46680894</v>
      </c>
      <c r="AF348" s="81">
        <v>113638989.74211833</v>
      </c>
      <c r="AG348" s="81">
        <v>113571782.75668217</v>
      </c>
      <c r="AH348" s="81">
        <v>113478525.64532863</v>
      </c>
      <c r="AI348" s="81">
        <v>113358456.99457377</v>
      </c>
      <c r="AJ348" s="81">
        <v>113210494.45529035</v>
      </c>
      <c r="AK348" s="81">
        <v>112926950.93686582</v>
      </c>
      <c r="AL348" s="81">
        <v>112612883.62932777</v>
      </c>
      <c r="AM348" s="81">
        <v>112266301.95430703</v>
      </c>
      <c r="AN348" s="81">
        <v>111884820.54399845</v>
      </c>
      <c r="AO348" s="81">
        <v>111465711.2949563</v>
      </c>
      <c r="AP348" s="81">
        <v>111005898.61799929</v>
      </c>
      <c r="AQ348" s="81">
        <v>110501925.68161261</v>
      </c>
      <c r="AR348" s="81">
        <v>109950007.41576236</v>
      </c>
      <c r="AS348" s="81">
        <v>109345938.65592673</v>
      </c>
      <c r="AT348" s="81">
        <v>108685147.06054504</v>
      </c>
    </row>
    <row r="349" spans="1:46" ht="15.75">
      <c r="A349" s="81" t="s">
        <v>450</v>
      </c>
      <c r="B349" s="80">
        <v>650200</v>
      </c>
      <c r="C349" s="80" t="s">
        <v>411</v>
      </c>
      <c r="D349" s="84" t="s">
        <v>503</v>
      </c>
      <c r="E349" s="81">
        <v>12604209.37067827</v>
      </c>
      <c r="F349" s="81">
        <v>12729548.174257703</v>
      </c>
      <c r="G349" s="81">
        <v>12846428.182072306</v>
      </c>
      <c r="H349" s="81">
        <v>12954248.797201229</v>
      </c>
      <c r="I349" s="81">
        <v>13053133.159449125</v>
      </c>
      <c r="J349" s="81">
        <v>13143312.04155097</v>
      </c>
      <c r="K349" s="81">
        <v>13224888.227317611</v>
      </c>
      <c r="L349" s="81">
        <v>13298072.449260755</v>
      </c>
      <c r="M349" s="81">
        <v>13363025.886329288</v>
      </c>
      <c r="N349" s="81">
        <v>13419939.151869018</v>
      </c>
      <c r="O349" s="81">
        <v>13468979.345526515</v>
      </c>
      <c r="P349" s="81">
        <v>13510369.909577852</v>
      </c>
      <c r="Q349" s="81">
        <v>13545442.291050527</v>
      </c>
      <c r="R349" s="81">
        <v>13573238.624757446</v>
      </c>
      <c r="S349" s="81">
        <v>13593909.221795496</v>
      </c>
      <c r="T349" s="81">
        <v>13607688.223401831</v>
      </c>
      <c r="U349" s="81">
        <v>13614731.878722837</v>
      </c>
      <c r="V349" s="81">
        <v>13615253.516697852</v>
      </c>
      <c r="W349" s="81">
        <v>13609442.400242649</v>
      </c>
      <c r="X349" s="81">
        <v>13597545.522811083</v>
      </c>
      <c r="Y349" s="81">
        <v>13579731.009648543</v>
      </c>
      <c r="Z349" s="81">
        <v>13556224.716538502</v>
      </c>
      <c r="AA349" s="81">
        <v>13528466.082642103</v>
      </c>
      <c r="AB349" s="81">
        <v>13495408.475158103</v>
      </c>
      <c r="AC349" s="81">
        <v>13457313.606412441</v>
      </c>
      <c r="AD349" s="81">
        <v>13414391.078572866</v>
      </c>
      <c r="AE349" s="81">
        <v>13366853.511206413</v>
      </c>
      <c r="AF349" s="81">
        <v>13314916.541279411</v>
      </c>
      <c r="AG349" s="81">
        <v>13258855.12414803</v>
      </c>
      <c r="AH349" s="81">
        <v>13198863.20016514</v>
      </c>
      <c r="AI349" s="81">
        <v>13135194.02807346</v>
      </c>
      <c r="AJ349" s="81">
        <v>13068104.21928158</v>
      </c>
      <c r="AK349" s="81">
        <v>12998959.723493068</v>
      </c>
      <c r="AL349" s="81">
        <v>12926840.502101708</v>
      </c>
      <c r="AM349" s="81">
        <v>12851983.517695574</v>
      </c>
      <c r="AN349" s="81">
        <v>12774657.589422565</v>
      </c>
      <c r="AO349" s="81">
        <v>12695106.157273138</v>
      </c>
      <c r="AP349" s="81">
        <v>12613604.690528309</v>
      </c>
      <c r="AQ349" s="81">
        <v>12530403.106580924</v>
      </c>
      <c r="AR349" s="81">
        <v>12445725.339108836</v>
      </c>
      <c r="AS349" s="81">
        <v>12359885.623182094</v>
      </c>
      <c r="AT349" s="81">
        <v>12273143.462749073</v>
      </c>
    </row>
    <row r="350" spans="1:46" ht="15.75">
      <c r="A350" s="81" t="s">
        <v>450</v>
      </c>
      <c r="B350" s="80">
        <v>650400</v>
      </c>
      <c r="C350" s="80" t="s">
        <v>411</v>
      </c>
      <c r="D350" s="84" t="s">
        <v>502</v>
      </c>
      <c r="E350" s="81">
        <v>4978204.2052111281</v>
      </c>
      <c r="F350" s="81">
        <v>5110520.1312745502</v>
      </c>
      <c r="G350" s="81">
        <v>5215240.5469356943</v>
      </c>
      <c r="H350" s="81">
        <v>5321345.9761638949</v>
      </c>
      <c r="I350" s="81">
        <v>5428533.0915334104</v>
      </c>
      <c r="J350" s="81">
        <v>5536505.3250996098</v>
      </c>
      <c r="K350" s="81">
        <v>5644942.7306159679</v>
      </c>
      <c r="L350" s="81">
        <v>5753565.0492866877</v>
      </c>
      <c r="M350" s="81">
        <v>5862070.5402179277</v>
      </c>
      <c r="N350" s="81">
        <v>5970176.1890775729</v>
      </c>
      <c r="O350" s="81">
        <v>6077603.0657094885</v>
      </c>
      <c r="P350" s="81">
        <v>6184085.6091346024</v>
      </c>
      <c r="Q350" s="81">
        <v>6262777.4102085102</v>
      </c>
      <c r="R350" s="81">
        <v>6339632.1889033737</v>
      </c>
      <c r="S350" s="81">
        <v>6414463.2798239421</v>
      </c>
      <c r="T350" s="81">
        <v>6487070.747385446</v>
      </c>
      <c r="U350" s="81">
        <v>6557284.6341340421</v>
      </c>
      <c r="V350" s="81">
        <v>6624948.7211882109</v>
      </c>
      <c r="W350" s="81">
        <v>6689930.0642854646</v>
      </c>
      <c r="X350" s="81">
        <v>6752102.1480340725</v>
      </c>
      <c r="Y350" s="81">
        <v>6811390.259143143</v>
      </c>
      <c r="Z350" s="81">
        <v>6867691.8886828683</v>
      </c>
      <c r="AA350" s="81">
        <v>6914512.6992628183</v>
      </c>
      <c r="AB350" s="81">
        <v>6958247.1498861341</v>
      </c>
      <c r="AC350" s="81">
        <v>6998884.2978617148</v>
      </c>
      <c r="AD350" s="81">
        <v>7036460.9198771631</v>
      </c>
      <c r="AE350" s="81">
        <v>7071025.5359940045</v>
      </c>
      <c r="AF350" s="81">
        <v>7102638.7510473812</v>
      </c>
      <c r="AG350" s="81">
        <v>7131421.2037915653</v>
      </c>
      <c r="AH350" s="81">
        <v>7157488.4210110763</v>
      </c>
      <c r="AI350" s="81">
        <v>7181008.4317686008</v>
      </c>
      <c r="AJ350" s="81">
        <v>7202154.8488161713</v>
      </c>
      <c r="AK350" s="81">
        <v>7222822.7413232084</v>
      </c>
      <c r="AL350" s="81">
        <v>7241577.0555955917</v>
      </c>
      <c r="AM350" s="81">
        <v>7258708.4075966515</v>
      </c>
      <c r="AN350" s="81">
        <v>7274516.1057980992</v>
      </c>
      <c r="AO350" s="81">
        <v>7289348.4284616336</v>
      </c>
      <c r="AP350" s="81">
        <v>7303583.822465932</v>
      </c>
      <c r="AQ350" s="81">
        <v>7317631.6701525915</v>
      </c>
      <c r="AR350" s="81">
        <v>7331943.3184733633</v>
      </c>
      <c r="AS350" s="81">
        <v>7347013.2031833315</v>
      </c>
      <c r="AT350" s="81">
        <v>7363348.8035697276</v>
      </c>
    </row>
    <row r="351" spans="1:46" ht="15.75">
      <c r="A351" s="81" t="s">
        <v>450</v>
      </c>
      <c r="B351" s="80">
        <v>650500</v>
      </c>
      <c r="C351" s="80" t="s">
        <v>411</v>
      </c>
      <c r="D351" s="84" t="s">
        <v>501</v>
      </c>
      <c r="E351" s="81">
        <v>9475972.246863449</v>
      </c>
      <c r="F351" s="81">
        <v>9718821.4511571303</v>
      </c>
      <c r="G351" s="81">
        <v>9902954.7365752999</v>
      </c>
      <c r="H351" s="81">
        <v>10083854.712395409</v>
      </c>
      <c r="I351" s="81">
        <v>10261246.163464677</v>
      </c>
      <c r="J351" s="81">
        <v>10434863.176684257</v>
      </c>
      <c r="K351" s="81">
        <v>10604480.928998046</v>
      </c>
      <c r="L351" s="81">
        <v>10769856.17252947</v>
      </c>
      <c r="M351" s="81">
        <v>10930757.861464743</v>
      </c>
      <c r="N351" s="81">
        <v>11086968.14259992</v>
      </c>
      <c r="O351" s="81">
        <v>11238315.809021005</v>
      </c>
      <c r="P351" s="81">
        <v>11384597.212905908</v>
      </c>
      <c r="Q351" s="81">
        <v>11476934.745616956</v>
      </c>
      <c r="R351" s="81">
        <v>11563687.782150097</v>
      </c>
      <c r="S351" s="81">
        <v>11644762.718601052</v>
      </c>
      <c r="T351" s="81">
        <v>11720168.301448323</v>
      </c>
      <c r="U351" s="81">
        <v>11789865.790140521</v>
      </c>
      <c r="V351" s="81">
        <v>11853835.916641362</v>
      </c>
      <c r="W351" s="81">
        <v>11912149.116972808</v>
      </c>
      <c r="X351" s="81">
        <v>11964793.847940046</v>
      </c>
      <c r="Y351" s="81">
        <v>12011867.392567456</v>
      </c>
      <c r="Z351" s="81">
        <v>12053455.505759554</v>
      </c>
      <c r="AA351" s="81">
        <v>12078392.879992042</v>
      </c>
      <c r="AB351" s="81">
        <v>12098123.234736487</v>
      </c>
      <c r="AC351" s="81">
        <v>12112818.682670107</v>
      </c>
      <c r="AD351" s="81">
        <v>12122712.9793876</v>
      </c>
      <c r="AE351" s="81">
        <v>12127974.574502673</v>
      </c>
      <c r="AF351" s="81">
        <v>12128889.54708733</v>
      </c>
      <c r="AG351" s="81">
        <v>12125716.132544952</v>
      </c>
      <c r="AH351" s="81">
        <v>12118758.694754709</v>
      </c>
      <c r="AI351" s="81">
        <v>12108350.148174752</v>
      </c>
      <c r="AJ351" s="81">
        <v>12094833.634311166</v>
      </c>
      <c r="AK351" s="81">
        <v>12081389.164450713</v>
      </c>
      <c r="AL351" s="81">
        <v>12065623.916652849</v>
      </c>
      <c r="AM351" s="81">
        <v>12047971.406014744</v>
      </c>
      <c r="AN351" s="81">
        <v>12028916.825274995</v>
      </c>
      <c r="AO351" s="81">
        <v>12008978.782399995</v>
      </c>
      <c r="AP351" s="81">
        <v>11988690.251038954</v>
      </c>
      <c r="AQ351" s="81">
        <v>11968638.622514682</v>
      </c>
      <c r="AR351" s="81">
        <v>11949406.867910838</v>
      </c>
      <c r="AS351" s="81">
        <v>11931674.168447897</v>
      </c>
      <c r="AT351" s="81">
        <v>11916116.892526036</v>
      </c>
    </row>
    <row r="352" spans="1:46" ht="15.75">
      <c r="A352" s="81" t="s">
        <v>450</v>
      </c>
      <c r="B352" s="80">
        <v>652300</v>
      </c>
      <c r="C352" s="80" t="s">
        <v>411</v>
      </c>
      <c r="D352" s="84" t="s">
        <v>500</v>
      </c>
      <c r="E352" s="81">
        <v>32336866.741942041</v>
      </c>
      <c r="F352" s="81">
        <v>33133325.593621593</v>
      </c>
      <c r="G352" s="81">
        <v>33730342.45443742</v>
      </c>
      <c r="H352" s="81">
        <v>34317065.42515295</v>
      </c>
      <c r="I352" s="81">
        <v>34892398.323781364</v>
      </c>
      <c r="J352" s="81">
        <v>35455279.037157215</v>
      </c>
      <c r="K352" s="81">
        <v>36004727.356291056</v>
      </c>
      <c r="L352" s="81">
        <v>36539762.951287657</v>
      </c>
      <c r="M352" s="81">
        <v>37059474.141074218</v>
      </c>
      <c r="N352" s="81">
        <v>37562977.875198208</v>
      </c>
      <c r="O352" s="81">
        <v>38049491.75031931</v>
      </c>
      <c r="P352" s="81">
        <v>38518247.668791808</v>
      </c>
      <c r="Q352" s="81">
        <v>38803831.587045684</v>
      </c>
      <c r="R352" s="81">
        <v>39069852.204753771</v>
      </c>
      <c r="S352" s="81">
        <v>39315981.480644047</v>
      </c>
      <c r="T352" s="81">
        <v>39542062.046000376</v>
      </c>
      <c r="U352" s="81">
        <v>39747968.029988945</v>
      </c>
      <c r="V352" s="81">
        <v>39933630.66423957</v>
      </c>
      <c r="W352" s="81">
        <v>40099139.245690174</v>
      </c>
      <c r="X352" s="81">
        <v>40244597.614736505</v>
      </c>
      <c r="Y352" s="81">
        <v>40370249.912264526</v>
      </c>
      <c r="Z352" s="81">
        <v>40476409.738159873</v>
      </c>
      <c r="AA352" s="81">
        <v>40525658.524113424</v>
      </c>
      <c r="AB352" s="81">
        <v>40556631.781246766</v>
      </c>
      <c r="AC352" s="81">
        <v>40569991.496080928</v>
      </c>
      <c r="AD352" s="81">
        <v>40566528.992370673</v>
      </c>
      <c r="AE352" s="81">
        <v>40547116.310499638</v>
      </c>
      <c r="AF352" s="81">
        <v>40512760.977552027</v>
      </c>
      <c r="AG352" s="81">
        <v>40464583.284015603</v>
      </c>
      <c r="AH352" s="81">
        <v>40403819.252030298</v>
      </c>
      <c r="AI352" s="81">
        <v>40331823.630228877</v>
      </c>
      <c r="AJ352" s="81">
        <v>40250072.915169857</v>
      </c>
      <c r="AK352" s="81">
        <v>40169411.702964246</v>
      </c>
      <c r="AL352" s="81">
        <v>40082246.873325236</v>
      </c>
      <c r="AM352" s="81">
        <v>39990409.398002036</v>
      </c>
      <c r="AN352" s="81">
        <v>39895893.285151809</v>
      </c>
      <c r="AO352" s="81">
        <v>39800859.799121477</v>
      </c>
      <c r="AP352" s="81">
        <v>39707557.07059025</v>
      </c>
      <c r="AQ352" s="81">
        <v>39618491.973416083</v>
      </c>
      <c r="AR352" s="81">
        <v>39536179.929005206</v>
      </c>
      <c r="AS352" s="81">
        <v>39463402.628382832</v>
      </c>
      <c r="AT352" s="81">
        <v>39403012.418887764</v>
      </c>
    </row>
    <row r="353" spans="1:46" ht="15.75">
      <c r="A353" s="81" t="s">
        <v>450</v>
      </c>
      <c r="B353" s="80">
        <v>652700</v>
      </c>
      <c r="C353" s="80" t="s">
        <v>411</v>
      </c>
      <c r="D353" s="84" t="s">
        <v>499</v>
      </c>
      <c r="E353" s="81">
        <v>5921854.048624157</v>
      </c>
      <c r="F353" s="81">
        <v>6074355.5317469127</v>
      </c>
      <c r="G353" s="81">
        <v>6192147.2161908494</v>
      </c>
      <c r="H353" s="81">
        <v>6309733.6117085228</v>
      </c>
      <c r="I353" s="81">
        <v>6426813.6529712612</v>
      </c>
      <c r="J353" s="81">
        <v>6543046.4777531298</v>
      </c>
      <c r="K353" s="81">
        <v>6658142.6100260103</v>
      </c>
      <c r="L353" s="81">
        <v>6771787.3121849578</v>
      </c>
      <c r="M353" s="81">
        <v>6883680.5074330894</v>
      </c>
      <c r="N353" s="81">
        <v>6993566.0092064459</v>
      </c>
      <c r="O353" s="81">
        <v>7101136.9884117814</v>
      </c>
      <c r="P353" s="81">
        <v>7206174.8785191663</v>
      </c>
      <c r="Q353" s="81">
        <v>7277517.0359579865</v>
      </c>
      <c r="R353" s="81">
        <v>7345586.7636164147</v>
      </c>
      <c r="S353" s="81">
        <v>7410208.255004853</v>
      </c>
      <c r="T353" s="81">
        <v>7471275.3556778766</v>
      </c>
      <c r="U353" s="81">
        <v>7528636.5097323041</v>
      </c>
      <c r="V353" s="81">
        <v>7582197.0305366861</v>
      </c>
      <c r="W353" s="81">
        <v>7631891.486703733</v>
      </c>
      <c r="X353" s="81">
        <v>7677669.7894941904</v>
      </c>
      <c r="Y353" s="81">
        <v>7719482.5780121395</v>
      </c>
      <c r="Z353" s="81">
        <v>7757357.9298076406</v>
      </c>
      <c r="AA353" s="81">
        <v>7784014.5868450329</v>
      </c>
      <c r="AB353" s="81">
        <v>7806829.7593005262</v>
      </c>
      <c r="AC353" s="81">
        <v>7825867.4785388773</v>
      </c>
      <c r="AD353" s="81">
        <v>7841258.1726531051</v>
      </c>
      <c r="AE353" s="81">
        <v>7853137.3551027253</v>
      </c>
      <c r="AF353" s="81">
        <v>7861693.608418786</v>
      </c>
      <c r="AG353" s="81">
        <v>7867154.1615863154</v>
      </c>
      <c r="AH353" s="81">
        <v>7869737.444081475</v>
      </c>
      <c r="AI353" s="81">
        <v>7869734.1258641826</v>
      </c>
      <c r="AJ353" s="81">
        <v>7867460.1189242266</v>
      </c>
      <c r="AK353" s="81">
        <v>7865072.3538532639</v>
      </c>
      <c r="AL353" s="81">
        <v>7861125.8403858626</v>
      </c>
      <c r="AM353" s="81">
        <v>7856032.4089105129</v>
      </c>
      <c r="AN353" s="81">
        <v>7850249.3724709665</v>
      </c>
      <c r="AO353" s="81">
        <v>7844297.7545565655</v>
      </c>
      <c r="AP353" s="81">
        <v>7838695.7338803466</v>
      </c>
      <c r="AQ353" s="81">
        <v>7834027.035408006</v>
      </c>
      <c r="AR353" s="81">
        <v>7830925.4538632091</v>
      </c>
      <c r="AS353" s="81">
        <v>7830041.2532676142</v>
      </c>
      <c r="AT353" s="81">
        <v>7832093.9833969017</v>
      </c>
    </row>
    <row r="354" spans="1:46" ht="15.75">
      <c r="A354" s="81" t="s">
        <v>450</v>
      </c>
      <c r="B354" s="80">
        <v>652800</v>
      </c>
      <c r="C354" s="80" t="s">
        <v>411</v>
      </c>
      <c r="D354" s="84" t="s">
        <v>498</v>
      </c>
      <c r="E354" s="81">
        <v>19550865.732986946</v>
      </c>
      <c r="F354" s="81">
        <v>20081719.870570332</v>
      </c>
      <c r="G354" s="81">
        <v>20496332.149976298</v>
      </c>
      <c r="H354" s="81">
        <v>20908922.82574036</v>
      </c>
      <c r="I354" s="81">
        <v>21318703.256483518</v>
      </c>
      <c r="J354" s="81">
        <v>21724893.504778959</v>
      </c>
      <c r="K354" s="81">
        <v>22126724.586224377</v>
      </c>
      <c r="L354" s="81">
        <v>22523454.219267715</v>
      </c>
      <c r="M354" s="81">
        <v>22914356.373051833</v>
      </c>
      <c r="N354" s="81">
        <v>23298751.255766697</v>
      </c>
      <c r="O354" s="81">
        <v>23675953.51364886</v>
      </c>
      <c r="P354" s="81">
        <v>24045329.57666393</v>
      </c>
      <c r="Q354" s="81">
        <v>24303100.036767971</v>
      </c>
      <c r="R354" s="81">
        <v>24550855.658478882</v>
      </c>
      <c r="S354" s="81">
        <v>24788214.766544167</v>
      </c>
      <c r="T354" s="81">
        <v>25014834.133573066</v>
      </c>
      <c r="U354" s="81">
        <v>25230425.456825987</v>
      </c>
      <c r="V354" s="81">
        <v>25434757.698909849</v>
      </c>
      <c r="W354" s="81">
        <v>25627644.473135792</v>
      </c>
      <c r="X354" s="81">
        <v>25808945.843088455</v>
      </c>
      <c r="Y354" s="81">
        <v>25978570.142016709</v>
      </c>
      <c r="Z354" s="81">
        <v>26136506.491001207</v>
      </c>
      <c r="AA354" s="81">
        <v>26258285.721445408</v>
      </c>
      <c r="AB354" s="81">
        <v>26368490.594579078</v>
      </c>
      <c r="AC354" s="81">
        <v>26467337.435090687</v>
      </c>
      <c r="AD354" s="81">
        <v>26555069.145333048</v>
      </c>
      <c r="AE354" s="81">
        <v>26632019.331071932</v>
      </c>
      <c r="AF354" s="81">
        <v>26698583.138075043</v>
      </c>
      <c r="AG354" s="81">
        <v>26755218.995170522</v>
      </c>
      <c r="AH354" s="81">
        <v>26802482.763634685</v>
      </c>
      <c r="AI354" s="81">
        <v>26840965.383435085</v>
      </c>
      <c r="AJ354" s="81">
        <v>26871359.232943229</v>
      </c>
      <c r="AK354" s="81">
        <v>26900652.823274795</v>
      </c>
      <c r="AL354" s="81">
        <v>26923441.264963467</v>
      </c>
      <c r="AM354" s="81">
        <v>26940666.683007047</v>
      </c>
      <c r="AN354" s="81">
        <v>26953316.169682771</v>
      </c>
      <c r="AO354" s="81">
        <v>26962524.49046981</v>
      </c>
      <c r="AP354" s="81">
        <v>26969458.676222648</v>
      </c>
      <c r="AQ354" s="81">
        <v>26975421.569032516</v>
      </c>
      <c r="AR354" s="81">
        <v>26981786.255211204</v>
      </c>
      <c r="AS354" s="81">
        <v>26990032.410383075</v>
      </c>
      <c r="AT354" s="81">
        <v>27001748.93301288</v>
      </c>
    </row>
    <row r="355" spans="1:46" ht="15.75">
      <c r="A355" s="81" t="s">
        <v>450</v>
      </c>
      <c r="B355" s="80">
        <v>652900</v>
      </c>
      <c r="C355" s="80" t="s">
        <v>411</v>
      </c>
      <c r="D355" s="84" t="s">
        <v>497</v>
      </c>
      <c r="E355" s="81">
        <v>43085929.081175633</v>
      </c>
      <c r="F355" s="81">
        <v>44314355.412847191</v>
      </c>
      <c r="G355" s="81">
        <v>45308342.337270603</v>
      </c>
      <c r="H355" s="81">
        <v>46318359.441744037</v>
      </c>
      <c r="I355" s="81">
        <v>47341357.535782799</v>
      </c>
      <c r="J355" s="81">
        <v>48374324.695187509</v>
      </c>
      <c r="K355" s="81">
        <v>49414315.237117603</v>
      </c>
      <c r="L355" s="81">
        <v>50458374.234661691</v>
      </c>
      <c r="M355" s="81">
        <v>51503688.047870822</v>
      </c>
      <c r="N355" s="81">
        <v>52547419.723638281</v>
      </c>
      <c r="O355" s="81">
        <v>53586916.282924153</v>
      </c>
      <c r="P355" s="81">
        <v>54619559.653428547</v>
      </c>
      <c r="Q355" s="81">
        <v>55407610.969964631</v>
      </c>
      <c r="R355" s="81">
        <v>56179861.313770935</v>
      </c>
      <c r="S355" s="81">
        <v>56934353.969608441</v>
      </c>
      <c r="T355" s="81">
        <v>57669273.85255859</v>
      </c>
      <c r="U355" s="81">
        <v>58383051.518270165</v>
      </c>
      <c r="V355" s="81">
        <v>59074218.374327667</v>
      </c>
      <c r="W355" s="81">
        <v>59741588.742915466</v>
      </c>
      <c r="X355" s="81">
        <v>60384113.576062515</v>
      </c>
      <c r="Y355" s="81">
        <v>61000966.43635381</v>
      </c>
      <c r="Z355" s="81">
        <v>61591593.062208891</v>
      </c>
      <c r="AA355" s="81">
        <v>62097614.354061693</v>
      </c>
      <c r="AB355" s="81">
        <v>62576464.697931036</v>
      </c>
      <c r="AC355" s="81">
        <v>63028340.679717824</v>
      </c>
      <c r="AD355" s="81">
        <v>63453704.844957225</v>
      </c>
      <c r="AE355" s="81">
        <v>63853273.491238512</v>
      </c>
      <c r="AF355" s="81">
        <v>64228045.630765468</v>
      </c>
      <c r="AG355" s="81">
        <v>64579248.449855566</v>
      </c>
      <c r="AH355" s="81">
        <v>64908492.791250229</v>
      </c>
      <c r="AI355" s="81">
        <v>65217592.41333966</v>
      </c>
      <c r="AJ355" s="81">
        <v>65508720.200588442</v>
      </c>
      <c r="AK355" s="81">
        <v>65799517.646942511</v>
      </c>
      <c r="AL355" s="81">
        <v>66077630.936967276</v>
      </c>
      <c r="AM355" s="81">
        <v>66346143.573929846</v>
      </c>
      <c r="AN355" s="81">
        <v>66608560.510513917</v>
      </c>
      <c r="AO355" s="81">
        <v>66868641.939190827</v>
      </c>
      <c r="AP355" s="81">
        <v>67130588.874387875</v>
      </c>
      <c r="AQ355" s="81">
        <v>67398942.462477803</v>
      </c>
      <c r="AR355" s="81">
        <v>67678637.999216288</v>
      </c>
      <c r="AS355" s="81">
        <v>67974969.298092201</v>
      </c>
      <c r="AT355" s="81">
        <v>68293666.520551339</v>
      </c>
    </row>
    <row r="356" spans="1:46" ht="15.75">
      <c r="A356" s="81" t="s">
        <v>450</v>
      </c>
      <c r="B356" s="80">
        <v>653000</v>
      </c>
      <c r="C356" s="80" t="s">
        <v>411</v>
      </c>
      <c r="D356" s="84" t="s">
        <v>496</v>
      </c>
      <c r="E356" s="81">
        <v>7545096.9393636119</v>
      </c>
      <c r="F356" s="81">
        <v>7741974.7471462935</v>
      </c>
      <c r="G356" s="81">
        <v>7904495.2805943843</v>
      </c>
      <c r="H356" s="81">
        <v>8076112.4185932856</v>
      </c>
      <c r="I356" s="81">
        <v>8255836.4566606078</v>
      </c>
      <c r="J356" s="81">
        <v>8442743.8928322028</v>
      </c>
      <c r="K356" s="81">
        <v>8635878.8807218801</v>
      </c>
      <c r="L356" s="81">
        <v>8834281.178856343</v>
      </c>
      <c r="M356" s="81">
        <v>9037043.4782752749</v>
      </c>
      <c r="N356" s="81">
        <v>9243248.6423367672</v>
      </c>
      <c r="O356" s="81">
        <v>9451999.7080851886</v>
      </c>
      <c r="P356" s="81">
        <v>9662452.0296845529</v>
      </c>
      <c r="Q356" s="81">
        <v>9832007.7153849583</v>
      </c>
      <c r="R356" s="81">
        <v>10000617.60368054</v>
      </c>
      <c r="S356" s="81">
        <v>10167556.466149429</v>
      </c>
      <c r="T356" s="81">
        <v>10332120.924528431</v>
      </c>
      <c r="U356" s="81">
        <v>10493704.737693299</v>
      </c>
      <c r="V356" s="81">
        <v>10651729.011832085</v>
      </c>
      <c r="W356" s="81">
        <v>10805658.80338707</v>
      </c>
      <c r="X356" s="81">
        <v>10955080.856849827</v>
      </c>
      <c r="Y356" s="81">
        <v>11099571.868899019</v>
      </c>
      <c r="Z356" s="81">
        <v>11238836.460008627</v>
      </c>
      <c r="AA356" s="81">
        <v>11361998.239164008</v>
      </c>
      <c r="AB356" s="81">
        <v>11479378.752236668</v>
      </c>
      <c r="AC356" s="81">
        <v>11590875.535893559</v>
      </c>
      <c r="AD356" s="81">
        <v>11696512.17475806</v>
      </c>
      <c r="AE356" s="81">
        <v>11796331.492956618</v>
      </c>
      <c r="AF356" s="81">
        <v>11890523.95979652</v>
      </c>
      <c r="AG356" s="81">
        <v>11979336.060950946</v>
      </c>
      <c r="AH356" s="81">
        <v>12063104.383394361</v>
      </c>
      <c r="AI356" s="81">
        <v>12142274.715559101</v>
      </c>
      <c r="AJ356" s="81">
        <v>12217372.590097122</v>
      </c>
      <c r="AK356" s="81">
        <v>12291858.912052441</v>
      </c>
      <c r="AL356" s="81">
        <v>12363635.262672158</v>
      </c>
      <c r="AM356" s="81">
        <v>12433546.878489608</v>
      </c>
      <c r="AN356" s="81">
        <v>12502530.74657703</v>
      </c>
      <c r="AO356" s="81">
        <v>12571635.085885266</v>
      </c>
      <c r="AP356" s="81">
        <v>12642039.541635036</v>
      </c>
      <c r="AQ356" s="81">
        <v>12715024.463881513</v>
      </c>
      <c r="AR356" s="81">
        <v>12791973.487405553</v>
      </c>
      <c r="AS356" s="81">
        <v>12874445.91157198</v>
      </c>
      <c r="AT356" s="81">
        <v>12964076.292330094</v>
      </c>
    </row>
    <row r="357" spans="1:46" ht="15.75">
      <c r="A357" s="81" t="s">
        <v>450</v>
      </c>
      <c r="B357" s="80">
        <v>653100</v>
      </c>
      <c r="C357" s="80" t="s">
        <v>411</v>
      </c>
      <c r="D357" s="84" t="s">
        <v>495</v>
      </c>
      <c r="E357" s="81">
        <v>60793408.77765958</v>
      </c>
      <c r="F357" s="81">
        <v>62592051.780933559</v>
      </c>
      <c r="G357" s="81">
        <v>64082921.89201922</v>
      </c>
      <c r="H357" s="81">
        <v>65617796.49762626</v>
      </c>
      <c r="I357" s="81">
        <v>67190749.963751867</v>
      </c>
      <c r="J357" s="81">
        <v>68795968.00499402</v>
      </c>
      <c r="K357" s="81">
        <v>70427670.043601796</v>
      </c>
      <c r="L357" s="81">
        <v>72080174.541204274</v>
      </c>
      <c r="M357" s="81">
        <v>73747907.116121113</v>
      </c>
      <c r="N357" s="81">
        <v>75425438.771094665</v>
      </c>
      <c r="O357" s="81">
        <v>77107525.65277344</v>
      </c>
      <c r="P357" s="81">
        <v>78789071.136804149</v>
      </c>
      <c r="Q357" s="81">
        <v>80125043.558690518</v>
      </c>
      <c r="R357" s="81">
        <v>81443390.063234851</v>
      </c>
      <c r="S357" s="81">
        <v>82740101.277642354</v>
      </c>
      <c r="T357" s="81">
        <v>84011562.567918852</v>
      </c>
      <c r="U357" s="81">
        <v>85254457.925080001</v>
      </c>
      <c r="V357" s="81">
        <v>86465884.71799551</v>
      </c>
      <c r="W357" s="81">
        <v>87643339.298518524</v>
      </c>
      <c r="X357" s="81">
        <v>88784684.339046329</v>
      </c>
      <c r="Y357" s="81">
        <v>89888233.170596004</v>
      </c>
      <c r="Z357" s="81">
        <v>90952734.548838824</v>
      </c>
      <c r="AA357" s="81">
        <v>91891664.752083197</v>
      </c>
      <c r="AB357" s="81">
        <v>92789472.571495682</v>
      </c>
      <c r="AC357" s="81">
        <v>93646517.744666085</v>
      </c>
      <c r="AD357" s="81">
        <v>94463612.571797699</v>
      </c>
      <c r="AE357" s="81">
        <v>95242143.141377866</v>
      </c>
      <c r="AF357" s="81">
        <v>95984034.133993611</v>
      </c>
      <c r="AG357" s="81">
        <v>96691747.630388528</v>
      </c>
      <c r="AH357" s="81">
        <v>97368353.831369951</v>
      </c>
      <c r="AI357" s="81">
        <v>98017512.917991221</v>
      </c>
      <c r="AJ357" s="81">
        <v>98643529.072917685</v>
      </c>
      <c r="AK357" s="81">
        <v>99274206.401276603</v>
      </c>
      <c r="AL357" s="81">
        <v>99892346.086572677</v>
      </c>
      <c r="AM357" s="81">
        <v>100504157.78023991</v>
      </c>
      <c r="AN357" s="81">
        <v>101116573.84463742</v>
      </c>
      <c r="AO357" s="81">
        <v>101737250.43662742</v>
      </c>
      <c r="AP357" s="81">
        <v>102374568.00556709</v>
      </c>
      <c r="AQ357" s="81">
        <v>103037631.19671343</v>
      </c>
      <c r="AR357" s="81">
        <v>103736384.47040755</v>
      </c>
      <c r="AS357" s="81">
        <v>104481497.5889557</v>
      </c>
      <c r="AT357" s="81">
        <v>105284501.23634203</v>
      </c>
    </row>
    <row r="358" spans="1:46" ht="15.75">
      <c r="A358" s="81" t="s">
        <v>450</v>
      </c>
      <c r="B358" s="80">
        <v>653200</v>
      </c>
      <c r="C358" s="80" t="s">
        <v>411</v>
      </c>
      <c r="D358" s="84" t="s">
        <v>494</v>
      </c>
      <c r="E358" s="81">
        <v>34684834.984839208</v>
      </c>
      <c r="F358" s="81">
        <v>35727707.208907165</v>
      </c>
      <c r="G358" s="81">
        <v>36590455.060331792</v>
      </c>
      <c r="H358" s="81">
        <v>37474251.424389087</v>
      </c>
      <c r="I358" s="81">
        <v>38376170.456431806</v>
      </c>
      <c r="J358" s="81">
        <v>39293323.887806036</v>
      </c>
      <c r="K358" s="81">
        <v>40222857.513687</v>
      </c>
      <c r="L358" s="81">
        <v>41161977.558920503</v>
      </c>
      <c r="M358" s="81">
        <v>42107884.60172265</v>
      </c>
      <c r="N358" s="81">
        <v>43057907.553269327</v>
      </c>
      <c r="O358" s="81">
        <v>44009422.888610862</v>
      </c>
      <c r="P358" s="81">
        <v>44959896.752686039</v>
      </c>
      <c r="Q358" s="81">
        <v>45712833.526385866</v>
      </c>
      <c r="R358" s="81">
        <v>46455719.336502202</v>
      </c>
      <c r="S358" s="81">
        <v>47186545.558871694</v>
      </c>
      <c r="T358" s="81">
        <v>47903516.572260335</v>
      </c>
      <c r="U358" s="81">
        <v>48604975.520784862</v>
      </c>
      <c r="V358" s="81">
        <v>49289428.379283011</v>
      </c>
      <c r="W358" s="81">
        <v>49955620.441733107</v>
      </c>
      <c r="X358" s="81">
        <v>50602408.43234688</v>
      </c>
      <c r="Y358" s="81">
        <v>51228940.242173009</v>
      </c>
      <c r="Z358" s="81">
        <v>51834526.423020475</v>
      </c>
      <c r="AA358" s="81">
        <v>52369814.7162228</v>
      </c>
      <c r="AB358" s="81">
        <v>52882872.721454233</v>
      </c>
      <c r="AC358" s="81">
        <v>53373809.659444764</v>
      </c>
      <c r="AD358" s="81">
        <v>53842929.036322854</v>
      </c>
      <c r="AE358" s="81">
        <v>54290789.514007263</v>
      </c>
      <c r="AF358" s="81">
        <v>54718231.423276149</v>
      </c>
      <c r="AG358" s="81">
        <v>55126367.214430131</v>
      </c>
      <c r="AH358" s="81">
        <v>55516552.683670834</v>
      </c>
      <c r="AI358" s="81">
        <v>55890450.239265941</v>
      </c>
      <c r="AJ358" s="81">
        <v>56250038.036545254</v>
      </c>
      <c r="AK358" s="81">
        <v>56610646.30805736</v>
      </c>
      <c r="AL358" s="81">
        <v>56961819.911983103</v>
      </c>
      <c r="AM358" s="81">
        <v>57306455.282669939</v>
      </c>
      <c r="AN358" s="81">
        <v>57647783.667940825</v>
      </c>
      <c r="AO358" s="81">
        <v>57989341.445901692</v>
      </c>
      <c r="AP358" s="81">
        <v>58335036.945349485</v>
      </c>
      <c r="AQ358" s="81">
        <v>58689160.522888534</v>
      </c>
      <c r="AR358" s="81">
        <v>59056315.272101462</v>
      </c>
      <c r="AS358" s="81">
        <v>59441524.612856194</v>
      </c>
      <c r="AT358" s="81">
        <v>59850203.03195063</v>
      </c>
    </row>
    <row r="359" spans="1:46" ht="15.75">
      <c r="A359" s="81" t="s">
        <v>450</v>
      </c>
      <c r="B359" s="80">
        <v>654000</v>
      </c>
      <c r="C359" s="80" t="s">
        <v>411</v>
      </c>
      <c r="D359" s="84" t="s">
        <v>493</v>
      </c>
      <c r="E359" s="81">
        <v>34504467.339536041</v>
      </c>
      <c r="F359" s="81">
        <v>35440893.128754005</v>
      </c>
      <c r="G359" s="81">
        <v>36186436.975392997</v>
      </c>
      <c r="H359" s="81">
        <v>36941702.063265949</v>
      </c>
      <c r="I359" s="81">
        <v>37704304.097456798</v>
      </c>
      <c r="J359" s="81">
        <v>38471900.36740274</v>
      </c>
      <c r="K359" s="81">
        <v>39242159.524876669</v>
      </c>
      <c r="L359" s="81">
        <v>40012822.669583783</v>
      </c>
      <c r="M359" s="81">
        <v>40781659.603082761</v>
      </c>
      <c r="N359" s="81">
        <v>41546517.759778723</v>
      </c>
      <c r="O359" s="81">
        <v>42305304.467147775</v>
      </c>
      <c r="P359" s="81">
        <v>43056009.741473645</v>
      </c>
      <c r="Q359" s="81">
        <v>43611573.108289495</v>
      </c>
      <c r="R359" s="81">
        <v>44152660.937887311</v>
      </c>
      <c r="S359" s="81">
        <v>44677840.481410265</v>
      </c>
      <c r="T359" s="81">
        <v>45185746.040309228</v>
      </c>
      <c r="U359" s="81">
        <v>45675200.742405571</v>
      </c>
      <c r="V359" s="81">
        <v>46145180.526648737</v>
      </c>
      <c r="W359" s="81">
        <v>46594791.078335963</v>
      </c>
      <c r="X359" s="81">
        <v>47023303.820309356</v>
      </c>
      <c r="Y359" s="81">
        <v>47430193.401070535</v>
      </c>
      <c r="Z359" s="81">
        <v>47815069.321969099</v>
      </c>
      <c r="AA359" s="81">
        <v>48132828.287695482</v>
      </c>
      <c r="AB359" s="81">
        <v>48428199.9940565</v>
      </c>
      <c r="AC359" s="81">
        <v>48701471.656371012</v>
      </c>
      <c r="AD359" s="81">
        <v>48953105.837330349</v>
      </c>
      <c r="AE359" s="81">
        <v>49183777.722215831</v>
      </c>
      <c r="AF359" s="81">
        <v>49394397.758665293</v>
      </c>
      <c r="AG359" s="81">
        <v>49586086.747282706</v>
      </c>
      <c r="AH359" s="81">
        <v>49760182.093802787</v>
      </c>
      <c r="AI359" s="81">
        <v>49918293.031356499</v>
      </c>
      <c r="AJ359" s="81">
        <v>50062226.561664075</v>
      </c>
      <c r="AK359" s="81">
        <v>50205662.216467351</v>
      </c>
      <c r="AL359" s="81">
        <v>50339345.542384751</v>
      </c>
      <c r="AM359" s="81">
        <v>50465859.396932423</v>
      </c>
      <c r="AN359" s="81">
        <v>50588063.319943711</v>
      </c>
      <c r="AO359" s="81">
        <v>50709151.989081956</v>
      </c>
      <c r="AP359" s="81">
        <v>50832527.7484532</v>
      </c>
      <c r="AQ359" s="81">
        <v>50961943.081441775</v>
      </c>
      <c r="AR359" s="81">
        <v>51101458.072134532</v>
      </c>
      <c r="AS359" s="81">
        <v>51255413.306309834</v>
      </c>
      <c r="AT359" s="81">
        <v>51428471.686022207</v>
      </c>
    </row>
    <row r="360" spans="1:46" ht="15.75">
      <c r="A360" s="81" t="s">
        <v>450</v>
      </c>
      <c r="B360" s="80">
        <v>654200</v>
      </c>
      <c r="C360" s="80" t="s">
        <v>411</v>
      </c>
      <c r="D360" s="84" t="s">
        <v>492</v>
      </c>
      <c r="E360" s="81">
        <v>13825473.668620434</v>
      </c>
      <c r="F360" s="81">
        <v>14167179.454158768</v>
      </c>
      <c r="G360" s="81">
        <v>14426097.356370432</v>
      </c>
      <c r="H360" s="81">
        <v>14682875.2601029</v>
      </c>
      <c r="I360" s="81">
        <v>14936840.416364819</v>
      </c>
      <c r="J360" s="81">
        <v>15187344.80102185</v>
      </c>
      <c r="K360" s="81">
        <v>15433715.074482208</v>
      </c>
      <c r="L360" s="81">
        <v>15675360.033531759</v>
      </c>
      <c r="M360" s="81">
        <v>15911654.524018908</v>
      </c>
      <c r="N360" s="81">
        <v>16142062.675418593</v>
      </c>
      <c r="O360" s="81">
        <v>16366018.793990405</v>
      </c>
      <c r="P360" s="81">
        <v>16583011.309809206</v>
      </c>
      <c r="Q360" s="81">
        <v>16721599.352426456</v>
      </c>
      <c r="R360" s="81">
        <v>16851944.198061652</v>
      </c>
      <c r="S360" s="81">
        <v>16973803.044386562</v>
      </c>
      <c r="T360" s="81">
        <v>17086901.279322397</v>
      </c>
      <c r="U360" s="81">
        <v>17191064.006926402</v>
      </c>
      <c r="V360" s="81">
        <v>17286160.703182939</v>
      </c>
      <c r="W360" s="81">
        <v>17372092.022794567</v>
      </c>
      <c r="X360" s="81">
        <v>17448836.315266117</v>
      </c>
      <c r="Y360" s="81">
        <v>17516391.761871614</v>
      </c>
      <c r="Z360" s="81">
        <v>17574853.728692848</v>
      </c>
      <c r="AA360" s="81">
        <v>17607920.197543107</v>
      </c>
      <c r="AB360" s="81">
        <v>17632303.369654451</v>
      </c>
      <c r="AC360" s="81">
        <v>17648289.334214166</v>
      </c>
      <c r="AD360" s="81">
        <v>17656238.534751251</v>
      </c>
      <c r="AE360" s="81">
        <v>17656572.14407178</v>
      </c>
      <c r="AF360" s="81">
        <v>17649757.815732971</v>
      </c>
      <c r="AG360" s="81">
        <v>17636343.065239571</v>
      </c>
      <c r="AH360" s="81">
        <v>17616973.765358705</v>
      </c>
      <c r="AI360" s="81">
        <v>17592331.795943651</v>
      </c>
      <c r="AJ360" s="81">
        <v>17563217.819823574</v>
      </c>
      <c r="AK360" s="81">
        <v>17534502.333734445</v>
      </c>
      <c r="AL360" s="81">
        <v>17503058.825419266</v>
      </c>
      <c r="AM360" s="81">
        <v>17469876.612505406</v>
      </c>
      <c r="AN360" s="81">
        <v>17436073.942518651</v>
      </c>
      <c r="AO360" s="81">
        <v>17402816.755897664</v>
      </c>
      <c r="AP360" s="81">
        <v>17371405.002307151</v>
      </c>
      <c r="AQ360" s="81">
        <v>17343207.513742518</v>
      </c>
      <c r="AR360" s="81">
        <v>17319680.773892086</v>
      </c>
      <c r="AS360" s="81">
        <v>17302388.395953406</v>
      </c>
      <c r="AT360" s="81">
        <v>17292968.634584643</v>
      </c>
    </row>
    <row r="361" spans="1:46" ht="15.75">
      <c r="A361" s="81" t="s">
        <v>450</v>
      </c>
      <c r="B361" s="80">
        <v>654300</v>
      </c>
      <c r="C361" s="80" t="s">
        <v>411</v>
      </c>
      <c r="D361" s="84" t="s">
        <v>491</v>
      </c>
      <c r="E361" s="81">
        <v>8476736.5002639201</v>
      </c>
      <c r="F361" s="81">
        <v>8700248.1674202662</v>
      </c>
      <c r="G361" s="81">
        <v>8876130.4717680365</v>
      </c>
      <c r="H361" s="81">
        <v>9053765.1918168329</v>
      </c>
      <c r="I361" s="81">
        <v>9232647.7397677619</v>
      </c>
      <c r="J361" s="81">
        <v>9412301.8495075945</v>
      </c>
      <c r="K361" s="81">
        <v>9592241.1524781417</v>
      </c>
      <c r="L361" s="81">
        <v>9772012.0532834213</v>
      </c>
      <c r="M361" s="81">
        <v>9951125.7687674779</v>
      </c>
      <c r="N361" s="81">
        <v>10129143.859675378</v>
      </c>
      <c r="O361" s="81">
        <v>10305638.674609378</v>
      </c>
      <c r="P361" s="81">
        <v>10480165.363424575</v>
      </c>
      <c r="Q361" s="81">
        <v>10607305.818244135</v>
      </c>
      <c r="R361" s="81">
        <v>10731096.937658226</v>
      </c>
      <c r="S361" s="81">
        <v>10851239.549694072</v>
      </c>
      <c r="T361" s="81">
        <v>10967442.617437711</v>
      </c>
      <c r="U361" s="81">
        <v>11079454.63658599</v>
      </c>
      <c r="V361" s="81">
        <v>11187018.795332033</v>
      </c>
      <c r="W361" s="81">
        <v>11289935.607588995</v>
      </c>
      <c r="X361" s="81">
        <v>11388033.77056903</v>
      </c>
      <c r="Y361" s="81">
        <v>11481171.388790686</v>
      </c>
      <c r="Z361" s="81">
        <v>11569237.21190645</v>
      </c>
      <c r="AA361" s="81">
        <v>11641301.29509842</v>
      </c>
      <c r="AB361" s="81">
        <v>11708146.817536175</v>
      </c>
      <c r="AC361" s="81">
        <v>11769777.35876698</v>
      </c>
      <c r="AD361" s="81">
        <v>11826264.830249736</v>
      </c>
      <c r="AE361" s="81">
        <v>11877685.345414734</v>
      </c>
      <c r="AF361" s="81">
        <v>11924186.107584659</v>
      </c>
      <c r="AG361" s="81">
        <v>11965920.409140946</v>
      </c>
      <c r="AH361" s="81">
        <v>12003149.313560208</v>
      </c>
      <c r="AI361" s="81">
        <v>12036108.70837618</v>
      </c>
      <c r="AJ361" s="81">
        <v>12065094.07016892</v>
      </c>
      <c r="AK361" s="81">
        <v>12093287.780212546</v>
      </c>
      <c r="AL361" s="81">
        <v>12118293.827785721</v>
      </c>
      <c r="AM361" s="81">
        <v>12140543.25338088</v>
      </c>
      <c r="AN361" s="81">
        <v>12160568.307646204</v>
      </c>
      <c r="AO361" s="81">
        <v>12178934.51860497</v>
      </c>
      <c r="AP361" s="81">
        <v>12196223.544503659</v>
      </c>
      <c r="AQ361" s="81">
        <v>12213141.318935204</v>
      </c>
      <c r="AR361" s="81">
        <v>12230394.961660653</v>
      </c>
      <c r="AS361" s="81">
        <v>12248783.551718099</v>
      </c>
      <c r="AT361" s="81">
        <v>12269182.35548282</v>
      </c>
    </row>
    <row r="362" spans="1:46" ht="15.75">
      <c r="A362" s="81" t="s">
        <v>450</v>
      </c>
      <c r="B362" s="83">
        <v>659001</v>
      </c>
      <c r="C362" s="80" t="s">
        <v>411</v>
      </c>
      <c r="D362" s="82" t="s">
        <v>490</v>
      </c>
      <c r="E362" s="81">
        <v>13491259.60622667</v>
      </c>
      <c r="F362" s="81">
        <v>13832553.815503556</v>
      </c>
      <c r="G362" s="81">
        <v>14085552.109592369</v>
      </c>
      <c r="H362" s="81">
        <v>14329496.27871282</v>
      </c>
      <c r="I362" s="81">
        <v>14564327.724950669</v>
      </c>
      <c r="J362" s="81">
        <v>14789941.055687301</v>
      </c>
      <c r="K362" s="81">
        <v>15006287.11223969</v>
      </c>
      <c r="L362" s="81">
        <v>15213354.283999544</v>
      </c>
      <c r="M362" s="81">
        <v>15411104.306635864</v>
      </c>
      <c r="N362" s="81">
        <v>15599536.369078359</v>
      </c>
      <c r="O362" s="81">
        <v>15778711.238008486</v>
      </c>
      <c r="P362" s="81">
        <v>15948640.387583457</v>
      </c>
      <c r="Q362" s="81">
        <v>16041320.700505396</v>
      </c>
      <c r="R362" s="81">
        <v>16124899.655790342</v>
      </c>
      <c r="S362" s="81">
        <v>16199645.682960581</v>
      </c>
      <c r="T362" s="81">
        <v>16265794.310622437</v>
      </c>
      <c r="U362" s="81">
        <v>16323593.870540081</v>
      </c>
      <c r="V362" s="81">
        <v>16373305.632277571</v>
      </c>
      <c r="W362" s="81">
        <v>16415228.040558323</v>
      </c>
      <c r="X362" s="81">
        <v>16449697.805509644</v>
      </c>
      <c r="Y362" s="81">
        <v>16477042.032202644</v>
      </c>
      <c r="Z362" s="81">
        <v>16497577.406778172</v>
      </c>
      <c r="AA362" s="81">
        <v>16496285.263876136</v>
      </c>
      <c r="AB362" s="81">
        <v>16489095.685946425</v>
      </c>
      <c r="AC362" s="81">
        <v>16476433.109707953</v>
      </c>
      <c r="AD362" s="81">
        <v>16458710.389702359</v>
      </c>
      <c r="AE362" s="81">
        <v>16436404.660156606</v>
      </c>
      <c r="AF362" s="81">
        <v>16409956.350895114</v>
      </c>
      <c r="AG362" s="81">
        <v>16379922.862968521</v>
      </c>
      <c r="AH362" s="81">
        <v>16346747.672828769</v>
      </c>
      <c r="AI362" s="81">
        <v>16311018.398145625</v>
      </c>
      <c r="AJ362" s="81">
        <v>16273233.646380398</v>
      </c>
      <c r="AK362" s="81">
        <v>16237759.74122975</v>
      </c>
      <c r="AL362" s="81">
        <v>16201361.274977576</v>
      </c>
      <c r="AM362" s="81">
        <v>16164662.722826587</v>
      </c>
      <c r="AN362" s="81">
        <v>16128278.433019215</v>
      </c>
      <c r="AO362" s="81">
        <v>16092921.128714068</v>
      </c>
      <c r="AP362" s="81">
        <v>16059184.77443365</v>
      </c>
      <c r="AQ362" s="81">
        <v>16027817.001210634</v>
      </c>
      <c r="AR362" s="81">
        <v>15999556.621521829</v>
      </c>
      <c r="AS362" s="81">
        <v>15975104.784622882</v>
      </c>
      <c r="AT362" s="81">
        <v>15955236.25695191</v>
      </c>
    </row>
    <row r="363" spans="1:46" ht="15.75">
      <c r="A363" s="81" t="s">
        <v>450</v>
      </c>
      <c r="B363" s="83">
        <v>659002</v>
      </c>
      <c r="C363" s="80" t="s">
        <v>411</v>
      </c>
      <c r="D363" s="82" t="s">
        <v>489</v>
      </c>
      <c r="E363" s="81">
        <v>7792669.8545607626</v>
      </c>
      <c r="F363" s="81">
        <v>8015286.6616718452</v>
      </c>
      <c r="G363" s="81">
        <v>8188767.326879533</v>
      </c>
      <c r="H363" s="81">
        <v>8358704.4620460719</v>
      </c>
      <c r="I363" s="81">
        <v>8524797.3704608381</v>
      </c>
      <c r="J363" s="81">
        <v>8686842.2327601966</v>
      </c>
      <c r="K363" s="81">
        <v>8844571.3132777698</v>
      </c>
      <c r="L363" s="81">
        <v>8997754.9450776</v>
      </c>
      <c r="M363" s="81">
        <v>9146204.232492011</v>
      </c>
      <c r="N363" s="81">
        <v>9289730.2795546539</v>
      </c>
      <c r="O363" s="81">
        <v>9428144.214940859</v>
      </c>
      <c r="P363" s="81">
        <v>9561301.8318847958</v>
      </c>
      <c r="Q363" s="81">
        <v>9648102.4374348037</v>
      </c>
      <c r="R363" s="81">
        <v>9729106.6626294367</v>
      </c>
      <c r="S363" s="81">
        <v>9804323.7953650113</v>
      </c>
      <c r="T363" s="81">
        <v>9873767.1403521504</v>
      </c>
      <c r="U363" s="81">
        <v>9937430.8419509921</v>
      </c>
      <c r="V363" s="81">
        <v>9995382.6499303393</v>
      </c>
      <c r="W363" s="81">
        <v>10047695.963797802</v>
      </c>
      <c r="X363" s="81">
        <v>10094449.895241739</v>
      </c>
      <c r="Y363" s="81">
        <v>10135777.276199341</v>
      </c>
      <c r="Z363" s="81">
        <v>10171842.445031179</v>
      </c>
      <c r="AA363" s="81">
        <v>10193302.816091565</v>
      </c>
      <c r="AB363" s="81">
        <v>10209874.682411293</v>
      </c>
      <c r="AC363" s="81">
        <v>10221857.742119316</v>
      </c>
      <c r="AD363" s="81">
        <v>10229487.349105529</v>
      </c>
      <c r="AE363" s="81">
        <v>10233107.067920683</v>
      </c>
      <c r="AF363" s="81">
        <v>10232995.952275943</v>
      </c>
      <c r="AG363" s="81">
        <v>10229543.462946225</v>
      </c>
      <c r="AH363" s="81">
        <v>10223125.410345299</v>
      </c>
      <c r="AI363" s="81">
        <v>10214205.921153484</v>
      </c>
      <c r="AJ363" s="81">
        <v>10203184.998112848</v>
      </c>
      <c r="AK363" s="81">
        <v>10192956.640641127</v>
      </c>
      <c r="AL363" s="81">
        <v>10181624.533508096</v>
      </c>
      <c r="AM363" s="81">
        <v>10169785.152956177</v>
      </c>
      <c r="AN363" s="81">
        <v>10157998.362268351</v>
      </c>
      <c r="AO363" s="81">
        <v>10146946.234939469</v>
      </c>
      <c r="AP363" s="81">
        <v>10137275.22767533</v>
      </c>
      <c r="AQ363" s="81">
        <v>10129675.847357173</v>
      </c>
      <c r="AR363" s="81">
        <v>10124938.288815767</v>
      </c>
      <c r="AS363" s="81">
        <v>10123817.941369683</v>
      </c>
      <c r="AT363" s="81">
        <v>10127172.016676206</v>
      </c>
    </row>
    <row r="364" spans="1:46" ht="15.75">
      <c r="A364" s="81" t="s">
        <v>450</v>
      </c>
      <c r="B364" s="83">
        <v>659003</v>
      </c>
      <c r="C364" s="80" t="s">
        <v>411</v>
      </c>
      <c r="D364" s="82" t="s">
        <v>488</v>
      </c>
      <c r="E364" s="81">
        <v>3467001.0643430753</v>
      </c>
      <c r="F364" s="81">
        <v>3564805.2527157562</v>
      </c>
      <c r="G364" s="81">
        <v>3645315.6889966135</v>
      </c>
      <c r="H364" s="81">
        <v>3728531.6588162733</v>
      </c>
      <c r="I364" s="81">
        <v>3814042.875174576</v>
      </c>
      <c r="J364" s="81">
        <v>3901442.1241871612</v>
      </c>
      <c r="K364" s="81">
        <v>3990340.8891451769</v>
      </c>
      <c r="L364" s="81">
        <v>4080343.2536027003</v>
      </c>
      <c r="M364" s="81">
        <v>4171075.4970821873</v>
      </c>
      <c r="N364" s="81">
        <v>4262159.3206446636</v>
      </c>
      <c r="O364" s="81">
        <v>4353227.3897359939</v>
      </c>
      <c r="P364" s="81">
        <v>4443955.0273340978</v>
      </c>
      <c r="Q364" s="81">
        <v>4514821.0961784273</v>
      </c>
      <c r="R364" s="81">
        <v>4584311.371475324</v>
      </c>
      <c r="S364" s="81">
        <v>4652132.3546460364</v>
      </c>
      <c r="T364" s="81">
        <v>4718059.7936789831</v>
      </c>
      <c r="U364" s="81">
        <v>4781863.5283966735</v>
      </c>
      <c r="V364" s="81">
        <v>4843338.9671168001</v>
      </c>
      <c r="W364" s="81">
        <v>4902355.9591985</v>
      </c>
      <c r="X364" s="81">
        <v>4958733.7784905778</v>
      </c>
      <c r="Y364" s="81">
        <v>5012384.4857988227</v>
      </c>
      <c r="Z364" s="81">
        <v>5063235.3593677832</v>
      </c>
      <c r="AA364" s="81">
        <v>5106479.1985048028</v>
      </c>
      <c r="AB364" s="81">
        <v>5146822.1926420499</v>
      </c>
      <c r="AC364" s="81">
        <v>5184300.228259787</v>
      </c>
      <c r="AD364" s="81">
        <v>5219001.6356900623</v>
      </c>
      <c r="AE364" s="81">
        <v>5251001.5832170267</v>
      </c>
      <c r="AF364" s="81">
        <v>5280480.1721016746</v>
      </c>
      <c r="AG364" s="81">
        <v>5307606.4669249635</v>
      </c>
      <c r="AH364" s="81">
        <v>5332589.5041790279</v>
      </c>
      <c r="AI364" s="81">
        <v>5355731.3677424658</v>
      </c>
      <c r="AJ364" s="81">
        <v>5377325.6914400719</v>
      </c>
      <c r="AK364" s="81">
        <v>5398973.2592393523</v>
      </c>
      <c r="AL364" s="81">
        <v>5419846.5189467249</v>
      </c>
      <c r="AM364" s="81">
        <v>5440356.7055152087</v>
      </c>
      <c r="AN364" s="81">
        <v>5461051.8160092281</v>
      </c>
      <c r="AO364" s="81">
        <v>5482440.8533537807</v>
      </c>
      <c r="AP364" s="81">
        <v>5505155.3183704065</v>
      </c>
      <c r="AQ364" s="81">
        <v>5529806.9531365074</v>
      </c>
      <c r="AR364" s="81">
        <v>5557133.6755445078</v>
      </c>
      <c r="AS364" s="81">
        <v>5587910.8990869559</v>
      </c>
      <c r="AT364" s="81">
        <v>5622915.0555982823</v>
      </c>
    </row>
    <row r="365" spans="1:46" ht="15.75">
      <c r="A365" s="81" t="s">
        <v>450</v>
      </c>
      <c r="B365" s="83">
        <v>659004</v>
      </c>
      <c r="C365" s="80" t="s">
        <v>411</v>
      </c>
      <c r="D365" s="82" t="s">
        <v>487</v>
      </c>
      <c r="E365" s="81">
        <v>6354470.0503949272</v>
      </c>
      <c r="F365" s="81">
        <v>6511008.4003309021</v>
      </c>
      <c r="G365" s="81">
        <v>6628146.3531074747</v>
      </c>
      <c r="H365" s="81">
        <v>6743018.0772936055</v>
      </c>
      <c r="I365" s="81">
        <v>6855308.4558953065</v>
      </c>
      <c r="J365" s="81">
        <v>6964765.4408307606</v>
      </c>
      <c r="K365" s="81">
        <v>7071129.826698022</v>
      </c>
      <c r="L365" s="81">
        <v>7174173.1457163244</v>
      </c>
      <c r="M365" s="81">
        <v>7273623.141530321</v>
      </c>
      <c r="N365" s="81">
        <v>7369317.0345158577</v>
      </c>
      <c r="O365" s="81">
        <v>7461011.6787884859</v>
      </c>
      <c r="P365" s="81">
        <v>7548558.2895861734</v>
      </c>
      <c r="Q365" s="81">
        <v>7599525.3138377918</v>
      </c>
      <c r="R365" s="81">
        <v>7645967.1589689888</v>
      </c>
      <c r="S365" s="81">
        <v>7687832.7665242441</v>
      </c>
      <c r="T365" s="81">
        <v>7725092.8360159257</v>
      </c>
      <c r="U365" s="81">
        <v>7757740.6715394054</v>
      </c>
      <c r="V365" s="81">
        <v>7785772.0856779553</v>
      </c>
      <c r="W365" s="81">
        <v>7809227.6682750136</v>
      </c>
      <c r="X365" s="81">
        <v>7828173.2057591248</v>
      </c>
      <c r="Y365" s="81">
        <v>7842722.0194186363</v>
      </c>
      <c r="Z365" s="81">
        <v>7852950.209668478</v>
      </c>
      <c r="AA365" s="81">
        <v>7851718.2594074113</v>
      </c>
      <c r="AB365" s="81">
        <v>7846599.3772807922</v>
      </c>
      <c r="AC365" s="81">
        <v>7837786.6194507815</v>
      </c>
      <c r="AD365" s="81">
        <v>7825546.4758384256</v>
      </c>
      <c r="AE365" s="81">
        <v>7810176.4496669248</v>
      </c>
      <c r="AF365" s="81">
        <v>7791983.3661147766</v>
      </c>
      <c r="AG365" s="81">
        <v>7771306.129778292</v>
      </c>
      <c r="AH365" s="81">
        <v>7748562.2265662486</v>
      </c>
      <c r="AI365" s="81">
        <v>7724135.1937027834</v>
      </c>
      <c r="AJ365" s="81">
        <v>7698512.0001472728</v>
      </c>
      <c r="AK365" s="81">
        <v>7673917.5181699283</v>
      </c>
      <c r="AL365" s="81">
        <v>7649140.0830454631</v>
      </c>
      <c r="AM365" s="81">
        <v>7624731.901253988</v>
      </c>
      <c r="AN365" s="81">
        <v>7601307.6459737262</v>
      </c>
      <c r="AO365" s="81">
        <v>7579498.3204645822</v>
      </c>
      <c r="AP365" s="81">
        <v>7560047.7949047321</v>
      </c>
      <c r="AQ365" s="81">
        <v>7543670.6159615861</v>
      </c>
      <c r="AR365" s="81">
        <v>7531172.6629859405</v>
      </c>
      <c r="AS365" s="81">
        <v>7523355.3897171682</v>
      </c>
      <c r="AT365" s="81">
        <v>7521114.1822822653</v>
      </c>
    </row>
    <row r="366" spans="1:46" ht="15.75">
      <c r="A366" s="81" t="s">
        <v>450</v>
      </c>
      <c r="B366" s="83">
        <v>659005</v>
      </c>
      <c r="C366" s="80" t="s">
        <v>411</v>
      </c>
      <c r="D366" s="82" t="s">
        <v>486</v>
      </c>
      <c r="E366" s="81">
        <v>2512923.9857006655</v>
      </c>
      <c r="F366" s="81">
        <v>2570877.3599312967</v>
      </c>
      <c r="G366" s="81">
        <v>2613458.3746151361</v>
      </c>
      <c r="H366" s="81">
        <v>2655366.3251470164</v>
      </c>
      <c r="I366" s="81">
        <v>2696464.644497124</v>
      </c>
      <c r="J366" s="81">
        <v>2736611.296450295</v>
      </c>
      <c r="K366" s="81">
        <v>2775732.8608317347</v>
      </c>
      <c r="L366" s="81">
        <v>2813679.0707404912</v>
      </c>
      <c r="M366" s="81">
        <v>2850395.4684852185</v>
      </c>
      <c r="N366" s="81">
        <v>2885750.0512804138</v>
      </c>
      <c r="O366" s="81">
        <v>2919658.4250767045</v>
      </c>
      <c r="P366" s="81">
        <v>2952060.6922607892</v>
      </c>
      <c r="Q366" s="81">
        <v>2956723.1302344152</v>
      </c>
      <c r="R366" s="81">
        <v>2959708.6933175013</v>
      </c>
      <c r="S366" s="81">
        <v>2960999.734590895</v>
      </c>
      <c r="T366" s="81">
        <v>2960578.5748406425</v>
      </c>
      <c r="U366" s="81">
        <v>2958454.3071924206</v>
      </c>
      <c r="V366" s="81">
        <v>2954636.3717679065</v>
      </c>
      <c r="W366" s="81">
        <v>2949188.5452862172</v>
      </c>
      <c r="X366" s="81">
        <v>2942094.4450804428</v>
      </c>
      <c r="Y366" s="81">
        <v>2933419.2121316558</v>
      </c>
      <c r="Z366" s="81">
        <v>2923229.0997700249</v>
      </c>
      <c r="AA366" s="81">
        <v>2913286.9537046491</v>
      </c>
      <c r="AB366" s="81">
        <v>2901974.8260541284</v>
      </c>
      <c r="AC366" s="81">
        <v>2889305.1593596288</v>
      </c>
      <c r="AD366" s="81">
        <v>2875457.1572766765</v>
      </c>
      <c r="AE366" s="81">
        <v>2860473.92587381</v>
      </c>
      <c r="AF366" s="81">
        <v>2844511.2362044868</v>
      </c>
      <c r="AG366" s="81">
        <v>2827699.4604468122</v>
      </c>
      <c r="AH366" s="81">
        <v>2810143.0189478146</v>
      </c>
      <c r="AI366" s="81">
        <v>2792032.98041395</v>
      </c>
      <c r="AJ366" s="81">
        <v>2773563.5581470719</v>
      </c>
      <c r="AK366" s="81">
        <v>2752255.6852680976</v>
      </c>
      <c r="AL366" s="81">
        <v>2730996.0789142698</v>
      </c>
      <c r="AM366" s="81">
        <v>2709958.7781022228</v>
      </c>
      <c r="AN366" s="81">
        <v>2689348.64202403</v>
      </c>
      <c r="AO366" s="81">
        <v>2669430.6156460731</v>
      </c>
      <c r="AP366" s="81">
        <v>2650443.8329504738</v>
      </c>
      <c r="AQ366" s="81">
        <v>2632630.1916110353</v>
      </c>
      <c r="AR366" s="81">
        <v>2616263.4458613852</v>
      </c>
      <c r="AS366" s="81">
        <v>2601649.6383217978</v>
      </c>
      <c r="AT366" s="81">
        <v>2589039.7350294185</v>
      </c>
    </row>
    <row r="367" spans="1:46" ht="15.75">
      <c r="A367" s="81" t="s">
        <v>450</v>
      </c>
      <c r="B367" s="83">
        <v>659006</v>
      </c>
      <c r="C367" s="80" t="s">
        <v>411</v>
      </c>
      <c r="D367" s="82" t="s">
        <v>485</v>
      </c>
      <c r="E367" s="81">
        <v>4875546.2329826253</v>
      </c>
      <c r="F367" s="81">
        <v>4983381.2091237772</v>
      </c>
      <c r="G367" s="81">
        <v>5059817.6628196361</v>
      </c>
      <c r="H367" s="81">
        <v>5133452.2307715537</v>
      </c>
      <c r="I367" s="81">
        <v>5204152.5244830111</v>
      </c>
      <c r="J367" s="81">
        <v>5271784.906565587</v>
      </c>
      <c r="K367" s="81">
        <v>5336260.4753437778</v>
      </c>
      <c r="L367" s="81">
        <v>5397491.465415284</v>
      </c>
      <c r="M367" s="81">
        <v>5455391.275038993</v>
      </c>
      <c r="N367" s="81">
        <v>5509850.6026754286</v>
      </c>
      <c r="O367" s="81">
        <v>5560856.9286123849</v>
      </c>
      <c r="P367" s="81">
        <v>5608304.6273267996</v>
      </c>
      <c r="Q367" s="81">
        <v>5628293.7333591292</v>
      </c>
      <c r="R367" s="81">
        <v>5644775.3544024853</v>
      </c>
      <c r="S367" s="81">
        <v>5657793.33999437</v>
      </c>
      <c r="T367" s="81">
        <v>5667369.6876099417</v>
      </c>
      <c r="U367" s="81">
        <v>5673580.0800269879</v>
      </c>
      <c r="V367" s="81">
        <v>5676478.8282548105</v>
      </c>
      <c r="W367" s="81">
        <v>5676149.7211694811</v>
      </c>
      <c r="X367" s="81">
        <v>5672680.9717735127</v>
      </c>
      <c r="Y367" s="81">
        <v>5666191.5883918488</v>
      </c>
      <c r="Z367" s="81">
        <v>5656805.9229216231</v>
      </c>
      <c r="AA367" s="81">
        <v>5639362.8301045243</v>
      </c>
      <c r="AB367" s="81">
        <v>5619420.8839047002</v>
      </c>
      <c r="AC367" s="81">
        <v>5597127.6379913827</v>
      </c>
      <c r="AD367" s="81">
        <v>5572662.8283756683</v>
      </c>
      <c r="AE367" s="81">
        <v>5546239.3432958405</v>
      </c>
      <c r="AF367" s="81">
        <v>5518131.8411435001</v>
      </c>
      <c r="AG367" s="81">
        <v>5488539.5451760944</v>
      </c>
      <c r="AH367" s="81">
        <v>5457723.5664801681</v>
      </c>
      <c r="AI367" s="81">
        <v>5426008.8313550493</v>
      </c>
      <c r="AJ367" s="81">
        <v>5393644.0840452351</v>
      </c>
      <c r="AK367" s="81">
        <v>5341983.9971294003</v>
      </c>
      <c r="AL367" s="81">
        <v>5290704.6120778602</v>
      </c>
      <c r="AM367" s="81">
        <v>5240185.7067979574</v>
      </c>
      <c r="AN367" s="81">
        <v>5190782.8807477877</v>
      </c>
      <c r="AO367" s="81">
        <v>5142855.9445531024</v>
      </c>
      <c r="AP367" s="81">
        <v>5096855.6651402581</v>
      </c>
      <c r="AQ367" s="81">
        <v>5053151.0677484134</v>
      </c>
      <c r="AR367" s="81">
        <v>5012173.572128932</v>
      </c>
      <c r="AS367" s="81">
        <v>4974388.6928843064</v>
      </c>
      <c r="AT367" s="81">
        <v>4940237.9480609847</v>
      </c>
    </row>
    <row r="368" spans="1:46" ht="15.75">
      <c r="A368" s="81" t="s">
        <v>450</v>
      </c>
      <c r="B368" s="83">
        <v>659007</v>
      </c>
      <c r="C368" s="80" t="s">
        <v>411</v>
      </c>
      <c r="D368" s="82" t="s">
        <v>484</v>
      </c>
      <c r="E368" s="81">
        <v>1860052.869651827</v>
      </c>
      <c r="F368" s="81">
        <v>1907762.2823763217</v>
      </c>
      <c r="G368" s="81">
        <v>1944110.2393948748</v>
      </c>
      <c r="H368" s="81">
        <v>1979964.4769706235</v>
      </c>
      <c r="I368" s="81">
        <v>2015186.7905499996</v>
      </c>
      <c r="J368" s="81">
        <v>2049678.4564538423</v>
      </c>
      <c r="K368" s="81">
        <v>2083337.2184413243</v>
      </c>
      <c r="L368" s="81">
        <v>2116057.2512497008</v>
      </c>
      <c r="M368" s="81">
        <v>2147760.5282739056</v>
      </c>
      <c r="N368" s="81">
        <v>2178366.9831761583</v>
      </c>
      <c r="O368" s="81">
        <v>2207762.2845881293</v>
      </c>
      <c r="P368" s="81">
        <v>2235893.6306870431</v>
      </c>
      <c r="Q368" s="81">
        <v>2253142.5439531594</v>
      </c>
      <c r="R368" s="81">
        <v>2268936.309193437</v>
      </c>
      <c r="S368" s="81">
        <v>2283271.5988544961</v>
      </c>
      <c r="T368" s="81">
        <v>2296129.0448776754</v>
      </c>
      <c r="U368" s="81">
        <v>2307472.5725821475</v>
      </c>
      <c r="V368" s="81">
        <v>2317300.0646820269</v>
      </c>
      <c r="W368" s="81">
        <v>2325610.2262550755</v>
      </c>
      <c r="X368" s="81">
        <v>2332419.9805051363</v>
      </c>
      <c r="Y368" s="81">
        <v>2337747.6424067141</v>
      </c>
      <c r="Z368" s="81">
        <v>2341630.5946067274</v>
      </c>
      <c r="AA368" s="81">
        <v>2341922.0903414031</v>
      </c>
      <c r="AB368" s="81">
        <v>2340886.8587818108</v>
      </c>
      <c r="AC368" s="81">
        <v>2338590.0416415413</v>
      </c>
      <c r="AD368" s="81">
        <v>2335117.2284429334</v>
      </c>
      <c r="AE368" s="81">
        <v>2330556.82056442</v>
      </c>
      <c r="AF368" s="81">
        <v>2325018.4530199231</v>
      </c>
      <c r="AG368" s="81">
        <v>2318633.640038793</v>
      </c>
      <c r="AH368" s="81">
        <v>2311500.4894462479</v>
      </c>
      <c r="AI368" s="81">
        <v>2303813.8812241643</v>
      </c>
      <c r="AJ368" s="81">
        <v>2295679.6654530424</v>
      </c>
      <c r="AK368" s="81">
        <v>2287848.8096700567</v>
      </c>
      <c r="AL368" s="81">
        <v>2279938.3161595399</v>
      </c>
      <c r="AM368" s="81">
        <v>2272162.642406065</v>
      </c>
      <c r="AN368" s="81">
        <v>2264761.4794567442</v>
      </c>
      <c r="AO368" s="81">
        <v>2257941.8053595424</v>
      </c>
      <c r="AP368" s="81">
        <v>2251955.3502059337</v>
      </c>
      <c r="AQ368" s="81">
        <v>2247080.1518762033</v>
      </c>
      <c r="AR368" s="81">
        <v>2243621.2754538762</v>
      </c>
      <c r="AS368" s="81">
        <v>2241851.2873943574</v>
      </c>
      <c r="AT368" s="81">
        <v>2242089.8480210546</v>
      </c>
    </row>
    <row r="369" spans="1:46" ht="15.75">
      <c r="A369" s="81" t="s">
        <v>450</v>
      </c>
      <c r="B369" s="83">
        <v>659008</v>
      </c>
      <c r="C369" s="80" t="s">
        <v>411</v>
      </c>
      <c r="D369" s="82" t="s">
        <v>483</v>
      </c>
      <c r="E369" s="81">
        <v>4987618.9137594132</v>
      </c>
      <c r="F369" s="81">
        <v>5097671.7930749757</v>
      </c>
      <c r="G369" s="81">
        <v>5178228.2348992396</v>
      </c>
      <c r="H369" s="81">
        <v>5258296.6857692609</v>
      </c>
      <c r="I369" s="81">
        <v>5337586.3520779815</v>
      </c>
      <c r="J369" s="81">
        <v>5415771.9772474682</v>
      </c>
      <c r="K369" s="81">
        <v>5492577.2326701051</v>
      </c>
      <c r="L369" s="81">
        <v>5567714.172067523</v>
      </c>
      <c r="M369" s="81">
        <v>5640926.6650096914</v>
      </c>
      <c r="N369" s="81">
        <v>5711926.8751433427</v>
      </c>
      <c r="O369" s="81">
        <v>5780483.1110807471</v>
      </c>
      <c r="P369" s="81">
        <v>5846378.6831882801</v>
      </c>
      <c r="Q369" s="81">
        <v>5884432.2425320419</v>
      </c>
      <c r="R369" s="81">
        <v>5919337.3244846063</v>
      </c>
      <c r="S369" s="81">
        <v>5951015.944126334</v>
      </c>
      <c r="T369" s="81">
        <v>5979342.8129982986</v>
      </c>
      <c r="U369" s="81">
        <v>6004214.1075164648</v>
      </c>
      <c r="V369" s="81">
        <v>6025595.8693684526</v>
      </c>
      <c r="W369" s="81">
        <v>6043407.2062846795</v>
      </c>
      <c r="X369" s="81">
        <v>6057687.2152784579</v>
      </c>
      <c r="Y369" s="81">
        <v>6068405.2982494319</v>
      </c>
      <c r="Z369" s="81">
        <v>6075629.8074313067</v>
      </c>
      <c r="AA369" s="81">
        <v>6073738.8241406512</v>
      </c>
      <c r="AB369" s="81">
        <v>6068582.3853457645</v>
      </c>
      <c r="AC369" s="81">
        <v>6060299.87536046</v>
      </c>
      <c r="AD369" s="81">
        <v>6049060.9226895282</v>
      </c>
      <c r="AE369" s="81">
        <v>6035066.3012159187</v>
      </c>
      <c r="AF369" s="81">
        <v>6018548.8399652885</v>
      </c>
      <c r="AG369" s="81">
        <v>5999774.341447955</v>
      </c>
      <c r="AH369" s="81">
        <v>5979068.371726023</v>
      </c>
      <c r="AI369" s="81">
        <v>5956792.0262644086</v>
      </c>
      <c r="AJ369" s="81">
        <v>5933290.4587818235</v>
      </c>
      <c r="AK369" s="81">
        <v>5910361.6679127906</v>
      </c>
      <c r="AL369" s="81">
        <v>5887067.0014544735</v>
      </c>
      <c r="AM369" s="81">
        <v>5863944.7409227584</v>
      </c>
      <c r="AN369" s="81">
        <v>5841493.9416951844</v>
      </c>
      <c r="AO369" s="81">
        <v>5820335.4426353434</v>
      </c>
      <c r="AP369" s="81">
        <v>5801079.1330655692</v>
      </c>
      <c r="AQ369" s="81">
        <v>5784378.1411417406</v>
      </c>
      <c r="AR369" s="81">
        <v>5770985.2317630323</v>
      </c>
      <c r="AS369" s="81">
        <v>5761644.2917999942</v>
      </c>
      <c r="AT369" s="81">
        <v>5757201.7288778294</v>
      </c>
    </row>
    <row r="370" spans="1:46" ht="15.75">
      <c r="A370" s="81" t="s">
        <v>450</v>
      </c>
      <c r="B370" s="83">
        <v>659009</v>
      </c>
      <c r="C370" s="80" t="s">
        <v>411</v>
      </c>
      <c r="D370" s="82" t="s">
        <v>482</v>
      </c>
      <c r="E370" s="81">
        <v>500065.2241763451</v>
      </c>
      <c r="F370" s="81">
        <v>514739.83251624659</v>
      </c>
      <c r="G370" s="81">
        <v>527036.49502987694</v>
      </c>
      <c r="H370" s="81">
        <v>539841.9785892783</v>
      </c>
      <c r="I370" s="81">
        <v>553089.87461091613</v>
      </c>
      <c r="J370" s="81">
        <v>566717.07450547349</v>
      </c>
      <c r="K370" s="81">
        <v>580656.67581708299</v>
      </c>
      <c r="L370" s="81">
        <v>594860.82191564888</v>
      </c>
      <c r="M370" s="81">
        <v>609255.7709442022</v>
      </c>
      <c r="N370" s="81">
        <v>623795.16000467038</v>
      </c>
      <c r="O370" s="81">
        <v>638414.39728389285</v>
      </c>
      <c r="P370" s="81">
        <v>653053.71050099109</v>
      </c>
      <c r="Q370" s="81">
        <v>664852.38012891531</v>
      </c>
      <c r="R370" s="81">
        <v>676507.41107336257</v>
      </c>
      <c r="S370" s="81">
        <v>687971.75892853551</v>
      </c>
      <c r="T370" s="81">
        <v>699197.00384399889</v>
      </c>
      <c r="U370" s="81">
        <v>710158.39862911636</v>
      </c>
      <c r="V370" s="81">
        <v>720813.75664966821</v>
      </c>
      <c r="W370" s="81">
        <v>731145.21322489076</v>
      </c>
      <c r="X370" s="81">
        <v>741108.89707522234</v>
      </c>
      <c r="Y370" s="81">
        <v>750702.89240743371</v>
      </c>
      <c r="Z370" s="81">
        <v>759899.40369378752</v>
      </c>
      <c r="AA370" s="81">
        <v>767970.65327581356</v>
      </c>
      <c r="AB370" s="81">
        <v>775614.02584015683</v>
      </c>
      <c r="AC370" s="81">
        <v>782846.38211340411</v>
      </c>
      <c r="AD370" s="81">
        <v>789649.51868460537</v>
      </c>
      <c r="AE370" s="81">
        <v>796058.87484197353</v>
      </c>
      <c r="AF370" s="81">
        <v>802074.83385021437</v>
      </c>
      <c r="AG370" s="81">
        <v>807716.19185000006</v>
      </c>
      <c r="AH370" s="81">
        <v>813029.94764776528</v>
      </c>
      <c r="AI370" s="81">
        <v>818027.57755651884</v>
      </c>
      <c r="AJ370" s="81">
        <v>822767.49510888511</v>
      </c>
      <c r="AK370" s="81">
        <v>827482.0556827921</v>
      </c>
      <c r="AL370" s="81">
        <v>832042.46006619546</v>
      </c>
      <c r="AM370" s="81">
        <v>836492.80626025493</v>
      </c>
      <c r="AN370" s="81">
        <v>840916.68673260091</v>
      </c>
      <c r="AO370" s="81">
        <v>845390.39561313635</v>
      </c>
      <c r="AP370" s="81">
        <v>849982.62245187932</v>
      </c>
      <c r="AQ370" s="81">
        <v>854802.89777734573</v>
      </c>
      <c r="AR370" s="81">
        <v>859934.2038713115</v>
      </c>
      <c r="AS370" s="81">
        <v>865501.18839644128</v>
      </c>
      <c r="AT370" s="81">
        <v>871611.81164568383</v>
      </c>
    </row>
    <row r="371" spans="1:46" ht="15.75">
      <c r="A371" s="81" t="s">
        <v>450</v>
      </c>
      <c r="B371" s="83">
        <v>659010</v>
      </c>
      <c r="C371" s="80" t="s">
        <v>411</v>
      </c>
      <c r="D371" s="82" t="s">
        <v>481</v>
      </c>
      <c r="E371" s="81">
        <v>4811937.9619125444</v>
      </c>
      <c r="F371" s="81">
        <v>4924624.0041754013</v>
      </c>
      <c r="G371" s="81">
        <v>5007613.2262825184</v>
      </c>
      <c r="H371" s="81">
        <v>5088948.4452886162</v>
      </c>
      <c r="I371" s="81">
        <v>5168412.7927118363</v>
      </c>
      <c r="J371" s="81">
        <v>5245740.1060296511</v>
      </c>
      <c r="K371" s="81">
        <v>5320739.3424126925</v>
      </c>
      <c r="L371" s="81">
        <v>5393128.1419031862</v>
      </c>
      <c r="M371" s="81">
        <v>5462766.5640340345</v>
      </c>
      <c r="N371" s="81">
        <v>5529424.3348687068</v>
      </c>
      <c r="O371" s="81">
        <v>5592931.4422473181</v>
      </c>
      <c r="P371" s="81">
        <v>5653114.4972796943</v>
      </c>
      <c r="Q371" s="81">
        <v>5685682.335727429</v>
      </c>
      <c r="R371" s="81">
        <v>5714668.286502542</v>
      </c>
      <c r="S371" s="81">
        <v>5739985.1618938195</v>
      </c>
      <c r="T371" s="81">
        <v>5761591.7937613307</v>
      </c>
      <c r="U371" s="81">
        <v>5779471.3856827868</v>
      </c>
      <c r="V371" s="81">
        <v>5793608.7575943945</v>
      </c>
      <c r="W371" s="81">
        <v>5804014.2655696776</v>
      </c>
      <c r="X371" s="81">
        <v>5810748.8586148769</v>
      </c>
      <c r="Y371" s="81">
        <v>5813828.8951980257</v>
      </c>
      <c r="Z371" s="81">
        <v>5813395.5615371969</v>
      </c>
      <c r="AA371" s="81">
        <v>5804129.1059564669</v>
      </c>
      <c r="AB371" s="81">
        <v>5791641.774551156</v>
      </c>
      <c r="AC371" s="81">
        <v>5776099.9281444345</v>
      </c>
      <c r="AD371" s="81">
        <v>5757700.8363429597</v>
      </c>
      <c r="AE371" s="81">
        <v>5736724.2196028056</v>
      </c>
      <c r="AF371" s="81">
        <v>5713356.4514777549</v>
      </c>
      <c r="AG371" s="81">
        <v>5687918.1464437852</v>
      </c>
      <c r="AH371" s="81">
        <v>5660739.3555382965</v>
      </c>
      <c r="AI371" s="81">
        <v>5632133.6389394924</v>
      </c>
      <c r="AJ371" s="81">
        <v>5602528.1828654688</v>
      </c>
      <c r="AK371" s="81">
        <v>5573569.1783233853</v>
      </c>
      <c r="AL371" s="81">
        <v>5544423.529268221</v>
      </c>
      <c r="AM371" s="81">
        <v>5515580.104612519</v>
      </c>
      <c r="AN371" s="81">
        <v>5487514.0725367032</v>
      </c>
      <c r="AO371" s="81">
        <v>5460821.5426815841</v>
      </c>
      <c r="AP371" s="81">
        <v>5436059.7027940797</v>
      </c>
      <c r="AQ371" s="81">
        <v>5413882.3904601112</v>
      </c>
      <c r="AR371" s="81">
        <v>5394932.4134546081</v>
      </c>
      <c r="AS371" s="81">
        <v>5379924.2381402235</v>
      </c>
      <c r="AT371" s="81">
        <v>5369617.9641699139</v>
      </c>
    </row>
    <row r="372" spans="1:46" ht="15.75">
      <c r="A372" s="81" t="s">
        <v>448</v>
      </c>
      <c r="B372" s="80">
        <v>110000</v>
      </c>
      <c r="C372" s="80" t="s">
        <v>440</v>
      </c>
      <c r="D372" s="85" t="s">
        <v>440</v>
      </c>
      <c r="E372" s="81">
        <v>416464347.76659083</v>
      </c>
      <c r="F372" s="81">
        <v>422222625.30824536</v>
      </c>
      <c r="G372" s="81">
        <v>427548261.14787972</v>
      </c>
      <c r="H372" s="81">
        <v>432039261.90682304</v>
      </c>
      <c r="I372" s="81">
        <v>435770156.47425067</v>
      </c>
      <c r="J372" s="81">
        <v>438812564.97683346</v>
      </c>
      <c r="K372" s="81">
        <v>441235209.82676029</v>
      </c>
      <c r="L372" s="81">
        <v>443103770.90041089</v>
      </c>
      <c r="M372" s="81">
        <v>444480857.61904132</v>
      </c>
      <c r="N372" s="81">
        <v>445425942.19302487</v>
      </c>
      <c r="O372" s="81">
        <v>445995272.98974407</v>
      </c>
      <c r="P372" s="81">
        <v>446241787.5088011</v>
      </c>
      <c r="Q372" s="81">
        <v>446131214.69691378</v>
      </c>
      <c r="R372" s="81">
        <v>445794302.28222919</v>
      </c>
      <c r="S372" s="81">
        <v>445273930.53796691</v>
      </c>
      <c r="T372" s="81">
        <v>444609310.54471993</v>
      </c>
      <c r="U372" s="81">
        <v>443836061.48351705</v>
      </c>
      <c r="V372" s="81">
        <v>442986107.71252382</v>
      </c>
      <c r="W372" s="81">
        <v>442087554.72997683</v>
      </c>
      <c r="X372" s="81">
        <v>441164727.50889307</v>
      </c>
      <c r="Y372" s="81">
        <v>440238046.7067343</v>
      </c>
      <c r="Z372" s="81">
        <v>439323965.44065392</v>
      </c>
      <c r="AA372" s="81">
        <v>438801203.21148151</v>
      </c>
      <c r="AB372" s="81">
        <v>438308222.54583633</v>
      </c>
      <c r="AC372" s="81">
        <v>437849362.34070593</v>
      </c>
      <c r="AD372" s="81">
        <v>437424760.90553707</v>
      </c>
      <c r="AE372" s="81">
        <v>437030254.52161556</v>
      </c>
      <c r="AF372" s="81">
        <v>436657296.56006855</v>
      </c>
      <c r="AG372" s="81">
        <v>436292939.93283099</v>
      </c>
      <c r="AH372" s="81">
        <v>435919609.0650056</v>
      </c>
      <c r="AI372" s="81">
        <v>435515230.12274659</v>
      </c>
      <c r="AJ372" s="81">
        <v>435052960.36909646</v>
      </c>
      <c r="AK372" s="81">
        <v>432955149.5452584</v>
      </c>
      <c r="AL372" s="81">
        <v>430747537.04343075</v>
      </c>
      <c r="AM372" s="81">
        <v>428390338.89040697</v>
      </c>
      <c r="AN372" s="81">
        <v>425839394.13262886</v>
      </c>
      <c r="AO372" s="81">
        <v>423046098.03057975</v>
      </c>
      <c r="AP372" s="81">
        <v>419957527.47870767</v>
      </c>
      <c r="AQ372" s="81">
        <v>416516310.12464261</v>
      </c>
      <c r="AR372" s="81">
        <v>412660685.71394229</v>
      </c>
      <c r="AS372" s="81">
        <v>408324503.36766964</v>
      </c>
      <c r="AT372" s="81">
        <v>403437240.23437679</v>
      </c>
    </row>
    <row r="373" spans="1:46" ht="15.75">
      <c r="A373" s="81" t="s">
        <v>448</v>
      </c>
      <c r="B373" s="80">
        <v>120000</v>
      </c>
      <c r="C373" s="80" t="s">
        <v>439</v>
      </c>
      <c r="D373" s="85" t="s">
        <v>439</v>
      </c>
      <c r="E373" s="81">
        <v>211382270.39382088</v>
      </c>
      <c r="F373" s="81">
        <v>215048311.7019096</v>
      </c>
      <c r="G373" s="81">
        <v>218186632.32212067</v>
      </c>
      <c r="H373" s="81">
        <v>220991059.68700045</v>
      </c>
      <c r="I373" s="81">
        <v>223485178.93867734</v>
      </c>
      <c r="J373" s="81">
        <v>225692000.65194905</v>
      </c>
      <c r="K373" s="81">
        <v>227633966.10603487</v>
      </c>
      <c r="L373" s="81">
        <v>229332937.89026752</v>
      </c>
      <c r="M373" s="81">
        <v>230810060.89627698</v>
      </c>
      <c r="N373" s="81">
        <v>232085832.15748793</v>
      </c>
      <c r="O373" s="81">
        <v>233179959.98383108</v>
      </c>
      <c r="P373" s="81">
        <v>234111368.31517681</v>
      </c>
      <c r="Q373" s="81">
        <v>235198645.23479888</v>
      </c>
      <c r="R373" s="81">
        <v>236158341.16878042</v>
      </c>
      <c r="S373" s="81">
        <v>237006336.2472685</v>
      </c>
      <c r="T373" s="81">
        <v>237757559.55370581</v>
      </c>
      <c r="U373" s="81">
        <v>238426070.99425477</v>
      </c>
      <c r="V373" s="81">
        <v>239024886.7195234</v>
      </c>
      <c r="W373" s="81">
        <v>239565991.91326547</v>
      </c>
      <c r="X373" s="81">
        <v>240060213.9835459</v>
      </c>
      <c r="Y373" s="81">
        <v>240517270.8375676</v>
      </c>
      <c r="Z373" s="81">
        <v>240945624.81190261</v>
      </c>
      <c r="AA373" s="81">
        <v>241321382.90154263</v>
      </c>
      <c r="AB373" s="81">
        <v>241681581.39235678</v>
      </c>
      <c r="AC373" s="81">
        <v>242030630.82166171</v>
      </c>
      <c r="AD373" s="81">
        <v>242371479.54923362</v>
      </c>
      <c r="AE373" s="81">
        <v>242705534.38810876</v>
      </c>
      <c r="AF373" s="81">
        <v>243032636.43535677</v>
      </c>
      <c r="AG373" s="81">
        <v>243350923.48498172</v>
      </c>
      <c r="AH373" s="81">
        <v>243656880.42139035</v>
      </c>
      <c r="AI373" s="81">
        <v>243945142.39712852</v>
      </c>
      <c r="AJ373" s="81">
        <v>244208564.31557426</v>
      </c>
      <c r="AK373" s="81">
        <v>244153571.71689239</v>
      </c>
      <c r="AL373" s="81">
        <v>244055128.7719914</v>
      </c>
      <c r="AM373" s="81">
        <v>243900270.69855788</v>
      </c>
      <c r="AN373" s="81">
        <v>243674056.60103095</v>
      </c>
      <c r="AO373" s="81">
        <v>243359394.05878198</v>
      </c>
      <c r="AP373" s="81">
        <v>242937061.34579799</v>
      </c>
      <c r="AQ373" s="81">
        <v>242385609.85204887</v>
      </c>
      <c r="AR373" s="81">
        <v>241681305.54336098</v>
      </c>
      <c r="AS373" s="81">
        <v>240798090.58335653</v>
      </c>
      <c r="AT373" s="81">
        <v>239707545.23904544</v>
      </c>
    </row>
    <row r="374" spans="1:46" ht="15.75">
      <c r="A374" s="81" t="s">
        <v>448</v>
      </c>
      <c r="B374" s="80">
        <v>130100</v>
      </c>
      <c r="C374" s="80" t="s">
        <v>438</v>
      </c>
      <c r="D374" s="84" t="s">
        <v>827</v>
      </c>
      <c r="E374" s="81">
        <v>78077334.842534035</v>
      </c>
      <c r="F374" s="81">
        <v>81226454.639745265</v>
      </c>
      <c r="G374" s="81">
        <v>84017470.48036769</v>
      </c>
      <c r="H374" s="81">
        <v>86791635.739171997</v>
      </c>
      <c r="I374" s="81">
        <v>89547728.834507152</v>
      </c>
      <c r="J374" s="81">
        <v>92284685.53360045</v>
      </c>
      <c r="K374" s="81">
        <v>95001613.834015906</v>
      </c>
      <c r="L374" s="81">
        <v>97697751.925483108</v>
      </c>
      <c r="M374" s="81">
        <v>100372522.92501889</v>
      </c>
      <c r="N374" s="81">
        <v>103025483.06138189</v>
      </c>
      <c r="O374" s="81">
        <v>105656325.16364372</v>
      </c>
      <c r="P374" s="81">
        <v>108264901.32546978</v>
      </c>
      <c r="Q374" s="81">
        <v>110603782.31702742</v>
      </c>
      <c r="R374" s="81">
        <v>112909945.18692252</v>
      </c>
      <c r="S374" s="81">
        <v>115183963.07945508</v>
      </c>
      <c r="T374" s="81">
        <v>117426544.06327674</v>
      </c>
      <c r="U374" s="81">
        <v>119638494.27859521</v>
      </c>
      <c r="V374" s="81">
        <v>121820729.29806572</v>
      </c>
      <c r="W374" s="81">
        <v>123974245.10170145</v>
      </c>
      <c r="X374" s="81">
        <v>126100118.78952047</v>
      </c>
      <c r="Y374" s="81">
        <v>128199521.21402432</v>
      </c>
      <c r="Z374" s="81">
        <v>130273664.38437498</v>
      </c>
      <c r="AA374" s="81">
        <v>132465344.92752987</v>
      </c>
      <c r="AB374" s="81">
        <v>134632047.53226009</v>
      </c>
      <c r="AC374" s="81">
        <v>136775095.97565535</v>
      </c>
      <c r="AD374" s="81">
        <v>138895789.81792396</v>
      </c>
      <c r="AE374" s="81">
        <v>140995509.84251875</v>
      </c>
      <c r="AF374" s="81">
        <v>143075597.86472636</v>
      </c>
      <c r="AG374" s="81">
        <v>145137441.62319821</v>
      </c>
      <c r="AH374" s="81">
        <v>147182374.89770252</v>
      </c>
      <c r="AI374" s="81">
        <v>149211726.83624583</v>
      </c>
      <c r="AJ374" s="81">
        <v>151226783.46602732</v>
      </c>
      <c r="AK374" s="81">
        <v>153571227.82671005</v>
      </c>
      <c r="AL374" s="81">
        <v>155904015.73634067</v>
      </c>
      <c r="AM374" s="81">
        <v>158226122.53988838</v>
      </c>
      <c r="AN374" s="81">
        <v>160538489.89182803</v>
      </c>
      <c r="AO374" s="81">
        <v>162841910.20853698</v>
      </c>
      <c r="AP374" s="81">
        <v>165137080.62381795</v>
      </c>
      <c r="AQ374" s="81">
        <v>167424557.1412361</v>
      </c>
      <c r="AR374" s="81">
        <v>169704720.8377254</v>
      </c>
      <c r="AS374" s="81">
        <v>171977789.83553377</v>
      </c>
      <c r="AT374" s="81">
        <v>174243801.84741321</v>
      </c>
    </row>
    <row r="375" spans="1:46" ht="15.75">
      <c r="A375" s="81" t="s">
        <v>448</v>
      </c>
      <c r="B375" s="80">
        <v>130200</v>
      </c>
      <c r="C375" s="80" t="s">
        <v>438</v>
      </c>
      <c r="D375" s="84" t="s">
        <v>826</v>
      </c>
      <c r="E375" s="81">
        <v>50775936.563551255</v>
      </c>
      <c r="F375" s="81">
        <v>52421234.078408852</v>
      </c>
      <c r="G375" s="81">
        <v>53791351.178314239</v>
      </c>
      <c r="H375" s="81">
        <v>55145397.660252847</v>
      </c>
      <c r="I375" s="81">
        <v>56482396.468204528</v>
      </c>
      <c r="J375" s="81">
        <v>57801414.919588991</v>
      </c>
      <c r="K375" s="81">
        <v>59101596.246915765</v>
      </c>
      <c r="L375" s="81">
        <v>60382148.604699284</v>
      </c>
      <c r="M375" s="81">
        <v>61642355.821689434</v>
      </c>
      <c r="N375" s="81">
        <v>62881589.108998351</v>
      </c>
      <c r="O375" s="81">
        <v>64099270.656125277</v>
      </c>
      <c r="P375" s="81">
        <v>65294924.2066532</v>
      </c>
      <c r="Q375" s="81">
        <v>66255543.405186959</v>
      </c>
      <c r="R375" s="81">
        <v>67189362.882916451</v>
      </c>
      <c r="S375" s="81">
        <v>68096499.7040236</v>
      </c>
      <c r="T375" s="81">
        <v>68977137.179439262</v>
      </c>
      <c r="U375" s="81">
        <v>69831561.412536219</v>
      </c>
      <c r="V375" s="81">
        <v>70660155.307446912</v>
      </c>
      <c r="W375" s="81">
        <v>71463363.777184829</v>
      </c>
      <c r="X375" s="81">
        <v>72241769.135707617</v>
      </c>
      <c r="Y375" s="81">
        <v>72996029.197294593</v>
      </c>
      <c r="Z375" s="81">
        <v>73726916.674876943</v>
      </c>
      <c r="AA375" s="81">
        <v>74442675.012487367</v>
      </c>
      <c r="AB375" s="81">
        <v>75135942.988946244</v>
      </c>
      <c r="AC375" s="81">
        <v>75807804.729899064</v>
      </c>
      <c r="AD375" s="81">
        <v>76459470.55146198</v>
      </c>
      <c r="AE375" s="81">
        <v>77092269.562841639</v>
      </c>
      <c r="AF375" s="81">
        <v>77707620.073580712</v>
      </c>
      <c r="AG375" s="81">
        <v>78307094.539041698</v>
      </c>
      <c r="AH375" s="81">
        <v>78892347.50550817</v>
      </c>
      <c r="AI375" s="81">
        <v>79465192.745216578</v>
      </c>
      <c r="AJ375" s="81">
        <v>80027529.079140291</v>
      </c>
      <c r="AK375" s="81">
        <v>80683271.059208229</v>
      </c>
      <c r="AL375" s="81">
        <v>81332241.804461777</v>
      </c>
      <c r="AM375" s="81">
        <v>81976774.542722166</v>
      </c>
      <c r="AN375" s="81">
        <v>82619317.92345345</v>
      </c>
      <c r="AO375" s="81">
        <v>83262448.340790063</v>
      </c>
      <c r="AP375" s="81">
        <v>83908932.505351722</v>
      </c>
      <c r="AQ375" s="81">
        <v>84561657.973741591</v>
      </c>
      <c r="AR375" s="81">
        <v>85223683.960462511</v>
      </c>
      <c r="AS375" s="81">
        <v>85898219.366134658</v>
      </c>
      <c r="AT375" s="81">
        <v>86588611.70342271</v>
      </c>
    </row>
    <row r="376" spans="1:46" ht="15.75">
      <c r="A376" s="81" t="s">
        <v>448</v>
      </c>
      <c r="B376" s="80">
        <v>130300</v>
      </c>
      <c r="C376" s="80" t="s">
        <v>438</v>
      </c>
      <c r="D376" s="84" t="s">
        <v>825</v>
      </c>
      <c r="E376" s="81">
        <v>20618249.680957355</v>
      </c>
      <c r="F376" s="81">
        <v>21306040.487519845</v>
      </c>
      <c r="G376" s="81">
        <v>21880054.807807345</v>
      </c>
      <c r="H376" s="81">
        <v>22445641.308013055</v>
      </c>
      <c r="I376" s="81">
        <v>23002524.277785026</v>
      </c>
      <c r="J376" s="81">
        <v>23550472.004691832</v>
      </c>
      <c r="K376" s="81">
        <v>24089283.462784514</v>
      </c>
      <c r="L376" s="81">
        <v>24618788.538947355</v>
      </c>
      <c r="M376" s="81">
        <v>25138856.074724544</v>
      </c>
      <c r="N376" s="81">
        <v>25649386.77081351</v>
      </c>
      <c r="O376" s="81">
        <v>26150313.285730716</v>
      </c>
      <c r="P376" s="81">
        <v>26641608.632689591</v>
      </c>
      <c r="Q376" s="81">
        <v>27036512.42608159</v>
      </c>
      <c r="R376" s="81">
        <v>27420152.982951608</v>
      </c>
      <c r="S376" s="81">
        <v>27792739.898069132</v>
      </c>
      <c r="T376" s="81">
        <v>28154501.649187468</v>
      </c>
      <c r="U376" s="81">
        <v>28505729.616538975</v>
      </c>
      <c r="V376" s="81">
        <v>28846697.764817059</v>
      </c>
      <c r="W376" s="81">
        <v>29177751.815154314</v>
      </c>
      <c r="X376" s="81">
        <v>29499236.508276839</v>
      </c>
      <c r="Y376" s="81">
        <v>29811550.54781758</v>
      </c>
      <c r="Z376" s="81">
        <v>30115099.371631362</v>
      </c>
      <c r="AA376" s="81">
        <v>30413358.599209696</v>
      </c>
      <c r="AB376" s="81">
        <v>30703386.407509632</v>
      </c>
      <c r="AC376" s="81">
        <v>30985686.17605323</v>
      </c>
      <c r="AD376" s="81">
        <v>31260785.491013382</v>
      </c>
      <c r="AE376" s="81">
        <v>31529256.317376677</v>
      </c>
      <c r="AF376" s="81">
        <v>31791694.344353236</v>
      </c>
      <c r="AG376" s="81">
        <v>32048685.693005532</v>
      </c>
      <c r="AH376" s="81">
        <v>32300891.411499422</v>
      </c>
      <c r="AI376" s="81">
        <v>32548972.577521607</v>
      </c>
      <c r="AJ376" s="81">
        <v>32793610.361093502</v>
      </c>
      <c r="AK376" s="81">
        <v>33077278.67845672</v>
      </c>
      <c r="AL376" s="81">
        <v>33358789.18399515</v>
      </c>
      <c r="AM376" s="81">
        <v>33638914.336022146</v>
      </c>
      <c r="AN376" s="81">
        <v>33918424.481158927</v>
      </c>
      <c r="AO376" s="81">
        <v>34198133.528436691</v>
      </c>
      <c r="AP376" s="81">
        <v>34478862.621679865</v>
      </c>
      <c r="AQ376" s="81">
        <v>34761475.538810395</v>
      </c>
      <c r="AR376" s="81">
        <v>35046841.275393635</v>
      </c>
      <c r="AS376" s="81">
        <v>35335857.613123827</v>
      </c>
      <c r="AT376" s="81">
        <v>35629424.724747367</v>
      </c>
    </row>
    <row r="377" spans="1:46" ht="15.75">
      <c r="A377" s="81" t="s">
        <v>448</v>
      </c>
      <c r="B377" s="80">
        <v>130400</v>
      </c>
      <c r="C377" s="80" t="s">
        <v>438</v>
      </c>
      <c r="D377" s="84" t="s">
        <v>824</v>
      </c>
      <c r="E377" s="81">
        <v>61934276.478169635</v>
      </c>
      <c r="F377" s="81">
        <v>63943193.817767933</v>
      </c>
      <c r="G377" s="81">
        <v>65676791.969211854</v>
      </c>
      <c r="H377" s="81">
        <v>67448772.918949485</v>
      </c>
      <c r="I377" s="81">
        <v>69255417.657683268</v>
      </c>
      <c r="J377" s="81">
        <v>71092896.683146641</v>
      </c>
      <c r="K377" s="81">
        <v>72957324.846577778</v>
      </c>
      <c r="L377" s="81">
        <v>74844760.07574077</v>
      </c>
      <c r="M377" s="81">
        <v>76751223.806698248</v>
      </c>
      <c r="N377" s="81">
        <v>78672730.324072152</v>
      </c>
      <c r="O377" s="81">
        <v>80605317.952592</v>
      </c>
      <c r="P377" s="81">
        <v>82545040.4029769</v>
      </c>
      <c r="Q377" s="81">
        <v>84217758.544424042</v>
      </c>
      <c r="R377" s="81">
        <v>85881752.410350174</v>
      </c>
      <c r="S377" s="81">
        <v>87533569.048753694</v>
      </c>
      <c r="T377" s="81">
        <v>89169971.023849994</v>
      </c>
      <c r="U377" s="81">
        <v>90787882.218609139</v>
      </c>
      <c r="V377" s="81">
        <v>92384482.68067266</v>
      </c>
      <c r="W377" s="81">
        <v>93957189.572052553</v>
      </c>
      <c r="X377" s="81">
        <v>95503719.612433434</v>
      </c>
      <c r="Y377" s="81">
        <v>97022059.384006083</v>
      </c>
      <c r="Z377" s="81">
        <v>98510557.82761322</v>
      </c>
      <c r="AA377" s="81">
        <v>99977821.056050614</v>
      </c>
      <c r="AB377" s="81">
        <v>101411829.00502025</v>
      </c>
      <c r="AC377" s="81">
        <v>102812063.04217249</v>
      </c>
      <c r="AD377" s="81">
        <v>104178475.39895448</v>
      </c>
      <c r="AE377" s="81">
        <v>105511467.89985074</v>
      </c>
      <c r="AF377" s="81">
        <v>106811983.85545048</v>
      </c>
      <c r="AG377" s="81">
        <v>108081454.57722349</v>
      </c>
      <c r="AH377" s="81">
        <v>109321936.35058144</v>
      </c>
      <c r="AI377" s="81">
        <v>110536056.99863563</v>
      </c>
      <c r="AJ377" s="81">
        <v>111727068.25129658</v>
      </c>
      <c r="AK377" s="81">
        <v>113041583.66647506</v>
      </c>
      <c r="AL377" s="81">
        <v>114341859.86942229</v>
      </c>
      <c r="AM377" s="81">
        <v>115633211.96378469</v>
      </c>
      <c r="AN377" s="81">
        <v>116921754.34924774</v>
      </c>
      <c r="AO377" s="81">
        <v>118214426.6109512</v>
      </c>
      <c r="AP377" s="81">
        <v>119519043.52520916</v>
      </c>
      <c r="AQ377" s="81">
        <v>120844359.1440711</v>
      </c>
      <c r="AR377" s="81">
        <v>122200019.61906698</v>
      </c>
      <c r="AS377" s="81">
        <v>123596727.37564656</v>
      </c>
      <c r="AT377" s="81">
        <v>125046156.16929565</v>
      </c>
    </row>
    <row r="378" spans="1:46" ht="15.75">
      <c r="A378" s="81" t="s">
        <v>448</v>
      </c>
      <c r="B378" s="80">
        <v>130500</v>
      </c>
      <c r="C378" s="80" t="s">
        <v>438</v>
      </c>
      <c r="D378" s="84" t="s">
        <v>823</v>
      </c>
      <c r="E378" s="81">
        <v>46676197.095975064</v>
      </c>
      <c r="F378" s="81">
        <v>48300971.879764222</v>
      </c>
      <c r="G378" s="81">
        <v>49693855.325312845</v>
      </c>
      <c r="H378" s="81">
        <v>51092413.826045759</v>
      </c>
      <c r="I378" s="81">
        <v>52495073.453454532</v>
      </c>
      <c r="J378" s="81">
        <v>53900256.567118943</v>
      </c>
      <c r="K378" s="81">
        <v>55306402.7502442</v>
      </c>
      <c r="L378" s="81">
        <v>56711968.717239819</v>
      </c>
      <c r="M378" s="81">
        <v>58115427.538329177</v>
      </c>
      <c r="N378" s="81">
        <v>59515307.26104112</v>
      </c>
      <c r="O378" s="81">
        <v>60910168.140373133</v>
      </c>
      <c r="P378" s="81">
        <v>62298618.01046104</v>
      </c>
      <c r="Q378" s="81">
        <v>63475621.73814854</v>
      </c>
      <c r="R378" s="81">
        <v>64638015.844092675</v>
      </c>
      <c r="S378" s="81">
        <v>65784838.290577792</v>
      </c>
      <c r="T378" s="81">
        <v>66915216.035582356</v>
      </c>
      <c r="U378" s="81">
        <v>68028390.455420941</v>
      </c>
      <c r="V378" s="81">
        <v>69123698.702472493</v>
      </c>
      <c r="W378" s="81">
        <v>70200599.290013209</v>
      </c>
      <c r="X378" s="81">
        <v>71258671.125606984</v>
      </c>
      <c r="Y378" s="81">
        <v>72297611.83536461</v>
      </c>
      <c r="Z378" s="81">
        <v>73317293.907148391</v>
      </c>
      <c r="AA378" s="81">
        <v>74325067.215004474</v>
      </c>
      <c r="AB378" s="81">
        <v>75312819.006554872</v>
      </c>
      <c r="AC378" s="81">
        <v>76280862.332318589</v>
      </c>
      <c r="AD378" s="81">
        <v>77229703.743269965</v>
      </c>
      <c r="AE378" s="81">
        <v>78160021.964102954</v>
      </c>
      <c r="AF378" s="81">
        <v>79072686.609495223</v>
      </c>
      <c r="AG378" s="81">
        <v>79968788.736736417</v>
      </c>
      <c r="AH378" s="81">
        <v>80849618.55869621</v>
      </c>
      <c r="AI378" s="81">
        <v>81716684.994408101</v>
      </c>
      <c r="AJ378" s="81">
        <v>82571736.263320029</v>
      </c>
      <c r="AK378" s="81">
        <v>83522193.418154657</v>
      </c>
      <c r="AL378" s="81">
        <v>84465051.067733988</v>
      </c>
      <c r="AM378" s="81">
        <v>85402791.028122902</v>
      </c>
      <c r="AN378" s="81">
        <v>86338189.320029721</v>
      </c>
      <c r="AO378" s="81">
        <v>87274303.807800591</v>
      </c>
      <c r="AP378" s="81">
        <v>88214509.123800322</v>
      </c>
      <c r="AQ378" s="81">
        <v>89162496.388875261</v>
      </c>
      <c r="AR378" s="81">
        <v>90122297.350462139</v>
      </c>
      <c r="AS378" s="81">
        <v>91098284.058760449</v>
      </c>
      <c r="AT378" s="81">
        <v>92095167.628939569</v>
      </c>
    </row>
    <row r="379" spans="1:46" ht="15.75">
      <c r="A379" s="81" t="s">
        <v>448</v>
      </c>
      <c r="B379" s="80">
        <v>130600</v>
      </c>
      <c r="C379" s="80" t="s">
        <v>438</v>
      </c>
      <c r="D379" s="84" t="s">
        <v>822</v>
      </c>
      <c r="E379" s="81">
        <v>80466704.854573131</v>
      </c>
      <c r="F379" s="81">
        <v>83459431.472118959</v>
      </c>
      <c r="G379" s="81">
        <v>86119134.580314755</v>
      </c>
      <c r="H379" s="81">
        <v>88795912.448842928</v>
      </c>
      <c r="I379" s="81">
        <v>91486740.195931733</v>
      </c>
      <c r="J379" s="81">
        <v>94188557.086404577</v>
      </c>
      <c r="K379" s="81">
        <v>96898310.808075741</v>
      </c>
      <c r="L379" s="81">
        <v>99612948.247361839</v>
      </c>
      <c r="M379" s="81">
        <v>102329454.8918142</v>
      </c>
      <c r="N379" s="81">
        <v>105044836.76396474</v>
      </c>
      <c r="O379" s="81">
        <v>107756179.21654537</v>
      </c>
      <c r="P379" s="81">
        <v>110460620.18859692</v>
      </c>
      <c r="Q379" s="81">
        <v>112902849.9459832</v>
      </c>
      <c r="R379" s="81">
        <v>115321685.89062718</v>
      </c>
      <c r="S379" s="81">
        <v>117714899.98782855</v>
      </c>
      <c r="T379" s="81">
        <v>120080416.25408439</v>
      </c>
      <c r="U379" s="81">
        <v>122416346.93030453</v>
      </c>
      <c r="V379" s="81">
        <v>124721010.55653104</v>
      </c>
      <c r="W379" s="81">
        <v>126992918.57014057</v>
      </c>
      <c r="X379" s="81">
        <v>129230845.19476518</v>
      </c>
      <c r="Y379" s="81">
        <v>131433793.5204165</v>
      </c>
      <c r="Z379" s="81">
        <v>133601068.14096889</v>
      </c>
      <c r="AA379" s="81">
        <v>135877371.54625335</v>
      </c>
      <c r="AB379" s="81">
        <v>138115132.1116572</v>
      </c>
      <c r="AC379" s="81">
        <v>140314458.39506269</v>
      </c>
      <c r="AD379" s="81">
        <v>142475832.14554194</v>
      </c>
      <c r="AE379" s="81">
        <v>144600105.71079108</v>
      </c>
      <c r="AF379" s="81">
        <v>146688572.49302176</v>
      </c>
      <c r="AG379" s="81">
        <v>148742927.99350661</v>
      </c>
      <c r="AH379" s="81">
        <v>150765354.63985646</v>
      </c>
      <c r="AI379" s="81">
        <v>152758454.7184363</v>
      </c>
      <c r="AJ379" s="81">
        <v>154725389.78891799</v>
      </c>
      <c r="AK379" s="81">
        <v>157019986.1643385</v>
      </c>
      <c r="AL379" s="81">
        <v>159296045.24521768</v>
      </c>
      <c r="AM379" s="81">
        <v>161558272.99233118</v>
      </c>
      <c r="AN379" s="81">
        <v>163812028.43208158</v>
      </c>
      <c r="AO379" s="81">
        <v>166063323.20321858</v>
      </c>
      <c r="AP379" s="81">
        <v>168318893.74109736</v>
      </c>
      <c r="AQ379" s="81">
        <v>170586171.15362155</v>
      </c>
      <c r="AR379" s="81">
        <v>172873385.74773958</v>
      </c>
      <c r="AS379" s="81">
        <v>175189536.89232486</v>
      </c>
      <c r="AT379" s="81">
        <v>177544437.66887569</v>
      </c>
    </row>
    <row r="380" spans="1:46" ht="15.75">
      <c r="A380" s="81" t="s">
        <v>448</v>
      </c>
      <c r="B380" s="80">
        <v>130700</v>
      </c>
      <c r="C380" s="80" t="s">
        <v>438</v>
      </c>
      <c r="D380" s="84" t="s">
        <v>821</v>
      </c>
      <c r="E380" s="81">
        <v>24559396.88620726</v>
      </c>
      <c r="F380" s="81">
        <v>25297203.903011668</v>
      </c>
      <c r="G380" s="81">
        <v>25911743.90878237</v>
      </c>
      <c r="H380" s="81">
        <v>26527565.612627849</v>
      </c>
      <c r="I380" s="81">
        <v>27143375.844913818</v>
      </c>
      <c r="J380" s="81">
        <v>27757892.077984147</v>
      </c>
      <c r="K380" s="81">
        <v>28369836.64908861</v>
      </c>
      <c r="L380" s="81">
        <v>28977943.527776875</v>
      </c>
      <c r="M380" s="81">
        <v>29580979.56377415</v>
      </c>
      <c r="N380" s="81">
        <v>30177738.705710456</v>
      </c>
      <c r="O380" s="81">
        <v>30767056.976632006</v>
      </c>
      <c r="P380" s="81">
        <v>31347813.497249741</v>
      </c>
      <c r="Q380" s="81">
        <v>31816854.454070199</v>
      </c>
      <c r="R380" s="81">
        <v>32273282.092242017</v>
      </c>
      <c r="S380" s="81">
        <v>32716337.073699199</v>
      </c>
      <c r="T380" s="81">
        <v>33145344.764656685</v>
      </c>
      <c r="U380" s="81">
        <v>33559747.358492613</v>
      </c>
      <c r="V380" s="81">
        <v>33959063.738093361</v>
      </c>
      <c r="W380" s="81">
        <v>34342954.499296732</v>
      </c>
      <c r="X380" s="81">
        <v>34711189.808907568</v>
      </c>
      <c r="Y380" s="81">
        <v>35063674.393653169</v>
      </c>
      <c r="Z380" s="81">
        <v>35400456.603856996</v>
      </c>
      <c r="AA380" s="81">
        <v>35725280.425785281</v>
      </c>
      <c r="AB380" s="81">
        <v>36034492.528860837</v>
      </c>
      <c r="AC380" s="81">
        <v>36328623.580444835</v>
      </c>
      <c r="AD380" s="81">
        <v>36608395.817703135</v>
      </c>
      <c r="AE380" s="81">
        <v>36874695.53774894</v>
      </c>
      <c r="AF380" s="81">
        <v>37128629.171090223</v>
      </c>
      <c r="AG380" s="81">
        <v>37371505.423028074</v>
      </c>
      <c r="AH380" s="81">
        <v>37604844.824986897</v>
      </c>
      <c r="AI380" s="81">
        <v>37830419.575538509</v>
      </c>
      <c r="AJ380" s="81">
        <v>38050204.321539499</v>
      </c>
      <c r="AK380" s="81">
        <v>38314828.391519152</v>
      </c>
      <c r="AL380" s="81">
        <v>38578092.262139536</v>
      </c>
      <c r="AM380" s="81">
        <v>38842777.139526814</v>
      </c>
      <c r="AN380" s="81">
        <v>39111995.563490212</v>
      </c>
      <c r="AO380" s="81">
        <v>39389140.376331732</v>
      </c>
      <c r="AP380" s="81">
        <v>39677928.354744449</v>
      </c>
      <c r="AQ380" s="81">
        <v>39982435.552722394</v>
      </c>
      <c r="AR380" s="81">
        <v>40307031.708727553</v>
      </c>
      <c r="AS380" s="81">
        <v>40656517.04352238</v>
      </c>
      <c r="AT380" s="81">
        <v>41035999.125913613</v>
      </c>
    </row>
    <row r="381" spans="1:46" ht="15.75">
      <c r="A381" s="81" t="s">
        <v>448</v>
      </c>
      <c r="B381" s="80">
        <v>130800</v>
      </c>
      <c r="C381" s="80" t="s">
        <v>438</v>
      </c>
      <c r="D381" s="84" t="s">
        <v>820</v>
      </c>
      <c r="E381" s="81">
        <v>19981253.411130525</v>
      </c>
      <c r="F381" s="81">
        <v>20602359.105755232</v>
      </c>
      <c r="G381" s="81">
        <v>21127659.024930019</v>
      </c>
      <c r="H381" s="81">
        <v>21658289.222760752</v>
      </c>
      <c r="I381" s="81">
        <v>22192957.896704692</v>
      </c>
      <c r="J381" s="81">
        <v>22730391.380167928</v>
      </c>
      <c r="K381" s="81">
        <v>23269289.536784813</v>
      </c>
      <c r="L381" s="81">
        <v>23808372.316333331</v>
      </c>
      <c r="M381" s="81">
        <v>24346367.668168269</v>
      </c>
      <c r="N381" s="81">
        <v>24882011.7167743</v>
      </c>
      <c r="O381" s="81">
        <v>25414085.345297199</v>
      </c>
      <c r="P381" s="81">
        <v>25941379.096965574</v>
      </c>
      <c r="Q381" s="81">
        <v>26378107.711978234</v>
      </c>
      <c r="R381" s="81">
        <v>26805842.260794397</v>
      </c>
      <c r="S381" s="81">
        <v>27223665.785231784</v>
      </c>
      <c r="T381" s="81">
        <v>27630761.123788461</v>
      </c>
      <c r="U381" s="81">
        <v>28026371.689100631</v>
      </c>
      <c r="V381" s="81">
        <v>28409849.169058107</v>
      </c>
      <c r="W381" s="81">
        <v>28780663.069781449</v>
      </c>
      <c r="X381" s="81">
        <v>29138376.208381675</v>
      </c>
      <c r="Y381" s="81">
        <v>29482695.491932523</v>
      </c>
      <c r="Z381" s="81">
        <v>29813438.550761398</v>
      </c>
      <c r="AA381" s="81">
        <v>30133556.518284164</v>
      </c>
      <c r="AB381" s="81">
        <v>30439813.403405879</v>
      </c>
      <c r="AC381" s="81">
        <v>30732485.754209898</v>
      </c>
      <c r="AD381" s="81">
        <v>31012025.880204659</v>
      </c>
      <c r="AE381" s="81">
        <v>31279072.113249801</v>
      </c>
      <c r="AF381" s="81">
        <v>31534439.958266485</v>
      </c>
      <c r="AG381" s="81">
        <v>31779170.386144057</v>
      </c>
      <c r="AH381" s="81">
        <v>32014512.210611042</v>
      </c>
      <c r="AI381" s="81">
        <v>32241902.138209745</v>
      </c>
      <c r="AJ381" s="81">
        <v>32463064.736689355</v>
      </c>
      <c r="AK381" s="81">
        <v>32721225.172949579</v>
      </c>
      <c r="AL381" s="81">
        <v>32977074.517577957</v>
      </c>
      <c r="AM381" s="81">
        <v>33233075.96786496</v>
      </c>
      <c r="AN381" s="81">
        <v>33491999.304903831</v>
      </c>
      <c r="AO381" s="81">
        <v>33756912.778569631</v>
      </c>
      <c r="AP381" s="81">
        <v>34031184.417773083</v>
      </c>
      <c r="AQ381" s="81">
        <v>34318538.993922353</v>
      </c>
      <c r="AR381" s="81">
        <v>34623015.957164273</v>
      </c>
      <c r="AS381" s="81">
        <v>34949050.448100217</v>
      </c>
      <c r="AT381" s="81">
        <v>35301395.495000727</v>
      </c>
    </row>
    <row r="382" spans="1:46" ht="15.75">
      <c r="A382" s="81" t="s">
        <v>448</v>
      </c>
      <c r="B382" s="80">
        <v>130900</v>
      </c>
      <c r="C382" s="80" t="s">
        <v>438</v>
      </c>
      <c r="D382" s="84" t="s">
        <v>819</v>
      </c>
      <c r="E382" s="81">
        <v>48049204.179422483</v>
      </c>
      <c r="F382" s="81">
        <v>49588574.195346653</v>
      </c>
      <c r="G382" s="81">
        <v>50897414.130014233</v>
      </c>
      <c r="H382" s="81">
        <v>52219646.631160267</v>
      </c>
      <c r="I382" s="81">
        <v>53552956.535409354</v>
      </c>
      <c r="J382" s="81">
        <v>54895007.909856685</v>
      </c>
      <c r="K382" s="81">
        <v>56243471.067151189</v>
      </c>
      <c r="L382" s="81">
        <v>57595990.311722472</v>
      </c>
      <c r="M382" s="81">
        <v>58950240.91902408</v>
      </c>
      <c r="N382" s="81">
        <v>60303912.030411303</v>
      </c>
      <c r="O382" s="81">
        <v>61654743.521871977</v>
      </c>
      <c r="P382" s="81">
        <v>63000516.176217034</v>
      </c>
      <c r="Q382" s="81">
        <v>64133264.342303336</v>
      </c>
      <c r="R382" s="81">
        <v>65251455.701193228</v>
      </c>
      <c r="S382" s="81">
        <v>66353337.06182687</v>
      </c>
      <c r="T382" s="81">
        <v>67437315.226091579</v>
      </c>
      <c r="U382" s="81">
        <v>68501937.081611976</v>
      </c>
      <c r="V382" s="81">
        <v>69545903.366485074</v>
      </c>
      <c r="W382" s="81">
        <v>70568082.721584111</v>
      </c>
      <c r="X382" s="81">
        <v>71567535.498408794</v>
      </c>
      <c r="Y382" s="81">
        <v>72543529.109271511</v>
      </c>
      <c r="Z382" s="81">
        <v>73495553.679430664</v>
      </c>
      <c r="AA382" s="81">
        <v>74430699.283761948</v>
      </c>
      <c r="AB382" s="81">
        <v>75340637.794750363</v>
      </c>
      <c r="AC382" s="81">
        <v>76225593.206203908</v>
      </c>
      <c r="AD382" s="81">
        <v>77086088.661725298</v>
      </c>
      <c r="AE382" s="81">
        <v>77922953.726471081</v>
      </c>
      <c r="AF382" s="81">
        <v>78737299.060538113</v>
      </c>
      <c r="AG382" s="81">
        <v>79530628.199310213</v>
      </c>
      <c r="AH382" s="81">
        <v>80304749.566161737</v>
      </c>
      <c r="AI382" s="81">
        <v>81061868.523527697</v>
      </c>
      <c r="AJ382" s="81">
        <v>81804562.162563354</v>
      </c>
      <c r="AK382" s="81">
        <v>82640129.144923449</v>
      </c>
      <c r="AL382" s="81">
        <v>83467620.019788563</v>
      </c>
      <c r="AM382" s="81">
        <v>84290858.776448011</v>
      </c>
      <c r="AN382" s="81">
        <v>85114193.844746813</v>
      </c>
      <c r="AO382" s="81">
        <v>85942461.691243589</v>
      </c>
      <c r="AP382" s="81">
        <v>86781043.964338094</v>
      </c>
      <c r="AQ382" s="81">
        <v>87635840.706482559</v>
      </c>
      <c r="AR382" s="81">
        <v>88513366.236331731</v>
      </c>
      <c r="AS382" s="81">
        <v>89420697.647223398</v>
      </c>
      <c r="AT382" s="81">
        <v>90365534.363654718</v>
      </c>
    </row>
    <row r="383" spans="1:46" ht="15.75">
      <c r="A383" s="81" t="s">
        <v>448</v>
      </c>
      <c r="B383" s="80">
        <v>131000</v>
      </c>
      <c r="C383" s="80" t="s">
        <v>438</v>
      </c>
      <c r="D383" s="84" t="s">
        <v>818</v>
      </c>
      <c r="E383" s="81">
        <v>37519821.599640831</v>
      </c>
      <c r="F383" s="81">
        <v>38890783.533627868</v>
      </c>
      <c r="G383" s="81">
        <v>40055225.134013973</v>
      </c>
      <c r="H383" s="81">
        <v>41205158.704798736</v>
      </c>
      <c r="I383" s="81">
        <v>42340410.520636961</v>
      </c>
      <c r="J383" s="81">
        <v>43460886.333204091</v>
      </c>
      <c r="K383" s="81">
        <v>44566540.07769645</v>
      </c>
      <c r="L383" s="81">
        <v>45657386.9750508</v>
      </c>
      <c r="M383" s="81">
        <v>46733493.672055684</v>
      </c>
      <c r="N383" s="81">
        <v>47794992.42460303</v>
      </c>
      <c r="O383" s="81">
        <v>48842045.651109375</v>
      </c>
      <c r="P383" s="81">
        <v>49874876.214163825</v>
      </c>
      <c r="Q383" s="81">
        <v>50730950.302876942</v>
      </c>
      <c r="R383" s="81">
        <v>51569473.582699873</v>
      </c>
      <c r="S383" s="81">
        <v>52391027.963477992</v>
      </c>
      <c r="T383" s="81">
        <v>53196188.304346323</v>
      </c>
      <c r="U383" s="81">
        <v>53985563.587011345</v>
      </c>
      <c r="V383" s="81">
        <v>54759803.891459875</v>
      </c>
      <c r="W383" s="81">
        <v>55519539.782111697</v>
      </c>
      <c r="X383" s="81">
        <v>56265425.336302549</v>
      </c>
      <c r="Y383" s="81">
        <v>56998115.041662335</v>
      </c>
      <c r="Z383" s="81">
        <v>57718269.449166216</v>
      </c>
      <c r="AA383" s="81">
        <v>58432335.446076855</v>
      </c>
      <c r="AB383" s="81">
        <v>59134454.433262452</v>
      </c>
      <c r="AC383" s="81">
        <v>59825251.852344632</v>
      </c>
      <c r="AD383" s="81">
        <v>60505352.967638068</v>
      </c>
      <c r="AE383" s="81">
        <v>61175368.114522338</v>
      </c>
      <c r="AF383" s="81">
        <v>61835854.583937265</v>
      </c>
      <c r="AG383" s="81">
        <v>62487388.791232869</v>
      </c>
      <c r="AH383" s="81">
        <v>63130461.285245799</v>
      </c>
      <c r="AI383" s="81">
        <v>63765537.706928566</v>
      </c>
      <c r="AJ383" s="81">
        <v>64393054.577180594</v>
      </c>
      <c r="AK383" s="81">
        <v>65095531.932425208</v>
      </c>
      <c r="AL383" s="81">
        <v>65791176.921619326</v>
      </c>
      <c r="AM383" s="81">
        <v>66480211.616668105</v>
      </c>
      <c r="AN383" s="81">
        <v>67162771.485387772</v>
      </c>
      <c r="AO383" s="81">
        <v>67838973.849576995</v>
      </c>
      <c r="AP383" s="81">
        <v>68508799.373233855</v>
      </c>
      <c r="AQ383" s="81">
        <v>69172159.747045115</v>
      </c>
      <c r="AR383" s="81">
        <v>69828892.273665473</v>
      </c>
      <c r="AS383" s="81">
        <v>70478700.55039598</v>
      </c>
      <c r="AT383" s="81">
        <v>71121213.320688456</v>
      </c>
    </row>
    <row r="384" spans="1:46" ht="15.75">
      <c r="A384" s="81" t="s">
        <v>448</v>
      </c>
      <c r="B384" s="80">
        <v>131100</v>
      </c>
      <c r="C384" s="80" t="s">
        <v>438</v>
      </c>
      <c r="D384" s="84" t="s">
        <v>817</v>
      </c>
      <c r="E384" s="81">
        <v>25046133.194227491</v>
      </c>
      <c r="F384" s="81">
        <v>25874817.579426248</v>
      </c>
      <c r="G384" s="81">
        <v>26575632.137463462</v>
      </c>
      <c r="H384" s="81">
        <v>27275990.620708063</v>
      </c>
      <c r="I384" s="81">
        <v>27974982.041643292</v>
      </c>
      <c r="J384" s="81">
        <v>28671714.424916673</v>
      </c>
      <c r="K384" s="81">
        <v>29365306.281587958</v>
      </c>
      <c r="L384" s="81">
        <v>30054897.465687934</v>
      </c>
      <c r="M384" s="81">
        <v>30739661.016365916</v>
      </c>
      <c r="N384" s="81">
        <v>31418794.252701815</v>
      </c>
      <c r="O384" s="81">
        <v>32091530.495410386</v>
      </c>
      <c r="P384" s="81">
        <v>32757151.800111994</v>
      </c>
      <c r="Q384" s="81">
        <v>33308094.400452755</v>
      </c>
      <c r="R384" s="81">
        <v>33848121.846423715</v>
      </c>
      <c r="S384" s="81">
        <v>34376817.249269143</v>
      </c>
      <c r="T384" s="81">
        <v>34893821.628123812</v>
      </c>
      <c r="U384" s="81">
        <v>35398846.239634171</v>
      </c>
      <c r="V384" s="81">
        <v>35891685.754227549</v>
      </c>
      <c r="W384" s="81">
        <v>36372198.571350932</v>
      </c>
      <c r="X384" s="81">
        <v>36840353.392083004</v>
      </c>
      <c r="Y384" s="81">
        <v>37296184.165771246</v>
      </c>
      <c r="Z384" s="81">
        <v>37739837.48953151</v>
      </c>
      <c r="AA384" s="81">
        <v>38175329.173062004</v>
      </c>
      <c r="AB384" s="81">
        <v>38598747.734385379</v>
      </c>
      <c r="AC384" s="81">
        <v>39010562.007786147</v>
      </c>
      <c r="AD384" s="81">
        <v>39411331.731559061</v>
      </c>
      <c r="AE384" s="81">
        <v>39801777.589352086</v>
      </c>
      <c r="AF384" s="81">
        <v>40182722.167080432</v>
      </c>
      <c r="AG384" s="81">
        <v>40555142.518222928</v>
      </c>
      <c r="AH384" s="81">
        <v>40920147.642212018</v>
      </c>
      <c r="AI384" s="81">
        <v>41278993.759779856</v>
      </c>
      <c r="AJ384" s="81">
        <v>41633080.115596049</v>
      </c>
      <c r="AK384" s="81">
        <v>42037045.302635327</v>
      </c>
      <c r="AL384" s="81">
        <v>42439475.676704109</v>
      </c>
      <c r="AM384" s="81">
        <v>42842282.558978602</v>
      </c>
      <c r="AN384" s="81">
        <v>43247576.100025058</v>
      </c>
      <c r="AO384" s="81">
        <v>43657629.264340982</v>
      </c>
      <c r="AP384" s="81">
        <v>44074949.401417226</v>
      </c>
      <c r="AQ384" s="81">
        <v>44502242.728014737</v>
      </c>
      <c r="AR384" s="81">
        <v>44942432.3370056</v>
      </c>
      <c r="AS384" s="81">
        <v>45398665.642739207</v>
      </c>
      <c r="AT384" s="81">
        <v>45874321.918648474</v>
      </c>
    </row>
    <row r="385" spans="1:46" ht="15.75">
      <c r="A385" s="81" t="s">
        <v>448</v>
      </c>
      <c r="B385" s="80">
        <v>140100</v>
      </c>
      <c r="C385" s="80" t="s">
        <v>437</v>
      </c>
      <c r="D385" s="84" t="s">
        <v>816</v>
      </c>
      <c r="E385" s="81">
        <v>37245954.88287399</v>
      </c>
      <c r="F385" s="81">
        <v>38835443.773397356</v>
      </c>
      <c r="G385" s="81">
        <v>40228568.063934572</v>
      </c>
      <c r="H385" s="81">
        <v>41598102.207543366</v>
      </c>
      <c r="I385" s="81">
        <v>42944164.052941784</v>
      </c>
      <c r="J385" s="81">
        <v>44267022.52290792</v>
      </c>
      <c r="K385" s="81">
        <v>45567044.408694014</v>
      </c>
      <c r="L385" s="81">
        <v>46844735.104714945</v>
      </c>
      <c r="M385" s="81">
        <v>48100699.243351206</v>
      </c>
      <c r="N385" s="81">
        <v>49335649.147587575</v>
      </c>
      <c r="O385" s="81">
        <v>50550396.973430179</v>
      </c>
      <c r="P385" s="81">
        <v>51745818.561288543</v>
      </c>
      <c r="Q385" s="81">
        <v>52787435.877490282</v>
      </c>
      <c r="R385" s="81">
        <v>53807015.899318501</v>
      </c>
      <c r="S385" s="81">
        <v>54805883.080057397</v>
      </c>
      <c r="T385" s="81">
        <v>55785347.622513145</v>
      </c>
      <c r="U385" s="81">
        <v>56746770.586001359</v>
      </c>
      <c r="V385" s="81">
        <v>57691503.03175617</v>
      </c>
      <c r="W385" s="81">
        <v>58620892.970600128</v>
      </c>
      <c r="X385" s="81">
        <v>59536262.032315053</v>
      </c>
      <c r="Y385" s="81">
        <v>60438902.471929036</v>
      </c>
      <c r="Z385" s="81">
        <v>61330030.542577572</v>
      </c>
      <c r="AA385" s="81">
        <v>62256912.953353882</v>
      </c>
      <c r="AB385" s="81">
        <v>63173538.390363365</v>
      </c>
      <c r="AC385" s="81">
        <v>64080894.839847937</v>
      </c>
      <c r="AD385" s="81">
        <v>64979884.903008156</v>
      </c>
      <c r="AE385" s="81">
        <v>65871250.273058467</v>
      </c>
      <c r="AF385" s="81">
        <v>66755625.367411174</v>
      </c>
      <c r="AG385" s="81">
        <v>67633497.752510622</v>
      </c>
      <c r="AH385" s="81">
        <v>68505153.014288604</v>
      </c>
      <c r="AI385" s="81">
        <v>69370706.274191618</v>
      </c>
      <c r="AJ385" s="81">
        <v>70230059.372086138</v>
      </c>
      <c r="AK385" s="81">
        <v>71218380.380675808</v>
      </c>
      <c r="AL385" s="81">
        <v>72199691.31067118</v>
      </c>
      <c r="AM385" s="81">
        <v>73173125.316799507</v>
      </c>
      <c r="AN385" s="81">
        <v>74137505.949894696</v>
      </c>
      <c r="AO385" s="81">
        <v>75091366.455170512</v>
      </c>
      <c r="AP385" s="81">
        <v>76032885.268270388</v>
      </c>
      <c r="AQ385" s="81">
        <v>76959891.131129608</v>
      </c>
      <c r="AR385" s="81">
        <v>77869840.518828079</v>
      </c>
      <c r="AS385" s="81">
        <v>78759779.309611678</v>
      </c>
      <c r="AT385" s="81">
        <v>79626302.570429727</v>
      </c>
    </row>
    <row r="386" spans="1:46" ht="15.75">
      <c r="A386" s="81" t="s">
        <v>448</v>
      </c>
      <c r="B386" s="80">
        <v>140200</v>
      </c>
      <c r="C386" s="80" t="s">
        <v>437</v>
      </c>
      <c r="D386" s="84" t="s">
        <v>815</v>
      </c>
      <c r="E386" s="81">
        <v>18881536.050495975</v>
      </c>
      <c r="F386" s="81">
        <v>19615132.42450789</v>
      </c>
      <c r="G386" s="81">
        <v>20261977.145689886</v>
      </c>
      <c r="H386" s="81">
        <v>20908706.416583784</v>
      </c>
      <c r="I386" s="81">
        <v>21554381.037231881</v>
      </c>
      <c r="J386" s="81">
        <v>22198058.94184012</v>
      </c>
      <c r="K386" s="81">
        <v>22838833.897294141</v>
      </c>
      <c r="L386" s="81">
        <v>23475799.142082434</v>
      </c>
      <c r="M386" s="81">
        <v>24108087.239518214</v>
      </c>
      <c r="N386" s="81">
        <v>24734861.736951169</v>
      </c>
      <c r="O386" s="81">
        <v>25355314.783002935</v>
      </c>
      <c r="P386" s="81">
        <v>25968695.766757593</v>
      </c>
      <c r="Q386" s="81">
        <v>26506266.289972905</v>
      </c>
      <c r="R386" s="81">
        <v>27032955.109974828</v>
      </c>
      <c r="S386" s="81">
        <v>27548290.557950705</v>
      </c>
      <c r="T386" s="81">
        <v>28051853.718070041</v>
      </c>
      <c r="U386" s="81">
        <v>28543317.26014724</v>
      </c>
      <c r="V386" s="81">
        <v>29022434.666944332</v>
      </c>
      <c r="W386" s="81">
        <v>29489045.825826805</v>
      </c>
      <c r="X386" s="81">
        <v>29943082.725309264</v>
      </c>
      <c r="Y386" s="81">
        <v>30384565.842323087</v>
      </c>
      <c r="Z386" s="81">
        <v>30813647.53941441</v>
      </c>
      <c r="AA386" s="81">
        <v>31253692.383175991</v>
      </c>
      <c r="AB386" s="81">
        <v>31681389.117588181</v>
      </c>
      <c r="AC386" s="81">
        <v>32097192.755385548</v>
      </c>
      <c r="AD386" s="81">
        <v>32501710.64740878</v>
      </c>
      <c r="AE386" s="81">
        <v>32895700.302070625</v>
      </c>
      <c r="AF386" s="81">
        <v>33280055.613466255</v>
      </c>
      <c r="AG386" s="81">
        <v>33655801.855278</v>
      </c>
      <c r="AH386" s="81">
        <v>34024177.687110394</v>
      </c>
      <c r="AI386" s="81">
        <v>34386545.925505131</v>
      </c>
      <c r="AJ386" s="81">
        <v>34744453.738964342</v>
      </c>
      <c r="AK386" s="81">
        <v>35166552.637807257</v>
      </c>
      <c r="AL386" s="81">
        <v>35587676.339968555</v>
      </c>
      <c r="AM386" s="81">
        <v>36009942.136582218</v>
      </c>
      <c r="AN386" s="81">
        <v>36435734.205402523</v>
      </c>
      <c r="AO386" s="81">
        <v>36867629.410022654</v>
      </c>
      <c r="AP386" s="81">
        <v>37308453.251112409</v>
      </c>
      <c r="AQ386" s="81">
        <v>37761302.487664007</v>
      </c>
      <c r="AR386" s="81">
        <v>38229503.893281862</v>
      </c>
      <c r="AS386" s="81">
        <v>38716647.607969895</v>
      </c>
      <c r="AT386" s="81">
        <v>39226623.179984517</v>
      </c>
    </row>
    <row r="387" spans="1:46" ht="15.75">
      <c r="A387" s="81" t="s">
        <v>448</v>
      </c>
      <c r="B387" s="80">
        <v>140300</v>
      </c>
      <c r="C387" s="80" t="s">
        <v>437</v>
      </c>
      <c r="D387" s="84" t="s">
        <v>814</v>
      </c>
      <c r="E387" s="81">
        <v>7607593.8184131607</v>
      </c>
      <c r="F387" s="81">
        <v>7885821.7821620842</v>
      </c>
      <c r="G387" s="81">
        <v>8128669.3550364804</v>
      </c>
      <c r="H387" s="81">
        <v>8371066.7544519082</v>
      </c>
      <c r="I387" s="81">
        <v>8612651.4277341887</v>
      </c>
      <c r="J387" s="81">
        <v>8853068.7974360697</v>
      </c>
      <c r="K387" s="81">
        <v>9091974.5132901557</v>
      </c>
      <c r="L387" s="81">
        <v>9329009.1776675209</v>
      </c>
      <c r="M387" s="81">
        <v>9563854.0564035401</v>
      </c>
      <c r="N387" s="81">
        <v>9796171.7239691205</v>
      </c>
      <c r="O387" s="81">
        <v>10025663.645097522</v>
      </c>
      <c r="P387" s="81">
        <v>10252029.908324851</v>
      </c>
      <c r="Q387" s="81">
        <v>10448188.333013557</v>
      </c>
      <c r="R387" s="81">
        <v>10639793.766100446</v>
      </c>
      <c r="S387" s="81">
        <v>10826674.950070439</v>
      </c>
      <c r="T387" s="81">
        <v>11008668.266474225</v>
      </c>
      <c r="U387" s="81">
        <v>11185626.265191905</v>
      </c>
      <c r="V387" s="81">
        <v>11357452.459488818</v>
      </c>
      <c r="W387" s="81">
        <v>11524070.995864309</v>
      </c>
      <c r="X387" s="81">
        <v>11685445.243125267</v>
      </c>
      <c r="Y387" s="81">
        <v>11841562.610873749</v>
      </c>
      <c r="Z387" s="81">
        <v>11992453.819546528</v>
      </c>
      <c r="AA387" s="81">
        <v>12147185.538781898</v>
      </c>
      <c r="AB387" s="81">
        <v>12296642.088109029</v>
      </c>
      <c r="AC387" s="81">
        <v>12440975.053984331</v>
      </c>
      <c r="AD387" s="81">
        <v>12580390.705139305</v>
      </c>
      <c r="AE387" s="81">
        <v>12715143.038160238</v>
      </c>
      <c r="AF387" s="81">
        <v>12845525.848366693</v>
      </c>
      <c r="AG387" s="81">
        <v>12971925.286665561</v>
      </c>
      <c r="AH387" s="81">
        <v>13094742.143609429</v>
      </c>
      <c r="AI387" s="81">
        <v>13214464.799848115</v>
      </c>
      <c r="AJ387" s="81">
        <v>13331631.02838752</v>
      </c>
      <c r="AK387" s="81">
        <v>13472503.130343238</v>
      </c>
      <c r="AL387" s="81">
        <v>13611948.551295541</v>
      </c>
      <c r="AM387" s="81">
        <v>13750735.770521453</v>
      </c>
      <c r="AN387" s="81">
        <v>13889710.268448442</v>
      </c>
      <c r="AO387" s="81">
        <v>14029762.054073395</v>
      </c>
      <c r="AP387" s="81">
        <v>14171921.133796399</v>
      </c>
      <c r="AQ387" s="81">
        <v>14317280.289072867</v>
      </c>
      <c r="AR387" s="81">
        <v>14466995.962068226</v>
      </c>
      <c r="AS387" s="81">
        <v>14622389.699741472</v>
      </c>
      <c r="AT387" s="81">
        <v>14784816.756356865</v>
      </c>
    </row>
    <row r="388" spans="1:46" ht="15.75">
      <c r="A388" s="81" t="s">
        <v>448</v>
      </c>
      <c r="B388" s="80">
        <v>140400</v>
      </c>
      <c r="C388" s="80" t="s">
        <v>437</v>
      </c>
      <c r="D388" s="84" t="s">
        <v>813</v>
      </c>
      <c r="E388" s="81">
        <v>19342477.447535332</v>
      </c>
      <c r="F388" s="81">
        <v>20091155.384475425</v>
      </c>
      <c r="G388" s="81">
        <v>20753239.211486574</v>
      </c>
      <c r="H388" s="81">
        <v>21417400.191362187</v>
      </c>
      <c r="I388" s="81">
        <v>22082574.343990371</v>
      </c>
      <c r="J388" s="81">
        <v>22747700.449175455</v>
      </c>
      <c r="K388" s="81">
        <v>23411732.817875773</v>
      </c>
      <c r="L388" s="81">
        <v>24073633.424595166</v>
      </c>
      <c r="M388" s="81">
        <v>24732392.1002579</v>
      </c>
      <c r="N388" s="81">
        <v>25387010.830752451</v>
      </c>
      <c r="O388" s="81">
        <v>26036532.008144565</v>
      </c>
      <c r="P388" s="81">
        <v>26680046.065706816</v>
      </c>
      <c r="Q388" s="81">
        <v>27246762.891481783</v>
      </c>
      <c r="R388" s="81">
        <v>27803182.916321773</v>
      </c>
      <c r="S388" s="81">
        <v>28348691.354596347</v>
      </c>
      <c r="T388" s="81">
        <v>28882689.475955974</v>
      </c>
      <c r="U388" s="81">
        <v>29404718.46655418</v>
      </c>
      <c r="V388" s="81">
        <v>29914364.825431183</v>
      </c>
      <c r="W388" s="81">
        <v>30411326.972584788</v>
      </c>
      <c r="X388" s="81">
        <v>30895396.279805128</v>
      </c>
      <c r="Y388" s="81">
        <v>31366482.383760884</v>
      </c>
      <c r="Z388" s="81">
        <v>31824602.291177541</v>
      </c>
      <c r="AA388" s="81">
        <v>32293806.691399813</v>
      </c>
      <c r="AB388" s="81">
        <v>32749900.108800925</v>
      </c>
      <c r="AC388" s="81">
        <v>33193294.086339947</v>
      </c>
      <c r="AD388" s="81">
        <v>33624511.99102328</v>
      </c>
      <c r="AE388" s="81">
        <v>34044277.439181417</v>
      </c>
      <c r="AF388" s="81">
        <v>34453441.144523054</v>
      </c>
      <c r="AG388" s="81">
        <v>34853072.432981424</v>
      </c>
      <c r="AH388" s="81">
        <v>35244394.491635613</v>
      </c>
      <c r="AI388" s="81">
        <v>35628835.177915782</v>
      </c>
      <c r="AJ388" s="81">
        <v>36008014.100473456</v>
      </c>
      <c r="AK388" s="81">
        <v>36453133.408368476</v>
      </c>
      <c r="AL388" s="81">
        <v>36896710.756576173</v>
      </c>
      <c r="AM388" s="81">
        <v>37341065.653236359</v>
      </c>
      <c r="AN388" s="81">
        <v>37788739.863405168</v>
      </c>
      <c r="AO388" s="81">
        <v>38242591.976885974</v>
      </c>
      <c r="AP388" s="81">
        <v>38705686.336195953</v>
      </c>
      <c r="AQ388" s="81">
        <v>39181451.867167085</v>
      </c>
      <c r="AR388" s="81">
        <v>39673569.189193971</v>
      </c>
      <c r="AS388" s="81">
        <v>40186057.376389794</v>
      </c>
      <c r="AT388" s="81">
        <v>40723233.715918019</v>
      </c>
    </row>
    <row r="389" spans="1:46" ht="15.75">
      <c r="A389" s="81" t="s">
        <v>448</v>
      </c>
      <c r="B389" s="80">
        <v>140500</v>
      </c>
      <c r="C389" s="80" t="s">
        <v>437</v>
      </c>
      <c r="D389" s="84" t="s">
        <v>812</v>
      </c>
      <c r="E389" s="81">
        <v>12618753.940924071</v>
      </c>
      <c r="F389" s="81">
        <v>13125551.000662807</v>
      </c>
      <c r="G389" s="81">
        <v>13572679.155529162</v>
      </c>
      <c r="H389" s="81">
        <v>14018008.487927319</v>
      </c>
      <c r="I389" s="81">
        <v>14460918.682246784</v>
      </c>
      <c r="J389" s="81">
        <v>14900768.091675267</v>
      </c>
      <c r="K389" s="81">
        <v>15336966.699558381</v>
      </c>
      <c r="L389" s="81">
        <v>15768928.314061377</v>
      </c>
      <c r="M389" s="81">
        <v>16196085.954296118</v>
      </c>
      <c r="N389" s="81">
        <v>16617916.423615281</v>
      </c>
      <c r="O389" s="81">
        <v>17033930.971228857</v>
      </c>
      <c r="P389" s="81">
        <v>17443649.03208657</v>
      </c>
      <c r="Q389" s="81">
        <v>17800995.512738556</v>
      </c>
      <c r="R389" s="81">
        <v>18149642.868927922</v>
      </c>
      <c r="S389" s="81">
        <v>18489357.749666993</v>
      </c>
      <c r="T389" s="81">
        <v>18819954.260339912</v>
      </c>
      <c r="U389" s="81">
        <v>19141305.139393389</v>
      </c>
      <c r="V389" s="81">
        <v>19453353.900193848</v>
      </c>
      <c r="W389" s="81">
        <v>19756076.338525582</v>
      </c>
      <c r="X389" s="81">
        <v>20049560.099163793</v>
      </c>
      <c r="Y389" s="81">
        <v>20333923.285849653</v>
      </c>
      <c r="Z389" s="81">
        <v>20609396.158234246</v>
      </c>
      <c r="AA389" s="81">
        <v>20891725.267028086</v>
      </c>
      <c r="AB389" s="81">
        <v>21165426.469185978</v>
      </c>
      <c r="AC389" s="81">
        <v>21430966.284708954</v>
      </c>
      <c r="AD389" s="81">
        <v>21688889.040945265</v>
      </c>
      <c r="AE389" s="81">
        <v>21939829.403217643</v>
      </c>
      <c r="AF389" s="81">
        <v>22184556.182842065</v>
      </c>
      <c r="AG389" s="81">
        <v>22423907.575500224</v>
      </c>
      <c r="AH389" s="81">
        <v>22658865.14780762</v>
      </c>
      <c r="AI389" s="81">
        <v>22890507.984843273</v>
      </c>
      <c r="AJ389" s="81">
        <v>23120037.084725887</v>
      </c>
      <c r="AK389" s="81">
        <v>23393294.069718406</v>
      </c>
      <c r="AL389" s="81">
        <v>23667081.832919762</v>
      </c>
      <c r="AM389" s="81">
        <v>23943003.886012502</v>
      </c>
      <c r="AN389" s="81">
        <v>24222838.785254575</v>
      </c>
      <c r="AO389" s="81">
        <v>24508488.899864145</v>
      </c>
      <c r="AP389" s="81">
        <v>24802042.815144967</v>
      </c>
      <c r="AQ389" s="81">
        <v>25105746.553243756</v>
      </c>
      <c r="AR389" s="81">
        <v>25422020.686520655</v>
      </c>
      <c r="AS389" s="81">
        <v>25753478.735186879</v>
      </c>
      <c r="AT389" s="81">
        <v>26102870.216973078</v>
      </c>
    </row>
    <row r="390" spans="1:46" ht="15.75">
      <c r="A390" s="81" t="s">
        <v>448</v>
      </c>
      <c r="B390" s="80">
        <v>140600</v>
      </c>
      <c r="C390" s="80" t="s">
        <v>437</v>
      </c>
      <c r="D390" s="84" t="s">
        <v>811</v>
      </c>
      <c r="E390" s="81">
        <v>9140067.2830480281</v>
      </c>
      <c r="F390" s="81">
        <v>9530084.2440865468</v>
      </c>
      <c r="G390" s="81">
        <v>9879027.0722232405</v>
      </c>
      <c r="H390" s="81">
        <v>10228765.607790427</v>
      </c>
      <c r="I390" s="81">
        <v>10578803.008254869</v>
      </c>
      <c r="J390" s="81">
        <v>10928618.636102039</v>
      </c>
      <c r="K390" s="81">
        <v>11277721.104097765</v>
      </c>
      <c r="L390" s="81">
        <v>11625612.247554982</v>
      </c>
      <c r="M390" s="81">
        <v>11971837.334662307</v>
      </c>
      <c r="N390" s="81">
        <v>12315926.518936811</v>
      </c>
      <c r="O390" s="81">
        <v>12657460.641068555</v>
      </c>
      <c r="P390" s="81">
        <v>12996025.097413251</v>
      </c>
      <c r="Q390" s="81">
        <v>13297111.277532125</v>
      </c>
      <c r="R390" s="81">
        <v>13593124.25393324</v>
      </c>
      <c r="S390" s="81">
        <v>13883789.196109848</v>
      </c>
      <c r="T390" s="81">
        <v>14168904.638456289</v>
      </c>
      <c r="U390" s="81">
        <v>14448290.743843688</v>
      </c>
      <c r="V390" s="81">
        <v>14721841.142332731</v>
      </c>
      <c r="W390" s="81">
        <v>14989459.86623217</v>
      </c>
      <c r="X390" s="81">
        <v>15251148.625394365</v>
      </c>
      <c r="Y390" s="81">
        <v>15506942.959198464</v>
      </c>
      <c r="Z390" s="81">
        <v>15756931.716270514</v>
      </c>
      <c r="AA390" s="81">
        <v>16013147.950107774</v>
      </c>
      <c r="AB390" s="81">
        <v>16263723.931459533</v>
      </c>
      <c r="AC390" s="81">
        <v>16508956.492464863</v>
      </c>
      <c r="AD390" s="81">
        <v>16749222.429237727</v>
      </c>
      <c r="AE390" s="81">
        <v>16984982.546904821</v>
      </c>
      <c r="AF390" s="81">
        <v>17216765.612304509</v>
      </c>
      <c r="AG390" s="81">
        <v>17445211.797064263</v>
      </c>
      <c r="AH390" s="81">
        <v>17671047.344380688</v>
      </c>
      <c r="AI390" s="81">
        <v>17895087.988376748</v>
      </c>
      <c r="AJ390" s="81">
        <v>18118285.480728839</v>
      </c>
      <c r="AK390" s="81">
        <v>18376606.514157631</v>
      </c>
      <c r="AL390" s="81">
        <v>18636301.605717685</v>
      </c>
      <c r="AM390" s="81">
        <v>18898643.604900669</v>
      </c>
      <c r="AN390" s="81">
        <v>19165024.960166126</v>
      </c>
      <c r="AO390" s="81">
        <v>19436997.234236155</v>
      </c>
      <c r="AP390" s="81">
        <v>19716230.597669836</v>
      </c>
      <c r="AQ390" s="81">
        <v>20004565.845754776</v>
      </c>
      <c r="AR390" s="81">
        <v>20303947.700839117</v>
      </c>
      <c r="AS390" s="81">
        <v>20616526.811425366</v>
      </c>
      <c r="AT390" s="81">
        <v>20944592.790554687</v>
      </c>
    </row>
    <row r="391" spans="1:46" ht="15.75">
      <c r="A391" s="81" t="s">
        <v>448</v>
      </c>
      <c r="B391" s="80">
        <v>140700</v>
      </c>
      <c r="C391" s="80" t="s">
        <v>437</v>
      </c>
      <c r="D391" s="84" t="s">
        <v>810</v>
      </c>
      <c r="E391" s="81">
        <v>20598403.388396788</v>
      </c>
      <c r="F391" s="81">
        <v>21345114.355160456</v>
      </c>
      <c r="G391" s="81">
        <v>22001994.184809741</v>
      </c>
      <c r="H391" s="81">
        <v>22663468.115138397</v>
      </c>
      <c r="I391" s="81">
        <v>23328373.524543863</v>
      </c>
      <c r="J391" s="81">
        <v>23995544.24794383</v>
      </c>
      <c r="K391" s="81">
        <v>24663817.71668008</v>
      </c>
      <c r="L391" s="81">
        <v>25332013.255567253</v>
      </c>
      <c r="M391" s="81">
        <v>25998988.674315017</v>
      </c>
      <c r="N391" s="81">
        <v>26663582.174653281</v>
      </c>
      <c r="O391" s="81">
        <v>27324685.747192517</v>
      </c>
      <c r="P391" s="81">
        <v>27981216.479353588</v>
      </c>
      <c r="Q391" s="81">
        <v>28558820.272142917</v>
      </c>
      <c r="R391" s="81">
        <v>29127153.082944844</v>
      </c>
      <c r="S391" s="81">
        <v>29685377.826006021</v>
      </c>
      <c r="T391" s="81">
        <v>30232729.836617328</v>
      </c>
      <c r="U391" s="81">
        <v>30768524.846395988</v>
      </c>
      <c r="V391" s="81">
        <v>31292149.285857175</v>
      </c>
      <c r="W391" s="81">
        <v>31803112.416632801</v>
      </c>
      <c r="X391" s="81">
        <v>32301001.762710422</v>
      </c>
      <c r="Y391" s="81">
        <v>32785545.812139139</v>
      </c>
      <c r="Z391" s="81">
        <v>33256548.690335032</v>
      </c>
      <c r="AA391" s="81">
        <v>33738971.844702579</v>
      </c>
      <c r="AB391" s="81">
        <v>34207335.159959331</v>
      </c>
      <c r="AC391" s="81">
        <v>34661870.18179056</v>
      </c>
      <c r="AD391" s="81">
        <v>35102971.637335785</v>
      </c>
      <c r="AE391" s="81">
        <v>35531196.912422672</v>
      </c>
      <c r="AF391" s="81">
        <v>35947296.53228724</v>
      </c>
      <c r="AG391" s="81">
        <v>36352182.022108227</v>
      </c>
      <c r="AH391" s="81">
        <v>36747010.615411893</v>
      </c>
      <c r="AI391" s="81">
        <v>37133132.330783539</v>
      </c>
      <c r="AJ391" s="81">
        <v>37512110.24179586</v>
      </c>
      <c r="AK391" s="81">
        <v>37957964.321520947</v>
      </c>
      <c r="AL391" s="81">
        <v>38400271.496003173</v>
      </c>
      <c r="AM391" s="81">
        <v>38841337.992137969</v>
      </c>
      <c r="AN391" s="81">
        <v>39283781.15609581</v>
      </c>
      <c r="AO391" s="81">
        <v>39730482.511570133</v>
      </c>
      <c r="AP391" s="81">
        <v>40184648.306693763</v>
      </c>
      <c r="AQ391" s="81">
        <v>40649823.963519216</v>
      </c>
      <c r="AR391" s="81">
        <v>41129856.502421893</v>
      </c>
      <c r="AS391" s="81">
        <v>41628971.44132024</v>
      </c>
      <c r="AT391" s="81">
        <v>42151775.409918077</v>
      </c>
    </row>
    <row r="392" spans="1:46" ht="15.75">
      <c r="A392" s="81" t="s">
        <v>448</v>
      </c>
      <c r="B392" s="80">
        <v>140800</v>
      </c>
      <c r="C392" s="80" t="s">
        <v>437</v>
      </c>
      <c r="D392" s="84" t="s">
        <v>809</v>
      </c>
      <c r="E392" s="81">
        <v>28961594.180730265</v>
      </c>
      <c r="F392" s="81">
        <v>30156393.397872608</v>
      </c>
      <c r="G392" s="81">
        <v>31214705.17000952</v>
      </c>
      <c r="H392" s="81">
        <v>32269562.796435453</v>
      </c>
      <c r="I392" s="81">
        <v>33319708.090733379</v>
      </c>
      <c r="J392" s="81">
        <v>34363902.888544269</v>
      </c>
      <c r="K392" s="81">
        <v>35400954.226735607</v>
      </c>
      <c r="L392" s="81">
        <v>36429735.320070066</v>
      </c>
      <c r="M392" s="81">
        <v>37449171.445084818</v>
      </c>
      <c r="N392" s="81">
        <v>38458268.747934215</v>
      </c>
      <c r="O392" s="81">
        <v>39456076.095751449</v>
      </c>
      <c r="P392" s="81">
        <v>40441768.471165523</v>
      </c>
      <c r="Q392" s="81">
        <v>41308564.50219135</v>
      </c>
      <c r="R392" s="81">
        <v>42157860.034301572</v>
      </c>
      <c r="S392" s="81">
        <v>42989276.765497752</v>
      </c>
      <c r="T392" s="81">
        <v>43802565.466775291</v>
      </c>
      <c r="U392" s="81">
        <v>44597578.845567331</v>
      </c>
      <c r="V392" s="81">
        <v>45374312.07185512</v>
      </c>
      <c r="W392" s="81">
        <v>46132874.580940634</v>
      </c>
      <c r="X392" s="81">
        <v>46873532.089111246</v>
      </c>
      <c r="Y392" s="81">
        <v>47596705.559597701</v>
      </c>
      <c r="Z392" s="81">
        <v>48302940.573690169</v>
      </c>
      <c r="AA392" s="81">
        <v>49029255.957495935</v>
      </c>
      <c r="AB392" s="81">
        <v>49739434.379095763</v>
      </c>
      <c r="AC392" s="81">
        <v>50434536.308053881</v>
      </c>
      <c r="AD392" s="81">
        <v>51115770.247922242</v>
      </c>
      <c r="AE392" s="81">
        <v>51784601.172614589</v>
      </c>
      <c r="AF392" s="81">
        <v>52442635.662306927</v>
      </c>
      <c r="AG392" s="81">
        <v>53091753.944952354</v>
      </c>
      <c r="AH392" s="81">
        <v>53734012.945763148</v>
      </c>
      <c r="AI392" s="81">
        <v>54371706.352144845</v>
      </c>
      <c r="AJ392" s="81">
        <v>55007396.112114586</v>
      </c>
      <c r="AK392" s="81">
        <v>55749911.808103643</v>
      </c>
      <c r="AL392" s="81">
        <v>56496204.049011365</v>
      </c>
      <c r="AM392" s="81">
        <v>57249644.570993766</v>
      </c>
      <c r="AN392" s="81">
        <v>58013850.308726154</v>
      </c>
      <c r="AO392" s="81">
        <v>58792763.208122589</v>
      </c>
      <c r="AP392" s="81">
        <v>59590649.346106835</v>
      </c>
      <c r="AQ392" s="81">
        <v>60412071.23032134</v>
      </c>
      <c r="AR392" s="81">
        <v>61261947.755785875</v>
      </c>
      <c r="AS392" s="81">
        <v>62145539.790530443</v>
      </c>
      <c r="AT392" s="81">
        <v>63068460.280309469</v>
      </c>
    </row>
    <row r="393" spans="1:46" ht="15.75">
      <c r="A393" s="81" t="s">
        <v>448</v>
      </c>
      <c r="B393" s="80">
        <v>140900</v>
      </c>
      <c r="C393" s="80" t="s">
        <v>437</v>
      </c>
      <c r="D393" s="84" t="s">
        <v>808</v>
      </c>
      <c r="E393" s="81">
        <v>16372462.291108571</v>
      </c>
      <c r="F393" s="81">
        <v>16987686.047057286</v>
      </c>
      <c r="G393" s="81">
        <v>17530748.060629766</v>
      </c>
      <c r="H393" s="81">
        <v>18076667.53223769</v>
      </c>
      <c r="I393" s="81">
        <v>18624516.007240627</v>
      </c>
      <c r="J393" s="81">
        <v>19173343.567570332</v>
      </c>
      <c r="K393" s="81">
        <v>19722231.578395948</v>
      </c>
      <c r="L393" s="81">
        <v>20270243.249808948</v>
      </c>
      <c r="M393" s="81">
        <v>20816478.303318407</v>
      </c>
      <c r="N393" s="81">
        <v>21360051.007775333</v>
      </c>
      <c r="O393" s="81">
        <v>21900095.589976605</v>
      </c>
      <c r="P393" s="81">
        <v>22435795.766834099</v>
      </c>
      <c r="Q393" s="81">
        <v>22907575.565586675</v>
      </c>
      <c r="R393" s="81">
        <v>23371346.492692295</v>
      </c>
      <c r="S393" s="81">
        <v>23826512.558605775</v>
      </c>
      <c r="T393" s="81">
        <v>24272552.798792232</v>
      </c>
      <c r="U393" s="81">
        <v>24709028.62396659</v>
      </c>
      <c r="V393" s="81">
        <v>25135582.403904308</v>
      </c>
      <c r="W393" s="81">
        <v>25551926.148704618</v>
      </c>
      <c r="X393" s="81">
        <v>25957893.115029294</v>
      </c>
      <c r="Y393" s="81">
        <v>26353390.900392063</v>
      </c>
      <c r="Z393" s="81">
        <v>26738463.720584203</v>
      </c>
      <c r="AA393" s="81">
        <v>27133344.216286685</v>
      </c>
      <c r="AB393" s="81">
        <v>27517740.049172524</v>
      </c>
      <c r="AC393" s="81">
        <v>27892062.00756672</v>
      </c>
      <c r="AD393" s="81">
        <v>28256824.380789794</v>
      </c>
      <c r="AE393" s="81">
        <v>28612722.775927998</v>
      </c>
      <c r="AF393" s="81">
        <v>28960602.48490281</v>
      </c>
      <c r="AG393" s="81">
        <v>29301476.799795214</v>
      </c>
      <c r="AH393" s="81">
        <v>29636535.524883755</v>
      </c>
      <c r="AI393" s="81">
        <v>29967142.429334443</v>
      </c>
      <c r="AJ393" s="81">
        <v>30294899.93866824</v>
      </c>
      <c r="AK393" s="81">
        <v>30679911.274348292</v>
      </c>
      <c r="AL393" s="81">
        <v>31065728.846389819</v>
      </c>
      <c r="AM393" s="81">
        <v>31454581.100905385</v>
      </c>
      <c r="AN393" s="81">
        <v>31848931.41090991</v>
      </c>
      <c r="AO393" s="81">
        <v>32251524.913610455</v>
      </c>
      <c r="AP393" s="81">
        <v>32665388.799421445</v>
      </c>
      <c r="AQ393" s="81">
        <v>33093792.976061814</v>
      </c>
      <c r="AR393" s="81">
        <v>33540336.30749014</v>
      </c>
      <c r="AS393" s="81">
        <v>34008894.728794232</v>
      </c>
      <c r="AT393" s="81">
        <v>34503670.967441432</v>
      </c>
    </row>
    <row r="394" spans="1:46" ht="15.75">
      <c r="A394" s="81" t="s">
        <v>448</v>
      </c>
      <c r="B394" s="80">
        <v>141000</v>
      </c>
      <c r="C394" s="80" t="s">
        <v>437</v>
      </c>
      <c r="D394" s="84" t="s">
        <v>807</v>
      </c>
      <c r="E394" s="81">
        <v>24121982.417874217</v>
      </c>
      <c r="F394" s="81">
        <v>25116301.889991153</v>
      </c>
      <c r="G394" s="81">
        <v>26000441.679644085</v>
      </c>
      <c r="H394" s="81">
        <v>26885173.409786858</v>
      </c>
      <c r="I394" s="81">
        <v>27769394.693040658</v>
      </c>
      <c r="J394" s="81">
        <v>28651986.32375088</v>
      </c>
      <c r="K394" s="81">
        <v>29531877.482471179</v>
      </c>
      <c r="L394" s="81">
        <v>30408017.931524739</v>
      </c>
      <c r="M394" s="81">
        <v>31279397.635958686</v>
      </c>
      <c r="N394" s="81">
        <v>32145045.688994911</v>
      </c>
      <c r="O394" s="81">
        <v>33004036.201547585</v>
      </c>
      <c r="P394" s="81">
        <v>33855502.336134158</v>
      </c>
      <c r="Q394" s="81">
        <v>34609803.880781732</v>
      </c>
      <c r="R394" s="81">
        <v>35351569.541973419</v>
      </c>
      <c r="S394" s="81">
        <v>36080241.677337989</v>
      </c>
      <c r="T394" s="81">
        <v>36795393.774322741</v>
      </c>
      <c r="U394" s="81">
        <v>37496670.786611997</v>
      </c>
      <c r="V394" s="81">
        <v>38183802.259607904</v>
      </c>
      <c r="W394" s="81">
        <v>38856643.757852592</v>
      </c>
      <c r="X394" s="81">
        <v>39515129.807750873</v>
      </c>
      <c r="Y394" s="81">
        <v>40159343.455001384</v>
      </c>
      <c r="Z394" s="81">
        <v>40789458.718494751</v>
      </c>
      <c r="AA394" s="81">
        <v>41436469.302798457</v>
      </c>
      <c r="AB394" s="81">
        <v>42069511.140492693</v>
      </c>
      <c r="AC394" s="81">
        <v>42689136.911037162</v>
      </c>
      <c r="AD394" s="81">
        <v>43296089.752019539</v>
      </c>
      <c r="AE394" s="81">
        <v>43891219.465582073</v>
      </c>
      <c r="AF394" s="81">
        <v>44475602.009435497</v>
      </c>
      <c r="AG394" s="81">
        <v>45050432.846873753</v>
      </c>
      <c r="AH394" s="81">
        <v>45617139.564346753</v>
      </c>
      <c r="AI394" s="81">
        <v>46177315.307597801</v>
      </c>
      <c r="AJ394" s="81">
        <v>46732735.630974323</v>
      </c>
      <c r="AK394" s="81">
        <v>47375526.271556087</v>
      </c>
      <c r="AL394" s="81">
        <v>48017799.957527444</v>
      </c>
      <c r="AM394" s="81">
        <v>48662007.796800122</v>
      </c>
      <c r="AN394" s="81">
        <v>49310808.692038298</v>
      </c>
      <c r="AO394" s="81">
        <v>49967174.356246717</v>
      </c>
      <c r="AP394" s="81">
        <v>50634315.184918776</v>
      </c>
      <c r="AQ394" s="81">
        <v>51315712.918148257</v>
      </c>
      <c r="AR394" s="81">
        <v>52015142.905166365</v>
      </c>
      <c r="AS394" s="81">
        <v>52736684.506852575</v>
      </c>
      <c r="AT394" s="81">
        <v>53484677.659838162</v>
      </c>
    </row>
    <row r="395" spans="1:46" ht="15.75">
      <c r="A395" s="81" t="s">
        <v>448</v>
      </c>
      <c r="B395" s="80">
        <v>141100</v>
      </c>
      <c r="C395" s="80" t="s">
        <v>437</v>
      </c>
      <c r="D395" s="84" t="s">
        <v>806</v>
      </c>
      <c r="E395" s="81">
        <v>20598826.546103522</v>
      </c>
      <c r="F395" s="81">
        <v>21465135.483626679</v>
      </c>
      <c r="G395" s="81">
        <v>22243527.267051172</v>
      </c>
      <c r="H395" s="81">
        <v>23028357.77943192</v>
      </c>
      <c r="I395" s="81">
        <v>23818417.989381548</v>
      </c>
      <c r="J395" s="81">
        <v>24612488.229071483</v>
      </c>
      <c r="K395" s="81">
        <v>25409351.20421553</v>
      </c>
      <c r="L395" s="81">
        <v>26207806.259388715</v>
      </c>
      <c r="M395" s="81">
        <v>27006662.566634133</v>
      </c>
      <c r="N395" s="81">
        <v>27804761.090574499</v>
      </c>
      <c r="O395" s="81">
        <v>28600967.67667415</v>
      </c>
      <c r="P395" s="81">
        <v>29394196.257396206</v>
      </c>
      <c r="Q395" s="81">
        <v>30106152.084902268</v>
      </c>
      <c r="R395" s="81">
        <v>30809791.722857941</v>
      </c>
      <c r="S395" s="81">
        <v>31504300.901072472</v>
      </c>
      <c r="T395" s="81">
        <v>32188964.841199096</v>
      </c>
      <c r="U395" s="81">
        <v>32863134.251692906</v>
      </c>
      <c r="V395" s="81">
        <v>33526293.783592142</v>
      </c>
      <c r="W395" s="81">
        <v>34177992.048325963</v>
      </c>
      <c r="X395" s="81">
        <v>34817938.794137232</v>
      </c>
      <c r="Y395" s="81">
        <v>35445942.592906661</v>
      </c>
      <c r="Z395" s="81">
        <v>36061946.210484348</v>
      </c>
      <c r="AA395" s="81">
        <v>36693201.589879408</v>
      </c>
      <c r="AB395" s="81">
        <v>37312323.186547369</v>
      </c>
      <c r="AC395" s="81">
        <v>37919675.264261194</v>
      </c>
      <c r="AD395" s="81">
        <v>38515839.382894814</v>
      </c>
      <c r="AE395" s="81">
        <v>39101544.423810244</v>
      </c>
      <c r="AF395" s="81">
        <v>39677747.83535929</v>
      </c>
      <c r="AG395" s="81">
        <v>40245605.518972568</v>
      </c>
      <c r="AH395" s="81">
        <v>40806481.574646927</v>
      </c>
      <c r="AI395" s="81">
        <v>41361991.744633242</v>
      </c>
      <c r="AJ395" s="81">
        <v>41913970.72090669</v>
      </c>
      <c r="AK395" s="81">
        <v>42545465.634719886</v>
      </c>
      <c r="AL395" s="81">
        <v>43178115.13850034</v>
      </c>
      <c r="AM395" s="81">
        <v>43814582.008698985</v>
      </c>
      <c r="AN395" s="81">
        <v>44457824.845581204</v>
      </c>
      <c r="AO395" s="81">
        <v>45111110.343339257</v>
      </c>
      <c r="AP395" s="81">
        <v>45778076.240848623</v>
      </c>
      <c r="AQ395" s="81">
        <v>46462658.316523455</v>
      </c>
      <c r="AR395" s="81">
        <v>47169204.443419807</v>
      </c>
      <c r="AS395" s="81">
        <v>47902400.041674115</v>
      </c>
      <c r="AT395" s="81">
        <v>48667346.547528088</v>
      </c>
    </row>
    <row r="396" spans="1:46" ht="15.75">
      <c r="A396" s="81" t="s">
        <v>448</v>
      </c>
      <c r="B396" s="80">
        <v>150100</v>
      </c>
      <c r="C396" s="80" t="s">
        <v>436</v>
      </c>
      <c r="D396" s="84" t="s">
        <v>805</v>
      </c>
      <c r="E396" s="81">
        <v>36188345.736308567</v>
      </c>
      <c r="F396" s="81">
        <v>37314200.830078647</v>
      </c>
      <c r="G396" s="81">
        <v>38196580.08635129</v>
      </c>
      <c r="H396" s="81">
        <v>39046961.946167342</v>
      </c>
      <c r="I396" s="81">
        <v>39866330.90533182</v>
      </c>
      <c r="J396" s="81">
        <v>40655756.800716192</v>
      </c>
      <c r="K396" s="81">
        <v>41416311.690387577</v>
      </c>
      <c r="L396" s="81">
        <v>42149121.406826206</v>
      </c>
      <c r="M396" s="81">
        <v>42855326.124980755</v>
      </c>
      <c r="N396" s="81">
        <v>43536074.237078786</v>
      </c>
      <c r="O396" s="81">
        <v>44192540.708293192</v>
      </c>
      <c r="P396" s="81">
        <v>44825909.870185189</v>
      </c>
      <c r="Q396" s="81">
        <v>45249499.353787631</v>
      </c>
      <c r="R396" s="81">
        <v>45651033.25615754</v>
      </c>
      <c r="S396" s="81">
        <v>46031925.898153827</v>
      </c>
      <c r="T396" s="81">
        <v>46393598.988222748</v>
      </c>
      <c r="U396" s="81">
        <v>46737401.002088211</v>
      </c>
      <c r="V396" s="81">
        <v>47064601.379685983</v>
      </c>
      <c r="W396" s="81">
        <v>47376477.926213093</v>
      </c>
      <c r="X396" s="81">
        <v>47674167.160511374</v>
      </c>
      <c r="Y396" s="81">
        <v>47958791.549356572</v>
      </c>
      <c r="Z396" s="81">
        <v>48231374.879678518</v>
      </c>
      <c r="AA396" s="81">
        <v>48452172.627915442</v>
      </c>
      <c r="AB396" s="81">
        <v>48662706.578653395</v>
      </c>
      <c r="AC396" s="81">
        <v>48863805.648606956</v>
      </c>
      <c r="AD396" s="81">
        <v>49056176.001601286</v>
      </c>
      <c r="AE396" s="81">
        <v>49240395.095393963</v>
      </c>
      <c r="AF396" s="81">
        <v>49416977.558700539</v>
      </c>
      <c r="AG396" s="81">
        <v>49586313.987139508</v>
      </c>
      <c r="AH396" s="81">
        <v>49748679.977880016</v>
      </c>
      <c r="AI396" s="81">
        <v>49904216.33556059</v>
      </c>
      <c r="AJ396" s="81">
        <v>50052938.206811421</v>
      </c>
      <c r="AK396" s="81">
        <v>50211000.253050461</v>
      </c>
      <c r="AL396" s="81">
        <v>50361871.593134888</v>
      </c>
      <c r="AM396" s="81">
        <v>50505122.444509797</v>
      </c>
      <c r="AN396" s="81">
        <v>50640220.661685742</v>
      </c>
      <c r="AO396" s="81">
        <v>50766466.06684725</v>
      </c>
      <c r="AP396" s="81">
        <v>50882999.676725373</v>
      </c>
      <c r="AQ396" s="81">
        <v>50988766.469816983</v>
      </c>
      <c r="AR396" s="81">
        <v>51082587.441878803</v>
      </c>
      <c r="AS396" s="81">
        <v>51163075.725938767</v>
      </c>
      <c r="AT396" s="81">
        <v>51228677.591387019</v>
      </c>
    </row>
    <row r="397" spans="1:46" ht="15.75">
      <c r="A397" s="81" t="s">
        <v>448</v>
      </c>
      <c r="B397" s="80">
        <v>150200</v>
      </c>
      <c r="C397" s="80" t="s">
        <v>436</v>
      </c>
      <c r="D397" s="84" t="s">
        <v>804</v>
      </c>
      <c r="E397" s="81">
        <v>25776877.579288904</v>
      </c>
      <c r="F397" s="81">
        <v>26512194.398765866</v>
      </c>
      <c r="G397" s="81">
        <v>27076076.134051818</v>
      </c>
      <c r="H397" s="81">
        <v>27618809.833277039</v>
      </c>
      <c r="I397" s="81">
        <v>28140802.861041933</v>
      </c>
      <c r="J397" s="81">
        <v>28642468.476998717</v>
      </c>
      <c r="K397" s="81">
        <v>29124285.166957356</v>
      </c>
      <c r="L397" s="81">
        <v>29586711.859411318</v>
      </c>
      <c r="M397" s="81">
        <v>30030258.243203323</v>
      </c>
      <c r="N397" s="81">
        <v>30455462.55938654</v>
      </c>
      <c r="O397" s="81">
        <v>30862845.274123147</v>
      </c>
      <c r="P397" s="81">
        <v>31252983.118995938</v>
      </c>
      <c r="Q397" s="81">
        <v>31495694.816746496</v>
      </c>
      <c r="R397" s="81">
        <v>31721823.621402107</v>
      </c>
      <c r="S397" s="81">
        <v>31932171.464573853</v>
      </c>
      <c r="T397" s="81">
        <v>32127537.279959239</v>
      </c>
      <c r="U397" s="81">
        <v>32308679.903338879</v>
      </c>
      <c r="V397" s="81">
        <v>32476362.505378295</v>
      </c>
      <c r="W397" s="81">
        <v>32631327.351749163</v>
      </c>
      <c r="X397" s="81">
        <v>32774293.521287829</v>
      </c>
      <c r="Y397" s="81">
        <v>32905966.853257507</v>
      </c>
      <c r="Z397" s="81">
        <v>33027025.770283442</v>
      </c>
      <c r="AA397" s="81">
        <v>33110315.257785782</v>
      </c>
      <c r="AB397" s="81">
        <v>33184349.364050094</v>
      </c>
      <c r="AC397" s="81">
        <v>33249768.360802237</v>
      </c>
      <c r="AD397" s="81">
        <v>33307135.996948253</v>
      </c>
      <c r="AE397" s="81">
        <v>33357012.985672235</v>
      </c>
      <c r="AF397" s="81">
        <v>33399891.223300744</v>
      </c>
      <c r="AG397" s="81">
        <v>33436255.87287461</v>
      </c>
      <c r="AH397" s="81">
        <v>33466505.285496876</v>
      </c>
      <c r="AI397" s="81">
        <v>33491026.852370191</v>
      </c>
      <c r="AJ397" s="81">
        <v>33510155.860779162</v>
      </c>
      <c r="AK397" s="81">
        <v>33535039.686759248</v>
      </c>
      <c r="AL397" s="81">
        <v>33554943.424863793</v>
      </c>
      <c r="AM397" s="81">
        <v>33570054.452299148</v>
      </c>
      <c r="AN397" s="81">
        <v>33580471.220369659</v>
      </c>
      <c r="AO397" s="81">
        <v>33586241.331449814</v>
      </c>
      <c r="AP397" s="81">
        <v>33587387.51116164</v>
      </c>
      <c r="AQ397" s="81">
        <v>33583792.919638976</v>
      </c>
      <c r="AR397" s="81">
        <v>33575352.939023495</v>
      </c>
      <c r="AS397" s="81">
        <v>33561831.457549728</v>
      </c>
      <c r="AT397" s="81">
        <v>33542942.95138023</v>
      </c>
    </row>
    <row r="398" spans="1:46" ht="15.75">
      <c r="A398" s="81" t="s">
        <v>448</v>
      </c>
      <c r="B398" s="80">
        <v>150300</v>
      </c>
      <c r="C398" s="80" t="s">
        <v>436</v>
      </c>
      <c r="D398" s="84" t="s">
        <v>803</v>
      </c>
      <c r="E398" s="81">
        <v>5004522.6360186581</v>
      </c>
      <c r="F398" s="81">
        <v>5151858.1535034375</v>
      </c>
      <c r="G398" s="81">
        <v>5266068.4660735419</v>
      </c>
      <c r="H398" s="81">
        <v>5376381.4728237316</v>
      </c>
      <c r="I398" s="81">
        <v>5482851.2740253359</v>
      </c>
      <c r="J398" s="81">
        <v>5585555.0124044046</v>
      </c>
      <c r="K398" s="81">
        <v>5684554.033028353</v>
      </c>
      <c r="L398" s="81">
        <v>5779932.3548025591</v>
      </c>
      <c r="M398" s="81">
        <v>5871756.7030541524</v>
      </c>
      <c r="N398" s="81">
        <v>5960105.7042816123</v>
      </c>
      <c r="O398" s="81">
        <v>6045070.0863480838</v>
      </c>
      <c r="P398" s="81">
        <v>6126731.5845985012</v>
      </c>
      <c r="Q398" s="81">
        <v>6179409.434375626</v>
      </c>
      <c r="R398" s="81">
        <v>6228800.0704446491</v>
      </c>
      <c r="S398" s="81">
        <v>6275059.0860342449</v>
      </c>
      <c r="T398" s="81">
        <v>6318306.2360734949</v>
      </c>
      <c r="U398" s="81">
        <v>6358656.9658730458</v>
      </c>
      <c r="V398" s="81">
        <v>6396233.2379044425</v>
      </c>
      <c r="W398" s="81">
        <v>6431152.2654822515</v>
      </c>
      <c r="X398" s="81">
        <v>6463514.6353612375</v>
      </c>
      <c r="Y398" s="81">
        <v>6493449.5673365928</v>
      </c>
      <c r="Z398" s="81">
        <v>6521034.4294652287</v>
      </c>
      <c r="AA398" s="81">
        <v>6540753.622015438</v>
      </c>
      <c r="AB398" s="81">
        <v>6558329.2375447508</v>
      </c>
      <c r="AC398" s="81">
        <v>6573857.7969433917</v>
      </c>
      <c r="AD398" s="81">
        <v>6587403.9126378773</v>
      </c>
      <c r="AE398" s="81">
        <v>6599047.4081224306</v>
      </c>
      <c r="AF398" s="81">
        <v>6608859.3891665442</v>
      </c>
      <c r="AG398" s="81">
        <v>6616901.8041932592</v>
      </c>
      <c r="AH398" s="81">
        <v>6623202.1802340634</v>
      </c>
      <c r="AI398" s="81">
        <v>6627814.7390866531</v>
      </c>
      <c r="AJ398" s="81">
        <v>6630758.370472216</v>
      </c>
      <c r="AK398" s="81">
        <v>6634088.0616742494</v>
      </c>
      <c r="AL398" s="81">
        <v>6635762.7090068003</v>
      </c>
      <c r="AM398" s="81">
        <v>6635790.7672165902</v>
      </c>
      <c r="AN398" s="81">
        <v>6634142.6908656629</v>
      </c>
      <c r="AO398" s="81">
        <v>6630801.8494261373</v>
      </c>
      <c r="AP398" s="81">
        <v>6625725.4047278203</v>
      </c>
      <c r="AQ398" s="81">
        <v>6618856.5992694013</v>
      </c>
      <c r="AR398" s="81">
        <v>6610151.0718920287</v>
      </c>
      <c r="AS398" s="81">
        <v>6599509.7571770865</v>
      </c>
      <c r="AT398" s="81">
        <v>6586844.929314198</v>
      </c>
    </row>
    <row r="399" spans="1:46" ht="15.75">
      <c r="A399" s="81" t="s">
        <v>448</v>
      </c>
      <c r="B399" s="80">
        <v>150400</v>
      </c>
      <c r="C399" s="80" t="s">
        <v>436</v>
      </c>
      <c r="D399" s="84" t="s">
        <v>802</v>
      </c>
      <c r="E399" s="81">
        <v>36394880.757939331</v>
      </c>
      <c r="F399" s="81">
        <v>37389573.096849099</v>
      </c>
      <c r="G399" s="81">
        <v>38157147.336302906</v>
      </c>
      <c r="H399" s="81">
        <v>38908517.644840784</v>
      </c>
      <c r="I399" s="81">
        <v>39642954.73255904</v>
      </c>
      <c r="J399" s="81">
        <v>40359745.558978453</v>
      </c>
      <c r="K399" s="81">
        <v>41058264.082604013</v>
      </c>
      <c r="L399" s="81">
        <v>41737896.423277818</v>
      </c>
      <c r="M399" s="81">
        <v>42398112.977570198</v>
      </c>
      <c r="N399" s="81">
        <v>43038401.094528593</v>
      </c>
      <c r="O399" s="81">
        <v>43658339.270161152</v>
      </c>
      <c r="P399" s="81">
        <v>44257549.273832433</v>
      </c>
      <c r="Q399" s="81">
        <v>44650360.266674608</v>
      </c>
      <c r="R399" s="81">
        <v>45020800.801247485</v>
      </c>
      <c r="S399" s="81">
        <v>45368995.954001144</v>
      </c>
      <c r="T399" s="81">
        <v>45695138.979241766</v>
      </c>
      <c r="U399" s="81">
        <v>45999482.534214966</v>
      </c>
      <c r="V399" s="81">
        <v>46282351.906023979</v>
      </c>
      <c r="W399" s="81">
        <v>46544147.483901232</v>
      </c>
      <c r="X399" s="81">
        <v>46785358.768218473</v>
      </c>
      <c r="Y399" s="81">
        <v>47006532.586881757</v>
      </c>
      <c r="Z399" s="81">
        <v>47208286.318658881</v>
      </c>
      <c r="AA399" s="81">
        <v>47351576.978725389</v>
      </c>
      <c r="AB399" s="81">
        <v>47477075.958567157</v>
      </c>
      <c r="AC399" s="81">
        <v>47585715.739161707</v>
      </c>
      <c r="AD399" s="81">
        <v>47678505.437474713</v>
      </c>
      <c r="AE399" s="81">
        <v>47756544.919954821</v>
      </c>
      <c r="AF399" s="81">
        <v>47821039.524395667</v>
      </c>
      <c r="AG399" s="81">
        <v>47873265.786479764</v>
      </c>
      <c r="AH399" s="81">
        <v>47914610.4230389</v>
      </c>
      <c r="AI399" s="81">
        <v>47946548.111134328</v>
      </c>
      <c r="AJ399" s="81">
        <v>47970656.202041164</v>
      </c>
      <c r="AK399" s="81">
        <v>48004159.713105865</v>
      </c>
      <c r="AL399" s="81">
        <v>48033207.707475968</v>
      </c>
      <c r="AM399" s="81">
        <v>48059661.033084929</v>
      </c>
      <c r="AN399" s="81">
        <v>48085534.178977661</v>
      </c>
      <c r="AO399" s="81">
        <v>48112959.930960178</v>
      </c>
      <c r="AP399" s="81">
        <v>48144152.151572384</v>
      </c>
      <c r="AQ399" s="81">
        <v>48181474.199399993</v>
      </c>
      <c r="AR399" s="81">
        <v>48227415.729210436</v>
      </c>
      <c r="AS399" s="81">
        <v>48284581.893068418</v>
      </c>
      <c r="AT399" s="81">
        <v>48355695.683312424</v>
      </c>
    </row>
    <row r="400" spans="1:46" ht="15.75">
      <c r="A400" s="81" t="s">
        <v>448</v>
      </c>
      <c r="B400" s="80">
        <v>150500</v>
      </c>
      <c r="C400" s="80" t="s">
        <v>436</v>
      </c>
      <c r="D400" s="84" t="s">
        <v>801</v>
      </c>
      <c r="E400" s="81">
        <v>25854774.233093817</v>
      </c>
      <c r="F400" s="81">
        <v>26617452.404774003</v>
      </c>
      <c r="G400" s="81">
        <v>27217220.154938832</v>
      </c>
      <c r="H400" s="81">
        <v>27804004.214714125</v>
      </c>
      <c r="I400" s="81">
        <v>28377403.124069221</v>
      </c>
      <c r="J400" s="81">
        <v>28937012.435836196</v>
      </c>
      <c r="K400" s="81">
        <v>29482483.502115332</v>
      </c>
      <c r="L400" s="81">
        <v>30013496.410411872</v>
      </c>
      <c r="M400" s="81">
        <v>30529761.139795896</v>
      </c>
      <c r="N400" s="81">
        <v>31031039.512778446</v>
      </c>
      <c r="O400" s="81">
        <v>31517126.751444321</v>
      </c>
      <c r="P400" s="81">
        <v>31987842.007042196</v>
      </c>
      <c r="Q400" s="81">
        <v>32308949.235193036</v>
      </c>
      <c r="R400" s="81">
        <v>32613410.181684744</v>
      </c>
      <c r="S400" s="81">
        <v>32901388.289210547</v>
      </c>
      <c r="T400" s="81">
        <v>33173145.346010242</v>
      </c>
      <c r="U400" s="81">
        <v>33428922.265418809</v>
      </c>
      <c r="V400" s="81">
        <v>33669050.321613267</v>
      </c>
      <c r="W400" s="81">
        <v>33893886.176522061</v>
      </c>
      <c r="X400" s="81">
        <v>34103823.727379799</v>
      </c>
      <c r="Y400" s="81">
        <v>34299306.586938806</v>
      </c>
      <c r="Z400" s="81">
        <v>34480829.48696743</v>
      </c>
      <c r="AA400" s="81">
        <v>34619855.403397478</v>
      </c>
      <c r="AB400" s="81">
        <v>34746074.333903819</v>
      </c>
      <c r="AC400" s="81">
        <v>34860148.699551113</v>
      </c>
      <c r="AD400" s="81">
        <v>34962818.302542187</v>
      </c>
      <c r="AE400" s="81">
        <v>35054829.367902353</v>
      </c>
      <c r="AF400" s="81">
        <v>35137032.323047847</v>
      </c>
      <c r="AG400" s="81">
        <v>35210273.458822325</v>
      </c>
      <c r="AH400" s="81">
        <v>35275493.805307917</v>
      </c>
      <c r="AI400" s="81">
        <v>35333668.947883233</v>
      </c>
      <c r="AJ400" s="81">
        <v>35385860.189028852</v>
      </c>
      <c r="AK400" s="81">
        <v>35444625.569581695</v>
      </c>
      <c r="AL400" s="81">
        <v>35499566.618794382</v>
      </c>
      <c r="AM400" s="81">
        <v>35551919.344840683</v>
      </c>
      <c r="AN400" s="81">
        <v>35602948.307825834</v>
      </c>
      <c r="AO400" s="81">
        <v>35653986.197719149</v>
      </c>
      <c r="AP400" s="81">
        <v>35706448.655138068</v>
      </c>
      <c r="AQ400" s="81">
        <v>35761782.533969164</v>
      </c>
      <c r="AR400" s="81">
        <v>35821533.554624565</v>
      </c>
      <c r="AS400" s="81">
        <v>35887321.582304373</v>
      </c>
      <c r="AT400" s="81">
        <v>35960800.863395438</v>
      </c>
    </row>
    <row r="401" spans="1:46" ht="15.75">
      <c r="A401" s="81" t="s">
        <v>448</v>
      </c>
      <c r="B401" s="80">
        <v>150600</v>
      </c>
      <c r="C401" s="80" t="s">
        <v>436</v>
      </c>
      <c r="D401" s="84" t="s">
        <v>800</v>
      </c>
      <c r="E401" s="81">
        <v>20449713.724900696</v>
      </c>
      <c r="F401" s="81">
        <v>21074344.809885815</v>
      </c>
      <c r="G401" s="81">
        <v>21564833.140416276</v>
      </c>
      <c r="H401" s="81">
        <v>22040549.714995869</v>
      </c>
      <c r="I401" s="81">
        <v>22501940.260367021</v>
      </c>
      <c r="J401" s="81">
        <v>22949434.738530871</v>
      </c>
      <c r="K401" s="81">
        <v>23383505.707574349</v>
      </c>
      <c r="L401" s="81">
        <v>23804603.900984365</v>
      </c>
      <c r="M401" s="81">
        <v>24213207.409939915</v>
      </c>
      <c r="N401" s="81">
        <v>24609776.530035209</v>
      </c>
      <c r="O401" s="81">
        <v>24994760.545034975</v>
      </c>
      <c r="P401" s="81">
        <v>25368616.621669594</v>
      </c>
      <c r="Q401" s="81">
        <v>25625409.776246708</v>
      </c>
      <c r="R401" s="81">
        <v>25871018.001973487</v>
      </c>
      <c r="S401" s="81">
        <v>26106026.900499176</v>
      </c>
      <c r="T401" s="81">
        <v>26330936.86505216</v>
      </c>
      <c r="U401" s="81">
        <v>26546240.793352108</v>
      </c>
      <c r="V401" s="81">
        <v>26752398.929564297</v>
      </c>
      <c r="W401" s="81">
        <v>26949788.269658133</v>
      </c>
      <c r="X401" s="81">
        <v>27138795.135289013</v>
      </c>
      <c r="Y401" s="81">
        <v>27319741.287753478</v>
      </c>
      <c r="Z401" s="81">
        <v>27492880.279843915</v>
      </c>
      <c r="AA401" s="81">
        <v>27635214.763033707</v>
      </c>
      <c r="AB401" s="81">
        <v>27770099.791161582</v>
      </c>
      <c r="AC401" s="81">
        <v>27897634.697652865</v>
      </c>
      <c r="AD401" s="81">
        <v>28017900.92761432</v>
      </c>
      <c r="AE401" s="81">
        <v>28130896.631032463</v>
      </c>
      <c r="AF401" s="81">
        <v>28236546.103144303</v>
      </c>
      <c r="AG401" s="81">
        <v>28334722.908424992</v>
      </c>
      <c r="AH401" s="81">
        <v>28425234.607731108</v>
      </c>
      <c r="AI401" s="81">
        <v>28507766.896271374</v>
      </c>
      <c r="AJ401" s="81">
        <v>28581999.590634976</v>
      </c>
      <c r="AK401" s="81">
        <v>28656757.288741183</v>
      </c>
      <c r="AL401" s="81">
        <v>28722192.457047351</v>
      </c>
      <c r="AM401" s="81">
        <v>28777702.924578764</v>
      </c>
      <c r="AN401" s="81">
        <v>28822575.00721297</v>
      </c>
      <c r="AO401" s="81">
        <v>28856021.368278049</v>
      </c>
      <c r="AP401" s="81">
        <v>28877122.258258399</v>
      </c>
      <c r="AQ401" s="81">
        <v>28884877.605213229</v>
      </c>
      <c r="AR401" s="81">
        <v>28878218.839186527</v>
      </c>
      <c r="AS401" s="81">
        <v>28855920.38617612</v>
      </c>
      <c r="AT401" s="81">
        <v>28816666.974250048</v>
      </c>
    </row>
    <row r="402" spans="1:46" ht="15.75">
      <c r="A402" s="81" t="s">
        <v>448</v>
      </c>
      <c r="B402" s="80">
        <v>150700</v>
      </c>
      <c r="C402" s="80" t="s">
        <v>436</v>
      </c>
      <c r="D402" s="84" t="s">
        <v>799</v>
      </c>
      <c r="E402" s="81">
        <v>20209631.974065252</v>
      </c>
      <c r="F402" s="81">
        <v>20778046.116064049</v>
      </c>
      <c r="G402" s="81">
        <v>21211285.026929248</v>
      </c>
      <c r="H402" s="81">
        <v>21626995.716864184</v>
      </c>
      <c r="I402" s="81">
        <v>22025340.596934885</v>
      </c>
      <c r="J402" s="81">
        <v>22406477.121730775</v>
      </c>
      <c r="K402" s="81">
        <v>22770624.289353833</v>
      </c>
      <c r="L402" s="81">
        <v>23117993.569774799</v>
      </c>
      <c r="M402" s="81">
        <v>23448857.307433832</v>
      </c>
      <c r="N402" s="81">
        <v>23763487.99933143</v>
      </c>
      <c r="O402" s="81">
        <v>24062197.73889095</v>
      </c>
      <c r="P402" s="81">
        <v>24345306.317033157</v>
      </c>
      <c r="Q402" s="81">
        <v>24511420.915074967</v>
      </c>
      <c r="R402" s="81">
        <v>24662504.917879738</v>
      </c>
      <c r="S402" s="81">
        <v>24799117.879308958</v>
      </c>
      <c r="T402" s="81">
        <v>24921863.620941747</v>
      </c>
      <c r="U402" s="81">
        <v>25031335.207143076</v>
      </c>
      <c r="V402" s="81">
        <v>25128113.300041366</v>
      </c>
      <c r="W402" s="81">
        <v>25212798.695065334</v>
      </c>
      <c r="X402" s="81">
        <v>25286012.193009272</v>
      </c>
      <c r="Y402" s="81">
        <v>25348336.397472341</v>
      </c>
      <c r="Z402" s="81">
        <v>25400394.960435867</v>
      </c>
      <c r="AA402" s="81">
        <v>25421437.682302155</v>
      </c>
      <c r="AB402" s="81">
        <v>25433567.513813775</v>
      </c>
      <c r="AC402" s="81">
        <v>25437406.637096703</v>
      </c>
      <c r="AD402" s="81">
        <v>25433589.972457934</v>
      </c>
      <c r="AE402" s="81">
        <v>25422716.129115816</v>
      </c>
      <c r="AF402" s="81">
        <v>25405406.724812157</v>
      </c>
      <c r="AG402" s="81">
        <v>25382257.014049299</v>
      </c>
      <c r="AH402" s="81">
        <v>25353859.148138799</v>
      </c>
      <c r="AI402" s="81">
        <v>25320788.801576097</v>
      </c>
      <c r="AJ402" s="81">
        <v>25283616.590217039</v>
      </c>
      <c r="AK402" s="81">
        <v>25251102.438438579</v>
      </c>
      <c r="AL402" s="81">
        <v>25215492.171426434</v>
      </c>
      <c r="AM402" s="81">
        <v>25177347.487915598</v>
      </c>
      <c r="AN402" s="81">
        <v>25137183.524595801</v>
      </c>
      <c r="AO402" s="81">
        <v>25095479.620404769</v>
      </c>
      <c r="AP402" s="81">
        <v>25052744.031445701</v>
      </c>
      <c r="AQ402" s="81">
        <v>25009433.963798381</v>
      </c>
      <c r="AR402" s="81">
        <v>24966007.24388057</v>
      </c>
      <c r="AS402" s="81">
        <v>24922908.256883461</v>
      </c>
      <c r="AT402" s="81">
        <v>24880525.695081081</v>
      </c>
    </row>
    <row r="403" spans="1:46" ht="15.75">
      <c r="A403" s="81" t="s">
        <v>448</v>
      </c>
      <c r="B403" s="80">
        <v>150800</v>
      </c>
      <c r="C403" s="80" t="s">
        <v>436</v>
      </c>
      <c r="D403" s="84" t="s">
        <v>798</v>
      </c>
      <c r="E403" s="81">
        <v>13861645.342406344</v>
      </c>
      <c r="F403" s="81">
        <v>14254861.829767996</v>
      </c>
      <c r="G403" s="81">
        <v>14555848.695388081</v>
      </c>
      <c r="H403" s="81">
        <v>14845286.228789065</v>
      </c>
      <c r="I403" s="81">
        <v>15123283.970332611</v>
      </c>
      <c r="J403" s="81">
        <v>15389948.29920402</v>
      </c>
      <c r="K403" s="81">
        <v>15645400.202846909</v>
      </c>
      <c r="L403" s="81">
        <v>15889794.701207262</v>
      </c>
      <c r="M403" s="81">
        <v>16123300.970804183</v>
      </c>
      <c r="N403" s="81">
        <v>16346080.742720274</v>
      </c>
      <c r="O403" s="81">
        <v>16558338.692157483</v>
      </c>
      <c r="P403" s="81">
        <v>16760281.007713677</v>
      </c>
      <c r="Q403" s="81">
        <v>16882047.958289284</v>
      </c>
      <c r="R403" s="81">
        <v>16993771.846463945</v>
      </c>
      <c r="S403" s="81">
        <v>17095821.990591358</v>
      </c>
      <c r="T403" s="81">
        <v>17188589.784718223</v>
      </c>
      <c r="U403" s="81">
        <v>17272433.012548469</v>
      </c>
      <c r="V403" s="81">
        <v>17347741.325725377</v>
      </c>
      <c r="W403" s="81">
        <v>17414891.416928887</v>
      </c>
      <c r="X403" s="81">
        <v>17474257.221234497</v>
      </c>
      <c r="Y403" s="81">
        <v>17526232.342101481</v>
      </c>
      <c r="Z403" s="81">
        <v>17571183.417597476</v>
      </c>
      <c r="AA403" s="81">
        <v>17594714.14284081</v>
      </c>
      <c r="AB403" s="81">
        <v>17612072.462693024</v>
      </c>
      <c r="AC403" s="81">
        <v>17623645.695743699</v>
      </c>
      <c r="AD403" s="81">
        <v>17629812.794336505</v>
      </c>
      <c r="AE403" s="81">
        <v>17630943.533408295</v>
      </c>
      <c r="AF403" s="81">
        <v>17627422.295822315</v>
      </c>
      <c r="AG403" s="81">
        <v>17619598.613979015</v>
      </c>
      <c r="AH403" s="81">
        <v>17607847.849890418</v>
      </c>
      <c r="AI403" s="81">
        <v>17592508.821907941</v>
      </c>
      <c r="AJ403" s="81">
        <v>17573907.349859755</v>
      </c>
      <c r="AK403" s="81">
        <v>17558083.302984022</v>
      </c>
      <c r="AL403" s="81">
        <v>17539598.581341077</v>
      </c>
      <c r="AM403" s="81">
        <v>17518760.397978168</v>
      </c>
      <c r="AN403" s="81">
        <v>17495860.605102904</v>
      </c>
      <c r="AO403" s="81">
        <v>17471174.742372319</v>
      </c>
      <c r="AP403" s="81">
        <v>17444987.743613549</v>
      </c>
      <c r="AQ403" s="81">
        <v>17417540.259760931</v>
      </c>
      <c r="AR403" s="81">
        <v>17389080.802939061</v>
      </c>
      <c r="AS403" s="81">
        <v>17359824.848503202</v>
      </c>
      <c r="AT403" s="81">
        <v>17329994.585824557</v>
      </c>
    </row>
    <row r="404" spans="1:46" ht="15.75">
      <c r="A404" s="81" t="s">
        <v>448</v>
      </c>
      <c r="B404" s="80">
        <v>150900</v>
      </c>
      <c r="C404" s="80" t="s">
        <v>436</v>
      </c>
      <c r="D404" s="84" t="s">
        <v>797</v>
      </c>
      <c r="E404" s="81">
        <v>15421059.458189789</v>
      </c>
      <c r="F404" s="81">
        <v>15807273.018092997</v>
      </c>
      <c r="G404" s="81">
        <v>16094142.999001209</v>
      </c>
      <c r="H404" s="81">
        <v>16371197.817443218</v>
      </c>
      <c r="I404" s="81">
        <v>16638287.166613983</v>
      </c>
      <c r="J404" s="81">
        <v>16895306.414893717</v>
      </c>
      <c r="K404" s="81">
        <v>17142139.298019249</v>
      </c>
      <c r="L404" s="81">
        <v>17378726.892903011</v>
      </c>
      <c r="M404" s="81">
        <v>17605019.587062679</v>
      </c>
      <c r="N404" s="81">
        <v>17821007.915714186</v>
      </c>
      <c r="O404" s="81">
        <v>18026713.845798545</v>
      </c>
      <c r="P404" s="81">
        <v>18222159.848800693</v>
      </c>
      <c r="Q404" s="81">
        <v>18331328.504132122</v>
      </c>
      <c r="R404" s="81">
        <v>18430420.399019159</v>
      </c>
      <c r="S404" s="81">
        <v>18519680.855327949</v>
      </c>
      <c r="T404" s="81">
        <v>18599405.703458108</v>
      </c>
      <c r="U404" s="81">
        <v>18669898.286465175</v>
      </c>
      <c r="V404" s="81">
        <v>18731514.378277898</v>
      </c>
      <c r="W404" s="81">
        <v>18784618.377750937</v>
      </c>
      <c r="X404" s="81">
        <v>18829594.545324419</v>
      </c>
      <c r="Y404" s="81">
        <v>18866893.705639604</v>
      </c>
      <c r="Z404" s="81">
        <v>18896953.578729622</v>
      </c>
      <c r="AA404" s="81">
        <v>18904386.748275518</v>
      </c>
      <c r="AB404" s="81">
        <v>18905713.780896638</v>
      </c>
      <c r="AC404" s="81">
        <v>18901522.834403928</v>
      </c>
      <c r="AD404" s="81">
        <v>18892375.827017806</v>
      </c>
      <c r="AE404" s="81">
        <v>18878928.765852615</v>
      </c>
      <c r="AF404" s="81">
        <v>18861824.179342303</v>
      </c>
      <c r="AG404" s="81">
        <v>18841764.292835847</v>
      </c>
      <c r="AH404" s="81">
        <v>18819475.238756496</v>
      </c>
      <c r="AI404" s="81">
        <v>18795707.296792831</v>
      </c>
      <c r="AJ404" s="81">
        <v>18771260.537802454</v>
      </c>
      <c r="AK404" s="81">
        <v>18753050.001938712</v>
      </c>
      <c r="AL404" s="81">
        <v>18735775.504417349</v>
      </c>
      <c r="AM404" s="81">
        <v>18720368.749732114</v>
      </c>
      <c r="AN404" s="81">
        <v>18707764.184462354</v>
      </c>
      <c r="AO404" s="81">
        <v>18698937.907306165</v>
      </c>
      <c r="AP404" s="81">
        <v>18694908.479946084</v>
      </c>
      <c r="AQ404" s="81">
        <v>18696751.187054042</v>
      </c>
      <c r="AR404" s="81">
        <v>18705558.746841144</v>
      </c>
      <c r="AS404" s="81">
        <v>18722482.040432367</v>
      </c>
      <c r="AT404" s="81">
        <v>18748703.952754665</v>
      </c>
    </row>
    <row r="405" spans="1:46" ht="15.75">
      <c r="A405" s="81" t="s">
        <v>448</v>
      </c>
      <c r="B405" s="80">
        <v>152200</v>
      </c>
      <c r="C405" s="80" t="s">
        <v>436</v>
      </c>
      <c r="D405" s="84" t="s">
        <v>796</v>
      </c>
      <c r="E405" s="81">
        <v>12751791.725778589</v>
      </c>
      <c r="F405" s="81">
        <v>13126655.000891719</v>
      </c>
      <c r="G405" s="81">
        <v>13419057.046646338</v>
      </c>
      <c r="H405" s="81">
        <v>13703120.953159252</v>
      </c>
      <c r="I405" s="81">
        <v>13978812.591718586</v>
      </c>
      <c r="J405" s="81">
        <v>14246109.483590901</v>
      </c>
      <c r="K405" s="81">
        <v>14505030.405340327</v>
      </c>
      <c r="L405" s="81">
        <v>14755566.493367041</v>
      </c>
      <c r="M405" s="81">
        <v>14997749.835417114</v>
      </c>
      <c r="N405" s="81">
        <v>15231624.124793336</v>
      </c>
      <c r="O405" s="81">
        <v>15457233.807993121</v>
      </c>
      <c r="P405" s="81">
        <v>15674655.073277708</v>
      </c>
      <c r="Q405" s="81">
        <v>15818304.074317869</v>
      </c>
      <c r="R405" s="81">
        <v>15953527.219456363</v>
      </c>
      <c r="S405" s="81">
        <v>16080519.188830899</v>
      </c>
      <c r="T405" s="81">
        <v>16199533.54886256</v>
      </c>
      <c r="U405" s="81">
        <v>16310773.073024461</v>
      </c>
      <c r="V405" s="81">
        <v>16414499.822743224</v>
      </c>
      <c r="W405" s="81">
        <v>16510957.602034286</v>
      </c>
      <c r="X405" s="81">
        <v>16600393.60474542</v>
      </c>
      <c r="Y405" s="81">
        <v>16683069.692104992</v>
      </c>
      <c r="Z405" s="81">
        <v>16759250.859800011</v>
      </c>
      <c r="AA405" s="81">
        <v>16815078.471135713</v>
      </c>
      <c r="AB405" s="81">
        <v>16864988.138763275</v>
      </c>
      <c r="AC405" s="81">
        <v>16909290.2648031</v>
      </c>
      <c r="AD405" s="81">
        <v>16948260.255232729</v>
      </c>
      <c r="AE405" s="81">
        <v>16982222.1446089</v>
      </c>
      <c r="AF405" s="81">
        <v>17011488.681860279</v>
      </c>
      <c r="AG405" s="81">
        <v>17036360.48368853</v>
      </c>
      <c r="AH405" s="81">
        <v>17057162.682808764</v>
      </c>
      <c r="AI405" s="81">
        <v>17074207.746544607</v>
      </c>
      <c r="AJ405" s="81">
        <v>17087832.712172877</v>
      </c>
      <c r="AK405" s="81">
        <v>17103903.751184344</v>
      </c>
      <c r="AL405" s="81">
        <v>17117163.300762422</v>
      </c>
      <c r="AM405" s="81">
        <v>17127930.486792054</v>
      </c>
      <c r="AN405" s="81">
        <v>17136562.268273577</v>
      </c>
      <c r="AO405" s="81">
        <v>17143375.245945293</v>
      </c>
      <c r="AP405" s="81">
        <v>17148710.334524479</v>
      </c>
      <c r="AQ405" s="81">
        <v>17152893.081055388</v>
      </c>
      <c r="AR405" s="81">
        <v>17156286.905803166</v>
      </c>
      <c r="AS405" s="81">
        <v>17159225.99738998</v>
      </c>
      <c r="AT405" s="81">
        <v>17162027.568669334</v>
      </c>
    </row>
    <row r="406" spans="1:46" ht="15.75">
      <c r="A406" s="81" t="s">
        <v>448</v>
      </c>
      <c r="B406" s="80">
        <v>152500</v>
      </c>
      <c r="C406" s="80" t="s">
        <v>436</v>
      </c>
      <c r="D406" s="84" t="s">
        <v>795</v>
      </c>
      <c r="E406" s="81">
        <v>9968255.4062586185</v>
      </c>
      <c r="F406" s="81">
        <v>10256123.35644445</v>
      </c>
      <c r="G406" s="81">
        <v>10478681.473027915</v>
      </c>
      <c r="H406" s="81">
        <v>10693937.315207129</v>
      </c>
      <c r="I406" s="81">
        <v>10901951.228613451</v>
      </c>
      <c r="J406" s="81">
        <v>11102757.605715062</v>
      </c>
      <c r="K406" s="81">
        <v>11296441.486327209</v>
      </c>
      <c r="L406" s="81">
        <v>11483070.347412243</v>
      </c>
      <c r="M406" s="81">
        <v>11662732.64961442</v>
      </c>
      <c r="N406" s="81">
        <v>11835517.436080271</v>
      </c>
      <c r="O406" s="81">
        <v>12001523.803566163</v>
      </c>
      <c r="P406" s="81">
        <v>12160871.221313644</v>
      </c>
      <c r="Q406" s="81">
        <v>12262768.151862292</v>
      </c>
      <c r="R406" s="81">
        <v>12358003.410363233</v>
      </c>
      <c r="S406" s="81">
        <v>12446785.392203331</v>
      </c>
      <c r="T406" s="81">
        <v>12529335.913981235</v>
      </c>
      <c r="U406" s="81">
        <v>12605856.80666773</v>
      </c>
      <c r="V406" s="81">
        <v>12676585.025392372</v>
      </c>
      <c r="W406" s="81">
        <v>12741725.438388865</v>
      </c>
      <c r="X406" s="81">
        <v>12801494.93203881</v>
      </c>
      <c r="Y406" s="81">
        <v>12856110.950398246</v>
      </c>
      <c r="Z406" s="81">
        <v>12905779.399198363</v>
      </c>
      <c r="AA406" s="81">
        <v>12939846.559739018</v>
      </c>
      <c r="AB406" s="81">
        <v>12969411.501001673</v>
      </c>
      <c r="AC406" s="81">
        <v>12994699.367316512</v>
      </c>
      <c r="AD406" s="81">
        <v>13015920.890100423</v>
      </c>
      <c r="AE406" s="81">
        <v>13033259.307983117</v>
      </c>
      <c r="AF406" s="81">
        <v>13046930.509392811</v>
      </c>
      <c r="AG406" s="81">
        <v>13057122.092591101</v>
      </c>
      <c r="AH406" s="81">
        <v>13064016.976176206</v>
      </c>
      <c r="AI406" s="81">
        <v>13067792.983658615</v>
      </c>
      <c r="AJ406" s="81">
        <v>13068622.422130398</v>
      </c>
      <c r="AK406" s="81">
        <v>13070894.343816325</v>
      </c>
      <c r="AL406" s="81">
        <v>13070497.221894503</v>
      </c>
      <c r="AM406" s="81">
        <v>13067568.926222334</v>
      </c>
      <c r="AN406" s="81">
        <v>13062252.979726035</v>
      </c>
      <c r="AO406" s="81">
        <v>13054658.931377053</v>
      </c>
      <c r="AP406" s="81">
        <v>13044900.822384873</v>
      </c>
      <c r="AQ406" s="81">
        <v>13033070.347665571</v>
      </c>
      <c r="AR406" s="81">
        <v>13019276.478168383</v>
      </c>
      <c r="AS406" s="81">
        <v>13003591.406118382</v>
      </c>
      <c r="AT406" s="81">
        <v>12986062.728340846</v>
      </c>
    </row>
    <row r="407" spans="1:46" ht="15.75">
      <c r="A407" s="81" t="s">
        <v>448</v>
      </c>
      <c r="B407" s="80">
        <v>152900</v>
      </c>
      <c r="C407" s="80" t="s">
        <v>436</v>
      </c>
      <c r="D407" s="84" t="s">
        <v>794</v>
      </c>
      <c r="E407" s="81">
        <v>2359194.5077685495</v>
      </c>
      <c r="F407" s="81">
        <v>2428301.6710889493</v>
      </c>
      <c r="G407" s="81">
        <v>2481742.9187448705</v>
      </c>
      <c r="H407" s="81">
        <v>2533312.5112684793</v>
      </c>
      <c r="I407" s="81">
        <v>2583028.3757319981</v>
      </c>
      <c r="J407" s="81">
        <v>2630943.707145378</v>
      </c>
      <c r="K407" s="81">
        <v>2677089.5043809572</v>
      </c>
      <c r="L407" s="81">
        <v>2721502.8485775148</v>
      </c>
      <c r="M407" s="81">
        <v>2764227.0072407774</v>
      </c>
      <c r="N407" s="81">
        <v>2805311.5383439185</v>
      </c>
      <c r="O407" s="81">
        <v>2844780.8814576743</v>
      </c>
      <c r="P407" s="81">
        <v>2882696.2033602619</v>
      </c>
      <c r="Q407" s="81">
        <v>2906957.3955384651</v>
      </c>
      <c r="R407" s="81">
        <v>2929679.1982474211</v>
      </c>
      <c r="S407" s="81">
        <v>2950926.2274095155</v>
      </c>
      <c r="T407" s="81">
        <v>2970755.6537576281</v>
      </c>
      <c r="U407" s="81">
        <v>2989216.7453767769</v>
      </c>
      <c r="V407" s="81">
        <v>3006361.6494581504</v>
      </c>
      <c r="W407" s="81">
        <v>3022245.4283193513</v>
      </c>
      <c r="X407" s="81">
        <v>3036926.0954246465</v>
      </c>
      <c r="Y407" s="81">
        <v>3050429.9968792074</v>
      </c>
      <c r="Z407" s="81">
        <v>3062796.9232560424</v>
      </c>
      <c r="AA407" s="81">
        <v>3071441.1496446785</v>
      </c>
      <c r="AB407" s="81">
        <v>3079042.7093782825</v>
      </c>
      <c r="AC407" s="81">
        <v>3085602.8624224639</v>
      </c>
      <c r="AD407" s="81">
        <v>3091183.6004281738</v>
      </c>
      <c r="AE407" s="81">
        <v>3095788.7839893871</v>
      </c>
      <c r="AF407" s="81">
        <v>3099435.1052620169</v>
      </c>
      <c r="AG407" s="81">
        <v>3102127.9444832643</v>
      </c>
      <c r="AH407" s="81">
        <v>3103885.721482276</v>
      </c>
      <c r="AI407" s="81">
        <v>3104702.8668901157</v>
      </c>
      <c r="AJ407" s="81">
        <v>3104574.0727795651</v>
      </c>
      <c r="AK407" s="81">
        <v>3104427.8229255718</v>
      </c>
      <c r="AL407" s="81">
        <v>3103291.6946678823</v>
      </c>
      <c r="AM407" s="81">
        <v>3101146.8926004008</v>
      </c>
      <c r="AN407" s="81">
        <v>3097948.4776713517</v>
      </c>
      <c r="AO407" s="81">
        <v>3093650.5630469695</v>
      </c>
      <c r="AP407" s="81">
        <v>3088219.5180853601</v>
      </c>
      <c r="AQ407" s="81">
        <v>3081594.5305637391</v>
      </c>
      <c r="AR407" s="81">
        <v>3073713.4049843233</v>
      </c>
      <c r="AS407" s="81">
        <v>3064485.5057868729</v>
      </c>
      <c r="AT407" s="81">
        <v>3053845.2092845296</v>
      </c>
    </row>
    <row r="408" spans="1:46" ht="15.75">
      <c r="A408" s="81" t="s">
        <v>448</v>
      </c>
      <c r="B408" s="80">
        <v>210100</v>
      </c>
      <c r="C408" s="80" t="s">
        <v>435</v>
      </c>
      <c r="D408" s="84" t="s">
        <v>793</v>
      </c>
      <c r="E408" s="81">
        <v>98185839.699573785</v>
      </c>
      <c r="F408" s="81">
        <v>101180176.58300436</v>
      </c>
      <c r="G408" s="81">
        <v>103496477.83190197</v>
      </c>
      <c r="H408" s="81">
        <v>105688879.27803367</v>
      </c>
      <c r="I408" s="81">
        <v>107762053.47967181</v>
      </c>
      <c r="J408" s="81">
        <v>109720894.17351255</v>
      </c>
      <c r="K408" s="81">
        <v>111570502.41578346</v>
      </c>
      <c r="L408" s="81">
        <v>113316148.02249934</v>
      </c>
      <c r="M408" s="81">
        <v>114963291.87291764</v>
      </c>
      <c r="N408" s="81">
        <v>116517483.70880227</v>
      </c>
      <c r="O408" s="81">
        <v>117984408.01282889</v>
      </c>
      <c r="P408" s="81">
        <v>119369777.17016049</v>
      </c>
      <c r="Q408" s="81">
        <v>120216271.16867593</v>
      </c>
      <c r="R408" s="81">
        <v>120991760.52020776</v>
      </c>
      <c r="S408" s="81">
        <v>121702756.44944239</v>
      </c>
      <c r="T408" s="81">
        <v>122355552.05338921</v>
      </c>
      <c r="U408" s="81">
        <v>122956275.53582786</v>
      </c>
      <c r="V408" s="81">
        <v>123510820.41060251</v>
      </c>
      <c r="W408" s="81">
        <v>124024772.07465106</v>
      </c>
      <c r="X408" s="81">
        <v>124503491.433743</v>
      </c>
      <c r="Y408" s="81">
        <v>124951954.77155654</v>
      </c>
      <c r="Z408" s="81">
        <v>125374808.11059397</v>
      </c>
      <c r="AA408" s="81">
        <v>125361424.28793637</v>
      </c>
      <c r="AB408" s="81">
        <v>125331321.54024282</v>
      </c>
      <c r="AC408" s="81">
        <v>125287990.75145531</v>
      </c>
      <c r="AD408" s="81">
        <v>125234405.14838815</v>
      </c>
      <c r="AE408" s="81">
        <v>125172979.67180292</v>
      </c>
      <c r="AF408" s="81">
        <v>125105545.16010557</v>
      </c>
      <c r="AG408" s="81">
        <v>125033354.04761019</v>
      </c>
      <c r="AH408" s="81">
        <v>124956959.78059764</v>
      </c>
      <c r="AI408" s="81">
        <v>124876316.70430155</v>
      </c>
      <c r="AJ408" s="81">
        <v>124790658.93804267</v>
      </c>
      <c r="AK408" s="81">
        <v>124756505.53216426</v>
      </c>
      <c r="AL408" s="81">
        <v>124712763.0417874</v>
      </c>
      <c r="AM408" s="81">
        <v>124656474.46818882</v>
      </c>
      <c r="AN408" s="81">
        <v>124583864.35927069</v>
      </c>
      <c r="AO408" s="81">
        <v>124490292.50955394</v>
      </c>
      <c r="AP408" s="81">
        <v>124370342.80090052</v>
      </c>
      <c r="AQ408" s="81">
        <v>124217626.03503165</v>
      </c>
      <c r="AR408" s="81">
        <v>124024902.9013322</v>
      </c>
      <c r="AS408" s="81">
        <v>123783935.38383448</v>
      </c>
      <c r="AT408" s="81">
        <v>123485560.54532854</v>
      </c>
    </row>
    <row r="409" spans="1:46" ht="15.75">
      <c r="A409" s="81" t="s">
        <v>448</v>
      </c>
      <c r="B409" s="80">
        <v>210200</v>
      </c>
      <c r="C409" s="80" t="s">
        <v>435</v>
      </c>
      <c r="D409" s="84" t="s">
        <v>792</v>
      </c>
      <c r="E409" s="81">
        <v>77398440.421812564</v>
      </c>
      <c r="F409" s="81">
        <v>79826774.643705234</v>
      </c>
      <c r="G409" s="81">
        <v>81713848.434708998</v>
      </c>
      <c r="H409" s="81">
        <v>83497301.548483714</v>
      </c>
      <c r="I409" s="81">
        <v>85181587.117630094</v>
      </c>
      <c r="J409" s="81">
        <v>86771376.860491902</v>
      </c>
      <c r="K409" s="81">
        <v>88271481.283645466</v>
      </c>
      <c r="L409" s="81">
        <v>89686893.696905226</v>
      </c>
      <c r="M409" s="81">
        <v>91022659.183272511</v>
      </c>
      <c r="N409" s="81">
        <v>92283965.137533367</v>
      </c>
      <c r="O409" s="81">
        <v>93476043.125156552</v>
      </c>
      <c r="P409" s="81">
        <v>94604151.32322228</v>
      </c>
      <c r="Q409" s="81">
        <v>95306408.137064427</v>
      </c>
      <c r="R409" s="81">
        <v>95954138.524633452</v>
      </c>
      <c r="S409" s="81">
        <v>96553095.595952958</v>
      </c>
      <c r="T409" s="81">
        <v>97108810.85841085</v>
      </c>
      <c r="U409" s="81">
        <v>97626646.056840613</v>
      </c>
      <c r="V409" s="81">
        <v>98111686.499224097</v>
      </c>
      <c r="W409" s="81">
        <v>98568752.271504506</v>
      </c>
      <c r="X409" s="81">
        <v>99002341.942239091</v>
      </c>
      <c r="Y409" s="81">
        <v>99416658.536971152</v>
      </c>
      <c r="Z409" s="81">
        <v>99815524.497291043</v>
      </c>
      <c r="AA409" s="81">
        <v>100148103.68954518</v>
      </c>
      <c r="AB409" s="81">
        <v>100471509.49054816</v>
      </c>
      <c r="AC409" s="81">
        <v>100788306.28150252</v>
      </c>
      <c r="AD409" s="81">
        <v>101100560.54656672</v>
      </c>
      <c r="AE409" s="81">
        <v>101409839.36677463</v>
      </c>
      <c r="AF409" s="81">
        <v>101717118.81090342</v>
      </c>
      <c r="AG409" s="81">
        <v>102022826.76350243</v>
      </c>
      <c r="AH409" s="81">
        <v>102326734.28277843</v>
      </c>
      <c r="AI409" s="81">
        <v>102627983.33811235</v>
      </c>
      <c r="AJ409" s="81">
        <v>102925022.50205405</v>
      </c>
      <c r="AK409" s="81">
        <v>103181157.75922191</v>
      </c>
      <c r="AL409" s="81">
        <v>103427452.60226253</v>
      </c>
      <c r="AM409" s="81">
        <v>103660103.46170503</v>
      </c>
      <c r="AN409" s="81">
        <v>103874511.97235376</v>
      </c>
      <c r="AO409" s="81">
        <v>104065184.66441709</v>
      </c>
      <c r="AP409" s="81">
        <v>104225746.57714276</v>
      </c>
      <c r="AQ409" s="81">
        <v>104348906.24074459</v>
      </c>
      <c r="AR409" s="81">
        <v>104426385.81610832</v>
      </c>
      <c r="AS409" s="81">
        <v>104448935.7901036</v>
      </c>
      <c r="AT409" s="81">
        <v>104406282.0335722</v>
      </c>
    </row>
    <row r="410" spans="1:46" ht="15.75">
      <c r="A410" s="81" t="s">
        <v>448</v>
      </c>
      <c r="B410" s="80">
        <v>210300</v>
      </c>
      <c r="C410" s="80" t="s">
        <v>435</v>
      </c>
      <c r="D410" s="84" t="s">
        <v>791</v>
      </c>
      <c r="E410" s="81">
        <v>33054506.116767485</v>
      </c>
      <c r="F410" s="81">
        <v>33986109.661598019</v>
      </c>
      <c r="G410" s="81">
        <v>34703931.336028256</v>
      </c>
      <c r="H410" s="81">
        <v>35393293.157342494</v>
      </c>
      <c r="I410" s="81">
        <v>36054519.773185462</v>
      </c>
      <c r="J410" s="81">
        <v>36687970.058496058</v>
      </c>
      <c r="K410" s="81">
        <v>37294099.680669636</v>
      </c>
      <c r="L410" s="81">
        <v>37873405.628701128</v>
      </c>
      <c r="M410" s="81">
        <v>38426445.639605001</v>
      </c>
      <c r="N410" s="81">
        <v>38953836.338290736</v>
      </c>
      <c r="O410" s="81">
        <v>39456239.352919742</v>
      </c>
      <c r="P410" s="81">
        <v>39934394.559955008</v>
      </c>
      <c r="Q410" s="81">
        <v>40234057.736163288</v>
      </c>
      <c r="R410" s="81">
        <v>40510582.2963567</v>
      </c>
      <c r="S410" s="81">
        <v>40765078.950107232</v>
      </c>
      <c r="T410" s="81">
        <v>40998692.156738386</v>
      </c>
      <c r="U410" s="81">
        <v>41212559.853676409</v>
      </c>
      <c r="V410" s="81">
        <v>41407861.463410892</v>
      </c>
      <c r="W410" s="81">
        <v>41585764.165922254</v>
      </c>
      <c r="X410" s="81">
        <v>41747445.345555231</v>
      </c>
      <c r="Y410" s="81">
        <v>41894103.342286229</v>
      </c>
      <c r="Z410" s="81">
        <v>42026914.521746255</v>
      </c>
      <c r="AA410" s="81">
        <v>42124239.38709493</v>
      </c>
      <c r="AB410" s="81">
        <v>42210086.907866642</v>
      </c>
      <c r="AC410" s="81">
        <v>42285619.065989368</v>
      </c>
      <c r="AD410" s="81">
        <v>42352028.807272978</v>
      </c>
      <c r="AE410" s="81">
        <v>42410481.645098664</v>
      </c>
      <c r="AF410" s="81">
        <v>42462097.198712841</v>
      </c>
      <c r="AG410" s="81">
        <v>42507988.58214011</v>
      </c>
      <c r="AH410" s="81">
        <v>42549259.919519953</v>
      </c>
      <c r="AI410" s="81">
        <v>42586943.709966019</v>
      </c>
      <c r="AJ410" s="81">
        <v>42622086.200855576</v>
      </c>
      <c r="AK410" s="81">
        <v>42682208.424677059</v>
      </c>
      <c r="AL410" s="81">
        <v>42741414.335346639</v>
      </c>
      <c r="AM410" s="81">
        <v>42800610.896306343</v>
      </c>
      <c r="AN410" s="81">
        <v>42860661.769474559</v>
      </c>
      <c r="AO410" s="81">
        <v>42922367.415278561</v>
      </c>
      <c r="AP410" s="81">
        <v>42986460.301204883</v>
      </c>
      <c r="AQ410" s="81">
        <v>43053616.413304843</v>
      </c>
      <c r="AR410" s="81">
        <v>43124467.736069083</v>
      </c>
      <c r="AS410" s="81">
        <v>43199548.80881083</v>
      </c>
      <c r="AT410" s="81">
        <v>43279375.293917082</v>
      </c>
    </row>
    <row r="411" spans="1:46" ht="15.75">
      <c r="A411" s="81" t="s">
        <v>448</v>
      </c>
      <c r="B411" s="80">
        <v>210400</v>
      </c>
      <c r="C411" s="80" t="s">
        <v>435</v>
      </c>
      <c r="D411" s="84" t="s">
        <v>790</v>
      </c>
      <c r="E411" s="81">
        <v>15563462.737540269</v>
      </c>
      <c r="F411" s="81">
        <v>15989873.41682639</v>
      </c>
      <c r="G411" s="81">
        <v>16310999.732863886</v>
      </c>
      <c r="H411" s="81">
        <v>16614326.744913746</v>
      </c>
      <c r="I411" s="81">
        <v>16900205.291915584</v>
      </c>
      <c r="J411" s="81">
        <v>17169048.422834922</v>
      </c>
      <c r="K411" s="81">
        <v>17421301.590549599</v>
      </c>
      <c r="L411" s="81">
        <v>17657450.679992519</v>
      </c>
      <c r="M411" s="81">
        <v>17877978.916077696</v>
      </c>
      <c r="N411" s="81">
        <v>18083435.939190228</v>
      </c>
      <c r="O411" s="81">
        <v>18274395.72074905</v>
      </c>
      <c r="P411" s="81">
        <v>18451443.029213779</v>
      </c>
      <c r="Q411" s="81">
        <v>18543758.418292049</v>
      </c>
      <c r="R411" s="81">
        <v>18623557.082579594</v>
      </c>
      <c r="S411" s="81">
        <v>18691625.707030311</v>
      </c>
      <c r="T411" s="81">
        <v>18748758.820960809</v>
      </c>
      <c r="U411" s="81">
        <v>18795733.648790818</v>
      </c>
      <c r="V411" s="81">
        <v>18833318.51518051</v>
      </c>
      <c r="W411" s="81">
        <v>18862305.812255412</v>
      </c>
      <c r="X411" s="81">
        <v>18883451.134340905</v>
      </c>
      <c r="Y411" s="81">
        <v>18897505.579806179</v>
      </c>
      <c r="Z411" s="81">
        <v>18905213.564508937</v>
      </c>
      <c r="AA411" s="81">
        <v>18897062.325927299</v>
      </c>
      <c r="AB411" s="81">
        <v>18884036.75498426</v>
      </c>
      <c r="AC411" s="81">
        <v>18866815.23083258</v>
      </c>
      <c r="AD411" s="81">
        <v>18846069.8281409</v>
      </c>
      <c r="AE411" s="81">
        <v>18822438.609740805</v>
      </c>
      <c r="AF411" s="81">
        <v>18796509.361510575</v>
      </c>
      <c r="AG411" s="81">
        <v>18768842.30738518</v>
      </c>
      <c r="AH411" s="81">
        <v>18739967.59210822</v>
      </c>
      <c r="AI411" s="81">
        <v>18710382.723087598</v>
      </c>
      <c r="AJ411" s="81">
        <v>18680522.537175633</v>
      </c>
      <c r="AK411" s="81">
        <v>18662379.535308655</v>
      </c>
      <c r="AL411" s="81">
        <v>18644524.69416647</v>
      </c>
      <c r="AM411" s="81">
        <v>18627243.414959878</v>
      </c>
      <c r="AN411" s="81">
        <v>18610787.492988639</v>
      </c>
      <c r="AO411" s="81">
        <v>18595329.44057193</v>
      </c>
      <c r="AP411" s="81">
        <v>18580987.172361627</v>
      </c>
      <c r="AQ411" s="81">
        <v>18567806.111081146</v>
      </c>
      <c r="AR411" s="81">
        <v>18555755.257948611</v>
      </c>
      <c r="AS411" s="81">
        <v>18544753.42869379</v>
      </c>
      <c r="AT411" s="81">
        <v>18534620.987318661</v>
      </c>
    </row>
    <row r="412" spans="1:46" ht="15.75">
      <c r="A412" s="81" t="s">
        <v>448</v>
      </c>
      <c r="B412" s="80">
        <v>210500</v>
      </c>
      <c r="C412" s="80" t="s">
        <v>435</v>
      </c>
      <c r="D412" s="84" t="s">
        <v>789</v>
      </c>
      <c r="E412" s="81">
        <v>11253996.729738576</v>
      </c>
      <c r="F412" s="81">
        <v>11588191.386223262</v>
      </c>
      <c r="G412" s="81">
        <v>11845645.406756822</v>
      </c>
      <c r="H412" s="81">
        <v>12089671.06479896</v>
      </c>
      <c r="I412" s="81">
        <v>12320581.619186006</v>
      </c>
      <c r="J412" s="81">
        <v>12538738.166758701</v>
      </c>
      <c r="K412" s="81">
        <v>12744502.083223104</v>
      </c>
      <c r="L412" s="81">
        <v>12938279.47603582</v>
      </c>
      <c r="M412" s="81">
        <v>13120501.416470533</v>
      </c>
      <c r="N412" s="81">
        <v>13291592.143110869</v>
      </c>
      <c r="O412" s="81">
        <v>13452036.035669148</v>
      </c>
      <c r="P412" s="81">
        <v>13602296.211928897</v>
      </c>
      <c r="Q412" s="81">
        <v>13690135.622597257</v>
      </c>
      <c r="R412" s="81">
        <v>13768755.187635072</v>
      </c>
      <c r="S412" s="81">
        <v>13838780.086855542</v>
      </c>
      <c r="T412" s="81">
        <v>13900801.699653955</v>
      </c>
      <c r="U412" s="81">
        <v>13955428.678652506</v>
      </c>
      <c r="V412" s="81">
        <v>14003263.992962489</v>
      </c>
      <c r="W412" s="81">
        <v>14044891.620190827</v>
      </c>
      <c r="X412" s="81">
        <v>14080896.576725159</v>
      </c>
      <c r="Y412" s="81">
        <v>14111817.327905733</v>
      </c>
      <c r="Z412" s="81">
        <v>14138199.898764415</v>
      </c>
      <c r="AA412" s="81">
        <v>14152907.305617683</v>
      </c>
      <c r="AB412" s="81">
        <v>14164130.589655295</v>
      </c>
      <c r="AC412" s="81">
        <v>14172327.171429016</v>
      </c>
      <c r="AD412" s="81">
        <v>14177964.459847454</v>
      </c>
      <c r="AE412" s="81">
        <v>14181470.209673757</v>
      </c>
      <c r="AF412" s="81">
        <v>14183229.483548379</v>
      </c>
      <c r="AG412" s="81">
        <v>14183594.146324877</v>
      </c>
      <c r="AH412" s="81">
        <v>14182880.398559343</v>
      </c>
      <c r="AI412" s="81">
        <v>14181366.271290485</v>
      </c>
      <c r="AJ412" s="81">
        <v>14179289.082110293</v>
      </c>
      <c r="AK412" s="81">
        <v>14185655.146590654</v>
      </c>
      <c r="AL412" s="81">
        <v>14191680.123878168</v>
      </c>
      <c r="AM412" s="81">
        <v>14197437.993835244</v>
      </c>
      <c r="AN412" s="81">
        <v>14202963.925903743</v>
      </c>
      <c r="AO412" s="81">
        <v>14208252.094119968</v>
      </c>
      <c r="AP412" s="81">
        <v>14213198.032390393</v>
      </c>
      <c r="AQ412" s="81">
        <v>14217663.448250446</v>
      </c>
      <c r="AR412" s="81">
        <v>14221418.041314537</v>
      </c>
      <c r="AS412" s="81">
        <v>14224206.44097352</v>
      </c>
      <c r="AT412" s="81">
        <v>14225646.14504702</v>
      </c>
    </row>
    <row r="413" spans="1:46" ht="15.75">
      <c r="A413" s="81" t="s">
        <v>448</v>
      </c>
      <c r="B413" s="80">
        <v>210600</v>
      </c>
      <c r="C413" s="80" t="s">
        <v>435</v>
      </c>
      <c r="D413" s="84" t="s">
        <v>788</v>
      </c>
      <c r="E413" s="81">
        <v>19657137.183656208</v>
      </c>
      <c r="F413" s="81">
        <v>20205201.49714797</v>
      </c>
      <c r="G413" s="81">
        <v>20625377.096496359</v>
      </c>
      <c r="H413" s="81">
        <v>21027750.090941966</v>
      </c>
      <c r="I413" s="81">
        <v>21412409.532973863</v>
      </c>
      <c r="J413" s="81">
        <v>21779501.838268954</v>
      </c>
      <c r="K413" s="81">
        <v>22129171.347763229</v>
      </c>
      <c r="L413" s="81">
        <v>22461627.808876008</v>
      </c>
      <c r="M413" s="81">
        <v>22777137.664242763</v>
      </c>
      <c r="N413" s="81">
        <v>23075982.548838053</v>
      </c>
      <c r="O413" s="81">
        <v>23358499.633585338</v>
      </c>
      <c r="P413" s="81">
        <v>23625038.619655196</v>
      </c>
      <c r="Q413" s="81">
        <v>23784393.016828876</v>
      </c>
      <c r="R413" s="81">
        <v>23928505.943767477</v>
      </c>
      <c r="S413" s="81">
        <v>24058025.587251637</v>
      </c>
      <c r="T413" s="81">
        <v>24173628.464925878</v>
      </c>
      <c r="U413" s="81">
        <v>24275984.024967596</v>
      </c>
      <c r="V413" s="81">
        <v>24365822.534461603</v>
      </c>
      <c r="W413" s="81">
        <v>24443877.073617011</v>
      </c>
      <c r="X413" s="81">
        <v>24510893.54860324</v>
      </c>
      <c r="Y413" s="81">
        <v>24567629.325639788</v>
      </c>
      <c r="Z413" s="81">
        <v>24614876.473109864</v>
      </c>
      <c r="AA413" s="81">
        <v>24640090.25617924</v>
      </c>
      <c r="AB413" s="81">
        <v>24657443.420571454</v>
      </c>
      <c r="AC413" s="81">
        <v>24667777.307487886</v>
      </c>
      <c r="AD413" s="81">
        <v>24671950.044534404</v>
      </c>
      <c r="AE413" s="81">
        <v>24670796.659360714</v>
      </c>
      <c r="AF413" s="81">
        <v>24665178.712343194</v>
      </c>
      <c r="AG413" s="81">
        <v>24655984.084755745</v>
      </c>
      <c r="AH413" s="81">
        <v>24644059.593477365</v>
      </c>
      <c r="AI413" s="81">
        <v>24630288.65887972</v>
      </c>
      <c r="AJ413" s="81">
        <v>24615550.589785174</v>
      </c>
      <c r="AK413" s="81">
        <v>24616019.533880495</v>
      </c>
      <c r="AL413" s="81">
        <v>24617077.825719342</v>
      </c>
      <c r="AM413" s="81">
        <v>24619603.267517474</v>
      </c>
      <c r="AN413" s="81">
        <v>24624450.717918701</v>
      </c>
      <c r="AO413" s="81">
        <v>24632507.332149159</v>
      </c>
      <c r="AP413" s="81">
        <v>24644649.014708757</v>
      </c>
      <c r="AQ413" s="81">
        <v>24661723.648676489</v>
      </c>
      <c r="AR413" s="81">
        <v>24684578.207699195</v>
      </c>
      <c r="AS413" s="81">
        <v>24714057.495255146</v>
      </c>
      <c r="AT413" s="81">
        <v>24751002.861154605</v>
      </c>
    </row>
    <row r="414" spans="1:46" ht="15.75">
      <c r="A414" s="81" t="s">
        <v>448</v>
      </c>
      <c r="B414" s="80">
        <v>210700</v>
      </c>
      <c r="C414" s="80" t="s">
        <v>435</v>
      </c>
      <c r="D414" s="84" t="s">
        <v>787</v>
      </c>
      <c r="E414" s="81">
        <v>24269882.986050047</v>
      </c>
      <c r="F414" s="81">
        <v>24963950.811737537</v>
      </c>
      <c r="G414" s="81">
        <v>25499226.950618852</v>
      </c>
      <c r="H414" s="81">
        <v>26011878.8535938</v>
      </c>
      <c r="I414" s="81">
        <v>26502237.328733474</v>
      </c>
      <c r="J414" s="81">
        <v>26970684.828437258</v>
      </c>
      <c r="K414" s="81">
        <v>27417663.912397612</v>
      </c>
      <c r="L414" s="81">
        <v>27843645.680545222</v>
      </c>
      <c r="M414" s="81">
        <v>28249167.89155072</v>
      </c>
      <c r="N414" s="81">
        <v>28634803.017529234</v>
      </c>
      <c r="O414" s="81">
        <v>29001166.119929943</v>
      </c>
      <c r="P414" s="81">
        <v>29348901.788901355</v>
      </c>
      <c r="Q414" s="81">
        <v>29564814.66162914</v>
      </c>
      <c r="R414" s="81">
        <v>29763206.749689993</v>
      </c>
      <c r="S414" s="81">
        <v>29945045.335630488</v>
      </c>
      <c r="T414" s="81">
        <v>30111275.942273278</v>
      </c>
      <c r="U414" s="81">
        <v>30262876.019146781</v>
      </c>
      <c r="V414" s="81">
        <v>30400818.646578614</v>
      </c>
      <c r="W414" s="81">
        <v>30526093.171654429</v>
      </c>
      <c r="X414" s="81">
        <v>30639667.269684173</v>
      </c>
      <c r="Y414" s="81">
        <v>30742531.66759127</v>
      </c>
      <c r="Z414" s="81">
        <v>30835649.622397114</v>
      </c>
      <c r="AA414" s="81">
        <v>30903263.567015644</v>
      </c>
      <c r="AB414" s="81">
        <v>30963055.38989336</v>
      </c>
      <c r="AC414" s="81">
        <v>31015985.782416143</v>
      </c>
      <c r="AD414" s="81">
        <v>31062985.809567608</v>
      </c>
      <c r="AE414" s="81">
        <v>31104992.368421733</v>
      </c>
      <c r="AF414" s="81">
        <v>31142880.894867126</v>
      </c>
      <c r="AG414" s="81">
        <v>31177526.738645233</v>
      </c>
      <c r="AH414" s="81">
        <v>31209763.231368534</v>
      </c>
      <c r="AI414" s="81">
        <v>31240405.042664267</v>
      </c>
      <c r="AJ414" s="81">
        <v>31270204.600265998</v>
      </c>
      <c r="AK414" s="81">
        <v>31319401.715100385</v>
      </c>
      <c r="AL414" s="81">
        <v>31368965.053453587</v>
      </c>
      <c r="AM414" s="81">
        <v>31419582.667220771</v>
      </c>
      <c r="AN414" s="81">
        <v>31471825.660596542</v>
      </c>
      <c r="AO414" s="81">
        <v>31526242.136493884</v>
      </c>
      <c r="AP414" s="81">
        <v>31583311.170086876</v>
      </c>
      <c r="AQ414" s="81">
        <v>31643497.505451322</v>
      </c>
      <c r="AR414" s="81">
        <v>31707115.563295972</v>
      </c>
      <c r="AS414" s="81">
        <v>31774517.344585098</v>
      </c>
      <c r="AT414" s="81">
        <v>31845895.56887991</v>
      </c>
    </row>
    <row r="415" spans="1:46" ht="15.75">
      <c r="A415" s="81" t="s">
        <v>448</v>
      </c>
      <c r="B415" s="80">
        <v>210800</v>
      </c>
      <c r="C415" s="80" t="s">
        <v>435</v>
      </c>
      <c r="D415" s="84" t="s">
        <v>786</v>
      </c>
      <c r="E415" s="81">
        <v>20872510.352866128</v>
      </c>
      <c r="F415" s="81">
        <v>21499525.022130657</v>
      </c>
      <c r="G415" s="81">
        <v>21987774.463316996</v>
      </c>
      <c r="H415" s="81">
        <v>22454695.32490911</v>
      </c>
      <c r="I415" s="81">
        <v>22900887.903615896</v>
      </c>
      <c r="J415" s="81">
        <v>23327008.828598343</v>
      </c>
      <c r="K415" s="81">
        <v>23733728.621851705</v>
      </c>
      <c r="L415" s="81">
        <v>24121797.647706404</v>
      </c>
      <c r="M415" s="81">
        <v>24491942.119091008</v>
      </c>
      <c r="N415" s="81">
        <v>24844961.293605361</v>
      </c>
      <c r="O415" s="81">
        <v>25181641.246375266</v>
      </c>
      <c r="P415" s="81">
        <v>25502813.200618643</v>
      </c>
      <c r="Q415" s="81">
        <v>25710266.676106222</v>
      </c>
      <c r="R415" s="81">
        <v>25903486.187102113</v>
      </c>
      <c r="S415" s="81">
        <v>26083452.381519362</v>
      </c>
      <c r="T415" s="81">
        <v>26251166.793159261</v>
      </c>
      <c r="U415" s="81">
        <v>26407603.665275406</v>
      </c>
      <c r="V415" s="81">
        <v>26553705.416282918</v>
      </c>
      <c r="W415" s="81">
        <v>26690378.008759651</v>
      </c>
      <c r="X415" s="81">
        <v>26818510.298161738</v>
      </c>
      <c r="Y415" s="81">
        <v>26938921.90494642</v>
      </c>
      <c r="Z415" s="81">
        <v>27052406.174449001</v>
      </c>
      <c r="AA415" s="81">
        <v>27145023.19907007</v>
      </c>
      <c r="AB415" s="81">
        <v>27232113.95121089</v>
      </c>
      <c r="AC415" s="81">
        <v>27314314.726652782</v>
      </c>
      <c r="AD415" s="81">
        <v>27392216.46736211</v>
      </c>
      <c r="AE415" s="81">
        <v>27466321.955734793</v>
      </c>
      <c r="AF415" s="81">
        <v>27537053.034190845</v>
      </c>
      <c r="AG415" s="81">
        <v>27604771.867303036</v>
      </c>
      <c r="AH415" s="81">
        <v>27669763.5185715</v>
      </c>
      <c r="AI415" s="81">
        <v>27732176.890989464</v>
      </c>
      <c r="AJ415" s="81">
        <v>27792126.779635295</v>
      </c>
      <c r="AK415" s="81">
        <v>27866917.947741061</v>
      </c>
      <c r="AL415" s="81">
        <v>27938961.192238856</v>
      </c>
      <c r="AM415" s="81">
        <v>28008033.270296771</v>
      </c>
      <c r="AN415" s="81">
        <v>28073773.00119669</v>
      </c>
      <c r="AO415" s="81">
        <v>28135717.633822106</v>
      </c>
      <c r="AP415" s="81">
        <v>28193254.075483747</v>
      </c>
      <c r="AQ415" s="81">
        <v>28245656.013572924</v>
      </c>
      <c r="AR415" s="81">
        <v>28292019.090915285</v>
      </c>
      <c r="AS415" s="81">
        <v>28331358.445988201</v>
      </c>
      <c r="AT415" s="81">
        <v>28362453.215577763</v>
      </c>
    </row>
    <row r="416" spans="1:46" ht="15.75">
      <c r="A416" s="81" t="s">
        <v>448</v>
      </c>
      <c r="B416" s="80">
        <v>210900</v>
      </c>
      <c r="C416" s="80" t="s">
        <v>435</v>
      </c>
      <c r="D416" s="84" t="s">
        <v>785</v>
      </c>
      <c r="E416" s="81">
        <v>13999353.378689416</v>
      </c>
      <c r="F416" s="81">
        <v>14395963.057013178</v>
      </c>
      <c r="G416" s="81">
        <v>14704001.469551498</v>
      </c>
      <c r="H416" s="81">
        <v>15001677.621285677</v>
      </c>
      <c r="I416" s="81">
        <v>15288861.673134511</v>
      </c>
      <c r="J416" s="81">
        <v>15565452.569924613</v>
      </c>
      <c r="K416" s="81">
        <v>15831369.368463149</v>
      </c>
      <c r="L416" s="81">
        <v>16086551.285771431</v>
      </c>
      <c r="M416" s="81">
        <v>16330997.14008544</v>
      </c>
      <c r="N416" s="81">
        <v>16564688.506095</v>
      </c>
      <c r="O416" s="81">
        <v>16787678.091692496</v>
      </c>
      <c r="P416" s="81">
        <v>17000031.780611821</v>
      </c>
      <c r="Q416" s="81">
        <v>17135828.261774953</v>
      </c>
      <c r="R416" s="81">
        <v>17260967.049603656</v>
      </c>
      <c r="S416" s="81">
        <v>17375717.590243317</v>
      </c>
      <c r="T416" s="81">
        <v>17480409.339520819</v>
      </c>
      <c r="U416" s="81">
        <v>17575379.207029101</v>
      </c>
      <c r="V416" s="81">
        <v>17660981.856047612</v>
      </c>
      <c r="W416" s="81">
        <v>17737623.297880858</v>
      </c>
      <c r="X416" s="81">
        <v>17805705.717091773</v>
      </c>
      <c r="Y416" s="81">
        <v>17865683.584519397</v>
      </c>
      <c r="Z416" s="81">
        <v>17918030.472844392</v>
      </c>
      <c r="AA416" s="81">
        <v>17953537.72396579</v>
      </c>
      <c r="AB416" s="81">
        <v>17982457.2402425</v>
      </c>
      <c r="AC416" s="81">
        <v>18005354.368168879</v>
      </c>
      <c r="AD416" s="81">
        <v>18022848.980905242</v>
      </c>
      <c r="AE416" s="81">
        <v>18035543.290462162</v>
      </c>
      <c r="AF416" s="81">
        <v>18044106.734421391</v>
      </c>
      <c r="AG416" s="81">
        <v>18049228.022370577</v>
      </c>
      <c r="AH416" s="81">
        <v>18051614.86120848</v>
      </c>
      <c r="AI416" s="81">
        <v>18052006.519413874</v>
      </c>
      <c r="AJ416" s="81">
        <v>18051200.174846452</v>
      </c>
      <c r="AK416" s="81">
        <v>18061210.473734021</v>
      </c>
      <c r="AL416" s="81">
        <v>18071504.609639604</v>
      </c>
      <c r="AM416" s="81">
        <v>18082956.706536811</v>
      </c>
      <c r="AN416" s="81">
        <v>18096462.88379325</v>
      </c>
      <c r="AO416" s="81">
        <v>18112968.365815036</v>
      </c>
      <c r="AP416" s="81">
        <v>18133427.064740025</v>
      </c>
      <c r="AQ416" s="81">
        <v>18158842.538319163</v>
      </c>
      <c r="AR416" s="81">
        <v>18190240.835789941</v>
      </c>
      <c r="AS416" s="81">
        <v>18228698.773325004</v>
      </c>
      <c r="AT416" s="81">
        <v>18275316.187667061</v>
      </c>
    </row>
    <row r="417" spans="1:46" ht="15.75">
      <c r="A417" s="81" t="s">
        <v>448</v>
      </c>
      <c r="B417" s="80">
        <v>211000</v>
      </c>
      <c r="C417" s="80" t="s">
        <v>435</v>
      </c>
      <c r="D417" s="84" t="s">
        <v>784</v>
      </c>
      <c r="E417" s="81">
        <v>13629761.835992308</v>
      </c>
      <c r="F417" s="81">
        <v>14022715.70761564</v>
      </c>
      <c r="G417" s="81">
        <v>14326550.883361531</v>
      </c>
      <c r="H417" s="81">
        <v>14617735.441578997</v>
      </c>
      <c r="I417" s="81">
        <v>14896433.905887963</v>
      </c>
      <c r="J417" s="81">
        <v>15162875.55313265</v>
      </c>
      <c r="K417" s="81">
        <v>15417270.908306565</v>
      </c>
      <c r="L417" s="81">
        <v>15659893.952048251</v>
      </c>
      <c r="M417" s="81">
        <v>15891015.320936792</v>
      </c>
      <c r="N417" s="81">
        <v>16110958.85357311</v>
      </c>
      <c r="O417" s="81">
        <v>16320041.783693057</v>
      </c>
      <c r="P417" s="81">
        <v>16518612.423464602</v>
      </c>
      <c r="Q417" s="81">
        <v>16642927.846599229</v>
      </c>
      <c r="R417" s="81">
        <v>16757305.185319444</v>
      </c>
      <c r="S417" s="81">
        <v>16862249.27362119</v>
      </c>
      <c r="T417" s="81">
        <v>16958280.902644649</v>
      </c>
      <c r="U417" s="81">
        <v>17045914.127347168</v>
      </c>
      <c r="V417" s="81">
        <v>17125687.613719713</v>
      </c>
      <c r="W417" s="81">
        <v>17198108.234689325</v>
      </c>
      <c r="X417" s="81">
        <v>17263704.602425888</v>
      </c>
      <c r="Y417" s="81">
        <v>17323003.852510396</v>
      </c>
      <c r="Z417" s="81">
        <v>17376518.462809987</v>
      </c>
      <c r="AA417" s="81">
        <v>17415322.626900278</v>
      </c>
      <c r="AB417" s="81">
        <v>17449346.963641182</v>
      </c>
      <c r="AC417" s="81">
        <v>17479103.475187641</v>
      </c>
      <c r="AD417" s="81">
        <v>17505057.033239577</v>
      </c>
      <c r="AE417" s="81">
        <v>17527720.279408254</v>
      </c>
      <c r="AF417" s="81">
        <v>17547518.314447932</v>
      </c>
      <c r="AG417" s="81">
        <v>17564908.823347799</v>
      </c>
      <c r="AH417" s="81">
        <v>17580319.416992512</v>
      </c>
      <c r="AI417" s="81">
        <v>17594132.349268496</v>
      </c>
      <c r="AJ417" s="81">
        <v>17606759.270886067</v>
      </c>
      <c r="AK417" s="81">
        <v>17629491.978050131</v>
      </c>
      <c r="AL417" s="81">
        <v>17651598.176955961</v>
      </c>
      <c r="AM417" s="81">
        <v>17673376.394093513</v>
      </c>
      <c r="AN417" s="81">
        <v>17695096.267076686</v>
      </c>
      <c r="AO417" s="81">
        <v>17716996.481750935</v>
      </c>
      <c r="AP417" s="81">
        <v>17739282.676982291</v>
      </c>
      <c r="AQ417" s="81">
        <v>17762139.32204248</v>
      </c>
      <c r="AR417" s="81">
        <v>17785671.685879327</v>
      </c>
      <c r="AS417" s="81">
        <v>17810001.532011855</v>
      </c>
      <c r="AT417" s="81">
        <v>17835152.256742284</v>
      </c>
    </row>
    <row r="418" spans="1:46" ht="15.75">
      <c r="A418" s="81" t="s">
        <v>448</v>
      </c>
      <c r="B418" s="80">
        <v>211100</v>
      </c>
      <c r="C418" s="80" t="s">
        <v>435</v>
      </c>
      <c r="D418" s="84" t="s">
        <v>783</v>
      </c>
      <c r="E418" s="81">
        <v>12452678.978377918</v>
      </c>
      <c r="F418" s="81">
        <v>12831175.165223537</v>
      </c>
      <c r="G418" s="81">
        <v>13129795.20909212</v>
      </c>
      <c r="H418" s="81">
        <v>13418290.346996607</v>
      </c>
      <c r="I418" s="81">
        <v>13696709.669268094</v>
      </c>
      <c r="J418" s="81">
        <v>13965143.316803727</v>
      </c>
      <c r="K418" s="81">
        <v>14223683.327652302</v>
      </c>
      <c r="L418" s="81">
        <v>14472452.047627466</v>
      </c>
      <c r="M418" s="81">
        <v>14711571.098085098</v>
      </c>
      <c r="N418" s="81">
        <v>14941222.448668962</v>
      </c>
      <c r="O418" s="81">
        <v>15161565.088774804</v>
      </c>
      <c r="P418" s="81">
        <v>15372796.361143146</v>
      </c>
      <c r="Q418" s="81">
        <v>15515373.978906143</v>
      </c>
      <c r="R418" s="81">
        <v>15648900.461842073</v>
      </c>
      <c r="S418" s="81">
        <v>15773715.811978832</v>
      </c>
      <c r="T418" s="81">
        <v>15890200.627088357</v>
      </c>
      <c r="U418" s="81">
        <v>15998707.565796409</v>
      </c>
      <c r="V418" s="81">
        <v>16099605.390535131</v>
      </c>
      <c r="W418" s="81">
        <v>16193266.821634114</v>
      </c>
      <c r="X418" s="81">
        <v>16280079.611198086</v>
      </c>
      <c r="Y418" s="81">
        <v>16360409.723090209</v>
      </c>
      <c r="Z418" s="81">
        <v>16434648.193185471</v>
      </c>
      <c r="AA418" s="81">
        <v>16494227.3804949</v>
      </c>
      <c r="AB418" s="81">
        <v>16548470.034270655</v>
      </c>
      <c r="AC418" s="81">
        <v>16597736.102939881</v>
      </c>
      <c r="AD418" s="81">
        <v>16642418.855243826</v>
      </c>
      <c r="AE418" s="81">
        <v>16682893.797443537</v>
      </c>
      <c r="AF418" s="81">
        <v>16719556.301229578</v>
      </c>
      <c r="AG418" s="81">
        <v>16752768.690118404</v>
      </c>
      <c r="AH418" s="81">
        <v>16782884.532971639</v>
      </c>
      <c r="AI418" s="81">
        <v>16810247.450124476</v>
      </c>
      <c r="AJ418" s="81">
        <v>16835231.050334971</v>
      </c>
      <c r="AK418" s="81">
        <v>16868623.547684584</v>
      </c>
      <c r="AL418" s="81">
        <v>16900182.582629301</v>
      </c>
      <c r="AM418" s="81">
        <v>16930200.504844375</v>
      </c>
      <c r="AN418" s="81">
        <v>16958954.14994121</v>
      </c>
      <c r="AO418" s="81">
        <v>16986732.417812321</v>
      </c>
      <c r="AP418" s="81">
        <v>17013792.497692809</v>
      </c>
      <c r="AQ418" s="81">
        <v>17040357.665961385</v>
      </c>
      <c r="AR418" s="81">
        <v>17066659.909723315</v>
      </c>
      <c r="AS418" s="81">
        <v>17092894.691698201</v>
      </c>
      <c r="AT418" s="81">
        <v>17119233.938301772</v>
      </c>
    </row>
    <row r="419" spans="1:46" ht="15.75">
      <c r="A419" s="81" t="s">
        <v>448</v>
      </c>
      <c r="B419" s="80">
        <v>211200</v>
      </c>
      <c r="C419" s="80" t="s">
        <v>435</v>
      </c>
      <c r="D419" s="84" t="s">
        <v>782</v>
      </c>
      <c r="E419" s="81">
        <v>20298760.567998737</v>
      </c>
      <c r="F419" s="81">
        <v>20871829.914850585</v>
      </c>
      <c r="G419" s="81">
        <v>21317863.666383728</v>
      </c>
      <c r="H419" s="81">
        <v>21750200.476237524</v>
      </c>
      <c r="I419" s="81">
        <v>22168545.064988378</v>
      </c>
      <c r="J419" s="81">
        <v>22572623.454969581</v>
      </c>
      <c r="K419" s="81">
        <v>22962240.327786256</v>
      </c>
      <c r="L419" s="81">
        <v>23337187.139591612</v>
      </c>
      <c r="M419" s="81">
        <v>23697337.618900288</v>
      </c>
      <c r="N419" s="81">
        <v>24042592.744656742</v>
      </c>
      <c r="O419" s="81">
        <v>24372901.325296085</v>
      </c>
      <c r="P419" s="81">
        <v>24688241.161318026</v>
      </c>
      <c r="Q419" s="81">
        <v>24892770.2234524</v>
      </c>
      <c r="R419" s="81">
        <v>25082044.766646218</v>
      </c>
      <c r="S419" s="81">
        <v>25256356.352238435</v>
      </c>
      <c r="T419" s="81">
        <v>25416085.706721205</v>
      </c>
      <c r="U419" s="81">
        <v>25561618.621335831</v>
      </c>
      <c r="V419" s="81">
        <v>25693411.389919709</v>
      </c>
      <c r="W419" s="81">
        <v>25811937.107568592</v>
      </c>
      <c r="X419" s="81">
        <v>25917741.951471459</v>
      </c>
      <c r="Y419" s="81">
        <v>26011413.230903953</v>
      </c>
      <c r="Z419" s="81">
        <v>26093580.035613246</v>
      </c>
      <c r="AA419" s="81">
        <v>26150760.844036531</v>
      </c>
      <c r="AB419" s="81">
        <v>26197858.758326616</v>
      </c>
      <c r="AC419" s="81">
        <v>26235673.426392283</v>
      </c>
      <c r="AD419" s="81">
        <v>26265060.204789903</v>
      </c>
      <c r="AE419" s="81">
        <v>26286906.747893874</v>
      </c>
      <c r="AF419" s="81">
        <v>26302195.15233016</v>
      </c>
      <c r="AG419" s="81">
        <v>26311917.113421403</v>
      </c>
      <c r="AH419" s="81">
        <v>26317148.793645568</v>
      </c>
      <c r="AI419" s="81">
        <v>26319014.858848397</v>
      </c>
      <c r="AJ419" s="81">
        <v>26318689.065335702</v>
      </c>
      <c r="AK419" s="81">
        <v>26333791.177661858</v>
      </c>
      <c r="AL419" s="81">
        <v>26349045.702158123</v>
      </c>
      <c r="AM419" s="81">
        <v>26365811.872915946</v>
      </c>
      <c r="AN419" s="81">
        <v>26385518.314896736</v>
      </c>
      <c r="AO419" s="81">
        <v>26409664.444966905</v>
      </c>
      <c r="AP419" s="81">
        <v>26439794.169995405</v>
      </c>
      <c r="AQ419" s="81">
        <v>26477551.84849729</v>
      </c>
      <c r="AR419" s="81">
        <v>26524614.428938709</v>
      </c>
      <c r="AS419" s="81">
        <v>26582747.864177655</v>
      </c>
      <c r="AT419" s="81">
        <v>26653809.295888726</v>
      </c>
    </row>
    <row r="420" spans="1:46" ht="15.75">
      <c r="A420" s="81" t="s">
        <v>448</v>
      </c>
      <c r="B420" s="80">
        <v>211300</v>
      </c>
      <c r="C420" s="80" t="s">
        <v>435</v>
      </c>
      <c r="D420" s="84" t="s">
        <v>781</v>
      </c>
      <c r="E420" s="81">
        <v>24450376.919640303</v>
      </c>
      <c r="F420" s="81">
        <v>25106622.009473979</v>
      </c>
      <c r="G420" s="81">
        <v>25624522.018489409</v>
      </c>
      <c r="H420" s="81">
        <v>26139666.64877218</v>
      </c>
      <c r="I420" s="81">
        <v>26650738.195720073</v>
      </c>
      <c r="J420" s="81">
        <v>27156463.00290259</v>
      </c>
      <c r="K420" s="81">
        <v>27655591.245541539</v>
      </c>
      <c r="L420" s="81">
        <v>28146903.111675065</v>
      </c>
      <c r="M420" s="81">
        <v>28629225.014355674</v>
      </c>
      <c r="N420" s="81">
        <v>29101446.967552014</v>
      </c>
      <c r="O420" s="81">
        <v>29562510.60427111</v>
      </c>
      <c r="P420" s="81">
        <v>30011416.108858254</v>
      </c>
      <c r="Q420" s="81">
        <v>30330402.087761715</v>
      </c>
      <c r="R420" s="81">
        <v>30634395.509243082</v>
      </c>
      <c r="S420" s="81">
        <v>30922823.367064986</v>
      </c>
      <c r="T420" s="81">
        <v>31195258.947849683</v>
      </c>
      <c r="U420" s="81">
        <v>31451332.038656697</v>
      </c>
      <c r="V420" s="81">
        <v>31690832.500671666</v>
      </c>
      <c r="W420" s="81">
        <v>31913629.612194691</v>
      </c>
      <c r="X420" s="81">
        <v>32119744.699417002</v>
      </c>
      <c r="Y420" s="81">
        <v>32309324.903384175</v>
      </c>
      <c r="Z420" s="81">
        <v>32482672.974785436</v>
      </c>
      <c r="AA420" s="81">
        <v>32622549.451882921</v>
      </c>
      <c r="AB420" s="81">
        <v>32747141.635319527</v>
      </c>
      <c r="AC420" s="81">
        <v>32857240.985787153</v>
      </c>
      <c r="AD420" s="81">
        <v>32953798.116664622</v>
      </c>
      <c r="AE420" s="81">
        <v>33037917.063803203</v>
      </c>
      <c r="AF420" s="81">
        <v>33110923.534443326</v>
      </c>
      <c r="AG420" s="81">
        <v>33174311.416638628</v>
      </c>
      <c r="AH420" s="81">
        <v>33229761.691131305</v>
      </c>
      <c r="AI420" s="81">
        <v>33279187.923687384</v>
      </c>
      <c r="AJ420" s="81">
        <v>33324680.404783625</v>
      </c>
      <c r="AK420" s="81">
        <v>33389337.134277578</v>
      </c>
      <c r="AL420" s="81">
        <v>33454766.6180791</v>
      </c>
      <c r="AM420" s="81">
        <v>33523760.15175714</v>
      </c>
      <c r="AN420" s="81">
        <v>33599348.480787531</v>
      </c>
      <c r="AO420" s="81">
        <v>33684878.368188567</v>
      </c>
      <c r="AP420" s="81">
        <v>33783885.82652881</v>
      </c>
      <c r="AQ420" s="81">
        <v>33900240.715472497</v>
      </c>
      <c r="AR420" s="81">
        <v>34038059.696312025</v>
      </c>
      <c r="AS420" s="81">
        <v>34201784.696751341</v>
      </c>
      <c r="AT420" s="81">
        <v>34396150.330303237</v>
      </c>
    </row>
    <row r="421" spans="1:46" ht="15.75">
      <c r="A421" s="81" t="s">
        <v>448</v>
      </c>
      <c r="B421" s="80">
        <v>211400</v>
      </c>
      <c r="C421" s="80" t="s">
        <v>435</v>
      </c>
      <c r="D421" s="84" t="s">
        <v>780</v>
      </c>
      <c r="E421" s="81">
        <v>21868670.546703119</v>
      </c>
      <c r="F421" s="81">
        <v>22474529.014668304</v>
      </c>
      <c r="G421" s="81">
        <v>22951453.470435441</v>
      </c>
      <c r="H421" s="81">
        <v>23421193.745698858</v>
      </c>
      <c r="I421" s="81">
        <v>23883078.532911547</v>
      </c>
      <c r="J421" s="81">
        <v>24336453.908389106</v>
      </c>
      <c r="K421" s="81">
        <v>24780695.926277611</v>
      </c>
      <c r="L421" s="81">
        <v>25215224.29996141</v>
      </c>
      <c r="M421" s="81">
        <v>25639496.380570773</v>
      </c>
      <c r="N421" s="81">
        <v>26053000.198410496</v>
      </c>
      <c r="O421" s="81">
        <v>26455268.054764919</v>
      </c>
      <c r="P421" s="81">
        <v>26845880.299843088</v>
      </c>
      <c r="Q421" s="81">
        <v>27120020.58547613</v>
      </c>
      <c r="R421" s="81">
        <v>27380964.641110815</v>
      </c>
      <c r="S421" s="81">
        <v>27628615.854272362</v>
      </c>
      <c r="T421" s="81">
        <v>27862960.909775097</v>
      </c>
      <c r="U421" s="81">
        <v>28084051.001400851</v>
      </c>
      <c r="V421" s="81">
        <v>28291993.203856666</v>
      </c>
      <c r="W421" s="81">
        <v>28486952.950827919</v>
      </c>
      <c r="X421" s="81">
        <v>28669204.70214197</v>
      </c>
      <c r="Y421" s="81">
        <v>28839076.426753018</v>
      </c>
      <c r="Z421" s="81">
        <v>28996963.83212417</v>
      </c>
      <c r="AA421" s="81">
        <v>29127605.5941342</v>
      </c>
      <c r="AB421" s="81">
        <v>29247259.146311942</v>
      </c>
      <c r="AC421" s="81">
        <v>29356636.19671816</v>
      </c>
      <c r="AD421" s="81">
        <v>29456502.908643413</v>
      </c>
      <c r="AE421" s="81">
        <v>29547746.197145827</v>
      </c>
      <c r="AF421" s="81">
        <v>29631325.872480039</v>
      </c>
      <c r="AG421" s="81">
        <v>29708343.095508929</v>
      </c>
      <c r="AH421" s="81">
        <v>29779951.897744585</v>
      </c>
      <c r="AI421" s="81">
        <v>29847454.857384358</v>
      </c>
      <c r="AJ421" s="81">
        <v>29912253.874952745</v>
      </c>
      <c r="AK421" s="81">
        <v>29994513.704478905</v>
      </c>
      <c r="AL421" s="81">
        <v>30077099.710664239</v>
      </c>
      <c r="AM421" s="81">
        <v>30161765.720911443</v>
      </c>
      <c r="AN421" s="81">
        <v>30250396.367976043</v>
      </c>
      <c r="AO421" s="81">
        <v>30345040.043930478</v>
      </c>
      <c r="AP421" s="81">
        <v>30447870.569133695</v>
      </c>
      <c r="AQ421" s="81">
        <v>30561205.298354995</v>
      </c>
      <c r="AR421" s="81">
        <v>30687479.34421454</v>
      </c>
      <c r="AS421" s="81">
        <v>30829353.952103332</v>
      </c>
      <c r="AT421" s="81">
        <v>30989556.70416956</v>
      </c>
    </row>
    <row r="422" spans="1:46" ht="15.75">
      <c r="A422" s="81" t="s">
        <v>448</v>
      </c>
      <c r="B422" s="80">
        <v>220100</v>
      </c>
      <c r="C422" s="80" t="s">
        <v>434</v>
      </c>
      <c r="D422" s="84" t="s">
        <v>779</v>
      </c>
      <c r="E422" s="81">
        <v>75276137.419945389</v>
      </c>
      <c r="F422" s="81">
        <v>77567119.474297896</v>
      </c>
      <c r="G422" s="81">
        <v>79335403.170496911</v>
      </c>
      <c r="H422" s="81">
        <v>81020708.218163177</v>
      </c>
      <c r="I422" s="81">
        <v>82626239.449574247</v>
      </c>
      <c r="J422" s="81">
        <v>84155287.666989341</v>
      </c>
      <c r="K422" s="81">
        <v>85611241.322423428</v>
      </c>
      <c r="L422" s="81">
        <v>86997544.096317902</v>
      </c>
      <c r="M422" s="81">
        <v>88317706.535658032</v>
      </c>
      <c r="N422" s="81">
        <v>89575281.231880561</v>
      </c>
      <c r="O422" s="81">
        <v>90773836.783009484</v>
      </c>
      <c r="P422" s="81">
        <v>91916950.30000113</v>
      </c>
      <c r="Q422" s="81">
        <v>92625659.231346637</v>
      </c>
      <c r="R422" s="81">
        <v>93284654.717083976</v>
      </c>
      <c r="S422" s="81">
        <v>93898025.73122026</v>
      </c>
      <c r="T422" s="81">
        <v>94469681.843958125</v>
      </c>
      <c r="U422" s="81">
        <v>95003399.823610306</v>
      </c>
      <c r="V422" s="81">
        <v>95502779.261264607</v>
      </c>
      <c r="W422" s="81">
        <v>95971249.062613696</v>
      </c>
      <c r="X422" s="81">
        <v>96412010.849513173</v>
      </c>
      <c r="Y422" s="81">
        <v>96828087.481365755</v>
      </c>
      <c r="Z422" s="81">
        <v>97222244.438706115</v>
      </c>
      <c r="AA422" s="81">
        <v>97517226.719351456</v>
      </c>
      <c r="AB422" s="81">
        <v>97795267.954562515</v>
      </c>
      <c r="AC422" s="81">
        <v>98058388.093479648</v>
      </c>
      <c r="AD422" s="81">
        <v>98308346.553489804</v>
      </c>
      <c r="AE422" s="81">
        <v>98546560.901517272</v>
      </c>
      <c r="AF422" s="81">
        <v>98774124.893293694</v>
      </c>
      <c r="AG422" s="81">
        <v>98991804.945939824</v>
      </c>
      <c r="AH422" s="81">
        <v>99200002.11108695</v>
      </c>
      <c r="AI422" s="81">
        <v>99398724.438201874</v>
      </c>
      <c r="AJ422" s="81">
        <v>99587629.46986948</v>
      </c>
      <c r="AK422" s="81">
        <v>99800460.067879573</v>
      </c>
      <c r="AL422" s="81">
        <v>100001347.79987103</v>
      </c>
      <c r="AM422" s="81">
        <v>100188650.45654744</v>
      </c>
      <c r="AN422" s="81">
        <v>100360297.18437673</v>
      </c>
      <c r="AO422" s="81">
        <v>100513710.54759471</v>
      </c>
      <c r="AP422" s="81">
        <v>100645837.15362979</v>
      </c>
      <c r="AQ422" s="81">
        <v>100753105.34805973</v>
      </c>
      <c r="AR422" s="81">
        <v>100831431.99627078</v>
      </c>
      <c r="AS422" s="81">
        <v>100876153.88063499</v>
      </c>
      <c r="AT422" s="81">
        <v>100882084.79555158</v>
      </c>
    </row>
    <row r="423" spans="1:46" ht="15.75">
      <c r="A423" s="81" t="s">
        <v>448</v>
      </c>
      <c r="B423" s="80">
        <v>220200</v>
      </c>
      <c r="C423" s="80" t="s">
        <v>434</v>
      </c>
      <c r="D423" s="84" t="s">
        <v>778</v>
      </c>
      <c r="E423" s="81">
        <v>26037421.56682362</v>
      </c>
      <c r="F423" s="81">
        <v>26742829.071186304</v>
      </c>
      <c r="G423" s="81">
        <v>27270544.149330378</v>
      </c>
      <c r="H423" s="81">
        <v>27772117.910811625</v>
      </c>
      <c r="I423" s="81">
        <v>28248144.166387569</v>
      </c>
      <c r="J423" s="81">
        <v>28699215.095793497</v>
      </c>
      <c r="K423" s="81">
        <v>29126003.068795137</v>
      </c>
      <c r="L423" s="81">
        <v>29529196.764572017</v>
      </c>
      <c r="M423" s="81">
        <v>29909505.299529161</v>
      </c>
      <c r="N423" s="81">
        <v>30267696.127800312</v>
      </c>
      <c r="O423" s="81">
        <v>30604543.83497927</v>
      </c>
      <c r="P423" s="81">
        <v>30920859.938130606</v>
      </c>
      <c r="Q423" s="81">
        <v>31089074.707670223</v>
      </c>
      <c r="R423" s="81">
        <v>31238562.124818552</v>
      </c>
      <c r="S423" s="81">
        <v>31370399.721503448</v>
      </c>
      <c r="T423" s="81">
        <v>31485651.111072034</v>
      </c>
      <c r="U423" s="81">
        <v>31585372.280224867</v>
      </c>
      <c r="V423" s="81">
        <v>31670618.344812214</v>
      </c>
      <c r="W423" s="81">
        <v>31742405.164412118</v>
      </c>
      <c r="X423" s="81">
        <v>31801733.313938845</v>
      </c>
      <c r="Y423" s="81">
        <v>31849604.258092918</v>
      </c>
      <c r="Z423" s="81">
        <v>31886971.849654868</v>
      </c>
      <c r="AA423" s="81">
        <v>31888661.979748938</v>
      </c>
      <c r="AB423" s="81">
        <v>31881907.020490211</v>
      </c>
      <c r="AC423" s="81">
        <v>31867590.691286772</v>
      </c>
      <c r="AD423" s="81">
        <v>31846552.884022485</v>
      </c>
      <c r="AE423" s="81">
        <v>31819606.351663865</v>
      </c>
      <c r="AF423" s="81">
        <v>31787514.870398775</v>
      </c>
      <c r="AG423" s="81">
        <v>31750990.286180399</v>
      </c>
      <c r="AH423" s="81">
        <v>31710719.609250225</v>
      </c>
      <c r="AI423" s="81">
        <v>31667302.545601387</v>
      </c>
      <c r="AJ423" s="81">
        <v>31621298.164978616</v>
      </c>
      <c r="AK423" s="81">
        <v>31584154.310570318</v>
      </c>
      <c r="AL423" s="81">
        <v>31545236.633669365</v>
      </c>
      <c r="AM423" s="81">
        <v>31504956.969164226</v>
      </c>
      <c r="AN423" s="81">
        <v>31463614.088475961</v>
      </c>
      <c r="AO423" s="81">
        <v>31421441.706694618</v>
      </c>
      <c r="AP423" s="81">
        <v>31378637.637513347</v>
      </c>
      <c r="AQ423" s="81">
        <v>31335264.811244462</v>
      </c>
      <c r="AR423" s="81">
        <v>31291365.40175904</v>
      </c>
      <c r="AS423" s="81">
        <v>31246861.055757288</v>
      </c>
      <c r="AT423" s="81">
        <v>31201603.330242276</v>
      </c>
    </row>
    <row r="424" spans="1:46" ht="15.75">
      <c r="A424" s="81" t="s">
        <v>448</v>
      </c>
      <c r="B424" s="80">
        <v>220300</v>
      </c>
      <c r="C424" s="80" t="s">
        <v>434</v>
      </c>
      <c r="D424" s="84" t="s">
        <v>777</v>
      </c>
      <c r="E424" s="81">
        <v>12343041.967051985</v>
      </c>
      <c r="F424" s="81">
        <v>12682036.250478026</v>
      </c>
      <c r="G424" s="81">
        <v>12940168.339258231</v>
      </c>
      <c r="H424" s="81">
        <v>13189041.633406041</v>
      </c>
      <c r="I424" s="81">
        <v>13428673.412106721</v>
      </c>
      <c r="J424" s="81">
        <v>13659091.875763286</v>
      </c>
      <c r="K424" s="81">
        <v>13880358.15007236</v>
      </c>
      <c r="L424" s="81">
        <v>14092536.797645727</v>
      </c>
      <c r="M424" s="81">
        <v>14295717.909639303</v>
      </c>
      <c r="N424" s="81">
        <v>14490001.884675976</v>
      </c>
      <c r="O424" s="81">
        <v>14675514.735973785</v>
      </c>
      <c r="P424" s="81">
        <v>14852392.410220664</v>
      </c>
      <c r="Q424" s="81">
        <v>14959011.314360382</v>
      </c>
      <c r="R424" s="81">
        <v>15057175.526876695</v>
      </c>
      <c r="S424" s="81">
        <v>15147167.651633561</v>
      </c>
      <c r="T424" s="81">
        <v>15229296.848129001</v>
      </c>
      <c r="U424" s="81">
        <v>15303874.049701605</v>
      </c>
      <c r="V424" s="81">
        <v>15371202.846502082</v>
      </c>
      <c r="W424" s="81">
        <v>15431630.339519851</v>
      </c>
      <c r="X424" s="81">
        <v>15485478.833223391</v>
      </c>
      <c r="Y424" s="81">
        <v>15533105.64206486</v>
      </c>
      <c r="Z424" s="81">
        <v>15574850.828862527</v>
      </c>
      <c r="AA424" s="81">
        <v>15598316.028426008</v>
      </c>
      <c r="AB424" s="81">
        <v>15616709.428830435</v>
      </c>
      <c r="AC424" s="81">
        <v>15630406.805775689</v>
      </c>
      <c r="AD424" s="81">
        <v>15639799.336868171</v>
      </c>
      <c r="AE424" s="81">
        <v>15645303.034266381</v>
      </c>
      <c r="AF424" s="81">
        <v>15647303.244918667</v>
      </c>
      <c r="AG424" s="81">
        <v>15646209.404205577</v>
      </c>
      <c r="AH424" s="81">
        <v>15642436.585008346</v>
      </c>
      <c r="AI424" s="81">
        <v>15636414.840989523</v>
      </c>
      <c r="AJ424" s="81">
        <v>15628550.748019431</v>
      </c>
      <c r="AK424" s="81">
        <v>15624677.46995398</v>
      </c>
      <c r="AL424" s="81">
        <v>15619766.947596475</v>
      </c>
      <c r="AM424" s="81">
        <v>15614258.438539932</v>
      </c>
      <c r="AN424" s="81">
        <v>15608576.010688253</v>
      </c>
      <c r="AO424" s="81">
        <v>15603177.776689773</v>
      </c>
      <c r="AP424" s="81">
        <v>15598495.969299503</v>
      </c>
      <c r="AQ424" s="81">
        <v>15594976.346104542</v>
      </c>
      <c r="AR424" s="81">
        <v>15593068.004676612</v>
      </c>
      <c r="AS424" s="81">
        <v>15593212.689352322</v>
      </c>
      <c r="AT424" s="81">
        <v>15595886.025633095</v>
      </c>
    </row>
    <row r="425" spans="1:46" ht="15.75">
      <c r="A425" s="81" t="s">
        <v>448</v>
      </c>
      <c r="B425" s="80">
        <v>220400</v>
      </c>
      <c r="C425" s="80" t="s">
        <v>434</v>
      </c>
      <c r="D425" s="84" t="s">
        <v>776</v>
      </c>
      <c r="E425" s="81">
        <v>6786303.3880966762</v>
      </c>
      <c r="F425" s="81">
        <v>6966697.4325030269</v>
      </c>
      <c r="G425" s="81">
        <v>7102211.2663629139</v>
      </c>
      <c r="H425" s="81">
        <v>7232201.2800796591</v>
      </c>
      <c r="I425" s="81">
        <v>7356651.2640526444</v>
      </c>
      <c r="J425" s="81">
        <v>7475573.0930725867</v>
      </c>
      <c r="K425" s="81">
        <v>7588962.9342132015</v>
      </c>
      <c r="L425" s="81">
        <v>7696852.7852060674</v>
      </c>
      <c r="M425" s="81">
        <v>7799273.6609232696</v>
      </c>
      <c r="N425" s="81">
        <v>7896286.1837753551</v>
      </c>
      <c r="O425" s="81">
        <v>7987934.1655576257</v>
      </c>
      <c r="P425" s="81">
        <v>8074299.1912386762</v>
      </c>
      <c r="Q425" s="81">
        <v>8121911.9316277597</v>
      </c>
      <c r="R425" s="81">
        <v>8164422.7706190627</v>
      </c>
      <c r="S425" s="81">
        <v>8201993.403052628</v>
      </c>
      <c r="T425" s="81">
        <v>8234804.4143096022</v>
      </c>
      <c r="U425" s="81">
        <v>8263030.395093631</v>
      </c>
      <c r="V425" s="81">
        <v>8286864.9502887307</v>
      </c>
      <c r="W425" s="81">
        <v>8306512.6045385581</v>
      </c>
      <c r="X425" s="81">
        <v>8322171.5035482747</v>
      </c>
      <c r="Y425" s="81">
        <v>8334059.1423334545</v>
      </c>
      <c r="Z425" s="81">
        <v>8342395.1420278363</v>
      </c>
      <c r="AA425" s="81">
        <v>8340593.5413427111</v>
      </c>
      <c r="AB425" s="81">
        <v>8335772.9195388034</v>
      </c>
      <c r="AC425" s="81">
        <v>8328191.7766126664</v>
      </c>
      <c r="AD425" s="81">
        <v>8318100.4936585864</v>
      </c>
      <c r="AE425" s="81">
        <v>8305768.4715382764</v>
      </c>
      <c r="AF425" s="81">
        <v>8291475.2783078859</v>
      </c>
      <c r="AG425" s="81">
        <v>8275491.9178593801</v>
      </c>
      <c r="AH425" s="81">
        <v>8258118.1491824854</v>
      </c>
      <c r="AI425" s="81">
        <v>8239645.0670389282</v>
      </c>
      <c r="AJ425" s="81">
        <v>8220364.0798779661</v>
      </c>
      <c r="AK425" s="81">
        <v>8203432.46095304</v>
      </c>
      <c r="AL425" s="81">
        <v>8186288.5358808469</v>
      </c>
      <c r="AM425" s="81">
        <v>8169254.3360359101</v>
      </c>
      <c r="AN425" s="81">
        <v>8152662.3881587517</v>
      </c>
      <c r="AO425" s="81">
        <v>8136845.7541474029</v>
      </c>
      <c r="AP425" s="81">
        <v>8122147.8694883017</v>
      </c>
      <c r="AQ425" s="81">
        <v>8108932.8807830252</v>
      </c>
      <c r="AR425" s="81">
        <v>8097544.8953839028</v>
      </c>
      <c r="AS425" s="81">
        <v>8088358.8348160582</v>
      </c>
      <c r="AT425" s="81">
        <v>8081749.9157761279</v>
      </c>
    </row>
    <row r="426" spans="1:46" ht="15.75">
      <c r="A426" s="81" t="s">
        <v>448</v>
      </c>
      <c r="B426" s="80">
        <v>220500</v>
      </c>
      <c r="C426" s="80" t="s">
        <v>434</v>
      </c>
      <c r="D426" s="84" t="s">
        <v>775</v>
      </c>
      <c r="E426" s="81">
        <v>12327828.019681016</v>
      </c>
      <c r="F426" s="81">
        <v>12663655.809177356</v>
      </c>
      <c r="G426" s="81">
        <v>12916401.36218139</v>
      </c>
      <c r="H426" s="81">
        <v>13157694.99658519</v>
      </c>
      <c r="I426" s="81">
        <v>13387717.294535644</v>
      </c>
      <c r="J426" s="81">
        <v>13606629.215596246</v>
      </c>
      <c r="K426" s="81">
        <v>13814651.279680291</v>
      </c>
      <c r="L426" s="81">
        <v>14011981.92918472</v>
      </c>
      <c r="M426" s="81">
        <v>14198863.546696099</v>
      </c>
      <c r="N426" s="81">
        <v>14375536.544748135</v>
      </c>
      <c r="O426" s="81">
        <v>14542277.084464744</v>
      </c>
      <c r="P426" s="81">
        <v>14699365.401430963</v>
      </c>
      <c r="Q426" s="81">
        <v>14786021.583054159</v>
      </c>
      <c r="R426" s="81">
        <v>14863634.204816096</v>
      </c>
      <c r="S426" s="81">
        <v>14932626.497260218</v>
      </c>
      <c r="T426" s="81">
        <v>14993411.972027324</v>
      </c>
      <c r="U426" s="81">
        <v>15046443.985003581</v>
      </c>
      <c r="V426" s="81">
        <v>15092122.713184686</v>
      </c>
      <c r="W426" s="81">
        <v>15130895.467747103</v>
      </c>
      <c r="X426" s="81">
        <v>15163179.708610151</v>
      </c>
      <c r="Y426" s="81">
        <v>15189404.878522897</v>
      </c>
      <c r="Z426" s="81">
        <v>15209985.597638007</v>
      </c>
      <c r="AA426" s="81">
        <v>15212906.938790375</v>
      </c>
      <c r="AB426" s="81">
        <v>15211117.107954253</v>
      </c>
      <c r="AC426" s="81">
        <v>15205043.372252202</v>
      </c>
      <c r="AD426" s="81">
        <v>15195083.821830349</v>
      </c>
      <c r="AE426" s="81">
        <v>15181661.222507803</v>
      </c>
      <c r="AF426" s="81">
        <v>15165158.170765989</v>
      </c>
      <c r="AG426" s="81">
        <v>15145962.038049018</v>
      </c>
      <c r="AH426" s="81">
        <v>15124445.736856606</v>
      </c>
      <c r="AI426" s="81">
        <v>15100957.121399328</v>
      </c>
      <c r="AJ426" s="81">
        <v>15075865.824514665</v>
      </c>
      <c r="AK426" s="81">
        <v>15054701.382463291</v>
      </c>
      <c r="AL426" s="81">
        <v>15032522.231612407</v>
      </c>
      <c r="AM426" s="81">
        <v>15009624.238601999</v>
      </c>
      <c r="AN426" s="81">
        <v>14986303.120051395</v>
      </c>
      <c r="AO426" s="81">
        <v>14962844.058707209</v>
      </c>
      <c r="AP426" s="81">
        <v>14939480.361008698</v>
      </c>
      <c r="AQ426" s="81">
        <v>14916452.431900818</v>
      </c>
      <c r="AR426" s="81">
        <v>14893987.205867756</v>
      </c>
      <c r="AS426" s="81">
        <v>14872266.157652834</v>
      </c>
      <c r="AT426" s="81">
        <v>14851475.680501236</v>
      </c>
    </row>
    <row r="427" spans="1:46" ht="15.75">
      <c r="A427" s="81" t="s">
        <v>448</v>
      </c>
      <c r="B427" s="80">
        <v>220600</v>
      </c>
      <c r="C427" s="80" t="s">
        <v>434</v>
      </c>
      <c r="D427" s="84" t="s">
        <v>774</v>
      </c>
      <c r="E427" s="81">
        <v>6487855.4272539876</v>
      </c>
      <c r="F427" s="81">
        <v>6651881.7067121742</v>
      </c>
      <c r="G427" s="81">
        <v>6772985.424198458</v>
      </c>
      <c r="H427" s="81">
        <v>6888792.5006831978</v>
      </c>
      <c r="I427" s="81">
        <v>6999308.4074077858</v>
      </c>
      <c r="J427" s="81">
        <v>7104552.1766410545</v>
      </c>
      <c r="K427" s="81">
        <v>7204564.197714298</v>
      </c>
      <c r="L427" s="81">
        <v>7299368.8640385829</v>
      </c>
      <c r="M427" s="81">
        <v>7389011.3726043208</v>
      </c>
      <c r="N427" s="81">
        <v>7473558.5278653521</v>
      </c>
      <c r="O427" s="81">
        <v>7553075.6580914855</v>
      </c>
      <c r="P427" s="81">
        <v>7627633.8380383728</v>
      </c>
      <c r="Q427" s="81">
        <v>7665660.4878040394</v>
      </c>
      <c r="R427" s="81">
        <v>7698981.3819519356</v>
      </c>
      <c r="S427" s="81">
        <v>7727739.2833614852</v>
      </c>
      <c r="T427" s="81">
        <v>7752111.5005540773</v>
      </c>
      <c r="U427" s="81">
        <v>7772268.8390902886</v>
      </c>
      <c r="V427" s="81">
        <v>7788383.4881109204</v>
      </c>
      <c r="W427" s="81">
        <v>7800637.3828968732</v>
      </c>
      <c r="X427" s="81">
        <v>7809222.3312775875</v>
      </c>
      <c r="Y427" s="81">
        <v>7814313.7333426904</v>
      </c>
      <c r="Z427" s="81">
        <v>7816131.6642690031</v>
      </c>
      <c r="AA427" s="81">
        <v>7808463.0623272592</v>
      </c>
      <c r="AB427" s="81">
        <v>7797995.1092759883</v>
      </c>
      <c r="AC427" s="81">
        <v>7784928.9928822378</v>
      </c>
      <c r="AD427" s="81">
        <v>7769483.2628346533</v>
      </c>
      <c r="AE427" s="81">
        <v>7751894.3028651699</v>
      </c>
      <c r="AF427" s="81">
        <v>7732379.4392686412</v>
      </c>
      <c r="AG427" s="81">
        <v>7711173.5532732634</v>
      </c>
      <c r="AH427" s="81">
        <v>7688520.0576429619</v>
      </c>
      <c r="AI427" s="81">
        <v>7664632.6848896835</v>
      </c>
      <c r="AJ427" s="81">
        <v>7639780.8902748525</v>
      </c>
      <c r="AK427" s="81">
        <v>7616828.3795867609</v>
      </c>
      <c r="AL427" s="81">
        <v>7593349.5636856137</v>
      </c>
      <c r="AM427" s="81">
        <v>7569590.1120013194</v>
      </c>
      <c r="AN427" s="81">
        <v>7545803.8073058445</v>
      </c>
      <c r="AO427" s="81">
        <v>7522262.69488608</v>
      </c>
      <c r="AP427" s="81">
        <v>7499196.6810089303</v>
      </c>
      <c r="AQ427" s="81">
        <v>7476893.8623274872</v>
      </c>
      <c r="AR427" s="81">
        <v>7455599.5158199649</v>
      </c>
      <c r="AS427" s="81">
        <v>7435586.8914485099</v>
      </c>
      <c r="AT427" s="81">
        <v>7417116.1770308241</v>
      </c>
    </row>
    <row r="428" spans="1:46" ht="15.75">
      <c r="A428" s="81" t="s">
        <v>448</v>
      </c>
      <c r="B428" s="80">
        <v>220700</v>
      </c>
      <c r="C428" s="80" t="s">
        <v>434</v>
      </c>
      <c r="D428" s="84" t="s">
        <v>773</v>
      </c>
      <c r="E428" s="81">
        <v>15302062.338312883</v>
      </c>
      <c r="F428" s="81">
        <v>15744972.557352198</v>
      </c>
      <c r="G428" s="81">
        <v>16089902.939261975</v>
      </c>
      <c r="H428" s="81">
        <v>16425558.481398469</v>
      </c>
      <c r="I428" s="81">
        <v>16751899.857740561</v>
      </c>
      <c r="J428" s="81">
        <v>17068897.80107294</v>
      </c>
      <c r="K428" s="81">
        <v>17376540.057389408</v>
      </c>
      <c r="L428" s="81">
        <v>17674838.975450549</v>
      </c>
      <c r="M428" s="81">
        <v>17963816.513696611</v>
      </c>
      <c r="N428" s="81">
        <v>18243511.483752158</v>
      </c>
      <c r="O428" s="81">
        <v>18513979.475388493</v>
      </c>
      <c r="P428" s="81">
        <v>18775292.771316294</v>
      </c>
      <c r="Q428" s="81">
        <v>18949276.243472762</v>
      </c>
      <c r="R428" s="81">
        <v>19113776.599366643</v>
      </c>
      <c r="S428" s="81">
        <v>19269028.873347584</v>
      </c>
      <c r="T428" s="81">
        <v>19415277.367011815</v>
      </c>
      <c r="U428" s="81">
        <v>19552783.968388867</v>
      </c>
      <c r="V428" s="81">
        <v>19681819.835938968</v>
      </c>
      <c r="W428" s="81">
        <v>19802639.31788069</v>
      </c>
      <c r="X428" s="81">
        <v>19915548.31870478</v>
      </c>
      <c r="Y428" s="81">
        <v>20020809.337148853</v>
      </c>
      <c r="Z428" s="81">
        <v>20118736.550624993</v>
      </c>
      <c r="AA428" s="81">
        <v>20193110.258880749</v>
      </c>
      <c r="AB428" s="81">
        <v>20260767.255042974</v>
      </c>
      <c r="AC428" s="81">
        <v>20322042.830870487</v>
      </c>
      <c r="AD428" s="81">
        <v>20377287.562539067</v>
      </c>
      <c r="AE428" s="81">
        <v>20426830.42118118</v>
      </c>
      <c r="AF428" s="81">
        <v>20471024.113417361</v>
      </c>
      <c r="AG428" s="81">
        <v>20510207.948465537</v>
      </c>
      <c r="AH428" s="81">
        <v>20544754.319933616</v>
      </c>
      <c r="AI428" s="81">
        <v>20575012.186924089</v>
      </c>
      <c r="AJ428" s="81">
        <v>20601344.27970558</v>
      </c>
      <c r="AK428" s="81">
        <v>20631241.813293301</v>
      </c>
      <c r="AL428" s="81">
        <v>20657907.395670455</v>
      </c>
      <c r="AM428" s="81">
        <v>20681703.291618776</v>
      </c>
      <c r="AN428" s="81">
        <v>20703005.394283302</v>
      </c>
      <c r="AO428" s="81">
        <v>20722183.23604108</v>
      </c>
      <c r="AP428" s="81">
        <v>20739619.596648645</v>
      </c>
      <c r="AQ428" s="81">
        <v>20755679.937304884</v>
      </c>
      <c r="AR428" s="81">
        <v>20770742.228823759</v>
      </c>
      <c r="AS428" s="81">
        <v>20785207.482324909</v>
      </c>
      <c r="AT428" s="81">
        <v>20799437.369868241</v>
      </c>
    </row>
    <row r="429" spans="1:46" ht="15.75">
      <c r="A429" s="81" t="s">
        <v>448</v>
      </c>
      <c r="B429" s="80">
        <v>220800</v>
      </c>
      <c r="C429" s="80" t="s">
        <v>434</v>
      </c>
      <c r="D429" s="84" t="s">
        <v>772</v>
      </c>
      <c r="E429" s="81">
        <v>10554352.615235761</v>
      </c>
      <c r="F429" s="81">
        <v>10841629.91920973</v>
      </c>
      <c r="G429" s="81">
        <v>11058746.055375207</v>
      </c>
      <c r="H429" s="81">
        <v>11266987.995175671</v>
      </c>
      <c r="I429" s="81">
        <v>11466426.646401681</v>
      </c>
      <c r="J429" s="81">
        <v>11657145.242247498</v>
      </c>
      <c r="K429" s="81">
        <v>11839246.30927431</v>
      </c>
      <c r="L429" s="81">
        <v>12012851.636442518</v>
      </c>
      <c r="M429" s="81">
        <v>12178086.745949281</v>
      </c>
      <c r="N429" s="81">
        <v>12335103.299722752</v>
      </c>
      <c r="O429" s="81">
        <v>12484047.717197822</v>
      </c>
      <c r="P429" s="81">
        <v>12625091.728919161</v>
      </c>
      <c r="Q429" s="81">
        <v>12705944.047683984</v>
      </c>
      <c r="R429" s="81">
        <v>12779229.005143875</v>
      </c>
      <c r="S429" s="81">
        <v>12845234.785073077</v>
      </c>
      <c r="T429" s="81">
        <v>12904267.068459012</v>
      </c>
      <c r="U429" s="81">
        <v>12956606.884870576</v>
      </c>
      <c r="V429" s="81">
        <v>13002585.840355597</v>
      </c>
      <c r="W429" s="81">
        <v>13042484.294031877</v>
      </c>
      <c r="X429" s="81">
        <v>13076624.24488702</v>
      </c>
      <c r="Y429" s="81">
        <v>13105309.145609552</v>
      </c>
      <c r="Z429" s="81">
        <v>13128858.003784047</v>
      </c>
      <c r="AA429" s="81">
        <v>13136819.439256854</v>
      </c>
      <c r="AB429" s="81">
        <v>13140343.633403547</v>
      </c>
      <c r="AC429" s="81">
        <v>13139740.889946381</v>
      </c>
      <c r="AD429" s="81">
        <v>13135334.2969124</v>
      </c>
      <c r="AE429" s="81">
        <v>13127441.335659223</v>
      </c>
      <c r="AF429" s="81">
        <v>13116363.907594586</v>
      </c>
      <c r="AG429" s="81">
        <v>13102424.984492125</v>
      </c>
      <c r="AH429" s="81">
        <v>13085912.137537286</v>
      </c>
      <c r="AI429" s="81">
        <v>13067142.739850122</v>
      </c>
      <c r="AJ429" s="81">
        <v>13046387.633100692</v>
      </c>
      <c r="AK429" s="81">
        <v>13028461.557337968</v>
      </c>
      <c r="AL429" s="81">
        <v>13009078.104658486</v>
      </c>
      <c r="AM429" s="81">
        <v>12988517.205160664</v>
      </c>
      <c r="AN429" s="81">
        <v>12967048.505076634</v>
      </c>
      <c r="AO429" s="81">
        <v>12944920.566148063</v>
      </c>
      <c r="AP429" s="81">
        <v>12922390.154161585</v>
      </c>
      <c r="AQ429" s="81">
        <v>12899691.618040228</v>
      </c>
      <c r="AR429" s="81">
        <v>12877076.981885053</v>
      </c>
      <c r="AS429" s="81">
        <v>12854764.422923243</v>
      </c>
      <c r="AT429" s="81">
        <v>12832947.134289566</v>
      </c>
    </row>
    <row r="430" spans="1:46" ht="15.75">
      <c r="A430" s="81" t="s">
        <v>448</v>
      </c>
      <c r="B430" s="80">
        <v>222400</v>
      </c>
      <c r="C430" s="80" t="s">
        <v>434</v>
      </c>
      <c r="D430" s="84" t="s">
        <v>771</v>
      </c>
      <c r="E430" s="81">
        <v>13948755.243417785</v>
      </c>
      <c r="F430" s="81">
        <v>14329668.073940201</v>
      </c>
      <c r="G430" s="81">
        <v>14612029.932616869</v>
      </c>
      <c r="H430" s="81">
        <v>14877279.06728299</v>
      </c>
      <c r="I430" s="81">
        <v>15126001.994444301</v>
      </c>
      <c r="J430" s="81">
        <v>15358767.193124095</v>
      </c>
      <c r="K430" s="81">
        <v>15576191.119211026</v>
      </c>
      <c r="L430" s="81">
        <v>15778897.454044418</v>
      </c>
      <c r="M430" s="81">
        <v>15967530.084240725</v>
      </c>
      <c r="N430" s="81">
        <v>16142734.217977397</v>
      </c>
      <c r="O430" s="81">
        <v>16305186.500621092</v>
      </c>
      <c r="P430" s="81">
        <v>16455559.637514085</v>
      </c>
      <c r="Q430" s="81">
        <v>16526260.703783179</v>
      </c>
      <c r="R430" s="81">
        <v>16586464.676561499</v>
      </c>
      <c r="S430" s="81">
        <v>16636944.914235599</v>
      </c>
      <c r="T430" s="81">
        <v>16678486.460367275</v>
      </c>
      <c r="U430" s="81">
        <v>16711831.549168931</v>
      </c>
      <c r="V430" s="81">
        <v>16737703.350532403</v>
      </c>
      <c r="W430" s="81">
        <v>16756803.836798487</v>
      </c>
      <c r="X430" s="81">
        <v>16769802.404194338</v>
      </c>
      <c r="Y430" s="81">
        <v>16777333.233716626</v>
      </c>
      <c r="Z430" s="81">
        <v>16779992.609539676</v>
      </c>
      <c r="AA430" s="81">
        <v>16764636.111263964</v>
      </c>
      <c r="AB430" s="81">
        <v>16745651.686921243</v>
      </c>
      <c r="AC430" s="81">
        <v>16723512.576336101</v>
      </c>
      <c r="AD430" s="81">
        <v>16698680.332943546</v>
      </c>
      <c r="AE430" s="81">
        <v>16671545.086419575</v>
      </c>
      <c r="AF430" s="81">
        <v>16642441.786878701</v>
      </c>
      <c r="AG430" s="81">
        <v>16611677.331528982</v>
      </c>
      <c r="AH430" s="81">
        <v>16579478.897781102</v>
      </c>
      <c r="AI430" s="81">
        <v>16546020.679386923</v>
      </c>
      <c r="AJ430" s="81">
        <v>16511411.288287757</v>
      </c>
      <c r="AK430" s="81">
        <v>16481420.812476406</v>
      </c>
      <c r="AL430" s="81">
        <v>16450238.316948088</v>
      </c>
      <c r="AM430" s="81">
        <v>16417789.900711676</v>
      </c>
      <c r="AN430" s="81">
        <v>16383914.745412141</v>
      </c>
      <c r="AO430" s="81">
        <v>16348372.196157528</v>
      </c>
      <c r="AP430" s="81">
        <v>16310849.329139117</v>
      </c>
      <c r="AQ430" s="81">
        <v>16270947.397605862</v>
      </c>
      <c r="AR430" s="81">
        <v>16228200.401928592</v>
      </c>
      <c r="AS430" s="81">
        <v>16182017.788949205</v>
      </c>
      <c r="AT430" s="81">
        <v>16131746.269984625</v>
      </c>
    </row>
    <row r="431" spans="1:46" ht="15.75">
      <c r="A431" s="81" t="s">
        <v>448</v>
      </c>
      <c r="B431" s="80">
        <v>230100</v>
      </c>
      <c r="C431" s="80" t="s">
        <v>433</v>
      </c>
      <c r="D431" s="84" t="s">
        <v>770</v>
      </c>
      <c r="E431" s="81">
        <v>79778446.879498243</v>
      </c>
      <c r="F431" s="81">
        <v>82649262.303000227</v>
      </c>
      <c r="G431" s="81">
        <v>85010350.896438658</v>
      </c>
      <c r="H431" s="81">
        <v>87282759.508553356</v>
      </c>
      <c r="I431" s="81">
        <v>89469204.600356877</v>
      </c>
      <c r="J431" s="81">
        <v>91572655.676389739</v>
      </c>
      <c r="K431" s="81">
        <v>93596340.841062352</v>
      </c>
      <c r="L431" s="81">
        <v>95543679.782725081</v>
      </c>
      <c r="M431" s="81">
        <v>97418267.071167037</v>
      </c>
      <c r="N431" s="81">
        <v>99223884.289881781</v>
      </c>
      <c r="O431" s="81">
        <v>100964436.34579663</v>
      </c>
      <c r="P431" s="81">
        <v>102643932.36316654</v>
      </c>
      <c r="Q431" s="81">
        <v>103915786.34941474</v>
      </c>
      <c r="R431" s="81">
        <v>105130036.0855213</v>
      </c>
      <c r="S431" s="81">
        <v>106291412.45561774</v>
      </c>
      <c r="T431" s="81">
        <v>107404572.13435116</v>
      </c>
      <c r="U431" s="81">
        <v>108474057.47665374</v>
      </c>
      <c r="V431" s="81">
        <v>109504221.66407205</v>
      </c>
      <c r="W431" s="81">
        <v>110499260.97286837</v>
      </c>
      <c r="X431" s="81">
        <v>111463138.71028738</v>
      </c>
      <c r="Y431" s="81">
        <v>112399573.51365191</v>
      </c>
      <c r="Z431" s="81">
        <v>113311982.17483559</v>
      </c>
      <c r="AA431" s="81">
        <v>114195983.9677898</v>
      </c>
      <c r="AB431" s="81">
        <v>115060578.07894748</v>
      </c>
      <c r="AC431" s="81">
        <v>115908120.96640185</v>
      </c>
      <c r="AD431" s="81">
        <v>116740556.26048289</v>
      </c>
      <c r="AE431" s="81">
        <v>117559340.44038506</v>
      </c>
      <c r="AF431" s="81">
        <v>118365428.19652313</v>
      </c>
      <c r="AG431" s="81">
        <v>119159220.6202753</v>
      </c>
      <c r="AH431" s="81">
        <v>119940498.68656701</v>
      </c>
      <c r="AI431" s="81">
        <v>120708446.35644299</v>
      </c>
      <c r="AJ431" s="81">
        <v>121461571.256937</v>
      </c>
      <c r="AK431" s="81">
        <v>122331907.13021445</v>
      </c>
      <c r="AL431" s="81">
        <v>123181537.4935153</v>
      </c>
      <c r="AM431" s="81">
        <v>124006584.10588883</v>
      </c>
      <c r="AN431" s="81">
        <v>124802368.83418867</v>
      </c>
      <c r="AO431" s="81">
        <v>125563254.68884811</v>
      </c>
      <c r="AP431" s="81">
        <v>126282636.57257326</v>
      </c>
      <c r="AQ431" s="81">
        <v>126952934.75075595</v>
      </c>
      <c r="AR431" s="81">
        <v>127565441.9338055</v>
      </c>
      <c r="AS431" s="81">
        <v>128110403.16927086</v>
      </c>
      <c r="AT431" s="81">
        <v>128576829.99827519</v>
      </c>
    </row>
    <row r="432" spans="1:46" ht="15.75">
      <c r="A432" s="81" t="s">
        <v>448</v>
      </c>
      <c r="B432" s="80">
        <v>230200</v>
      </c>
      <c r="C432" s="80" t="s">
        <v>433</v>
      </c>
      <c r="D432" s="84" t="s">
        <v>769</v>
      </c>
      <c r="E432" s="81">
        <v>27705657.935159162</v>
      </c>
      <c r="F432" s="81">
        <v>28512532.558101311</v>
      </c>
      <c r="G432" s="81">
        <v>29140187.980449442</v>
      </c>
      <c r="H432" s="81">
        <v>29746583.903379809</v>
      </c>
      <c r="I432" s="81">
        <v>30331915.398622476</v>
      </c>
      <c r="J432" s="81">
        <v>30896406.917589445</v>
      </c>
      <c r="K432" s="81">
        <v>31440332.842231095</v>
      </c>
      <c r="L432" s="81">
        <v>31963986.060719501</v>
      </c>
      <c r="M432" s="81">
        <v>32467714.165743113</v>
      </c>
      <c r="N432" s="81">
        <v>32951895.489791542</v>
      </c>
      <c r="O432" s="81">
        <v>33416945.238341857</v>
      </c>
      <c r="P432" s="81">
        <v>33863289.427727647</v>
      </c>
      <c r="Q432" s="81">
        <v>34155277.656281061</v>
      </c>
      <c r="R432" s="81">
        <v>34428830.64633321</v>
      </c>
      <c r="S432" s="81">
        <v>34684689.100005828</v>
      </c>
      <c r="T432" s="81">
        <v>34923604.81722074</v>
      </c>
      <c r="U432" s="81">
        <v>35146339.165677197</v>
      </c>
      <c r="V432" s="81">
        <v>35353652.735200979</v>
      </c>
      <c r="W432" s="81">
        <v>35546312.126519114</v>
      </c>
      <c r="X432" s="81">
        <v>35725088.300907321</v>
      </c>
      <c r="Y432" s="81">
        <v>35890736.761480272</v>
      </c>
      <c r="Z432" s="81">
        <v>36044022.342373766</v>
      </c>
      <c r="AA432" s="81">
        <v>36161288.885271735</v>
      </c>
      <c r="AB432" s="81">
        <v>36267719.416868135</v>
      </c>
      <c r="AC432" s="81">
        <v>36364051.982548013</v>
      </c>
      <c r="AD432" s="81">
        <v>36451033.128548317</v>
      </c>
      <c r="AE432" s="81">
        <v>36529407.340138279</v>
      </c>
      <c r="AF432" s="81">
        <v>36599867.037981756</v>
      </c>
      <c r="AG432" s="81">
        <v>36663107.638594016</v>
      </c>
      <c r="AH432" s="81">
        <v>36719796.816131212</v>
      </c>
      <c r="AI432" s="81">
        <v>36770582.034339435</v>
      </c>
      <c r="AJ432" s="81">
        <v>36816078.423732713</v>
      </c>
      <c r="AK432" s="81">
        <v>36874904.063521579</v>
      </c>
      <c r="AL432" s="81">
        <v>36929439.858168073</v>
      </c>
      <c r="AM432" s="81">
        <v>36980196.484891258</v>
      </c>
      <c r="AN432" s="81">
        <v>37027674.751804173</v>
      </c>
      <c r="AO432" s="81">
        <v>37072300.710015647</v>
      </c>
      <c r="AP432" s="81">
        <v>37114485.4814265</v>
      </c>
      <c r="AQ432" s="81">
        <v>37154591.482828654</v>
      </c>
      <c r="AR432" s="81">
        <v>37192951.312465154</v>
      </c>
      <c r="AS432" s="81">
        <v>37229810.742775477</v>
      </c>
      <c r="AT432" s="81">
        <v>37265413.09460891</v>
      </c>
    </row>
    <row r="433" spans="1:46" ht="15.75">
      <c r="A433" s="81" t="s">
        <v>448</v>
      </c>
      <c r="B433" s="80">
        <v>230300</v>
      </c>
      <c r="C433" s="80" t="s">
        <v>433</v>
      </c>
      <c r="D433" s="84" t="s">
        <v>768</v>
      </c>
      <c r="E433" s="81">
        <v>9703311.7850314938</v>
      </c>
      <c r="F433" s="81">
        <v>9968937.9005187415</v>
      </c>
      <c r="G433" s="81">
        <v>10170346.399327662</v>
      </c>
      <c r="H433" s="81">
        <v>10362872.443936184</v>
      </c>
      <c r="I433" s="81">
        <v>10546601.765302233</v>
      </c>
      <c r="J433" s="81">
        <v>10721609.829559678</v>
      </c>
      <c r="K433" s="81">
        <v>10888023.964710323</v>
      </c>
      <c r="L433" s="81">
        <v>11045952.671034848</v>
      </c>
      <c r="M433" s="81">
        <v>11195541.736789223</v>
      </c>
      <c r="N433" s="81">
        <v>11336945.322489534</v>
      </c>
      <c r="O433" s="81">
        <v>11470340.211334443</v>
      </c>
      <c r="P433" s="81">
        <v>11595902.544227712</v>
      </c>
      <c r="Q433" s="81">
        <v>11667326.906008208</v>
      </c>
      <c r="R433" s="81">
        <v>11731325.190809445</v>
      </c>
      <c r="S433" s="81">
        <v>11788197.553064285</v>
      </c>
      <c r="T433" s="81">
        <v>11838257.336071115</v>
      </c>
      <c r="U433" s="81">
        <v>11881822.72957072</v>
      </c>
      <c r="V433" s="81">
        <v>11919216.191265117</v>
      </c>
      <c r="W433" s="81">
        <v>11950747.052564422</v>
      </c>
      <c r="X433" s="81">
        <v>11976760.951442983</v>
      </c>
      <c r="Y433" s="81">
        <v>11997572.364794329</v>
      </c>
      <c r="Z433" s="81">
        <v>12013514.192858882</v>
      </c>
      <c r="AA433" s="81">
        <v>12016811.669523044</v>
      </c>
      <c r="AB433" s="81">
        <v>12015943.30301187</v>
      </c>
      <c r="AC433" s="81">
        <v>12011250.150987182</v>
      </c>
      <c r="AD433" s="81">
        <v>12003071.373589132</v>
      </c>
      <c r="AE433" s="81">
        <v>11991725.327691812</v>
      </c>
      <c r="AF433" s="81">
        <v>11977544.78080729</v>
      </c>
      <c r="AG433" s="81">
        <v>11960858.506442327</v>
      </c>
      <c r="AH433" s="81">
        <v>11941962.432350237</v>
      </c>
      <c r="AI433" s="81">
        <v>11921174.360768491</v>
      </c>
      <c r="AJ433" s="81">
        <v>11898796.335106459</v>
      </c>
      <c r="AK433" s="81">
        <v>11880934.784582119</v>
      </c>
      <c r="AL433" s="81">
        <v>11861982.483590774</v>
      </c>
      <c r="AM433" s="81">
        <v>11842207.524999781</v>
      </c>
      <c r="AN433" s="81">
        <v>11821878.385413188</v>
      </c>
      <c r="AO433" s="81">
        <v>11801263.55677711</v>
      </c>
      <c r="AP433" s="81">
        <v>11780590.635809392</v>
      </c>
      <c r="AQ433" s="81">
        <v>11760084.912570914</v>
      </c>
      <c r="AR433" s="81">
        <v>11739989.623976238</v>
      </c>
      <c r="AS433" s="81">
        <v>11720493.527174603</v>
      </c>
      <c r="AT433" s="81">
        <v>11701780.648817677</v>
      </c>
    </row>
    <row r="434" spans="1:46" ht="15.75">
      <c r="A434" s="81" t="s">
        <v>448</v>
      </c>
      <c r="B434" s="80">
        <v>230400</v>
      </c>
      <c r="C434" s="80" t="s">
        <v>433</v>
      </c>
      <c r="D434" s="84" t="s">
        <v>767</v>
      </c>
      <c r="E434" s="81">
        <v>5755473.8287963681</v>
      </c>
      <c r="F434" s="81">
        <v>5915301.6140299225</v>
      </c>
      <c r="G434" s="81">
        <v>6036843.6693724887</v>
      </c>
      <c r="H434" s="81">
        <v>6152923.1487509869</v>
      </c>
      <c r="I434" s="81">
        <v>6263583.1611188008</v>
      </c>
      <c r="J434" s="81">
        <v>6368864.770624565</v>
      </c>
      <c r="K434" s="81">
        <v>6468827.3401473947</v>
      </c>
      <c r="L434" s="81">
        <v>6563548.9629082074</v>
      </c>
      <c r="M434" s="81">
        <v>6653097.185094974</v>
      </c>
      <c r="N434" s="81">
        <v>6737572.3736834377</v>
      </c>
      <c r="O434" s="81">
        <v>6817070.9821954565</v>
      </c>
      <c r="P434" s="81">
        <v>6891691.9749782905</v>
      </c>
      <c r="Q434" s="81">
        <v>6933930.8020503493</v>
      </c>
      <c r="R434" s="81">
        <v>6971540.8542637248</v>
      </c>
      <c r="S434" s="81">
        <v>7004710.9955121009</v>
      </c>
      <c r="T434" s="81">
        <v>7033627.1965707056</v>
      </c>
      <c r="U434" s="81">
        <v>7058480.0655499501</v>
      </c>
      <c r="V434" s="81">
        <v>7079481.2131592836</v>
      </c>
      <c r="W434" s="81">
        <v>7096821.8903590301</v>
      </c>
      <c r="X434" s="81">
        <v>7110705.3317029718</v>
      </c>
      <c r="Y434" s="81">
        <v>7121338.3471388938</v>
      </c>
      <c r="Z434" s="81">
        <v>7128922.3631037856</v>
      </c>
      <c r="AA434" s="81">
        <v>7128859.7236295752</v>
      </c>
      <c r="AB434" s="81">
        <v>7126210.6654738011</v>
      </c>
      <c r="AC434" s="81">
        <v>7121179.7101730099</v>
      </c>
      <c r="AD434" s="81">
        <v>7113981.1215929929</v>
      </c>
      <c r="AE434" s="81">
        <v>7104839.0236037849</v>
      </c>
      <c r="AF434" s="81">
        <v>7093959.9215267915</v>
      </c>
      <c r="AG434" s="81">
        <v>7081550.0629997812</v>
      </c>
      <c r="AH434" s="81">
        <v>7067824.4742222903</v>
      </c>
      <c r="AI434" s="81">
        <v>7052988.128728033</v>
      </c>
      <c r="AJ434" s="81">
        <v>7037244.7050812142</v>
      </c>
      <c r="AK434" s="81">
        <v>7024232.2192772776</v>
      </c>
      <c r="AL434" s="81">
        <v>7010663.8228771361</v>
      </c>
      <c r="AM434" s="81">
        <v>6996727.6199989468</v>
      </c>
      <c r="AN434" s="81">
        <v>6982618.8703322867</v>
      </c>
      <c r="AO434" s="81">
        <v>6968519.9966103835</v>
      </c>
      <c r="AP434" s="81">
        <v>6954609.8252291875</v>
      </c>
      <c r="AQ434" s="81">
        <v>6941063.1686798427</v>
      </c>
      <c r="AR434" s="81">
        <v>6928040.0713244732</v>
      </c>
      <c r="AS434" s="81">
        <v>6915716.1708468869</v>
      </c>
      <c r="AT434" s="81">
        <v>6904241.1364004565</v>
      </c>
    </row>
    <row r="435" spans="1:46" ht="15.75">
      <c r="A435" s="81" t="s">
        <v>448</v>
      </c>
      <c r="B435" s="80">
        <v>230500</v>
      </c>
      <c r="C435" s="80" t="s">
        <v>433</v>
      </c>
      <c r="D435" s="84" t="s">
        <v>766</v>
      </c>
      <c r="E435" s="81">
        <v>7802674.7282868279</v>
      </c>
      <c r="F435" s="81">
        <v>8022693.3574443413</v>
      </c>
      <c r="G435" s="81">
        <v>8191924.7205603234</v>
      </c>
      <c r="H435" s="81">
        <v>8354808.8325298652</v>
      </c>
      <c r="I435" s="81">
        <v>8511344.505484622</v>
      </c>
      <c r="J435" s="81">
        <v>8661550.4003845882</v>
      </c>
      <c r="K435" s="81">
        <v>8805436.7285969444</v>
      </c>
      <c r="L435" s="81">
        <v>8943040.0112253334</v>
      </c>
      <c r="M435" s="81">
        <v>9074424.1130463462</v>
      </c>
      <c r="N435" s="81">
        <v>9199643.5717401188</v>
      </c>
      <c r="O435" s="81">
        <v>9318764.7118992917</v>
      </c>
      <c r="P435" s="81">
        <v>9431881.0524446853</v>
      </c>
      <c r="Q435" s="81">
        <v>9501213.4172511846</v>
      </c>
      <c r="R435" s="81">
        <v>9564658.8383308295</v>
      </c>
      <c r="S435" s="81">
        <v>9622391.9394247122</v>
      </c>
      <c r="T435" s="81">
        <v>9674609.7602660246</v>
      </c>
      <c r="U435" s="81">
        <v>9721524.2059507761</v>
      </c>
      <c r="V435" s="81">
        <v>9763345.6542262286</v>
      </c>
      <c r="W435" s="81">
        <v>9800282.2800494321</v>
      </c>
      <c r="X435" s="81">
        <v>9832564.8398875296</v>
      </c>
      <c r="Y435" s="81">
        <v>9860413.0057674497</v>
      </c>
      <c r="Z435" s="81">
        <v>9884068.8998742439</v>
      </c>
      <c r="AA435" s="81">
        <v>9897084.2393495291</v>
      </c>
      <c r="AB435" s="81">
        <v>9906419.9553787373</v>
      </c>
      <c r="AC435" s="81">
        <v>9912322.3342369515</v>
      </c>
      <c r="AD435" s="81">
        <v>9915049.9488427192</v>
      </c>
      <c r="AE435" s="81">
        <v>9914873.8088951241</v>
      </c>
      <c r="AF435" s="81">
        <v>9912049.9147829898</v>
      </c>
      <c r="AG435" s="81">
        <v>9906845.9384464808</v>
      </c>
      <c r="AH435" s="81">
        <v>9899541.361340886</v>
      </c>
      <c r="AI435" s="81">
        <v>9890399.2133930977</v>
      </c>
      <c r="AJ435" s="81">
        <v>9879693.5298614763</v>
      </c>
      <c r="AK435" s="81">
        <v>9872529.101600172</v>
      </c>
      <c r="AL435" s="81">
        <v>9864292.3851837516</v>
      </c>
      <c r="AM435" s="81">
        <v>9855270.5895182304</v>
      </c>
      <c r="AN435" s="81">
        <v>9845732.449039625</v>
      </c>
      <c r="AO435" s="81">
        <v>9835957.0089758746</v>
      </c>
      <c r="AP435" s="81">
        <v>9826223.6077060755</v>
      </c>
      <c r="AQ435" s="81">
        <v>9816811.5038955715</v>
      </c>
      <c r="AR435" s="81">
        <v>9807999.4969256204</v>
      </c>
      <c r="AS435" s="81">
        <v>9800075.9692813642</v>
      </c>
      <c r="AT435" s="81">
        <v>9793296.8780754711</v>
      </c>
    </row>
    <row r="436" spans="1:46" ht="15.75">
      <c r="A436" s="81" t="s">
        <v>448</v>
      </c>
      <c r="B436" s="80">
        <v>230600</v>
      </c>
      <c r="C436" s="80" t="s">
        <v>433</v>
      </c>
      <c r="D436" s="84" t="s">
        <v>765</v>
      </c>
      <c r="E436" s="81">
        <v>20918732.560098264</v>
      </c>
      <c r="F436" s="81">
        <v>21573297.887703717</v>
      </c>
      <c r="G436" s="81">
        <v>22090768.339975834</v>
      </c>
      <c r="H436" s="81">
        <v>22590529.914146721</v>
      </c>
      <c r="I436" s="81">
        <v>23072857.980578095</v>
      </c>
      <c r="J436" s="81">
        <v>23538062.972110491</v>
      </c>
      <c r="K436" s="81">
        <v>23986455.21044296</v>
      </c>
      <c r="L436" s="81">
        <v>24418417.522945393</v>
      </c>
      <c r="M436" s="81">
        <v>24834311.422792327</v>
      </c>
      <c r="N436" s="81">
        <v>25234550.625474811</v>
      </c>
      <c r="O436" s="81">
        <v>25619574.367827743</v>
      </c>
      <c r="P436" s="81">
        <v>25989818.216910243</v>
      </c>
      <c r="Q436" s="81">
        <v>26241156.590181634</v>
      </c>
      <c r="R436" s="81">
        <v>26477905.026607879</v>
      </c>
      <c r="S436" s="81">
        <v>26700739.468719959</v>
      </c>
      <c r="T436" s="81">
        <v>26910307.009728603</v>
      </c>
      <c r="U436" s="81">
        <v>27107280.072779629</v>
      </c>
      <c r="V436" s="81">
        <v>27292288.057472058</v>
      </c>
      <c r="W436" s="81">
        <v>27465991.785959687</v>
      </c>
      <c r="X436" s="81">
        <v>27628994.279110849</v>
      </c>
      <c r="Y436" s="81">
        <v>27781916.264020912</v>
      </c>
      <c r="Z436" s="81">
        <v>27925334.830596231</v>
      </c>
      <c r="AA436" s="81">
        <v>28040919.407137692</v>
      </c>
      <c r="AB436" s="81">
        <v>28148089.97170886</v>
      </c>
      <c r="AC436" s="81">
        <v>28247404.367764581</v>
      </c>
      <c r="AD436" s="81">
        <v>28339354.051772419</v>
      </c>
      <c r="AE436" s="81">
        <v>28424434.339917272</v>
      </c>
      <c r="AF436" s="81">
        <v>28503068.438170124</v>
      </c>
      <c r="AG436" s="81">
        <v>28575679.043466441</v>
      </c>
      <c r="AH436" s="81">
        <v>28642632.770825639</v>
      </c>
      <c r="AI436" s="81">
        <v>28704236.735159814</v>
      </c>
      <c r="AJ436" s="81">
        <v>28760779.752132379</v>
      </c>
      <c r="AK436" s="81">
        <v>28826609.284674674</v>
      </c>
      <c r="AL436" s="81">
        <v>28887697.003623415</v>
      </c>
      <c r="AM436" s="81">
        <v>28944168.478198942</v>
      </c>
      <c r="AN436" s="81">
        <v>28996098.846446957</v>
      </c>
      <c r="AO436" s="81">
        <v>29043498.349411186</v>
      </c>
      <c r="AP436" s="81">
        <v>29086320.827583488</v>
      </c>
      <c r="AQ436" s="81">
        <v>29124448.94340409</v>
      </c>
      <c r="AR436" s="81">
        <v>29157702.818043873</v>
      </c>
      <c r="AS436" s="81">
        <v>29185824.940142523</v>
      </c>
      <c r="AT436" s="81">
        <v>29208501.247457273</v>
      </c>
    </row>
    <row r="437" spans="1:46" ht="15.75">
      <c r="A437" s="81" t="s">
        <v>448</v>
      </c>
      <c r="B437" s="80">
        <v>230700</v>
      </c>
      <c r="C437" s="80" t="s">
        <v>433</v>
      </c>
      <c r="D437" s="84" t="s">
        <v>764</v>
      </c>
      <c r="E437" s="81">
        <v>5680354.9912367119</v>
      </c>
      <c r="F437" s="81">
        <v>5832945.8966684593</v>
      </c>
      <c r="G437" s="81">
        <v>5947053.1239846274</v>
      </c>
      <c r="H437" s="81">
        <v>6055075.8900204254</v>
      </c>
      <c r="I437" s="81">
        <v>6157083.6563220983</v>
      </c>
      <c r="J437" s="81">
        <v>6253146.6947184922</v>
      </c>
      <c r="K437" s="81">
        <v>6343349.2927787527</v>
      </c>
      <c r="L437" s="81">
        <v>6427789.6719596302</v>
      </c>
      <c r="M437" s="81">
        <v>6506579.8930583354</v>
      </c>
      <c r="N437" s="81">
        <v>6579845.7489709305</v>
      </c>
      <c r="O437" s="81">
        <v>6647703.6630765526</v>
      </c>
      <c r="P437" s="81">
        <v>6710313.2371171508</v>
      </c>
      <c r="Q437" s="81">
        <v>6740948.6380109675</v>
      </c>
      <c r="R437" s="81">
        <v>6766722.2186878687</v>
      </c>
      <c r="S437" s="81">
        <v>6787869.0625343854</v>
      </c>
      <c r="T437" s="81">
        <v>6804607.227761982</v>
      </c>
      <c r="U437" s="81">
        <v>6817169.0746640032</v>
      </c>
      <c r="V437" s="81">
        <v>6825801.4789283816</v>
      </c>
      <c r="W437" s="81">
        <v>6830732.4424944259</v>
      </c>
      <c r="X437" s="81">
        <v>6832220.4391446775</v>
      </c>
      <c r="Y437" s="81">
        <v>6830495.4423235916</v>
      </c>
      <c r="Z437" s="81">
        <v>6825808.8812220991</v>
      </c>
      <c r="AA437" s="81">
        <v>6813818.8547493769</v>
      </c>
      <c r="AB437" s="81">
        <v>6799405.6598053174</v>
      </c>
      <c r="AC437" s="81">
        <v>6782836.6489736969</v>
      </c>
      <c r="AD437" s="81">
        <v>6764373.0715923505</v>
      </c>
      <c r="AE437" s="81">
        <v>6744242.0049014706</v>
      </c>
      <c r="AF437" s="81">
        <v>6722726.265721648</v>
      </c>
      <c r="AG437" s="81">
        <v>6700046.0059203841</v>
      </c>
      <c r="AH437" s="81">
        <v>6676467.7991967313</v>
      </c>
      <c r="AI437" s="81">
        <v>6652230.8039089562</v>
      </c>
      <c r="AJ437" s="81">
        <v>6627573.7495992696</v>
      </c>
      <c r="AK437" s="81">
        <v>6605975.6288215406</v>
      </c>
      <c r="AL437" s="81">
        <v>6584366.2124789981</v>
      </c>
      <c r="AM437" s="81">
        <v>6562981.8097684924</v>
      </c>
      <c r="AN437" s="81">
        <v>6542057.2833180539</v>
      </c>
      <c r="AO437" s="81">
        <v>6521795.5489522088</v>
      </c>
      <c r="AP437" s="81">
        <v>6502416.3870086269</v>
      </c>
      <c r="AQ437" s="81">
        <v>6484136.5395822236</v>
      </c>
      <c r="AR437" s="81">
        <v>6467138.3053389275</v>
      </c>
      <c r="AS437" s="81">
        <v>6451619.7801102782</v>
      </c>
      <c r="AT437" s="81">
        <v>6437774.3506874954</v>
      </c>
    </row>
    <row r="438" spans="1:46" ht="15.75">
      <c r="A438" s="81" t="s">
        <v>448</v>
      </c>
      <c r="B438" s="80">
        <v>230800</v>
      </c>
      <c r="C438" s="80" t="s">
        <v>433</v>
      </c>
      <c r="D438" s="84" t="s">
        <v>763</v>
      </c>
      <c r="E438" s="81">
        <v>13898464.866877789</v>
      </c>
      <c r="F438" s="81">
        <v>14312651.094773952</v>
      </c>
      <c r="G438" s="81">
        <v>14635197.631711353</v>
      </c>
      <c r="H438" s="81">
        <v>14945424.594199032</v>
      </c>
      <c r="I438" s="81">
        <v>15243503.181228006</v>
      </c>
      <c r="J438" s="81">
        <v>15529626.463945283</v>
      </c>
      <c r="K438" s="81">
        <v>15804008.288113052</v>
      </c>
      <c r="L438" s="81">
        <v>16066889.437649369</v>
      </c>
      <c r="M438" s="81">
        <v>16318529.585221542</v>
      </c>
      <c r="N438" s="81">
        <v>16559183.420394666</v>
      </c>
      <c r="O438" s="81">
        <v>16789151.225164331</v>
      </c>
      <c r="P438" s="81">
        <v>17008740.971693438</v>
      </c>
      <c r="Q438" s="81">
        <v>17149911.328786109</v>
      </c>
      <c r="R438" s="81">
        <v>17281026.546303753</v>
      </c>
      <c r="S438" s="81">
        <v>17402564.36524662</v>
      </c>
      <c r="T438" s="81">
        <v>17514978.213859212</v>
      </c>
      <c r="U438" s="81">
        <v>17618719.235837687</v>
      </c>
      <c r="V438" s="81">
        <v>17714251.574559286</v>
      </c>
      <c r="W438" s="81">
        <v>17802018.308497656</v>
      </c>
      <c r="X438" s="81">
        <v>17882456.14111476</v>
      </c>
      <c r="Y438" s="81">
        <v>17956019.725441799</v>
      </c>
      <c r="Z438" s="81">
        <v>18023129.541077811</v>
      </c>
      <c r="AA438" s="81">
        <v>18072000.5476611</v>
      </c>
      <c r="AB438" s="81">
        <v>18115271.185019199</v>
      </c>
      <c r="AC438" s="81">
        <v>18153336.448982548</v>
      </c>
      <c r="AD438" s="81">
        <v>18186583.874352779</v>
      </c>
      <c r="AE438" s="81">
        <v>18215401.56496108</v>
      </c>
      <c r="AF438" s="81">
        <v>18240122.344585266</v>
      </c>
      <c r="AG438" s="81">
        <v>18261085.437132996</v>
      </c>
      <c r="AH438" s="81">
        <v>18278617.453845497</v>
      </c>
      <c r="AI438" s="81">
        <v>18292983.900165446</v>
      </c>
      <c r="AJ438" s="81">
        <v>18304471.752897412</v>
      </c>
      <c r="AK438" s="81">
        <v>18322256.143670071</v>
      </c>
      <c r="AL438" s="81">
        <v>18337522.721584335</v>
      </c>
      <c r="AM438" s="81">
        <v>18350432.199055657</v>
      </c>
      <c r="AN438" s="81">
        <v>18361132.709441964</v>
      </c>
      <c r="AO438" s="81">
        <v>18369748.886239447</v>
      </c>
      <c r="AP438" s="81">
        <v>18376339.943037</v>
      </c>
      <c r="AQ438" s="81">
        <v>18380957.702573232</v>
      </c>
      <c r="AR438" s="81">
        <v>18383604.816896345</v>
      </c>
      <c r="AS438" s="81">
        <v>18384232.326375768</v>
      </c>
      <c r="AT438" s="81">
        <v>18382768.768656135</v>
      </c>
    </row>
    <row r="439" spans="1:46" ht="15.75">
      <c r="A439" s="81" t="s">
        <v>448</v>
      </c>
      <c r="B439" s="80">
        <v>230900</v>
      </c>
      <c r="C439" s="80" t="s">
        <v>433</v>
      </c>
      <c r="D439" s="84" t="s">
        <v>762</v>
      </c>
      <c r="E439" s="81">
        <v>4441800.8983958699</v>
      </c>
      <c r="F439" s="81">
        <v>4572664.2003396144</v>
      </c>
      <c r="G439" s="81">
        <v>4674798.2639975175</v>
      </c>
      <c r="H439" s="81">
        <v>4773582.6999041252</v>
      </c>
      <c r="I439" s="81">
        <v>4869046.5130982799</v>
      </c>
      <c r="J439" s="81">
        <v>4961195.9325173879</v>
      </c>
      <c r="K439" s="81">
        <v>5050055.0002803318</v>
      </c>
      <c r="L439" s="81">
        <v>5135659.0916197859</v>
      </c>
      <c r="M439" s="81">
        <v>5218040.3583453754</v>
      </c>
      <c r="N439" s="81">
        <v>5297241.8907509018</v>
      </c>
      <c r="O439" s="81">
        <v>5373295.0489087161</v>
      </c>
      <c r="P439" s="81">
        <v>5446264.4875621023</v>
      </c>
      <c r="Q439" s="81">
        <v>5494157.2337858742</v>
      </c>
      <c r="R439" s="81">
        <v>5538952.3080944549</v>
      </c>
      <c r="S439" s="81">
        <v>5580752.7364148945</v>
      </c>
      <c r="T439" s="81">
        <v>5619669.4419962503</v>
      </c>
      <c r="U439" s="81">
        <v>5655788.6301264483</v>
      </c>
      <c r="V439" s="81">
        <v>5689228.0584421819</v>
      </c>
      <c r="W439" s="81">
        <v>5720088.3019595612</v>
      </c>
      <c r="X439" s="81">
        <v>5748485.3338887775</v>
      </c>
      <c r="Y439" s="81">
        <v>5774516.9247182701</v>
      </c>
      <c r="Z439" s="81">
        <v>5798295.9131268281</v>
      </c>
      <c r="AA439" s="81">
        <v>5815853.3091172464</v>
      </c>
      <c r="AB439" s="81">
        <v>5831374.9308895441</v>
      </c>
      <c r="AC439" s="81">
        <v>5844970.8023182889</v>
      </c>
      <c r="AD439" s="81">
        <v>5856756.6516930377</v>
      </c>
      <c r="AE439" s="81">
        <v>5866844.932532208</v>
      </c>
      <c r="AF439" s="81">
        <v>5875335.3303071568</v>
      </c>
      <c r="AG439" s="81">
        <v>5882332.4088528855</v>
      </c>
      <c r="AH439" s="81">
        <v>5887936.3613587944</v>
      </c>
      <c r="AI439" s="81">
        <v>5892252.0281704422</v>
      </c>
      <c r="AJ439" s="81">
        <v>5895379.4698343035</v>
      </c>
      <c r="AK439" s="81">
        <v>5900132.5377916032</v>
      </c>
      <c r="AL439" s="81">
        <v>5903865.7538008252</v>
      </c>
      <c r="AM439" s="81">
        <v>5906642.3839088352</v>
      </c>
      <c r="AN439" s="81">
        <v>5908568.0165514527</v>
      </c>
      <c r="AO439" s="81">
        <v>5909702.9607301475</v>
      </c>
      <c r="AP439" s="81">
        <v>5910130.2214953946</v>
      </c>
      <c r="AQ439" s="81">
        <v>5909915.938052698</v>
      </c>
      <c r="AR439" s="81">
        <v>5909128.9307086682</v>
      </c>
      <c r="AS439" s="81">
        <v>5907820.0808803635</v>
      </c>
      <c r="AT439" s="81">
        <v>5906063.0851998869</v>
      </c>
    </row>
    <row r="440" spans="1:46" ht="15.75">
      <c r="A440" s="81" t="s">
        <v>448</v>
      </c>
      <c r="B440" s="80">
        <v>231000</v>
      </c>
      <c r="C440" s="80" t="s">
        <v>433</v>
      </c>
      <c r="D440" s="84" t="s">
        <v>761</v>
      </c>
      <c r="E440" s="81">
        <v>14778938.389498742</v>
      </c>
      <c r="F440" s="81">
        <v>15199694.119175367</v>
      </c>
      <c r="G440" s="81">
        <v>15521598.397840181</v>
      </c>
      <c r="H440" s="81">
        <v>15829163.805815134</v>
      </c>
      <c r="I440" s="81">
        <v>16122747.980188774</v>
      </c>
      <c r="J440" s="81">
        <v>16402725.580245417</v>
      </c>
      <c r="K440" s="81">
        <v>16669493.011878481</v>
      </c>
      <c r="L440" s="81">
        <v>16923466.438529141</v>
      </c>
      <c r="M440" s="81">
        <v>17165079.715958305</v>
      </c>
      <c r="N440" s="81">
        <v>17394789.794331916</v>
      </c>
      <c r="O440" s="81">
        <v>17613059.764938917</v>
      </c>
      <c r="P440" s="81">
        <v>17820363.763781402</v>
      </c>
      <c r="Q440" s="81">
        <v>17945665.817456689</v>
      </c>
      <c r="R440" s="81">
        <v>18060826.31526389</v>
      </c>
      <c r="S440" s="81">
        <v>18166469.149126537</v>
      </c>
      <c r="T440" s="81">
        <v>18263183.833749898</v>
      </c>
      <c r="U440" s="81">
        <v>18351563.164520752</v>
      </c>
      <c r="V440" s="81">
        <v>18432193.643604562</v>
      </c>
      <c r="W440" s="81">
        <v>18505611.732519757</v>
      </c>
      <c r="X440" s="81">
        <v>18572367.732484937</v>
      </c>
      <c r="Y440" s="81">
        <v>18632973.816225938</v>
      </c>
      <c r="Z440" s="81">
        <v>18687926.811616939</v>
      </c>
      <c r="AA440" s="81">
        <v>18725053.285371553</v>
      </c>
      <c r="AB440" s="81">
        <v>18757476.597923517</v>
      </c>
      <c r="AC440" s="81">
        <v>18785598.73858612</v>
      </c>
      <c r="AD440" s="81">
        <v>18809813.523165509</v>
      </c>
      <c r="AE440" s="81">
        <v>18830459.949707061</v>
      </c>
      <c r="AF440" s="81">
        <v>18847846.47433779</v>
      </c>
      <c r="AG440" s="81">
        <v>18862239.686532374</v>
      </c>
      <c r="AH440" s="81">
        <v>18873861.795491941</v>
      </c>
      <c r="AI440" s="81">
        <v>18882878.613667294</v>
      </c>
      <c r="AJ440" s="81">
        <v>18889415.632741816</v>
      </c>
      <c r="AK440" s="81">
        <v>18902802.390958767</v>
      </c>
      <c r="AL440" s="81">
        <v>18913710.688958477</v>
      </c>
      <c r="AM440" s="81">
        <v>18922099.451961853</v>
      </c>
      <c r="AN440" s="81">
        <v>18927877.162333503</v>
      </c>
      <c r="AO440" s="81">
        <v>18930869.318045184</v>
      </c>
      <c r="AP440" s="81">
        <v>18930844.908133872</v>
      </c>
      <c r="AQ440" s="81">
        <v>18927513.900189262</v>
      </c>
      <c r="AR440" s="81">
        <v>18920493.704460394</v>
      </c>
      <c r="AS440" s="81">
        <v>18909346.828257941</v>
      </c>
      <c r="AT440" s="81">
        <v>18893547.16177782</v>
      </c>
    </row>
    <row r="441" spans="1:46" ht="15.75">
      <c r="A441" s="81" t="s">
        <v>448</v>
      </c>
      <c r="B441" s="80">
        <v>231100</v>
      </c>
      <c r="C441" s="80" t="s">
        <v>433</v>
      </c>
      <c r="D441" s="84" t="s">
        <v>760</v>
      </c>
      <c r="E441" s="81">
        <v>8302289.9676060965</v>
      </c>
      <c r="F441" s="81">
        <v>8537755.0936602447</v>
      </c>
      <c r="G441" s="81">
        <v>8720074.2334932648</v>
      </c>
      <c r="H441" s="81">
        <v>8896521.6000749674</v>
      </c>
      <c r="I441" s="81">
        <v>9067047.7403902635</v>
      </c>
      <c r="J441" s="81">
        <v>9231647.5151615646</v>
      </c>
      <c r="K441" s="81">
        <v>9390305.2088809032</v>
      </c>
      <c r="L441" s="81">
        <v>9543036.5586836319</v>
      </c>
      <c r="M441" s="81">
        <v>9689845.7594272438</v>
      </c>
      <c r="N441" s="81">
        <v>9830776.3749921471</v>
      </c>
      <c r="O441" s="81">
        <v>9965859.8683194332</v>
      </c>
      <c r="P441" s="81">
        <v>10095152.558466621</v>
      </c>
      <c r="Q441" s="81">
        <v>10178153.379639264</v>
      </c>
      <c r="R441" s="81">
        <v>10255320.226299994</v>
      </c>
      <c r="S441" s="81">
        <v>10326824.628420154</v>
      </c>
      <c r="T441" s="81">
        <v>10392811.698948726</v>
      </c>
      <c r="U441" s="81">
        <v>10453472.106767835</v>
      </c>
      <c r="V441" s="81">
        <v>10508969.279804399</v>
      </c>
      <c r="W441" s="81">
        <v>10559504.569857148</v>
      </c>
      <c r="X441" s="81">
        <v>10605259.368736388</v>
      </c>
      <c r="Y441" s="81">
        <v>10646436.404380338</v>
      </c>
      <c r="Z441" s="81">
        <v>10683243.039824391</v>
      </c>
      <c r="AA441" s="81">
        <v>10708673.672367433</v>
      </c>
      <c r="AB441" s="81">
        <v>10730169.941781491</v>
      </c>
      <c r="AC441" s="81">
        <v>10747985.378784077</v>
      </c>
      <c r="AD441" s="81">
        <v>10762341.284762623</v>
      </c>
      <c r="AE441" s="81">
        <v>10773488.463012461</v>
      </c>
      <c r="AF441" s="81">
        <v>10781671.445591792</v>
      </c>
      <c r="AG441" s="81">
        <v>10787137.039016128</v>
      </c>
      <c r="AH441" s="81">
        <v>10790152.769698042</v>
      </c>
      <c r="AI441" s="81">
        <v>10790969.600527575</v>
      </c>
      <c r="AJ441" s="81">
        <v>10789849.387732102</v>
      </c>
      <c r="AK441" s="81">
        <v>10792344.216982374</v>
      </c>
      <c r="AL441" s="81">
        <v>10793392.314778613</v>
      </c>
      <c r="AM441" s="81">
        <v>10793258.45408731</v>
      </c>
      <c r="AN441" s="81">
        <v>10792228.187768765</v>
      </c>
      <c r="AO441" s="81">
        <v>10790568.312380943</v>
      </c>
      <c r="AP441" s="81">
        <v>10788576.206585042</v>
      </c>
      <c r="AQ441" s="81">
        <v>10786539.99881216</v>
      </c>
      <c r="AR441" s="81">
        <v>10784727.379825598</v>
      </c>
      <c r="AS441" s="81">
        <v>10783457.23890743</v>
      </c>
      <c r="AT441" s="81">
        <v>10783006.999455128</v>
      </c>
    </row>
    <row r="442" spans="1:46" ht="15.75">
      <c r="A442" s="81" t="s">
        <v>448</v>
      </c>
      <c r="B442" s="80">
        <v>231200</v>
      </c>
      <c r="C442" s="80" t="s">
        <v>433</v>
      </c>
      <c r="D442" s="84" t="s">
        <v>759</v>
      </c>
      <c r="E442" s="81">
        <v>24186324.92410405</v>
      </c>
      <c r="F442" s="81">
        <v>24929702.207187824</v>
      </c>
      <c r="G442" s="81">
        <v>25514239.544042818</v>
      </c>
      <c r="H442" s="81">
        <v>26077967.992359761</v>
      </c>
      <c r="I442" s="81">
        <v>26621181.688275062</v>
      </c>
      <c r="J442" s="81">
        <v>27144226.225007366</v>
      </c>
      <c r="K442" s="81">
        <v>27647476.258111153</v>
      </c>
      <c r="L442" s="81">
        <v>28131347.544817243</v>
      </c>
      <c r="M442" s="81">
        <v>28596280.557478633</v>
      </c>
      <c r="N442" s="81">
        <v>29042752.799967308</v>
      </c>
      <c r="O442" s="81">
        <v>29471261.785233926</v>
      </c>
      <c r="P442" s="81">
        <v>29882353.192503482</v>
      </c>
      <c r="Q442" s="81">
        <v>30156385.31562959</v>
      </c>
      <c r="R442" s="81">
        <v>30413368.153752308</v>
      </c>
      <c r="S442" s="81">
        <v>30654105.182812598</v>
      </c>
      <c r="T442" s="81">
        <v>30879406.538552146</v>
      </c>
      <c r="U442" s="81">
        <v>31090062.517944213</v>
      </c>
      <c r="V442" s="81">
        <v>31286865.281486854</v>
      </c>
      <c r="W442" s="81">
        <v>31470606.914142836</v>
      </c>
      <c r="X442" s="81">
        <v>31642060.459790166</v>
      </c>
      <c r="Y442" s="81">
        <v>31801985.564631417</v>
      </c>
      <c r="Z442" s="81">
        <v>31951143.28764461</v>
      </c>
      <c r="AA442" s="81">
        <v>32068619.799835809</v>
      </c>
      <c r="AB442" s="81">
        <v>32176769.45190312</v>
      </c>
      <c r="AC442" s="81">
        <v>32276291.182789333</v>
      </c>
      <c r="AD442" s="81">
        <v>32367882.388549548</v>
      </c>
      <c r="AE442" s="81">
        <v>32452182.922611523</v>
      </c>
      <c r="AF442" s="81">
        <v>32529817.075956319</v>
      </c>
      <c r="AG442" s="81">
        <v>32601391.722517978</v>
      </c>
      <c r="AH442" s="81">
        <v>32667428.797024131</v>
      </c>
      <c r="AI442" s="81">
        <v>32728454.90676472</v>
      </c>
      <c r="AJ442" s="81">
        <v>32784943.369356688</v>
      </c>
      <c r="AK442" s="81">
        <v>32853371.855427288</v>
      </c>
      <c r="AL442" s="81">
        <v>32917941.983682971</v>
      </c>
      <c r="AM442" s="81">
        <v>32978973.750991993</v>
      </c>
      <c r="AN442" s="81">
        <v>33036711.898927927</v>
      </c>
      <c r="AO442" s="81">
        <v>33091391.97304992</v>
      </c>
      <c r="AP442" s="81">
        <v>33143148.269548737</v>
      </c>
      <c r="AQ442" s="81">
        <v>33192069.96158006</v>
      </c>
      <c r="AR442" s="81">
        <v>33238167.719830308</v>
      </c>
      <c r="AS442" s="81">
        <v>33281390.666050658</v>
      </c>
      <c r="AT442" s="81">
        <v>33321623.407214936</v>
      </c>
    </row>
    <row r="443" spans="1:46" ht="15.75">
      <c r="A443" s="81" t="s">
        <v>448</v>
      </c>
      <c r="B443" s="80">
        <v>232700</v>
      </c>
      <c r="C443" s="80" t="s">
        <v>433</v>
      </c>
      <c r="D443" s="84" t="s">
        <v>758</v>
      </c>
      <c r="E443" s="81">
        <v>2134415.0743357334</v>
      </c>
      <c r="F443" s="81">
        <v>2196619.3587288675</v>
      </c>
      <c r="G443" s="81">
        <v>2244151.9964859388</v>
      </c>
      <c r="H443" s="81">
        <v>2289267.4405847248</v>
      </c>
      <c r="I443" s="81">
        <v>2332003.0590396565</v>
      </c>
      <c r="J443" s="81">
        <v>2372405.5869442178</v>
      </c>
      <c r="K443" s="81">
        <v>2410524.1553780674</v>
      </c>
      <c r="L443" s="81">
        <v>2446417.2339468766</v>
      </c>
      <c r="M443" s="81">
        <v>2480145.4255358186</v>
      </c>
      <c r="N443" s="81">
        <v>2511771.0979628642</v>
      </c>
      <c r="O443" s="81">
        <v>2541358.0034617465</v>
      </c>
      <c r="P443" s="81">
        <v>2568978.6392250704</v>
      </c>
      <c r="Q443" s="81">
        <v>2584321.0557274902</v>
      </c>
      <c r="R443" s="81">
        <v>2597855.3066503685</v>
      </c>
      <c r="S443" s="81">
        <v>2609652.4790349002</v>
      </c>
      <c r="T443" s="81">
        <v>2619829.0975650367</v>
      </c>
      <c r="U443" s="81">
        <v>2628467.5359850228</v>
      </c>
      <c r="V443" s="81">
        <v>2635663.5550380126</v>
      </c>
      <c r="W443" s="81">
        <v>2641518.4571643635</v>
      </c>
      <c r="X443" s="81">
        <v>2646122.2694018534</v>
      </c>
      <c r="Y443" s="81">
        <v>2649570.006717782</v>
      </c>
      <c r="Z443" s="81">
        <v>2651944.4889936838</v>
      </c>
      <c r="AA443" s="81">
        <v>2651472.8515262199</v>
      </c>
      <c r="AB443" s="81">
        <v>2650121.3028333215</v>
      </c>
      <c r="AC443" s="81">
        <v>2647969.8124949364</v>
      </c>
      <c r="AD443" s="81">
        <v>2645101.9559021126</v>
      </c>
      <c r="AE443" s="81">
        <v>2641604.9568510791</v>
      </c>
      <c r="AF443" s="81">
        <v>2637533.1918686768</v>
      </c>
      <c r="AG443" s="81">
        <v>2632971.0558814821</v>
      </c>
      <c r="AH443" s="81">
        <v>2627987.7507017776</v>
      </c>
      <c r="AI443" s="81">
        <v>2622627.0613811435</v>
      </c>
      <c r="AJ443" s="81">
        <v>2616962.9657256687</v>
      </c>
      <c r="AK443" s="81">
        <v>2612251.5940980576</v>
      </c>
      <c r="AL443" s="81">
        <v>2607317.5112396758</v>
      </c>
      <c r="AM443" s="81">
        <v>2602183.1847626693</v>
      </c>
      <c r="AN443" s="81">
        <v>2596901.4483881546</v>
      </c>
      <c r="AO443" s="81">
        <v>2591497.2427896527</v>
      </c>
      <c r="AP443" s="81">
        <v>2585986.3039182178</v>
      </c>
      <c r="AQ443" s="81">
        <v>2580384.8329395987</v>
      </c>
      <c r="AR443" s="81">
        <v>2574699.2710486953</v>
      </c>
      <c r="AS443" s="81">
        <v>2568925.8264774103</v>
      </c>
      <c r="AT443" s="81">
        <v>2563049.9951186017</v>
      </c>
    </row>
    <row r="444" spans="1:46" ht="15.75">
      <c r="A444" s="81" t="s">
        <v>448</v>
      </c>
      <c r="B444" s="80">
        <v>310000</v>
      </c>
      <c r="C444" s="80" t="s">
        <v>432</v>
      </c>
      <c r="D444" s="85" t="s">
        <v>432</v>
      </c>
      <c r="E444" s="81">
        <v>404150137.94597214</v>
      </c>
      <c r="F444" s="81">
        <v>409012044.25544143</v>
      </c>
      <c r="G444" s="81">
        <v>413581062.06786257</v>
      </c>
      <c r="H444" s="81">
        <v>417459669.20658696</v>
      </c>
      <c r="I444" s="81">
        <v>420705418.41586149</v>
      </c>
      <c r="J444" s="81">
        <v>423373947.29040521</v>
      </c>
      <c r="K444" s="81">
        <v>425518958.10088634</v>
      </c>
      <c r="L444" s="81">
        <v>427192130.80046618</v>
      </c>
      <c r="M444" s="81">
        <v>428443017.97851104</v>
      </c>
      <c r="N444" s="81">
        <v>429319040.91171455</v>
      </c>
      <c r="O444" s="81">
        <v>429865349.56014985</v>
      </c>
      <c r="P444" s="81">
        <v>430124783.66073233</v>
      </c>
      <c r="Q444" s="81">
        <v>430951907.75225103</v>
      </c>
      <c r="R444" s="81">
        <v>431566957.78905141</v>
      </c>
      <c r="S444" s="81">
        <v>432004408.60956037</v>
      </c>
      <c r="T444" s="81">
        <v>432296417.8698203</v>
      </c>
      <c r="U444" s="81">
        <v>432472688.7053529</v>
      </c>
      <c r="V444" s="81">
        <v>432560347.86585683</v>
      </c>
      <c r="W444" s="81">
        <v>432583876.3203916</v>
      </c>
      <c r="X444" s="81">
        <v>432564912.71044523</v>
      </c>
      <c r="Y444" s="81">
        <v>432522308.76066983</v>
      </c>
      <c r="Z444" s="81">
        <v>432471857.93221211</v>
      </c>
      <c r="AA444" s="81">
        <v>432167621.86447436</v>
      </c>
      <c r="AB444" s="81">
        <v>431879624.434053</v>
      </c>
      <c r="AC444" s="81">
        <v>431613984.58106363</v>
      </c>
      <c r="AD444" s="81">
        <v>431373366.1839028</v>
      </c>
      <c r="AE444" s="81">
        <v>431156950.29188234</v>
      </c>
      <c r="AF444" s="81">
        <v>430960237.12256533</v>
      </c>
      <c r="AG444" s="81">
        <v>430774959.15574449</v>
      </c>
      <c r="AH444" s="81">
        <v>430588993.97714353</v>
      </c>
      <c r="AI444" s="81">
        <v>430386276.878564</v>
      </c>
      <c r="AJ444" s="81">
        <v>430146654.56005049</v>
      </c>
      <c r="AK444" s="81">
        <v>428701571.9388411</v>
      </c>
      <c r="AL444" s="81">
        <v>427174760.54165745</v>
      </c>
      <c r="AM444" s="81">
        <v>425534095.25077122</v>
      </c>
      <c r="AN444" s="81">
        <v>423743327.96467906</v>
      </c>
      <c r="AO444" s="81">
        <v>421762031.10287499</v>
      </c>
      <c r="AP444" s="81">
        <v>419545521.19820356</v>
      </c>
      <c r="AQ444" s="81">
        <v>417044842.04711771</v>
      </c>
      <c r="AR444" s="81">
        <v>414206688.48138237</v>
      </c>
      <c r="AS444" s="81">
        <v>410973309.68931103</v>
      </c>
      <c r="AT444" s="81">
        <v>407282532.72890836</v>
      </c>
    </row>
    <row r="445" spans="1:46" ht="15.75">
      <c r="A445" s="81" t="s">
        <v>448</v>
      </c>
      <c r="B445" s="80">
        <v>320100</v>
      </c>
      <c r="C445" s="80" t="s">
        <v>431</v>
      </c>
      <c r="D445" s="84" t="s">
        <v>757</v>
      </c>
      <c r="E445" s="81">
        <v>128923553.75963898</v>
      </c>
      <c r="F445" s="81">
        <v>133183356.88853857</v>
      </c>
      <c r="G445" s="81">
        <v>136464415.3964479</v>
      </c>
      <c r="H445" s="81">
        <v>139531537.54695901</v>
      </c>
      <c r="I445" s="81">
        <v>142397197.75602826</v>
      </c>
      <c r="J445" s="81">
        <v>145074022.78876045</v>
      </c>
      <c r="K445" s="81">
        <v>147574721.9885329</v>
      </c>
      <c r="L445" s="81">
        <v>149912046.10948256</v>
      </c>
      <c r="M445" s="81">
        <v>152098746.1779992</v>
      </c>
      <c r="N445" s="81">
        <v>154147500.42129683</v>
      </c>
      <c r="O445" s="81">
        <v>156070806.24856749</v>
      </c>
      <c r="P445" s="81">
        <v>157881047.78001279</v>
      </c>
      <c r="Q445" s="81">
        <v>158925851.72001639</v>
      </c>
      <c r="R445" s="81">
        <v>159880483.03700942</v>
      </c>
      <c r="S445" s="81">
        <v>160757269.06353191</v>
      </c>
      <c r="T445" s="81">
        <v>161567925.32217428</v>
      </c>
      <c r="U445" s="81">
        <v>162323407.85423571</v>
      </c>
      <c r="V445" s="81">
        <v>163033984.77736571</v>
      </c>
      <c r="W445" s="81">
        <v>163709051.17528835</v>
      </c>
      <c r="X445" s="81">
        <v>164357182.98780021</v>
      </c>
      <c r="Y445" s="81">
        <v>164986053.32377398</v>
      </c>
      <c r="Z445" s="81">
        <v>165602364.18339345</v>
      </c>
      <c r="AA445" s="81">
        <v>165525645.97478181</v>
      </c>
      <c r="AB445" s="81">
        <v>165448163.263872</v>
      </c>
      <c r="AC445" s="81">
        <v>165373429.10137102</v>
      </c>
      <c r="AD445" s="81">
        <v>165303756.94515258</v>
      </c>
      <c r="AE445" s="81">
        <v>165240195.61600423</v>
      </c>
      <c r="AF445" s="81">
        <v>165182537.0007793</v>
      </c>
      <c r="AG445" s="81">
        <v>165129343.19890922</v>
      </c>
      <c r="AH445" s="81">
        <v>165077826.10738143</v>
      </c>
      <c r="AI445" s="81">
        <v>165023799.25612387</v>
      </c>
      <c r="AJ445" s="81">
        <v>164961816.92459306</v>
      </c>
      <c r="AK445" s="81">
        <v>164989762.47563392</v>
      </c>
      <c r="AL445" s="81">
        <v>164994078.67765689</v>
      </c>
      <c r="AM445" s="81">
        <v>164964936.11979809</v>
      </c>
      <c r="AN445" s="81">
        <v>164890952.45727417</v>
      </c>
      <c r="AO445" s="81">
        <v>164759176.95804828</v>
      </c>
      <c r="AP445" s="81">
        <v>164555133.53241795</v>
      </c>
      <c r="AQ445" s="81">
        <v>164262690.80948156</v>
      </c>
      <c r="AR445" s="81">
        <v>163864066.0301291</v>
      </c>
      <c r="AS445" s="81">
        <v>163339770.98739323</v>
      </c>
      <c r="AT445" s="81">
        <v>162668655.94144499</v>
      </c>
    </row>
    <row r="446" spans="1:46" ht="15.75">
      <c r="A446" s="81" t="s">
        <v>448</v>
      </c>
      <c r="B446" s="80">
        <v>320200</v>
      </c>
      <c r="C446" s="80" t="s">
        <v>431</v>
      </c>
      <c r="D446" s="84" t="s">
        <v>756</v>
      </c>
      <c r="E446" s="81">
        <v>99015512.114827588</v>
      </c>
      <c r="F446" s="81">
        <v>101992545.50485028</v>
      </c>
      <c r="G446" s="81">
        <v>104250658.14768863</v>
      </c>
      <c r="H446" s="81">
        <v>106374190.64948645</v>
      </c>
      <c r="I446" s="81">
        <v>108369579.14357843</v>
      </c>
      <c r="J446" s="81">
        <v>110243440.84449054</v>
      </c>
      <c r="K446" s="81">
        <v>112002447.53996806</v>
      </c>
      <c r="L446" s="81">
        <v>113653323.82056032</v>
      </c>
      <c r="M446" s="81">
        <v>115202831.98473948</v>
      </c>
      <c r="N446" s="81">
        <v>116657757.51175518</v>
      </c>
      <c r="O446" s="81">
        <v>118024833.14047934</v>
      </c>
      <c r="P446" s="81">
        <v>119310705.6707924</v>
      </c>
      <c r="Q446" s="81">
        <v>120020225.73077825</v>
      </c>
      <c r="R446" s="81">
        <v>120661517.74151392</v>
      </c>
      <c r="S446" s="81">
        <v>121241612.53763174</v>
      </c>
      <c r="T446" s="81">
        <v>121767258.91365148</v>
      </c>
      <c r="U446" s="81">
        <v>122244802.27821301</v>
      </c>
      <c r="V446" s="81">
        <v>122680256.59173417</v>
      </c>
      <c r="W446" s="81">
        <v>123079197.24486145</v>
      </c>
      <c r="X446" s="81">
        <v>123446834.73726965</v>
      </c>
      <c r="Y446" s="81">
        <v>123787855.02611469</v>
      </c>
      <c r="Z446" s="81">
        <v>124106509.91644023</v>
      </c>
      <c r="AA446" s="81">
        <v>124298541.29839694</v>
      </c>
      <c r="AB446" s="81">
        <v>124475716.28603898</v>
      </c>
      <c r="AC446" s="81">
        <v>124640713.44967213</v>
      </c>
      <c r="AD446" s="81">
        <v>124795591.80957614</v>
      </c>
      <c r="AE446" s="81">
        <v>124941835.68803222</v>
      </c>
      <c r="AF446" s="81">
        <v>125080258.64433734</v>
      </c>
      <c r="AG446" s="81">
        <v>125210976.31290917</v>
      </c>
      <c r="AH446" s="81">
        <v>125333470.24813816</v>
      </c>
      <c r="AI446" s="81">
        <v>125446416.37720887</v>
      </c>
      <c r="AJ446" s="81">
        <v>125547821.71085438</v>
      </c>
      <c r="AK446" s="81">
        <v>125487418.45487753</v>
      </c>
      <c r="AL446" s="81">
        <v>125409888.01651002</v>
      </c>
      <c r="AM446" s="81">
        <v>125310842.3382321</v>
      </c>
      <c r="AN446" s="81">
        <v>125185026.07955074</v>
      </c>
      <c r="AO446" s="81">
        <v>125026349.30574159</v>
      </c>
      <c r="AP446" s="81">
        <v>124827864.3503776</v>
      </c>
      <c r="AQ446" s="81">
        <v>124581626.20548101</v>
      </c>
      <c r="AR446" s="81">
        <v>124278821.37243235</v>
      </c>
      <c r="AS446" s="81">
        <v>123909686.4652257</v>
      </c>
      <c r="AT446" s="81">
        <v>123463384.95585121</v>
      </c>
    </row>
    <row r="447" spans="1:46" ht="15.75">
      <c r="A447" s="81" t="s">
        <v>448</v>
      </c>
      <c r="B447" s="80">
        <v>320300</v>
      </c>
      <c r="C447" s="80" t="s">
        <v>431</v>
      </c>
      <c r="D447" s="84" t="s">
        <v>755</v>
      </c>
      <c r="E447" s="81">
        <v>121175492.73312166</v>
      </c>
      <c r="F447" s="81">
        <v>124156706.88650668</v>
      </c>
      <c r="G447" s="81">
        <v>126458476.39211994</v>
      </c>
      <c r="H447" s="81">
        <v>128780965.60367924</v>
      </c>
      <c r="I447" s="81">
        <v>131117103.91180381</v>
      </c>
      <c r="J447" s="81">
        <v>133459899.04219048</v>
      </c>
      <c r="K447" s="81">
        <v>135802508.92386225</v>
      </c>
      <c r="L447" s="81">
        <v>138138258.29007444</v>
      </c>
      <c r="M447" s="81">
        <v>140460639.58427718</v>
      </c>
      <c r="N447" s="81">
        <v>142763403.72451389</v>
      </c>
      <c r="O447" s="81">
        <v>145040563.43791083</v>
      </c>
      <c r="P447" s="81">
        <v>147286410.43222934</v>
      </c>
      <c r="Q447" s="81">
        <v>148873153.59124839</v>
      </c>
      <c r="R447" s="81">
        <v>150411915.32590288</v>
      </c>
      <c r="S447" s="81">
        <v>151898814.204402</v>
      </c>
      <c r="T447" s="81">
        <v>153330424.50474367</v>
      </c>
      <c r="U447" s="81">
        <v>154703816.56522033</v>
      </c>
      <c r="V447" s="81">
        <v>156016598.34415594</v>
      </c>
      <c r="W447" s="81">
        <v>157266908.03097209</v>
      </c>
      <c r="X447" s="81">
        <v>158453422.09968391</v>
      </c>
      <c r="Y447" s="81">
        <v>159575498.96349165</v>
      </c>
      <c r="Z447" s="81">
        <v>160633020.16170004</v>
      </c>
      <c r="AA447" s="81">
        <v>161486235.94978166</v>
      </c>
      <c r="AB447" s="81">
        <v>162276499.98280516</v>
      </c>
      <c r="AC447" s="81">
        <v>163005886.50943017</v>
      </c>
      <c r="AD447" s="81">
        <v>163677242.05749652</v>
      </c>
      <c r="AE447" s="81">
        <v>164294159.00017336</v>
      </c>
      <c r="AF447" s="81">
        <v>164860964.93377233</v>
      </c>
      <c r="AG447" s="81">
        <v>165382783.17924318</v>
      </c>
      <c r="AH447" s="81">
        <v>165865576.94470665</v>
      </c>
      <c r="AI447" s="81">
        <v>166316157.79273018</v>
      </c>
      <c r="AJ447" s="81">
        <v>166742175.01071393</v>
      </c>
      <c r="AK447" s="81">
        <v>166956106.433521</v>
      </c>
      <c r="AL447" s="81">
        <v>167163959.63840273</v>
      </c>
      <c r="AM447" s="81">
        <v>167376187.08272666</v>
      </c>
      <c r="AN447" s="81">
        <v>167604152.65713921</v>
      </c>
      <c r="AO447" s="81">
        <v>167860153.99154148</v>
      </c>
      <c r="AP447" s="81">
        <v>168157483.458507</v>
      </c>
      <c r="AQ447" s="81">
        <v>168510393.90373611</v>
      </c>
      <c r="AR447" s="81">
        <v>168934218.39459798</v>
      </c>
      <c r="AS447" s="81">
        <v>169445258.31926832</v>
      </c>
      <c r="AT447" s="81">
        <v>170060962.72818485</v>
      </c>
    </row>
    <row r="448" spans="1:46" ht="15.75">
      <c r="A448" s="81" t="s">
        <v>448</v>
      </c>
      <c r="B448" s="80">
        <v>320400</v>
      </c>
      <c r="C448" s="80" t="s">
        <v>431</v>
      </c>
      <c r="D448" s="84" t="s">
        <v>754</v>
      </c>
      <c r="E448" s="81">
        <v>70124724.239863262</v>
      </c>
      <c r="F448" s="81">
        <v>72141040.432013467</v>
      </c>
      <c r="G448" s="81">
        <v>73669113.780982032</v>
      </c>
      <c r="H448" s="81">
        <v>75120845.443955123</v>
      </c>
      <c r="I448" s="81">
        <v>76498928.139767036</v>
      </c>
      <c r="J448" s="81">
        <v>77806111.211962223</v>
      </c>
      <c r="K448" s="81">
        <v>79045260.089560539</v>
      </c>
      <c r="L448" s="81">
        <v>80219287.649412617</v>
      </c>
      <c r="M448" s="81">
        <v>81331125.65900065</v>
      </c>
      <c r="N448" s="81">
        <v>82383816.982445806</v>
      </c>
      <c r="O448" s="81">
        <v>83380368.233745754</v>
      </c>
      <c r="P448" s="81">
        <v>84323842.236302614</v>
      </c>
      <c r="Q448" s="81">
        <v>84862508.116966665</v>
      </c>
      <c r="R448" s="81">
        <v>85353815.438633233</v>
      </c>
      <c r="S448" s="81">
        <v>85801343.435930312</v>
      </c>
      <c r="T448" s="81">
        <v>86208526.495820343</v>
      </c>
      <c r="U448" s="81">
        <v>86578724.364094779</v>
      </c>
      <c r="V448" s="81">
        <v>86915130.809102446</v>
      </c>
      <c r="W448" s="81">
        <v>87220811.517128646</v>
      </c>
      <c r="X448" s="81">
        <v>87498676.982399911</v>
      </c>
      <c r="Y448" s="81">
        <v>87751488.39140515</v>
      </c>
      <c r="Z448" s="81">
        <v>87981829.89927727</v>
      </c>
      <c r="AA448" s="81">
        <v>88115541.571180061</v>
      </c>
      <c r="AB448" s="81">
        <v>88231779.846747279</v>
      </c>
      <c r="AC448" s="81">
        <v>88332598.716925427</v>
      </c>
      <c r="AD448" s="81">
        <v>88419787.293877095</v>
      </c>
      <c r="AE448" s="81">
        <v>88494946.750684321</v>
      </c>
      <c r="AF448" s="81">
        <v>88559373.372557253</v>
      </c>
      <c r="AG448" s="81">
        <v>88614154.036029667</v>
      </c>
      <c r="AH448" s="81">
        <v>88660083.874972403</v>
      </c>
      <c r="AI448" s="81">
        <v>88697690.918239847</v>
      </c>
      <c r="AJ448" s="81">
        <v>88727188.086770698</v>
      </c>
      <c r="AK448" s="81">
        <v>88644365.142977446</v>
      </c>
      <c r="AL448" s="81">
        <v>88553689.515786931</v>
      </c>
      <c r="AM448" s="81">
        <v>88454438.747262076</v>
      </c>
      <c r="AN448" s="81">
        <v>88345607.250155598</v>
      </c>
      <c r="AO448" s="81">
        <v>88225821.245975271</v>
      </c>
      <c r="AP448" s="81">
        <v>88093347.042078584</v>
      </c>
      <c r="AQ448" s="81">
        <v>87946119.316172048</v>
      </c>
      <c r="AR448" s="81">
        <v>87781673.259112731</v>
      </c>
      <c r="AS448" s="81">
        <v>87597133.32226114</v>
      </c>
      <c r="AT448" s="81">
        <v>87389300.585120171</v>
      </c>
    </row>
    <row r="449" spans="1:46" ht="15.75">
      <c r="A449" s="81" t="s">
        <v>448</v>
      </c>
      <c r="B449" s="80">
        <v>320500</v>
      </c>
      <c r="C449" s="80" t="s">
        <v>431</v>
      </c>
      <c r="D449" s="84" t="s">
        <v>753</v>
      </c>
      <c r="E449" s="81">
        <v>178205999.4689858</v>
      </c>
      <c r="F449" s="81">
        <v>185151609.86666816</v>
      </c>
      <c r="G449" s="81">
        <v>190812333.38384604</v>
      </c>
      <c r="H449" s="81">
        <v>196184584.33147162</v>
      </c>
      <c r="I449" s="81">
        <v>201284667.12712497</v>
      </c>
      <c r="J449" s="81">
        <v>206129422.66842675</v>
      </c>
      <c r="K449" s="81">
        <v>210736191.72074232</v>
      </c>
      <c r="L449" s="81">
        <v>215122683.72797483</v>
      </c>
      <c r="M449" s="81">
        <v>219306871.05217841</v>
      </c>
      <c r="N449" s="81">
        <v>223306912.58448762</v>
      </c>
      <c r="O449" s="81">
        <v>227140974.33092767</v>
      </c>
      <c r="P449" s="81">
        <v>230827212.38869303</v>
      </c>
      <c r="Q449" s="81">
        <v>233514333.79457781</v>
      </c>
      <c r="R449" s="81">
        <v>236079358.83453709</v>
      </c>
      <c r="S449" s="81">
        <v>238540727.63977885</v>
      </c>
      <c r="T449" s="81">
        <v>240916059.33335078</v>
      </c>
      <c r="U449" s="81">
        <v>243222004.92740503</v>
      </c>
      <c r="V449" s="81">
        <v>245474057.47083244</v>
      </c>
      <c r="W449" s="81">
        <v>247686563.04761869</v>
      </c>
      <c r="X449" s="81">
        <v>249872527.73917982</v>
      </c>
      <c r="Y449" s="81">
        <v>252043474.87383103</v>
      </c>
      <c r="Z449" s="81">
        <v>254209377.29613638</v>
      </c>
      <c r="AA449" s="81">
        <v>255436655.14251676</v>
      </c>
      <c r="AB449" s="81">
        <v>256664550.64662859</v>
      </c>
      <c r="AC449" s="81">
        <v>257897483.90703467</v>
      </c>
      <c r="AD449" s="81">
        <v>259137747.51347524</v>
      </c>
      <c r="AE449" s="81">
        <v>260385410.97679123</v>
      </c>
      <c r="AF449" s="81">
        <v>261638162.56337184</v>
      </c>
      <c r="AG449" s="81">
        <v>262891315.21289033</v>
      </c>
      <c r="AH449" s="81">
        <v>264137648.45824966</v>
      </c>
      <c r="AI449" s="81">
        <v>265367289.49462754</v>
      </c>
      <c r="AJ449" s="81">
        <v>266567721.65307251</v>
      </c>
      <c r="AK449" s="81">
        <v>268016048.1716615</v>
      </c>
      <c r="AL449" s="81">
        <v>269401429.89998156</v>
      </c>
      <c r="AM449" s="81">
        <v>270702323.96106267</v>
      </c>
      <c r="AN449" s="81">
        <v>271893919.60971564</v>
      </c>
      <c r="AO449" s="81">
        <v>272948178.60093844</v>
      </c>
      <c r="AP449" s="81">
        <v>273833498.26819003</v>
      </c>
      <c r="AQ449" s="81">
        <v>274514841.86484814</v>
      </c>
      <c r="AR449" s="81">
        <v>274953420.48654723</v>
      </c>
      <c r="AS449" s="81">
        <v>275106689.0852918</v>
      </c>
      <c r="AT449" s="81">
        <v>274928160.27441442</v>
      </c>
    </row>
    <row r="450" spans="1:46" ht="15.75">
      <c r="A450" s="81" t="s">
        <v>448</v>
      </c>
      <c r="B450" s="80">
        <v>320600</v>
      </c>
      <c r="C450" s="80" t="s">
        <v>431</v>
      </c>
      <c r="D450" s="84" t="s">
        <v>752</v>
      </c>
      <c r="E450" s="81">
        <v>103440888.76482955</v>
      </c>
      <c r="F450" s="81">
        <v>105595206.12169603</v>
      </c>
      <c r="G450" s="81">
        <v>107055458.59149955</v>
      </c>
      <c r="H450" s="81">
        <v>108426633.09927215</v>
      </c>
      <c r="I450" s="81">
        <v>109710074.30809605</v>
      </c>
      <c r="J450" s="81">
        <v>110907287.90666176</v>
      </c>
      <c r="K450" s="81">
        <v>112019996.58900149</v>
      </c>
      <c r="L450" s="81">
        <v>113050037.16303211</v>
      </c>
      <c r="M450" s="81">
        <v>113999490.30643561</v>
      </c>
      <c r="N450" s="81">
        <v>114870530.8074507</v>
      </c>
      <c r="O450" s="81">
        <v>115665575.26432693</v>
      </c>
      <c r="P450" s="81">
        <v>116387143.71967685</v>
      </c>
      <c r="Q450" s="81">
        <v>116550713.29000756</v>
      </c>
      <c r="R450" s="81">
        <v>116650718.21167384</v>
      </c>
      <c r="S450" s="81">
        <v>116690833.4296855</v>
      </c>
      <c r="T450" s="81">
        <v>116674892.48976754</v>
      </c>
      <c r="U450" s="81">
        <v>116606741.0148939</v>
      </c>
      <c r="V450" s="81">
        <v>116490330.88977353</v>
      </c>
      <c r="W450" s="81">
        <v>116329685.86661099</v>
      </c>
      <c r="X450" s="81">
        <v>116128899.09887893</v>
      </c>
      <c r="Y450" s="81">
        <v>115892113.59649669</v>
      </c>
      <c r="Z450" s="81">
        <v>115623604.74693456</v>
      </c>
      <c r="AA450" s="81">
        <v>115227491.42551427</v>
      </c>
      <c r="AB450" s="81">
        <v>114809785.24026537</v>
      </c>
      <c r="AC450" s="81">
        <v>114374949.4031906</v>
      </c>
      <c r="AD450" s="81">
        <v>113927432.7146243</v>
      </c>
      <c r="AE450" s="81">
        <v>113471771.90578362</v>
      </c>
      <c r="AF450" s="81">
        <v>113012518.98576565</v>
      </c>
      <c r="AG450" s="81">
        <v>112554274.00527439</v>
      </c>
      <c r="AH450" s="81">
        <v>112101628.105398</v>
      </c>
      <c r="AI450" s="81">
        <v>111659232.84861164</v>
      </c>
      <c r="AJ450" s="81">
        <v>111231761.57800663</v>
      </c>
      <c r="AK450" s="81">
        <v>110693852.63260946</v>
      </c>
      <c r="AL450" s="81">
        <v>110182087.36988889</v>
      </c>
      <c r="AM450" s="81">
        <v>109701009.81441303</v>
      </c>
      <c r="AN450" s="81">
        <v>109255265.9071943</v>
      </c>
      <c r="AO450" s="81">
        <v>108849412.83293413</v>
      </c>
      <c r="AP450" s="81">
        <v>108488029.28618942</v>
      </c>
      <c r="AQ450" s="81">
        <v>108175674.98497859</v>
      </c>
      <c r="AR450" s="81">
        <v>107916868.21392111</v>
      </c>
      <c r="AS450" s="81">
        <v>107716121.47333577</v>
      </c>
      <c r="AT450" s="81">
        <v>107577919.32049055</v>
      </c>
    </row>
    <row r="451" spans="1:46" ht="15.75">
      <c r="A451" s="81" t="s">
        <v>448</v>
      </c>
      <c r="B451" s="80">
        <v>320700</v>
      </c>
      <c r="C451" s="80" t="s">
        <v>431</v>
      </c>
      <c r="D451" s="84" t="s">
        <v>751</v>
      </c>
      <c r="E451" s="81">
        <v>58441703.555405423</v>
      </c>
      <c r="F451" s="81">
        <v>59967644.640452504</v>
      </c>
      <c r="G451" s="81">
        <v>61169482.013937682</v>
      </c>
      <c r="H451" s="81">
        <v>62384212.208013795</v>
      </c>
      <c r="I451" s="81">
        <v>63607680.792604923</v>
      </c>
      <c r="J451" s="81">
        <v>64835828.150684878</v>
      </c>
      <c r="K451" s="81">
        <v>66064681.371570833</v>
      </c>
      <c r="L451" s="81">
        <v>67290386.776104942</v>
      </c>
      <c r="M451" s="81">
        <v>68509186.428146541</v>
      </c>
      <c r="N451" s="81">
        <v>69717493.569001794</v>
      </c>
      <c r="O451" s="81">
        <v>70911869.656031922</v>
      </c>
      <c r="P451" s="81">
        <v>72089073.118089631</v>
      </c>
      <c r="Q451" s="81">
        <v>72941097.782266736</v>
      </c>
      <c r="R451" s="81">
        <v>73766423.122149169</v>
      </c>
      <c r="S451" s="81">
        <v>74562862.811380178</v>
      </c>
      <c r="T451" s="81">
        <v>75328563.637282476</v>
      </c>
      <c r="U451" s="81">
        <v>76061944.045805469</v>
      </c>
      <c r="V451" s="81">
        <v>76761771.026755139</v>
      </c>
      <c r="W451" s="81">
        <v>77427096.9818912</v>
      </c>
      <c r="X451" s="81">
        <v>78057385.70746915</v>
      </c>
      <c r="Y451" s="81">
        <v>78652400.968393773</v>
      </c>
      <c r="Z451" s="81">
        <v>79212350.530720755</v>
      </c>
      <c r="AA451" s="81">
        <v>79668556.961188912</v>
      </c>
      <c r="AB451" s="81">
        <v>80091052.41632846</v>
      </c>
      <c r="AC451" s="81">
        <v>80481367.292854309</v>
      </c>
      <c r="AD451" s="81">
        <v>80841402.469522581</v>
      </c>
      <c r="AE451" s="81">
        <v>81173595.026326776</v>
      </c>
      <c r="AF451" s="81">
        <v>81480782.330090597</v>
      </c>
      <c r="AG451" s="81">
        <v>81766318.56697838</v>
      </c>
      <c r="AH451" s="81">
        <v>82034039.367319763</v>
      </c>
      <c r="AI451" s="81">
        <v>82288347.111622944</v>
      </c>
      <c r="AJ451" s="81">
        <v>82534087.326131254</v>
      </c>
      <c r="AK451" s="81">
        <v>82801180.250179633</v>
      </c>
      <c r="AL451" s="81">
        <v>83071139.706399918</v>
      </c>
      <c r="AM451" s="81">
        <v>83350579.047038227</v>
      </c>
      <c r="AN451" s="81">
        <v>83646679.793332323</v>
      </c>
      <c r="AO451" s="81">
        <v>83967281.273715928</v>
      </c>
      <c r="AP451" s="81">
        <v>84320844.106892571</v>
      </c>
      <c r="AQ451" s="81">
        <v>84716486.014676616</v>
      </c>
      <c r="AR451" s="81">
        <v>85164037.480425417</v>
      </c>
      <c r="AS451" s="81">
        <v>85673966.586251408</v>
      </c>
      <c r="AT451" s="81">
        <v>86257490.769560292</v>
      </c>
    </row>
    <row r="452" spans="1:46" ht="15.75">
      <c r="A452" s="81" t="s">
        <v>448</v>
      </c>
      <c r="B452" s="80">
        <v>320800</v>
      </c>
      <c r="C452" s="80" t="s">
        <v>431</v>
      </c>
      <c r="D452" s="84" t="s">
        <v>750</v>
      </c>
      <c r="E452" s="81">
        <v>57940807.376871586</v>
      </c>
      <c r="F452" s="81">
        <v>59405254.861949742</v>
      </c>
      <c r="G452" s="81">
        <v>60531581.963393435</v>
      </c>
      <c r="H452" s="81">
        <v>61654672.826066121</v>
      </c>
      <c r="I452" s="81">
        <v>62771316.258555017</v>
      </c>
      <c r="J452" s="81">
        <v>63878325.68969062</v>
      </c>
      <c r="K452" s="81">
        <v>64972647.642413668</v>
      </c>
      <c r="L452" s="81">
        <v>66051322.49155055</v>
      </c>
      <c r="M452" s="81">
        <v>67111555.949282199</v>
      </c>
      <c r="N452" s="81">
        <v>68150664.280348524</v>
      </c>
      <c r="O452" s="81">
        <v>69166117.381348103</v>
      </c>
      <c r="P452" s="81">
        <v>70155599.476411507</v>
      </c>
      <c r="Q452" s="81">
        <v>70820893.969488829</v>
      </c>
      <c r="R452" s="81">
        <v>71453998.743175685</v>
      </c>
      <c r="S452" s="81">
        <v>72053628.654062942</v>
      </c>
      <c r="T452" s="81">
        <v>72618804.513579547</v>
      </c>
      <c r="U452" s="81">
        <v>73148789.237448499</v>
      </c>
      <c r="V452" s="81">
        <v>73643099.049129456</v>
      </c>
      <c r="W452" s="81">
        <v>74101578.642741576</v>
      </c>
      <c r="X452" s="81">
        <v>74524335.035299733</v>
      </c>
      <c r="Y452" s="81">
        <v>74911829.708394915</v>
      </c>
      <c r="Z452" s="81">
        <v>75264811.376311138</v>
      </c>
      <c r="AA452" s="81">
        <v>75518767.091287345</v>
      </c>
      <c r="AB452" s="81">
        <v>75740916.918141931</v>
      </c>
      <c r="AC452" s="81">
        <v>75933154.016425401</v>
      </c>
      <c r="AD452" s="81">
        <v>76097751.221452549</v>
      </c>
      <c r="AE452" s="81">
        <v>76237356.568538114</v>
      </c>
      <c r="AF452" s="81">
        <v>76355022.483269125</v>
      </c>
      <c r="AG452" s="81">
        <v>76454218.600406334</v>
      </c>
      <c r="AH452" s="81">
        <v>76538792.450044408</v>
      </c>
      <c r="AI452" s="81">
        <v>76613068.335341915</v>
      </c>
      <c r="AJ452" s="81">
        <v>76681791.121395335</v>
      </c>
      <c r="AK452" s="81">
        <v>76772852.924402878</v>
      </c>
      <c r="AL452" s="81">
        <v>76869128.557744876</v>
      </c>
      <c r="AM452" s="81">
        <v>76976819.2457937</v>
      </c>
      <c r="AN452" s="81">
        <v>77102588.209610656</v>
      </c>
      <c r="AO452" s="81">
        <v>77253665.011383802</v>
      </c>
      <c r="AP452" s="81">
        <v>77437768.958766401</v>
      </c>
      <c r="AQ452" s="81">
        <v>77663215.142108515</v>
      </c>
      <c r="AR452" s="81">
        <v>77938817.895215303</v>
      </c>
      <c r="AS452" s="81">
        <v>78274054.699963734</v>
      </c>
      <c r="AT452" s="81">
        <v>78678912.343564481</v>
      </c>
    </row>
    <row r="453" spans="1:46" ht="15.75">
      <c r="A453" s="81" t="s">
        <v>448</v>
      </c>
      <c r="B453" s="80">
        <v>320900</v>
      </c>
      <c r="C453" s="80" t="s">
        <v>431</v>
      </c>
      <c r="D453" s="84" t="s">
        <v>749</v>
      </c>
      <c r="E453" s="81">
        <v>85598356.597827345</v>
      </c>
      <c r="F453" s="81">
        <v>87480317.485171139</v>
      </c>
      <c r="G453" s="81">
        <v>88836710.014954031</v>
      </c>
      <c r="H453" s="81">
        <v>90164720.287336826</v>
      </c>
      <c r="I453" s="81">
        <v>91461985.705111071</v>
      </c>
      <c r="J453" s="81">
        <v>92726248.266820356</v>
      </c>
      <c r="K453" s="81">
        <v>93955365.582048506</v>
      </c>
      <c r="L453" s="81">
        <v>95147322.083568633</v>
      </c>
      <c r="M453" s="81">
        <v>96300269.2110558</v>
      </c>
      <c r="N453" s="81">
        <v>97412509.817410678</v>
      </c>
      <c r="O453" s="81">
        <v>98482480.428896382</v>
      </c>
      <c r="P453" s="81">
        <v>99508851.163681388</v>
      </c>
      <c r="Q453" s="81">
        <v>100072059.7558063</v>
      </c>
      <c r="R453" s="81">
        <v>100589651.92401679</v>
      </c>
      <c r="S453" s="81">
        <v>101061406.91564725</v>
      </c>
      <c r="T453" s="81">
        <v>101487409.18120185</v>
      </c>
      <c r="U453" s="81">
        <v>101867904.59899637</v>
      </c>
      <c r="V453" s="81">
        <v>102203433.08555105</v>
      </c>
      <c r="W453" s="81">
        <v>102494744.68897739</v>
      </c>
      <c r="X453" s="81">
        <v>102742839.49831836</v>
      </c>
      <c r="Y453" s="81">
        <v>102949025.58382139</v>
      </c>
      <c r="Z453" s="81">
        <v>103114832.20468619</v>
      </c>
      <c r="AA453" s="81">
        <v>103152476.15995489</v>
      </c>
      <c r="AB453" s="81">
        <v>103154433.42858569</v>
      </c>
      <c r="AC453" s="81">
        <v>103123226.3303927</v>
      </c>
      <c r="AD453" s="81">
        <v>103061675.1398544</v>
      </c>
      <c r="AE453" s="81">
        <v>102972923.92839348</v>
      </c>
      <c r="AF453" s="81">
        <v>102860432.96740799</v>
      </c>
      <c r="AG453" s="81">
        <v>102727970.4388207</v>
      </c>
      <c r="AH453" s="81">
        <v>102579673.13431522</v>
      </c>
      <c r="AI453" s="81">
        <v>102420021.84944734</v>
      </c>
      <c r="AJ453" s="81">
        <v>102253850.66202115</v>
      </c>
      <c r="AK453" s="81">
        <v>102116533.89374427</v>
      </c>
      <c r="AL453" s="81">
        <v>101983163.59159614</v>
      </c>
      <c r="AM453" s="81">
        <v>101859739.35488988</v>
      </c>
      <c r="AN453" s="81">
        <v>101752678.68930364</v>
      </c>
      <c r="AO453" s="81">
        <v>101668754.34861764</v>
      </c>
      <c r="AP453" s="81">
        <v>101615232.22754392</v>
      </c>
      <c r="AQ453" s="81">
        <v>101599772.54455914</v>
      </c>
      <c r="AR453" s="81">
        <v>101630514.18016891</v>
      </c>
      <c r="AS453" s="81">
        <v>101716010.85680619</v>
      </c>
      <c r="AT453" s="81">
        <v>101865335.91598304</v>
      </c>
    </row>
    <row r="454" spans="1:46" ht="15.75">
      <c r="A454" s="81" t="s">
        <v>448</v>
      </c>
      <c r="B454" s="80">
        <v>321000</v>
      </c>
      <c r="C454" s="80" t="s">
        <v>431</v>
      </c>
      <c r="D454" s="84" t="s">
        <v>748</v>
      </c>
      <c r="E454" s="81">
        <v>58030834.019576207</v>
      </c>
      <c r="F454" s="81">
        <v>59450046.275828041</v>
      </c>
      <c r="G454" s="81">
        <v>60481007.681078397</v>
      </c>
      <c r="H454" s="81">
        <v>61462817.320801601</v>
      </c>
      <c r="I454" s="81">
        <v>62396000.923457198</v>
      </c>
      <c r="J454" s="81">
        <v>63281128.942272268</v>
      </c>
      <c r="K454" s="81">
        <v>64118896.176844954</v>
      </c>
      <c r="L454" s="81">
        <v>64910080.565413669</v>
      </c>
      <c r="M454" s="81">
        <v>65655555.985712305</v>
      </c>
      <c r="N454" s="81">
        <v>66356277.003080428</v>
      </c>
      <c r="O454" s="81">
        <v>67013306.728131451</v>
      </c>
      <c r="P454" s="81">
        <v>67627772.09120293</v>
      </c>
      <c r="Q454" s="81">
        <v>67916988.348774731</v>
      </c>
      <c r="R454" s="81">
        <v>68167120.659245268</v>
      </c>
      <c r="S454" s="81">
        <v>68380002.089228436</v>
      </c>
      <c r="T454" s="81">
        <v>68557544.231431261</v>
      </c>
      <c r="U454" s="81">
        <v>68701706.299136326</v>
      </c>
      <c r="V454" s="81">
        <v>68814446.718594</v>
      </c>
      <c r="W454" s="81">
        <v>68897815.739110425</v>
      </c>
      <c r="X454" s="81">
        <v>68953859.942152262</v>
      </c>
      <c r="Y454" s="81">
        <v>68984700.240498126</v>
      </c>
      <c r="Z454" s="81">
        <v>68992466.689030185</v>
      </c>
      <c r="AA454" s="81">
        <v>68919470.603296086</v>
      </c>
      <c r="AB454" s="81">
        <v>68828444.171604902</v>
      </c>
      <c r="AC454" s="81">
        <v>68721650.244591102</v>
      </c>
      <c r="AD454" s="81">
        <v>68601412.596936509</v>
      </c>
      <c r="AE454" s="81">
        <v>68470064.961847201</v>
      </c>
      <c r="AF454" s="81">
        <v>68329932.012468919</v>
      </c>
      <c r="AG454" s="81">
        <v>68183413.26615487</v>
      </c>
      <c r="AH454" s="81">
        <v>68032896.690458328</v>
      </c>
      <c r="AI454" s="81">
        <v>67880756.10379675</v>
      </c>
      <c r="AJ454" s="81">
        <v>67729454.672578737</v>
      </c>
      <c r="AK454" s="81">
        <v>67601339.871075481</v>
      </c>
      <c r="AL454" s="81">
        <v>67478707.812939659</v>
      </c>
      <c r="AM454" s="81">
        <v>67364010.714343593</v>
      </c>
      <c r="AN454" s="81">
        <v>67259734.893283442</v>
      </c>
      <c r="AO454" s="81">
        <v>67168363.236009628</v>
      </c>
      <c r="AP454" s="81">
        <v>67092391.540520415</v>
      </c>
      <c r="AQ454" s="81">
        <v>67034364.355389968</v>
      </c>
      <c r="AR454" s="81">
        <v>66996743.157007635</v>
      </c>
      <c r="AS454" s="81">
        <v>66982090.819503047</v>
      </c>
      <c r="AT454" s="81">
        <v>66992901.676841475</v>
      </c>
    </row>
    <row r="455" spans="1:46" ht="15.75">
      <c r="A455" s="81" t="s">
        <v>448</v>
      </c>
      <c r="B455" s="80">
        <v>321100</v>
      </c>
      <c r="C455" s="80" t="s">
        <v>431</v>
      </c>
      <c r="D455" s="84" t="s">
        <v>747</v>
      </c>
      <c r="E455" s="81">
        <v>40728980.768749297</v>
      </c>
      <c r="F455" s="81">
        <v>41857452.391993739</v>
      </c>
      <c r="G455" s="81">
        <v>42697751.24920322</v>
      </c>
      <c r="H455" s="81">
        <v>43489135.505927034</v>
      </c>
      <c r="I455" s="81">
        <v>44233188.632567324</v>
      </c>
      <c r="J455" s="81">
        <v>44931556.638515323</v>
      </c>
      <c r="K455" s="81">
        <v>45585941.65061897</v>
      </c>
      <c r="L455" s="81">
        <v>46198123.710701257</v>
      </c>
      <c r="M455" s="81">
        <v>46769898.434528746</v>
      </c>
      <c r="N455" s="81">
        <v>47303111.903793566</v>
      </c>
      <c r="O455" s="81">
        <v>47799639.79608503</v>
      </c>
      <c r="P455" s="81">
        <v>48261395.135356352</v>
      </c>
      <c r="Q455" s="81">
        <v>48487599.713339813</v>
      </c>
      <c r="R455" s="81">
        <v>48683386.116056383</v>
      </c>
      <c r="S455" s="81">
        <v>48851032.888767682</v>
      </c>
      <c r="T455" s="81">
        <v>48992782.952218503</v>
      </c>
      <c r="U455" s="81">
        <v>49110807.212095305</v>
      </c>
      <c r="V455" s="81">
        <v>49207245.466857344</v>
      </c>
      <c r="W455" s="81">
        <v>49284122.121909067</v>
      </c>
      <c r="X455" s="81">
        <v>49343434.629113279</v>
      </c>
      <c r="Y455" s="81">
        <v>49387084.552664891</v>
      </c>
      <c r="Z455" s="81">
        <v>49416903.422529489</v>
      </c>
      <c r="AA455" s="81">
        <v>49391708.954903185</v>
      </c>
      <c r="AB455" s="81">
        <v>49356447.903490685</v>
      </c>
      <c r="AC455" s="81">
        <v>49312689.800870426</v>
      </c>
      <c r="AD455" s="81">
        <v>49261871.062495723</v>
      </c>
      <c r="AE455" s="81">
        <v>49205322.367740758</v>
      </c>
      <c r="AF455" s="81">
        <v>49144228.897862919</v>
      </c>
      <c r="AG455" s="81">
        <v>49079658.086980216</v>
      </c>
      <c r="AH455" s="81">
        <v>49012554.031578086</v>
      </c>
      <c r="AI455" s="81">
        <v>48943696.720502272</v>
      </c>
      <c r="AJ455" s="81">
        <v>48873712.664389066</v>
      </c>
      <c r="AK455" s="81">
        <v>48817513.633320071</v>
      </c>
      <c r="AL455" s="81">
        <v>48760843.216429941</v>
      </c>
      <c r="AM455" s="81">
        <v>48703866.824032359</v>
      </c>
      <c r="AN455" s="81">
        <v>48646552.840811521</v>
      </c>
      <c r="AO455" s="81">
        <v>48588701.664067857</v>
      </c>
      <c r="AP455" s="81">
        <v>48529902.227128923</v>
      </c>
      <c r="AQ455" s="81">
        <v>48469580.111093611</v>
      </c>
      <c r="AR455" s="81">
        <v>48406935.237515323</v>
      </c>
      <c r="AS455" s="81">
        <v>48340952.755222641</v>
      </c>
      <c r="AT455" s="81">
        <v>48270414.701149456</v>
      </c>
    </row>
    <row r="456" spans="1:46" ht="15.75">
      <c r="A456" s="81" t="s">
        <v>448</v>
      </c>
      <c r="B456" s="80">
        <v>321200</v>
      </c>
      <c r="C456" s="80" t="s">
        <v>431</v>
      </c>
      <c r="D456" s="84" t="s">
        <v>746</v>
      </c>
      <c r="E456" s="81">
        <v>49238827.093609221</v>
      </c>
      <c r="F456" s="81">
        <v>50306391.691536307</v>
      </c>
      <c r="G456" s="81">
        <v>51056359.772491559</v>
      </c>
      <c r="H456" s="81">
        <v>51775721.865098797</v>
      </c>
      <c r="I456" s="81">
        <v>52464096.925556608</v>
      </c>
      <c r="J456" s="81">
        <v>53121185.878289841</v>
      </c>
      <c r="K456" s="81">
        <v>53746798.942322493</v>
      </c>
      <c r="L456" s="81">
        <v>54340800.056013875</v>
      </c>
      <c r="M456" s="81">
        <v>54903120.160885498</v>
      </c>
      <c r="N456" s="81">
        <v>55433808.906415693</v>
      </c>
      <c r="O456" s="81">
        <v>55932989.315266438</v>
      </c>
      <c r="P456" s="81">
        <v>56400872.48221495</v>
      </c>
      <c r="Q456" s="81">
        <v>56601159.785605982</v>
      </c>
      <c r="R456" s="81">
        <v>56771956.071653396</v>
      </c>
      <c r="S456" s="81">
        <v>56914107.290512778</v>
      </c>
      <c r="T456" s="81">
        <v>57028537.107172623</v>
      </c>
      <c r="U456" s="81">
        <v>57116288.931008324</v>
      </c>
      <c r="V456" s="81">
        <v>57178448.433053911</v>
      </c>
      <c r="W456" s="81">
        <v>57216225.460773841</v>
      </c>
      <c r="X456" s="81">
        <v>57230888.917663567</v>
      </c>
      <c r="Y456" s="81">
        <v>57223809.104764916</v>
      </c>
      <c r="Z456" s="81">
        <v>57196474.24616795</v>
      </c>
      <c r="AA456" s="81">
        <v>57100830.309318714</v>
      </c>
      <c r="AB456" s="81">
        <v>56988732.108103029</v>
      </c>
      <c r="AC456" s="81">
        <v>56861996.413057916</v>
      </c>
      <c r="AD456" s="81">
        <v>56722517.739914134</v>
      </c>
      <c r="AE456" s="81">
        <v>56572269.537883267</v>
      </c>
      <c r="AF456" s="81">
        <v>56413364.071196206</v>
      </c>
      <c r="AG456" s="81">
        <v>56247981.95217777</v>
      </c>
      <c r="AH456" s="81">
        <v>56078432.390587643</v>
      </c>
      <c r="AI456" s="81">
        <v>55907096.079728633</v>
      </c>
      <c r="AJ456" s="81">
        <v>55736516.623241581</v>
      </c>
      <c r="AK456" s="81">
        <v>55585705.3145786</v>
      </c>
      <c r="AL456" s="81">
        <v>55440780.535590969</v>
      </c>
      <c r="AM456" s="81">
        <v>55304603.023183532</v>
      </c>
      <c r="AN456" s="81">
        <v>55180148.003906116</v>
      </c>
      <c r="AO456" s="81">
        <v>55070491.459310062</v>
      </c>
      <c r="AP456" s="81">
        <v>54978890.750822321</v>
      </c>
      <c r="AQ456" s="81">
        <v>54908677.296305828</v>
      </c>
      <c r="AR456" s="81">
        <v>54863337.229838528</v>
      </c>
      <c r="AS456" s="81">
        <v>54846449.825493149</v>
      </c>
      <c r="AT456" s="81">
        <v>54861802.680844858</v>
      </c>
    </row>
    <row r="457" spans="1:46" ht="15.75">
      <c r="A457" s="81" t="s">
        <v>448</v>
      </c>
      <c r="B457" s="80">
        <v>321300</v>
      </c>
      <c r="C457" s="80" t="s">
        <v>431</v>
      </c>
      <c r="D457" s="84" t="s">
        <v>745</v>
      </c>
      <c r="E457" s="81">
        <v>63344130.832246616</v>
      </c>
      <c r="F457" s="81">
        <v>65010740.572335072</v>
      </c>
      <c r="G457" s="81">
        <v>66325584.99610436</v>
      </c>
      <c r="H457" s="81">
        <v>67653830.894614205</v>
      </c>
      <c r="I457" s="81">
        <v>68990920.856474906</v>
      </c>
      <c r="J457" s="81">
        <v>70332426.185729623</v>
      </c>
      <c r="K457" s="81">
        <v>71673986.384751827</v>
      </c>
      <c r="L457" s="81">
        <v>73011341.427882597</v>
      </c>
      <c r="M457" s="81">
        <v>74340423.120189726</v>
      </c>
      <c r="N457" s="81">
        <v>75657248.560935304</v>
      </c>
      <c r="O457" s="81">
        <v>76958069.45523791</v>
      </c>
      <c r="P457" s="81">
        <v>78239307.768111706</v>
      </c>
      <c r="Q457" s="81">
        <v>79166672.673116252</v>
      </c>
      <c r="R457" s="81">
        <v>80064047.968036711</v>
      </c>
      <c r="S457" s="81">
        <v>80929051.567761913</v>
      </c>
      <c r="T457" s="81">
        <v>81759630.229588717</v>
      </c>
      <c r="U457" s="81">
        <v>82554092.095225915</v>
      </c>
      <c r="V457" s="81">
        <v>83311045.42921342</v>
      </c>
      <c r="W457" s="81">
        <v>84029508.86036256</v>
      </c>
      <c r="X457" s="81">
        <v>84708833.770962447</v>
      </c>
      <c r="Y457" s="81">
        <v>85348800.424782634</v>
      </c>
      <c r="Z457" s="81">
        <v>85949620.291490585</v>
      </c>
      <c r="AA457" s="81">
        <v>86436774.124860913</v>
      </c>
      <c r="AB457" s="81">
        <v>86886302.854601622</v>
      </c>
      <c r="AC457" s="81">
        <v>87299847.680386841</v>
      </c>
      <c r="AD457" s="81">
        <v>87679510.334875196</v>
      </c>
      <c r="AE457" s="81">
        <v>88027936.995205641</v>
      </c>
      <c r="AF457" s="81">
        <v>88348233.930811211</v>
      </c>
      <c r="AG457" s="81">
        <v>88644068.807855591</v>
      </c>
      <c r="AH457" s="81">
        <v>88919654.160758242</v>
      </c>
      <c r="AI457" s="81">
        <v>89179764.578137934</v>
      </c>
      <c r="AJ457" s="81">
        <v>89429754.070186883</v>
      </c>
      <c r="AK457" s="81">
        <v>89702033.327875242</v>
      </c>
      <c r="AL457" s="81">
        <v>89976659.349338859</v>
      </c>
      <c r="AM457" s="81">
        <v>90260839.39770849</v>
      </c>
      <c r="AN457" s="81">
        <v>90562458.727523714</v>
      </c>
      <c r="AO457" s="81">
        <v>90890045.204868197</v>
      </c>
      <c r="AP457" s="81">
        <v>91252879.832423359</v>
      </c>
      <c r="AQ457" s="81">
        <v>91660906.310562849</v>
      </c>
      <c r="AR457" s="81">
        <v>92124880.294243068</v>
      </c>
      <c r="AS457" s="81">
        <v>92656259.401328608</v>
      </c>
      <c r="AT457" s="81">
        <v>93267278.44526574</v>
      </c>
    </row>
    <row r="458" spans="1:46" ht="15.75">
      <c r="A458" s="81" t="s">
        <v>448</v>
      </c>
      <c r="B458" s="80">
        <v>330100</v>
      </c>
      <c r="C458" s="80" t="s">
        <v>430</v>
      </c>
      <c r="D458" s="84" t="s">
        <v>744</v>
      </c>
      <c r="E458" s="81">
        <v>183824537.99550223</v>
      </c>
      <c r="F458" s="81">
        <v>189159742.26927754</v>
      </c>
      <c r="G458" s="81">
        <v>193175608.55008638</v>
      </c>
      <c r="H458" s="81">
        <v>196964676.83840361</v>
      </c>
      <c r="I458" s="81">
        <v>200538154.72407478</v>
      </c>
      <c r="J458" s="81">
        <v>203907388.95674843</v>
      </c>
      <c r="K458" s="81">
        <v>207083784.94157007</v>
      </c>
      <c r="L458" s="81">
        <v>210078774.22365555</v>
      </c>
      <c r="M458" s="81">
        <v>212903799.80617648</v>
      </c>
      <c r="N458" s="81">
        <v>215570215.31030673</v>
      </c>
      <c r="O458" s="81">
        <v>218089286.21123004</v>
      </c>
      <c r="P458" s="81">
        <v>220472085.99554828</v>
      </c>
      <c r="Q458" s="81">
        <v>221787929.53554979</v>
      </c>
      <c r="R458" s="81">
        <v>222988573.956222</v>
      </c>
      <c r="S458" s="81">
        <v>224085617.8790358</v>
      </c>
      <c r="T458" s="81">
        <v>225090042.00230336</v>
      </c>
      <c r="U458" s="81">
        <v>226012170.83029035</v>
      </c>
      <c r="V458" s="81">
        <v>226861728.58748224</v>
      </c>
      <c r="W458" s="81">
        <v>227647651.08739761</v>
      </c>
      <c r="X458" s="81">
        <v>228378197.66122332</v>
      </c>
      <c r="Y458" s="81">
        <v>229060817.84163466</v>
      </c>
      <c r="Z458" s="81">
        <v>229702130.27195725</v>
      </c>
      <c r="AA458" s="81">
        <v>229369836.61682594</v>
      </c>
      <c r="AB458" s="81">
        <v>229011143.31941774</v>
      </c>
      <c r="AC458" s="81">
        <v>228630215.95153478</v>
      </c>
      <c r="AD458" s="81">
        <v>228230233.44051069</v>
      </c>
      <c r="AE458" s="81">
        <v>227813229.54276076</v>
      </c>
      <c r="AF458" s="81">
        <v>227380250.81654254</v>
      </c>
      <c r="AG458" s="81">
        <v>226931157.56690806</v>
      </c>
      <c r="AH458" s="81">
        <v>226464782.99956822</v>
      </c>
      <c r="AI458" s="81">
        <v>225978732.7131052</v>
      </c>
      <c r="AJ458" s="81">
        <v>225469524.76584902</v>
      </c>
      <c r="AK458" s="81">
        <v>224800109.298208</v>
      </c>
      <c r="AL458" s="81">
        <v>224097678.53842312</v>
      </c>
      <c r="AM458" s="81">
        <v>223355154.88355708</v>
      </c>
      <c r="AN458" s="81">
        <v>222564290.70077989</v>
      </c>
      <c r="AO458" s="81">
        <v>221715590.25495955</v>
      </c>
      <c r="AP458" s="81">
        <v>220798271.80843371</v>
      </c>
      <c r="AQ458" s="81">
        <v>219800270.75593069</v>
      </c>
      <c r="AR458" s="81">
        <v>218708305.42174655</v>
      </c>
      <c r="AS458" s="81">
        <v>217507694.42696133</v>
      </c>
      <c r="AT458" s="81">
        <v>216182505.29660317</v>
      </c>
    </row>
    <row r="459" spans="1:46" ht="15.75">
      <c r="A459" s="81" t="s">
        <v>448</v>
      </c>
      <c r="B459" s="80">
        <v>330200</v>
      </c>
      <c r="C459" s="80" t="s">
        <v>430</v>
      </c>
      <c r="D459" s="84" t="s">
        <v>743</v>
      </c>
      <c r="E459" s="81">
        <v>136968835.16281337</v>
      </c>
      <c r="F459" s="81">
        <v>140774967.95048818</v>
      </c>
      <c r="G459" s="81">
        <v>143619151.10772958</v>
      </c>
      <c r="H459" s="81">
        <v>146313081.40916321</v>
      </c>
      <c r="I459" s="81">
        <v>148862790.57187229</v>
      </c>
      <c r="J459" s="81">
        <v>151274354.6608586</v>
      </c>
      <c r="K459" s="81">
        <v>153553991.92389396</v>
      </c>
      <c r="L459" s="81">
        <v>155707927.03851771</v>
      </c>
      <c r="M459" s="81">
        <v>157742475.92407775</v>
      </c>
      <c r="N459" s="81">
        <v>159663906.16983956</v>
      </c>
      <c r="O459" s="81">
        <v>161478506.99293995</v>
      </c>
      <c r="P459" s="81">
        <v>163192478.84497237</v>
      </c>
      <c r="Q459" s="81">
        <v>164115292.56441054</v>
      </c>
      <c r="R459" s="81">
        <v>164949872.82076967</v>
      </c>
      <c r="S459" s="81">
        <v>165703137.892373</v>
      </c>
      <c r="T459" s="81">
        <v>166381736.87792209</v>
      </c>
      <c r="U459" s="81">
        <v>166991977.31449127</v>
      </c>
      <c r="V459" s="81">
        <v>167539839.4119288</v>
      </c>
      <c r="W459" s="81">
        <v>168030919.62294632</v>
      </c>
      <c r="X459" s="81">
        <v>168470481.25552139</v>
      </c>
      <c r="Y459" s="81">
        <v>168863325.13699925</v>
      </c>
      <c r="Z459" s="81">
        <v>169213913.24144405</v>
      </c>
      <c r="AA459" s="81">
        <v>169368083.39959428</v>
      </c>
      <c r="AB459" s="81">
        <v>169488469.65232626</v>
      </c>
      <c r="AC459" s="81">
        <v>169578167.01703927</v>
      </c>
      <c r="AD459" s="81">
        <v>169639740.9857153</v>
      </c>
      <c r="AE459" s="81">
        <v>169675226.18854627</v>
      </c>
      <c r="AF459" s="81">
        <v>169686048.71777549</v>
      </c>
      <c r="AG459" s="81">
        <v>169673100.75215822</v>
      </c>
      <c r="AH459" s="81">
        <v>169636643.49077123</v>
      </c>
      <c r="AI459" s="81">
        <v>169576344.071435</v>
      </c>
      <c r="AJ459" s="81">
        <v>169491196.14483473</v>
      </c>
      <c r="AK459" s="81">
        <v>169218459.63284019</v>
      </c>
      <c r="AL459" s="81">
        <v>168918271.45306388</v>
      </c>
      <c r="AM459" s="81">
        <v>168587646.87531668</v>
      </c>
      <c r="AN459" s="81">
        <v>168222873.09733239</v>
      </c>
      <c r="AO459" s="81">
        <v>167819490.03795254</v>
      </c>
      <c r="AP459" s="81">
        <v>167372291.40017155</v>
      </c>
      <c r="AQ459" s="81">
        <v>166875264.63739488</v>
      </c>
      <c r="AR459" s="81">
        <v>166321632.67324737</v>
      </c>
      <c r="AS459" s="81">
        <v>165703793.67144111</v>
      </c>
      <c r="AT459" s="81">
        <v>165013301.04697222</v>
      </c>
    </row>
    <row r="460" spans="1:46" ht="15.75">
      <c r="A460" s="81" t="s">
        <v>448</v>
      </c>
      <c r="B460" s="80">
        <v>330300</v>
      </c>
      <c r="C460" s="80" t="s">
        <v>430</v>
      </c>
      <c r="D460" s="84" t="s">
        <v>742</v>
      </c>
      <c r="E460" s="81">
        <v>133732932.72068049</v>
      </c>
      <c r="F460" s="81">
        <v>137628240.31415322</v>
      </c>
      <c r="G460" s="81">
        <v>140648846.20210052</v>
      </c>
      <c r="H460" s="81">
        <v>143583362.72560307</v>
      </c>
      <c r="I460" s="81">
        <v>146433732.60437763</v>
      </c>
      <c r="J460" s="81">
        <v>149201904.5376499</v>
      </c>
      <c r="K460" s="81">
        <v>151889909.66606048</v>
      </c>
      <c r="L460" s="81">
        <v>154499836.01234093</v>
      </c>
      <c r="M460" s="81">
        <v>157033785.76957798</v>
      </c>
      <c r="N460" s="81">
        <v>159493877.85367256</v>
      </c>
      <c r="O460" s="81">
        <v>161882283.75937152</v>
      </c>
      <c r="P460" s="81">
        <v>164201119.55844599</v>
      </c>
      <c r="Q460" s="81">
        <v>165748847.76196015</v>
      </c>
      <c r="R460" s="81">
        <v>167226061.30918497</v>
      </c>
      <c r="S460" s="81">
        <v>168635739.71141666</v>
      </c>
      <c r="T460" s="81">
        <v>169980734.94410023</v>
      </c>
      <c r="U460" s="81">
        <v>171263762.06812748</v>
      </c>
      <c r="V460" s="81">
        <v>172487406.90437809</v>
      </c>
      <c r="W460" s="81">
        <v>173654134.40670058</v>
      </c>
      <c r="X460" s="81">
        <v>174766175.59791762</v>
      </c>
      <c r="Y460" s="81">
        <v>175825655.65989512</v>
      </c>
      <c r="Z460" s="81">
        <v>176834480.35169753</v>
      </c>
      <c r="AA460" s="81">
        <v>177628603.57395896</v>
      </c>
      <c r="AB460" s="81">
        <v>178375273.93699044</v>
      </c>
      <c r="AC460" s="81">
        <v>179075947.16854829</v>
      </c>
      <c r="AD460" s="81">
        <v>179731847.34409344</v>
      </c>
      <c r="AE460" s="81">
        <v>180343957.53745687</v>
      </c>
      <c r="AF460" s="81">
        <v>180913047.30136278</v>
      </c>
      <c r="AG460" s="81">
        <v>181439571.4197053</v>
      </c>
      <c r="AH460" s="81">
        <v>181923770.67846552</v>
      </c>
      <c r="AI460" s="81">
        <v>182365607.47771841</v>
      </c>
      <c r="AJ460" s="81">
        <v>182764718.06292933</v>
      </c>
      <c r="AK460" s="81">
        <v>183162768.33579069</v>
      </c>
      <c r="AL460" s="81">
        <v>183516416.00185645</v>
      </c>
      <c r="AM460" s="81">
        <v>183824380.26231861</v>
      </c>
      <c r="AN460" s="81">
        <v>184085070.1909909</v>
      </c>
      <c r="AO460" s="81">
        <v>184296555.07029366</v>
      </c>
      <c r="AP460" s="81">
        <v>184456553.58654958</v>
      </c>
      <c r="AQ460" s="81">
        <v>184562442.808698</v>
      </c>
      <c r="AR460" s="81">
        <v>184611207.79310951</v>
      </c>
      <c r="AS460" s="81">
        <v>184599490.26646379</v>
      </c>
      <c r="AT460" s="81">
        <v>184523497.57333666</v>
      </c>
    </row>
    <row r="461" spans="1:46" ht="15.75">
      <c r="A461" s="81" t="s">
        <v>448</v>
      </c>
      <c r="B461" s="80">
        <v>330400</v>
      </c>
      <c r="C461" s="80" t="s">
        <v>430</v>
      </c>
      <c r="D461" s="84" t="s">
        <v>741</v>
      </c>
      <c r="E461" s="81">
        <v>69019631.283586666</v>
      </c>
      <c r="F461" s="81">
        <v>70914150.997927427</v>
      </c>
      <c r="G461" s="81">
        <v>72326856.949253514</v>
      </c>
      <c r="H461" s="81">
        <v>73666114.468923196</v>
      </c>
      <c r="I461" s="81">
        <v>74934358.328159317</v>
      </c>
      <c r="J461" s="81">
        <v>76134081.863802642</v>
      </c>
      <c r="K461" s="81">
        <v>77267826.126680613</v>
      </c>
      <c r="L461" s="81">
        <v>78338225.672026455</v>
      </c>
      <c r="M461" s="81">
        <v>79347943.388191923</v>
      </c>
      <c r="N461" s="81">
        <v>80299702.807784483</v>
      </c>
      <c r="O461" s="81">
        <v>81196249.730844468</v>
      </c>
      <c r="P461" s="81">
        <v>82040356.301986903</v>
      </c>
      <c r="Q461" s="81">
        <v>82484641.456894696</v>
      </c>
      <c r="R461" s="81">
        <v>82882317.975473866</v>
      </c>
      <c r="S461" s="81">
        <v>83236700.885910392</v>
      </c>
      <c r="T461" s="81">
        <v>83551024.011544272</v>
      </c>
      <c r="U461" s="81">
        <v>83828432.64041841</v>
      </c>
      <c r="V461" s="81">
        <v>84071944.724513471</v>
      </c>
      <c r="W461" s="81">
        <v>84284473.727472112</v>
      </c>
      <c r="X461" s="81">
        <v>84468852.865243942</v>
      </c>
      <c r="Y461" s="81">
        <v>84627748.321897835</v>
      </c>
      <c r="Z461" s="81">
        <v>84763698.102821574</v>
      </c>
      <c r="AA461" s="81">
        <v>84799978.833489001</v>
      </c>
      <c r="AB461" s="81">
        <v>84818586.228769571</v>
      </c>
      <c r="AC461" s="81">
        <v>84821662.311786205</v>
      </c>
      <c r="AD461" s="81">
        <v>84811164.130993366</v>
      </c>
      <c r="AE461" s="81">
        <v>84788889.336479962</v>
      </c>
      <c r="AF461" s="81">
        <v>84756401.850009069</v>
      </c>
      <c r="AG461" s="81">
        <v>84715141.483037993</v>
      </c>
      <c r="AH461" s="81">
        <v>84666281.87805891</v>
      </c>
      <c r="AI461" s="81">
        <v>84610789.369829223</v>
      </c>
      <c r="AJ461" s="81">
        <v>84549449.86085245</v>
      </c>
      <c r="AK461" s="81">
        <v>84502294.396753311</v>
      </c>
      <c r="AL461" s="81">
        <v>84449921.167586818</v>
      </c>
      <c r="AM461" s="81">
        <v>84392422.378227681</v>
      </c>
      <c r="AN461" s="81">
        <v>84329590.708880141</v>
      </c>
      <c r="AO461" s="81">
        <v>84260944.90079999</v>
      </c>
      <c r="AP461" s="81">
        <v>84185738.651942521</v>
      </c>
      <c r="AQ461" s="81">
        <v>84102988.317627653</v>
      </c>
      <c r="AR461" s="81">
        <v>84011392.267651856</v>
      </c>
      <c r="AS461" s="81">
        <v>83909339.278790504</v>
      </c>
      <c r="AT461" s="81">
        <v>83794917.568235934</v>
      </c>
    </row>
    <row r="462" spans="1:46" ht="15.75">
      <c r="A462" s="81" t="s">
        <v>448</v>
      </c>
      <c r="B462" s="80">
        <v>330500</v>
      </c>
      <c r="C462" s="80" t="s">
        <v>430</v>
      </c>
      <c r="D462" s="84" t="s">
        <v>740</v>
      </c>
      <c r="E462" s="81">
        <v>41504586.753149942</v>
      </c>
      <c r="F462" s="81">
        <v>42564688.02489423</v>
      </c>
      <c r="G462" s="81">
        <v>43339347.756912433</v>
      </c>
      <c r="H462" s="81">
        <v>44073664.379463188</v>
      </c>
      <c r="I462" s="81">
        <v>44768599.837268502</v>
      </c>
      <c r="J462" s="81">
        <v>45425182.048160389</v>
      </c>
      <c r="K462" s="81">
        <v>46044488.78582786</v>
      </c>
      <c r="L462" s="81">
        <v>46627644.131426133</v>
      </c>
      <c r="M462" s="81">
        <v>47175800.996970557</v>
      </c>
      <c r="N462" s="81">
        <v>47690192.678739116</v>
      </c>
      <c r="O462" s="81">
        <v>48172060.696224883</v>
      </c>
      <c r="P462" s="81">
        <v>48622663.575329371</v>
      </c>
      <c r="Q462" s="81">
        <v>48835993.852642849</v>
      </c>
      <c r="R462" s="81">
        <v>49021301.19295837</v>
      </c>
      <c r="S462" s="81">
        <v>49180267.639245175</v>
      </c>
      <c r="T462" s="81">
        <v>49314527.091785669</v>
      </c>
      <c r="U462" s="81">
        <v>49425751.12989518</v>
      </c>
      <c r="V462" s="81">
        <v>49515542.786269538</v>
      </c>
      <c r="W462" s="81">
        <v>49585492.685712956</v>
      </c>
      <c r="X462" s="81">
        <v>49637176.654354572</v>
      </c>
      <c r="Y462" s="81">
        <v>49672106.907613859</v>
      </c>
      <c r="Z462" s="81">
        <v>49691790.105090931</v>
      </c>
      <c r="AA462" s="81">
        <v>49651346.196931824</v>
      </c>
      <c r="AB462" s="81">
        <v>49599015.193291724</v>
      </c>
      <c r="AC462" s="81">
        <v>49536169.491068117</v>
      </c>
      <c r="AD462" s="81">
        <v>49464174.886788711</v>
      </c>
      <c r="AE462" s="81">
        <v>49384324.801611692</v>
      </c>
      <c r="AF462" s="81">
        <v>49297853.038651645</v>
      </c>
      <c r="AG462" s="81">
        <v>49205930.816029541</v>
      </c>
      <c r="AH462" s="81">
        <v>49109663.767182402</v>
      </c>
      <c r="AI462" s="81">
        <v>49010088.908432901</v>
      </c>
      <c r="AJ462" s="81">
        <v>48908204.922588274</v>
      </c>
      <c r="AK462" s="81">
        <v>48816152.368385963</v>
      </c>
      <c r="AL462" s="81">
        <v>48723389.052265406</v>
      </c>
      <c r="AM462" s="81">
        <v>48630648.883588083</v>
      </c>
      <c r="AN462" s="81">
        <v>48538582.082653277</v>
      </c>
      <c r="AO462" s="81">
        <v>48447803.601027355</v>
      </c>
      <c r="AP462" s="81">
        <v>48358769.913879663</v>
      </c>
      <c r="AQ462" s="81">
        <v>48271913.173737995</v>
      </c>
      <c r="AR462" s="81">
        <v>48187534.489135139</v>
      </c>
      <c r="AS462" s="81">
        <v>48105817.000534758</v>
      </c>
      <c r="AT462" s="81">
        <v>48026893.142635271</v>
      </c>
    </row>
    <row r="463" spans="1:46" ht="15.75">
      <c r="A463" s="81" t="s">
        <v>448</v>
      </c>
      <c r="B463" s="80">
        <v>330600</v>
      </c>
      <c r="C463" s="80" t="s">
        <v>430</v>
      </c>
      <c r="D463" s="84" t="s">
        <v>739</v>
      </c>
      <c r="E463" s="81">
        <v>68946028.894418821</v>
      </c>
      <c r="F463" s="81">
        <v>70715734.500355303</v>
      </c>
      <c r="G463" s="81">
        <v>72025357.940370172</v>
      </c>
      <c r="H463" s="81">
        <v>73280760.788166046</v>
      </c>
      <c r="I463" s="81">
        <v>74482249.465567872</v>
      </c>
      <c r="J463" s="81">
        <v>75630275.378361106</v>
      </c>
      <c r="K463" s="81">
        <v>76725351.645126447</v>
      </c>
      <c r="L463" s="81">
        <v>77768079.309284642</v>
      </c>
      <c r="M463" s="81">
        <v>78759205.141824007</v>
      </c>
      <c r="N463" s="81">
        <v>79699520.067475364</v>
      </c>
      <c r="O463" s="81">
        <v>80589945.768267304</v>
      </c>
      <c r="P463" s="81">
        <v>81431460.02956602</v>
      </c>
      <c r="Q463" s="81">
        <v>81877594.120833457</v>
      </c>
      <c r="R463" s="81">
        <v>82277353.878843933</v>
      </c>
      <c r="S463" s="81">
        <v>82632590.371362418</v>
      </c>
      <c r="T463" s="81">
        <v>82945194.934841096</v>
      </c>
      <c r="U463" s="81">
        <v>83217114.077639952</v>
      </c>
      <c r="V463" s="81">
        <v>83450317.040515855</v>
      </c>
      <c r="W463" s="81">
        <v>83646858.745658562</v>
      </c>
      <c r="X463" s="81">
        <v>83808831.804930612</v>
      </c>
      <c r="Y463" s="81">
        <v>83938349.038484737</v>
      </c>
      <c r="Z463" s="81">
        <v>84037591.363547936</v>
      </c>
      <c r="AA463" s="81">
        <v>84030335.165315866</v>
      </c>
      <c r="AB463" s="81">
        <v>83998004.699497283</v>
      </c>
      <c r="AC463" s="81">
        <v>83942921.663019672</v>
      </c>
      <c r="AD463" s="81">
        <v>83867514.201974168</v>
      </c>
      <c r="AE463" s="81">
        <v>83774181.774312362</v>
      </c>
      <c r="AF463" s="81">
        <v>83665412.927657574</v>
      </c>
      <c r="AG463" s="81">
        <v>83543699.757448092</v>
      </c>
      <c r="AH463" s="81">
        <v>83411536.191018075</v>
      </c>
      <c r="AI463" s="81">
        <v>83271504.15459995</v>
      </c>
      <c r="AJ463" s="81">
        <v>83126168.555471465</v>
      </c>
      <c r="AK463" s="81">
        <v>82997283.054505736</v>
      </c>
      <c r="AL463" s="81">
        <v>82868147.643653885</v>
      </c>
      <c r="AM463" s="81">
        <v>82741413.662301987</v>
      </c>
      <c r="AN463" s="81">
        <v>82619784.772468731</v>
      </c>
      <c r="AO463" s="81">
        <v>82505961.98550202</v>
      </c>
      <c r="AP463" s="81">
        <v>82402678.633248463</v>
      </c>
      <c r="AQ463" s="81">
        <v>82312718.246614575</v>
      </c>
      <c r="AR463" s="81">
        <v>82238877.11312376</v>
      </c>
      <c r="AS463" s="81">
        <v>82183962.94745633</v>
      </c>
      <c r="AT463" s="81">
        <v>82150793.54339841</v>
      </c>
    </row>
    <row r="464" spans="1:46" ht="15.75">
      <c r="A464" s="81" t="s">
        <v>448</v>
      </c>
      <c r="B464" s="80">
        <v>330700</v>
      </c>
      <c r="C464" s="80" t="s">
        <v>430</v>
      </c>
      <c r="D464" s="84" t="s">
        <v>738</v>
      </c>
      <c r="E464" s="81">
        <v>94119582.830592245</v>
      </c>
      <c r="F464" s="81">
        <v>96611049.449406728</v>
      </c>
      <c r="G464" s="81">
        <v>98493810.443049848</v>
      </c>
      <c r="H464" s="81">
        <v>100321720.71341456</v>
      </c>
      <c r="I464" s="81">
        <v>102094976.54850729</v>
      </c>
      <c r="J464" s="81">
        <v>103813853.5486245</v>
      </c>
      <c r="K464" s="81">
        <v>105478690.12526833</v>
      </c>
      <c r="L464" s="81">
        <v>107089914.29824188</v>
      </c>
      <c r="M464" s="81">
        <v>108648012.63366249</v>
      </c>
      <c r="N464" s="81">
        <v>110153542.4801546</v>
      </c>
      <c r="O464" s="81">
        <v>111607129.8897845</v>
      </c>
      <c r="P464" s="81">
        <v>113009483.08460207</v>
      </c>
      <c r="Q464" s="81">
        <v>113877885.90622303</v>
      </c>
      <c r="R464" s="81">
        <v>114694754.97429521</v>
      </c>
      <c r="S464" s="81">
        <v>115461582.02525046</v>
      </c>
      <c r="T464" s="81">
        <v>116179939.59559919</v>
      </c>
      <c r="U464" s="81">
        <v>116851368.19588095</v>
      </c>
      <c r="V464" s="81">
        <v>117477470.83822484</v>
      </c>
      <c r="W464" s="81">
        <v>118059797.70305258</v>
      </c>
      <c r="X464" s="81">
        <v>118599958.13785447</v>
      </c>
      <c r="Y464" s="81">
        <v>119099553.72734101</v>
      </c>
      <c r="Z464" s="81">
        <v>119560175.76960525</v>
      </c>
      <c r="AA464" s="81">
        <v>119871540.7538823</v>
      </c>
      <c r="AB464" s="81">
        <v>120147520.65897506</v>
      </c>
      <c r="AC464" s="81">
        <v>120389803.12871672</v>
      </c>
      <c r="AD464" s="81">
        <v>120600066.49946608</v>
      </c>
      <c r="AE464" s="81">
        <v>120779995.46073705</v>
      </c>
      <c r="AF464" s="81">
        <v>120931227.00823177</v>
      </c>
      <c r="AG464" s="81">
        <v>121055418.26248296</v>
      </c>
      <c r="AH464" s="81">
        <v>121154138.74702625</v>
      </c>
      <c r="AI464" s="81">
        <v>121229027.69153751</v>
      </c>
      <c r="AJ464" s="81">
        <v>121281632.39679684</v>
      </c>
      <c r="AK464" s="81">
        <v>121341517.07417704</v>
      </c>
      <c r="AL464" s="81">
        <v>121382014.37293543</v>
      </c>
      <c r="AM464" s="81">
        <v>121404585.79253477</v>
      </c>
      <c r="AN464" s="81">
        <v>121410683.31741844</v>
      </c>
      <c r="AO464" s="81">
        <v>121401747.92418036</v>
      </c>
      <c r="AP464" s="81">
        <v>121379151.58058347</v>
      </c>
      <c r="AQ464" s="81">
        <v>121344231.7220366</v>
      </c>
      <c r="AR464" s="81">
        <v>121298289.05158684</v>
      </c>
      <c r="AS464" s="81">
        <v>121242604.52685021</v>
      </c>
      <c r="AT464" s="81">
        <v>121178379.7293158</v>
      </c>
    </row>
    <row r="465" spans="1:46" ht="15.75">
      <c r="A465" s="81" t="s">
        <v>448</v>
      </c>
      <c r="B465" s="80">
        <v>330800</v>
      </c>
      <c r="C465" s="80" t="s">
        <v>430</v>
      </c>
      <c r="D465" s="84" t="s">
        <v>737</v>
      </c>
      <c r="E465" s="81">
        <v>25148776.741757307</v>
      </c>
      <c r="F465" s="81">
        <v>25606784.745606724</v>
      </c>
      <c r="G465" s="81">
        <v>25921722.843877453</v>
      </c>
      <c r="H465" s="81">
        <v>26239694.663765237</v>
      </c>
      <c r="I465" s="81">
        <v>26558898.754306357</v>
      </c>
      <c r="J465" s="81">
        <v>26877553.695664234</v>
      </c>
      <c r="K465" s="81">
        <v>27193916.724423856</v>
      </c>
      <c r="L465" s="81">
        <v>27506315.577617552</v>
      </c>
      <c r="M465" s="81">
        <v>27813145.335751943</v>
      </c>
      <c r="N465" s="81">
        <v>28112864.461633097</v>
      </c>
      <c r="O465" s="81">
        <v>28403977.371923123</v>
      </c>
      <c r="P465" s="81">
        <v>28685130.482916657</v>
      </c>
      <c r="Q465" s="81">
        <v>28832644.18118393</v>
      </c>
      <c r="R465" s="81">
        <v>28967844.008045137</v>
      </c>
      <c r="S465" s="81">
        <v>29089857.996362958</v>
      </c>
      <c r="T465" s="81">
        <v>29197899.209088881</v>
      </c>
      <c r="U465" s="81">
        <v>29291349.81676396</v>
      </c>
      <c r="V465" s="81">
        <v>29369701.215287048</v>
      </c>
      <c r="W465" s="81">
        <v>29432653.587547015</v>
      </c>
      <c r="X465" s="81">
        <v>29479987.895517793</v>
      </c>
      <c r="Y465" s="81">
        <v>29511720.518028483</v>
      </c>
      <c r="Z465" s="81">
        <v>29527973.774883974</v>
      </c>
      <c r="AA465" s="81">
        <v>29501539.004404236</v>
      </c>
      <c r="AB465" s="81">
        <v>29460781.372273237</v>
      </c>
      <c r="AC465" s="81">
        <v>29406404.320409216</v>
      </c>
      <c r="AD465" s="81">
        <v>29339349.745350346</v>
      </c>
      <c r="AE465" s="81">
        <v>29260719.371021688</v>
      </c>
      <c r="AF465" s="81">
        <v>29171822.739726692</v>
      </c>
      <c r="AG465" s="81">
        <v>29074227.002295937</v>
      </c>
      <c r="AH465" s="81">
        <v>28969647.435278546</v>
      </c>
      <c r="AI465" s="81">
        <v>28860054.462908905</v>
      </c>
      <c r="AJ465" s="81">
        <v>28747636.435484577</v>
      </c>
      <c r="AK465" s="81">
        <v>28641430.522460509</v>
      </c>
      <c r="AL465" s="81">
        <v>28537389.023543406</v>
      </c>
      <c r="AM465" s="81">
        <v>28438440.14129569</v>
      </c>
      <c r="AN465" s="81">
        <v>28347727.409717899</v>
      </c>
      <c r="AO465" s="81">
        <v>28268707.144051474</v>
      </c>
      <c r="AP465" s="81">
        <v>28205064.158368792</v>
      </c>
      <c r="AQ465" s="81">
        <v>28160779.450594537</v>
      </c>
      <c r="AR465" s="81">
        <v>28140090.761900648</v>
      </c>
      <c r="AS465" s="81">
        <v>28147561.733262669</v>
      </c>
      <c r="AT465" s="81">
        <v>28188010.725787688</v>
      </c>
    </row>
    <row r="466" spans="1:46" ht="15.75">
      <c r="A466" s="81" t="s">
        <v>448</v>
      </c>
      <c r="B466" s="80">
        <v>330900</v>
      </c>
      <c r="C466" s="80" t="s">
        <v>430</v>
      </c>
      <c r="D466" s="84" t="s">
        <v>736</v>
      </c>
      <c r="E466" s="81">
        <v>15909207.056678604</v>
      </c>
      <c r="F466" s="81">
        <v>16290323.816792363</v>
      </c>
      <c r="G466" s="81">
        <v>16559644.639052004</v>
      </c>
      <c r="H466" s="81">
        <v>16811366.491316307</v>
      </c>
      <c r="I466" s="81">
        <v>17046094.007613052</v>
      </c>
      <c r="J466" s="81">
        <v>17264438.44775917</v>
      </c>
      <c r="K466" s="81">
        <v>17467044.733074982</v>
      </c>
      <c r="L466" s="81">
        <v>17654529.400188584</v>
      </c>
      <c r="M466" s="81">
        <v>17827583.489105035</v>
      </c>
      <c r="N466" s="81">
        <v>17986833.685844474</v>
      </c>
      <c r="O466" s="81">
        <v>18132977.532402296</v>
      </c>
      <c r="P466" s="81">
        <v>18266656.967019606</v>
      </c>
      <c r="Q466" s="81">
        <v>18310815.009316854</v>
      </c>
      <c r="R466" s="81">
        <v>18344389.678034354</v>
      </c>
      <c r="S466" s="81">
        <v>18368126.454932325</v>
      </c>
      <c r="T466" s="81">
        <v>18382784.310706209</v>
      </c>
      <c r="U466" s="81">
        <v>18389101.987824205</v>
      </c>
      <c r="V466" s="81">
        <v>18387762.675661989</v>
      </c>
      <c r="W466" s="81">
        <v>18379441.772468779</v>
      </c>
      <c r="X466" s="81">
        <v>18364771.641051468</v>
      </c>
      <c r="Y466" s="81">
        <v>18344339.155924838</v>
      </c>
      <c r="Z466" s="81">
        <v>18318735.263469689</v>
      </c>
      <c r="AA466" s="81">
        <v>18271428.814375058</v>
      </c>
      <c r="AB466" s="81">
        <v>18220196.950221185</v>
      </c>
      <c r="AC466" s="81">
        <v>18165500.681045864</v>
      </c>
      <c r="AD466" s="81">
        <v>18107725.611048315</v>
      </c>
      <c r="AE466" s="81">
        <v>18047250.824563839</v>
      </c>
      <c r="AF466" s="81">
        <v>17984394.162628014</v>
      </c>
      <c r="AG466" s="81">
        <v>17919428.069659274</v>
      </c>
      <c r="AH466" s="81">
        <v>17852541.204252005</v>
      </c>
      <c r="AI466" s="81">
        <v>17783890.748685796</v>
      </c>
      <c r="AJ466" s="81">
        <v>17713582.660404518</v>
      </c>
      <c r="AK466" s="81">
        <v>17645742.259239744</v>
      </c>
      <c r="AL466" s="81">
        <v>17576177.774636079</v>
      </c>
      <c r="AM466" s="81">
        <v>17504847.764188319</v>
      </c>
      <c r="AN466" s="81">
        <v>17431557.213352244</v>
      </c>
      <c r="AO466" s="81">
        <v>17356125.18708973</v>
      </c>
      <c r="AP466" s="81">
        <v>17278250.090885073</v>
      </c>
      <c r="AQ466" s="81">
        <v>17197564.113660883</v>
      </c>
      <c r="AR466" s="81">
        <v>17113650.795355752</v>
      </c>
      <c r="AS466" s="81">
        <v>17025984.451434113</v>
      </c>
      <c r="AT466" s="81">
        <v>16933986.370453142</v>
      </c>
    </row>
    <row r="467" spans="1:46" ht="15.75">
      <c r="A467" s="81" t="s">
        <v>448</v>
      </c>
      <c r="B467" s="80">
        <v>331000</v>
      </c>
      <c r="C467" s="80" t="s">
        <v>430</v>
      </c>
      <c r="D467" s="84" t="s">
        <v>735</v>
      </c>
      <c r="E467" s="81">
        <v>82835174.71762833</v>
      </c>
      <c r="F467" s="81">
        <v>84794177.834583804</v>
      </c>
      <c r="G467" s="81">
        <v>86245086.485522941</v>
      </c>
      <c r="H467" s="81">
        <v>87673385.077052772</v>
      </c>
      <c r="I467" s="81">
        <v>89077275.375103474</v>
      </c>
      <c r="J467" s="81">
        <v>90454964.427323923</v>
      </c>
      <c r="K467" s="81">
        <v>91804790.073941126</v>
      </c>
      <c r="L467" s="81">
        <v>93125120.508137032</v>
      </c>
      <c r="M467" s="81">
        <v>94414399.814706787</v>
      </c>
      <c r="N467" s="81">
        <v>95671196.779840589</v>
      </c>
      <c r="O467" s="81">
        <v>96894127.478653356</v>
      </c>
      <c r="P467" s="81">
        <v>98081931.801271096</v>
      </c>
      <c r="Q467" s="81">
        <v>98813945.72108531</v>
      </c>
      <c r="R467" s="81">
        <v>99507130.894645885</v>
      </c>
      <c r="S467" s="81">
        <v>100161043.184156</v>
      </c>
      <c r="T467" s="81">
        <v>100775414.383697</v>
      </c>
      <c r="U467" s="81">
        <v>101350052.81503475</v>
      </c>
      <c r="V467" s="81">
        <v>101884922.45098583</v>
      </c>
      <c r="W467" s="81">
        <v>102380102.37936789</v>
      </c>
      <c r="X467" s="81">
        <v>102835821.82672931</v>
      </c>
      <c r="Y467" s="81">
        <v>103252449.70774943</v>
      </c>
      <c r="Z467" s="81">
        <v>103630483.49007975</v>
      </c>
      <c r="AA467" s="81">
        <v>103873638.48619236</v>
      </c>
      <c r="AB467" s="81">
        <v>104080065.50947316</v>
      </c>
      <c r="AC467" s="81">
        <v>104250865.60391225</v>
      </c>
      <c r="AD467" s="81">
        <v>104387265.64041853</v>
      </c>
      <c r="AE467" s="81">
        <v>104490654.15225644</v>
      </c>
      <c r="AF467" s="81">
        <v>104562618.52553147</v>
      </c>
      <c r="AG467" s="81">
        <v>104604884.23106819</v>
      </c>
      <c r="AH467" s="81">
        <v>104619384.76320237</v>
      </c>
      <c r="AI467" s="81">
        <v>104608200.06409878</v>
      </c>
      <c r="AJ467" s="81">
        <v>104573627.42781511</v>
      </c>
      <c r="AK467" s="81">
        <v>104542297.10204265</v>
      </c>
      <c r="AL467" s="81">
        <v>104492516.2674734</v>
      </c>
      <c r="AM467" s="81">
        <v>104427187.96687168</v>
      </c>
      <c r="AN467" s="81">
        <v>104349387.10298571</v>
      </c>
      <c r="AO467" s="81">
        <v>104262381.58893517</v>
      </c>
      <c r="AP467" s="81">
        <v>104169671.83255517</v>
      </c>
      <c r="AQ467" s="81">
        <v>104075031.68123114</v>
      </c>
      <c r="AR467" s="81">
        <v>103982372.52233857</v>
      </c>
      <c r="AS467" s="81">
        <v>103895906.88356563</v>
      </c>
      <c r="AT467" s="81">
        <v>103820047.44721192</v>
      </c>
    </row>
    <row r="468" spans="1:46" ht="15.75">
      <c r="A468" s="81" t="s">
        <v>448</v>
      </c>
      <c r="B468" s="80">
        <v>331100</v>
      </c>
      <c r="C468" s="80" t="s">
        <v>430</v>
      </c>
      <c r="D468" s="84" t="s">
        <v>734</v>
      </c>
      <c r="E468" s="81">
        <v>29828043.355928157</v>
      </c>
      <c r="F468" s="81">
        <v>30410935.686332252</v>
      </c>
      <c r="G468" s="81">
        <v>30826293.039149445</v>
      </c>
      <c r="H468" s="81">
        <v>31247548.434395108</v>
      </c>
      <c r="I468" s="81">
        <v>31672609.412171748</v>
      </c>
      <c r="J468" s="81">
        <v>32099445.485681083</v>
      </c>
      <c r="K468" s="81">
        <v>32526085.517277133</v>
      </c>
      <c r="L468" s="81">
        <v>32950574.867217939</v>
      </c>
      <c r="M468" s="81">
        <v>33371021.712400928</v>
      </c>
      <c r="N468" s="81">
        <v>33785633.056390911</v>
      </c>
      <c r="O468" s="81">
        <v>34192657.472057663</v>
      </c>
      <c r="P468" s="81">
        <v>34590460.941723622</v>
      </c>
      <c r="Q468" s="81">
        <v>34829621.065868236</v>
      </c>
      <c r="R468" s="81">
        <v>35056169.453326374</v>
      </c>
      <c r="S468" s="81">
        <v>35268952.004783921</v>
      </c>
      <c r="T468" s="81">
        <v>35466942.179065473</v>
      </c>
      <c r="U468" s="81">
        <v>35649290.164483003</v>
      </c>
      <c r="V468" s="81">
        <v>35815243.778254375</v>
      </c>
      <c r="W468" s="81">
        <v>35964255.175109863</v>
      </c>
      <c r="X468" s="81">
        <v>36095901.093180239</v>
      </c>
      <c r="Y468" s="81">
        <v>36209962.226017982</v>
      </c>
      <c r="Z468" s="81">
        <v>36306386.518100277</v>
      </c>
      <c r="AA468" s="81">
        <v>36351347.836078435</v>
      </c>
      <c r="AB468" s="81">
        <v>36379344.283658437</v>
      </c>
      <c r="AC468" s="81">
        <v>36390893.325971358</v>
      </c>
      <c r="AD468" s="81">
        <v>36386794.523825333</v>
      </c>
      <c r="AE468" s="81">
        <v>36367983.87276838</v>
      </c>
      <c r="AF468" s="81">
        <v>36335677.922795676</v>
      </c>
      <c r="AG468" s="81">
        <v>36291241.318488948</v>
      </c>
      <c r="AH468" s="81">
        <v>36236332.919128515</v>
      </c>
      <c r="AI468" s="81">
        <v>36172803.361649387</v>
      </c>
      <c r="AJ468" s="81">
        <v>36102748.252555072</v>
      </c>
      <c r="AK468" s="81">
        <v>36036847.939773023</v>
      </c>
      <c r="AL468" s="81">
        <v>35969301.774978623</v>
      </c>
      <c r="AM468" s="81">
        <v>35902967.339418367</v>
      </c>
      <c r="AN468" s="81">
        <v>35840977.310573913</v>
      </c>
      <c r="AO468" s="81">
        <v>35786763.372545302</v>
      </c>
      <c r="AP468" s="81">
        <v>35743997.528178476</v>
      </c>
      <c r="AQ468" s="81">
        <v>35716681.805379666</v>
      </c>
      <c r="AR468" s="81">
        <v>35709106.255862765</v>
      </c>
      <c r="AS468" s="81">
        <v>35725873.018967137</v>
      </c>
      <c r="AT468" s="81">
        <v>35771886.88906122</v>
      </c>
    </row>
    <row r="469" spans="1:46" ht="15.75">
      <c r="A469" s="81" t="s">
        <v>448</v>
      </c>
      <c r="B469" s="80">
        <v>340100</v>
      </c>
      <c r="C469" s="80" t="s">
        <v>429</v>
      </c>
      <c r="D469" s="84" t="s">
        <v>733</v>
      </c>
      <c r="E469" s="81">
        <v>95039367.227313638</v>
      </c>
      <c r="F469" s="81">
        <v>98543112.143065453</v>
      </c>
      <c r="G469" s="81">
        <v>101485436.45014673</v>
      </c>
      <c r="H469" s="81">
        <v>104370029.61778046</v>
      </c>
      <c r="I469" s="81">
        <v>107197083.79385896</v>
      </c>
      <c r="J469" s="81">
        <v>109967005.79628327</v>
      </c>
      <c r="K469" s="81">
        <v>112680366.70810387</v>
      </c>
      <c r="L469" s="81">
        <v>115337916.60962984</v>
      </c>
      <c r="M469" s="81">
        <v>117940577.28720857</v>
      </c>
      <c r="N469" s="81">
        <v>120489446.68804812</v>
      </c>
      <c r="O469" s="81">
        <v>122985766.61003955</v>
      </c>
      <c r="P469" s="81">
        <v>125430899.81776188</v>
      </c>
      <c r="Q469" s="81">
        <v>127387428.64360647</v>
      </c>
      <c r="R469" s="81">
        <v>129287265.29648727</v>
      </c>
      <c r="S469" s="81">
        <v>131132875.09164235</v>
      </c>
      <c r="T469" s="81">
        <v>132926727.49207862</v>
      </c>
      <c r="U469" s="81">
        <v>134671390.76611546</v>
      </c>
      <c r="V469" s="81">
        <v>136369440.55971363</v>
      </c>
      <c r="W469" s="81">
        <v>138023460.02228734</v>
      </c>
      <c r="X469" s="81">
        <v>139636069.46716142</v>
      </c>
      <c r="Y469" s="81">
        <v>141209842.93564385</v>
      </c>
      <c r="Z469" s="81">
        <v>142747380.63871485</v>
      </c>
      <c r="AA469" s="81">
        <v>144231498.87419823</v>
      </c>
      <c r="AB469" s="81">
        <v>145682907.10976547</v>
      </c>
      <c r="AC469" s="81">
        <v>147104088.6544655</v>
      </c>
      <c r="AD469" s="81">
        <v>148497407.84774819</v>
      </c>
      <c r="AE469" s="81">
        <v>149865202.53880584</v>
      </c>
      <c r="AF469" s="81">
        <v>151209661.12641984</v>
      </c>
      <c r="AG469" s="81">
        <v>152532868.77242172</v>
      </c>
      <c r="AH469" s="81">
        <v>153836759.87072414</v>
      </c>
      <c r="AI469" s="81">
        <v>155123117.57451585</v>
      </c>
      <c r="AJ469" s="81">
        <v>156393574.30166873</v>
      </c>
      <c r="AK469" s="81">
        <v>157494027.01829705</v>
      </c>
      <c r="AL469" s="81">
        <v>158577962.68654761</v>
      </c>
      <c r="AM469" s="81">
        <v>159646454.93392074</v>
      </c>
      <c r="AN469" s="81">
        <v>160700372.52394626</v>
      </c>
      <c r="AO469" s="81">
        <v>161740293.45776191</v>
      </c>
      <c r="AP469" s="81">
        <v>162766540.36582127</v>
      </c>
      <c r="AQ469" s="81">
        <v>163779109.93185285</v>
      </c>
      <c r="AR469" s="81">
        <v>164777746.0456987</v>
      </c>
      <c r="AS469" s="81">
        <v>165761813.80498132</v>
      </c>
      <c r="AT469" s="81">
        <v>166730354.52071869</v>
      </c>
    </row>
    <row r="470" spans="1:46" ht="15.75">
      <c r="A470" s="81" t="s">
        <v>448</v>
      </c>
      <c r="B470" s="80">
        <v>340200</v>
      </c>
      <c r="C470" s="80" t="s">
        <v>429</v>
      </c>
      <c r="D470" s="84" t="s">
        <v>732</v>
      </c>
      <c r="E470" s="81">
        <v>32549723.33386017</v>
      </c>
      <c r="F470" s="81">
        <v>33636883.311545283</v>
      </c>
      <c r="G470" s="81">
        <v>34535073.759126447</v>
      </c>
      <c r="H470" s="81">
        <v>35416234.580407731</v>
      </c>
      <c r="I470" s="81">
        <v>36279860.633779265</v>
      </c>
      <c r="J470" s="81">
        <v>37125493.121442042</v>
      </c>
      <c r="K470" s="81">
        <v>37952750.792600766</v>
      </c>
      <c r="L470" s="81">
        <v>38761312.695788048</v>
      </c>
      <c r="M470" s="81">
        <v>39550887.959340528</v>
      </c>
      <c r="N470" s="81">
        <v>40321300.662516035</v>
      </c>
      <c r="O470" s="81">
        <v>41072397.383478597</v>
      </c>
      <c r="P470" s="81">
        <v>41804134.247510813</v>
      </c>
      <c r="Q470" s="81">
        <v>42370497.027349137</v>
      </c>
      <c r="R470" s="81">
        <v>42915284.299954332</v>
      </c>
      <c r="S470" s="81">
        <v>43438889.804827318</v>
      </c>
      <c r="T470" s="81">
        <v>43941791.944968931</v>
      </c>
      <c r="U470" s="81">
        <v>44424519.895584494</v>
      </c>
      <c r="V470" s="81">
        <v>44887665.538856402</v>
      </c>
      <c r="W470" s="81">
        <v>45331896.41945111</v>
      </c>
      <c r="X470" s="81">
        <v>45757944.562612377</v>
      </c>
      <c r="Y470" s="81">
        <v>46166606.992875516</v>
      </c>
      <c r="Z470" s="81">
        <v>46558746.235736042</v>
      </c>
      <c r="AA470" s="81">
        <v>46928872.849104747</v>
      </c>
      <c r="AB470" s="81">
        <v>47283967.206728242</v>
      </c>
      <c r="AC470" s="81">
        <v>47625106.232231744</v>
      </c>
      <c r="AD470" s="81">
        <v>47953447.573699087</v>
      </c>
      <c r="AE470" s="81">
        <v>48270244.617343955</v>
      </c>
      <c r="AF470" s="81">
        <v>48576764.361239344</v>
      </c>
      <c r="AG470" s="81">
        <v>48874411.946089491</v>
      </c>
      <c r="AH470" s="81">
        <v>49164634.657343619</v>
      </c>
      <c r="AI470" s="81">
        <v>49448920.291380547</v>
      </c>
      <c r="AJ470" s="81">
        <v>49728898.924638242</v>
      </c>
      <c r="AK470" s="81">
        <v>50057615.549407296</v>
      </c>
      <c r="AL470" s="81">
        <v>50385149.093172893</v>
      </c>
      <c r="AM470" s="81">
        <v>50713323.090374537</v>
      </c>
      <c r="AN470" s="81">
        <v>51044070.78788054</v>
      </c>
      <c r="AO470" s="81">
        <v>51379374.201281406</v>
      </c>
      <c r="AP470" s="81">
        <v>51721294.268876605</v>
      </c>
      <c r="AQ470" s="81">
        <v>52071987.253166996</v>
      </c>
      <c r="AR470" s="81">
        <v>52433705.955462068</v>
      </c>
      <c r="AS470" s="81">
        <v>52808767.624955915</v>
      </c>
      <c r="AT470" s="81">
        <v>53199569.900909588</v>
      </c>
    </row>
    <row r="471" spans="1:46" ht="15.75">
      <c r="A471" s="81" t="s">
        <v>448</v>
      </c>
      <c r="B471" s="80">
        <v>340300</v>
      </c>
      <c r="C471" s="80" t="s">
        <v>429</v>
      </c>
      <c r="D471" s="84" t="s">
        <v>731</v>
      </c>
      <c r="E471" s="81">
        <v>25061632.989785083</v>
      </c>
      <c r="F471" s="81">
        <v>25861868.701627348</v>
      </c>
      <c r="G471" s="81">
        <v>26537741.3524542</v>
      </c>
      <c r="H471" s="81">
        <v>27220553.184922814</v>
      </c>
      <c r="I471" s="81">
        <v>27908756.193423007</v>
      </c>
      <c r="J471" s="81">
        <v>28600806.874325559</v>
      </c>
      <c r="K471" s="81">
        <v>29295166.578321174</v>
      </c>
      <c r="L471" s="81">
        <v>29990301.191578023</v>
      </c>
      <c r="M471" s="81">
        <v>30684698.122699328</v>
      </c>
      <c r="N471" s="81">
        <v>31376884.615175191</v>
      </c>
      <c r="O471" s="81">
        <v>32065419.365364969</v>
      </c>
      <c r="P471" s="81">
        <v>32748901.43163082</v>
      </c>
      <c r="Q471" s="81">
        <v>33311201.231167264</v>
      </c>
      <c r="R471" s="81">
        <v>33863195.960960977</v>
      </c>
      <c r="S471" s="81">
        <v>34403860.06650307</v>
      </c>
      <c r="T471" s="81">
        <v>34932239.292272016</v>
      </c>
      <c r="U471" s="81">
        <v>35447519.246811889</v>
      </c>
      <c r="V471" s="81">
        <v>35948985.023862317</v>
      </c>
      <c r="W471" s="81">
        <v>36436060.992308766</v>
      </c>
      <c r="X471" s="81">
        <v>36908299.938167274</v>
      </c>
      <c r="Y471" s="81">
        <v>37365392.301561147</v>
      </c>
      <c r="Z471" s="81">
        <v>37807208.607525401</v>
      </c>
      <c r="AA471" s="81">
        <v>38228538.607711695</v>
      </c>
      <c r="AB471" s="81">
        <v>38634411.721823841</v>
      </c>
      <c r="AC471" s="81">
        <v>39025213.851669259</v>
      </c>
      <c r="AD471" s="81">
        <v>39401566.03178557</v>
      </c>
      <c r="AE471" s="81">
        <v>39764243.410676643</v>
      </c>
      <c r="AF471" s="81">
        <v>40114301.684704728</v>
      </c>
      <c r="AG471" s="81">
        <v>40452995.480242841</v>
      </c>
      <c r="AH471" s="81">
        <v>40781811.838537574</v>
      </c>
      <c r="AI471" s="81">
        <v>41102530.533625461</v>
      </c>
      <c r="AJ471" s="81">
        <v>41417162.743254915</v>
      </c>
      <c r="AK471" s="81">
        <v>41770879.262535274</v>
      </c>
      <c r="AL471" s="81">
        <v>42123336.521613337</v>
      </c>
      <c r="AM471" s="81">
        <v>42477426.717147894</v>
      </c>
      <c r="AN471" s="81">
        <v>42836383.345286489</v>
      </c>
      <c r="AO471" s="81">
        <v>43203768.822898291</v>
      </c>
      <c r="AP471" s="81">
        <v>43583487.405166119</v>
      </c>
      <c r="AQ471" s="81">
        <v>43979812.070079915</v>
      </c>
      <c r="AR471" s="81">
        <v>44397426.629281774</v>
      </c>
      <c r="AS471" s="81">
        <v>44841356.950886592</v>
      </c>
      <c r="AT471" s="81">
        <v>45317096.575767137</v>
      </c>
    </row>
    <row r="472" spans="1:46" ht="15.75">
      <c r="A472" s="81" t="s">
        <v>448</v>
      </c>
      <c r="B472" s="80">
        <v>340400</v>
      </c>
      <c r="C472" s="80" t="s">
        <v>429</v>
      </c>
      <c r="D472" s="84" t="s">
        <v>730</v>
      </c>
      <c r="E472" s="81">
        <v>26563366.796991669</v>
      </c>
      <c r="F472" s="81">
        <v>27390456.969772916</v>
      </c>
      <c r="G472" s="81">
        <v>28076397.657260738</v>
      </c>
      <c r="H472" s="81">
        <v>28760799.998661101</v>
      </c>
      <c r="I472" s="81">
        <v>29442520.91142663</v>
      </c>
      <c r="J472" s="81">
        <v>30120432.98076525</v>
      </c>
      <c r="K472" s="81">
        <v>30793410.31117411</v>
      </c>
      <c r="L472" s="81">
        <v>31460373.248764344</v>
      </c>
      <c r="M472" s="81">
        <v>32120255.041888647</v>
      </c>
      <c r="N472" s="81">
        <v>32772016.810746886</v>
      </c>
      <c r="O472" s="81">
        <v>33414674.618679639</v>
      </c>
      <c r="P472" s="81">
        <v>34047296.242940128</v>
      </c>
      <c r="Q472" s="81">
        <v>34549940.436623335</v>
      </c>
      <c r="R472" s="81">
        <v>35038671.490436055</v>
      </c>
      <c r="S472" s="81">
        <v>35512899.707124375</v>
      </c>
      <c r="T472" s="81">
        <v>35972151.757475771</v>
      </c>
      <c r="U472" s="81">
        <v>36416008.527829185</v>
      </c>
      <c r="V472" s="81">
        <v>36844144.731499821</v>
      </c>
      <c r="W472" s="81">
        <v>37256359.538516439</v>
      </c>
      <c r="X472" s="81">
        <v>37652510.862225972</v>
      </c>
      <c r="Y472" s="81">
        <v>38032593.420525283</v>
      </c>
      <c r="Z472" s="81">
        <v>38396721.825354174</v>
      </c>
      <c r="AA472" s="81">
        <v>38739826.522123806</v>
      </c>
      <c r="AB472" s="81">
        <v>39067152.229956135</v>
      </c>
      <c r="AC472" s="81">
        <v>39379237.985299923</v>
      </c>
      <c r="AD472" s="81">
        <v>39676691.233219028</v>
      </c>
      <c r="AE472" s="81">
        <v>39960338.594947532</v>
      </c>
      <c r="AF472" s="81">
        <v>40231127.642974354</v>
      </c>
      <c r="AG472" s="81">
        <v>40490159.283581905</v>
      </c>
      <c r="AH472" s="81">
        <v>40738736.465231575</v>
      </c>
      <c r="AI472" s="81">
        <v>40978316.342958957</v>
      </c>
      <c r="AJ472" s="81">
        <v>41210530.456200749</v>
      </c>
      <c r="AK472" s="81">
        <v>41479831.83482489</v>
      </c>
      <c r="AL472" s="81">
        <v>41745427.881010659</v>
      </c>
      <c r="AM472" s="81">
        <v>42009579.455453523</v>
      </c>
      <c r="AN472" s="81">
        <v>42274746.720841527</v>
      </c>
      <c r="AO472" s="81">
        <v>42543642.290517248</v>
      </c>
      <c r="AP472" s="81">
        <v>42819225.469642334</v>
      </c>
      <c r="AQ472" s="81">
        <v>43104679.517331958</v>
      </c>
      <c r="AR472" s="81">
        <v>43403466.951472238</v>
      </c>
      <c r="AS472" s="81">
        <v>43719307.230244517</v>
      </c>
      <c r="AT472" s="81">
        <v>44056201.55393479</v>
      </c>
    </row>
    <row r="473" spans="1:46" ht="15.75">
      <c r="A473" s="81" t="s">
        <v>448</v>
      </c>
      <c r="B473" s="80">
        <v>340500</v>
      </c>
      <c r="C473" s="80" t="s">
        <v>429</v>
      </c>
      <c r="D473" s="84" t="s">
        <v>729</v>
      </c>
      <c r="E473" s="81">
        <v>20210823.91427451</v>
      </c>
      <c r="F473" s="81">
        <v>20867153.117368665</v>
      </c>
      <c r="G473" s="81">
        <v>21408591.754778862</v>
      </c>
      <c r="H473" s="81">
        <v>21941681.438731275</v>
      </c>
      <c r="I473" s="81">
        <v>22465860.489791349</v>
      </c>
      <c r="J473" s="81">
        <v>22980621.029753778</v>
      </c>
      <c r="K473" s="81">
        <v>23485481.886284918</v>
      </c>
      <c r="L473" s="81">
        <v>23979979.634748343</v>
      </c>
      <c r="M473" s="81">
        <v>24463702.768477943</v>
      </c>
      <c r="N473" s="81">
        <v>24936295.779303648</v>
      </c>
      <c r="O473" s="81">
        <v>25397417.267200172</v>
      </c>
      <c r="P473" s="81">
        <v>25846786.807622127</v>
      </c>
      <c r="Q473" s="81">
        <v>26193926.908664819</v>
      </c>
      <c r="R473" s="81">
        <v>26527511.954512086</v>
      </c>
      <c r="S473" s="81">
        <v>26847589.74487194</v>
      </c>
      <c r="T473" s="81">
        <v>27154241.866688829</v>
      </c>
      <c r="U473" s="81">
        <v>27447609.650950439</v>
      </c>
      <c r="V473" s="81">
        <v>27727909.513150424</v>
      </c>
      <c r="W473" s="81">
        <v>27995410.450492691</v>
      </c>
      <c r="X473" s="81">
        <v>28250422.549652889</v>
      </c>
      <c r="Y473" s="81">
        <v>28493351.223833524</v>
      </c>
      <c r="Z473" s="81">
        <v>28724647.523496419</v>
      </c>
      <c r="AA473" s="81">
        <v>28940905.992526222</v>
      </c>
      <c r="AB473" s="81">
        <v>29146380.13035588</v>
      </c>
      <c r="AC473" s="81">
        <v>29341788.808654841</v>
      </c>
      <c r="AD473" s="81">
        <v>29527862.918558378</v>
      </c>
      <c r="AE473" s="81">
        <v>29705473.78491291</v>
      </c>
      <c r="AF473" s="81">
        <v>29875551.548648644</v>
      </c>
      <c r="AG473" s="81">
        <v>30039085.991932627</v>
      </c>
      <c r="AH473" s="81">
        <v>30197187.67392569</v>
      </c>
      <c r="AI473" s="81">
        <v>30351046.84057615</v>
      </c>
      <c r="AJ473" s="81">
        <v>30501950.740938034</v>
      </c>
      <c r="AK473" s="81">
        <v>30682737.363405567</v>
      </c>
      <c r="AL473" s="81">
        <v>30863227.18367742</v>
      </c>
      <c r="AM473" s="81">
        <v>31044960.659387205</v>
      </c>
      <c r="AN473" s="81">
        <v>31229638.843570899</v>
      </c>
      <c r="AO473" s="81">
        <v>31419063.693635538</v>
      </c>
      <c r="AP473" s="81">
        <v>31615157.040468063</v>
      </c>
      <c r="AQ473" s="81">
        <v>31819946.923648924</v>
      </c>
      <c r="AR473" s="81">
        <v>32035569.841117367</v>
      </c>
      <c r="AS473" s="81">
        <v>32264325.310084023</v>
      </c>
      <c r="AT473" s="81">
        <v>32508610.890228346</v>
      </c>
    </row>
    <row r="474" spans="1:46" ht="15.75">
      <c r="A474" s="81" t="s">
        <v>448</v>
      </c>
      <c r="B474" s="80">
        <v>340600</v>
      </c>
      <c r="C474" s="80" t="s">
        <v>429</v>
      </c>
      <c r="D474" s="84" t="s">
        <v>728</v>
      </c>
      <c r="E474" s="81">
        <v>17196712.831757955</v>
      </c>
      <c r="F474" s="81">
        <v>17811725.354976736</v>
      </c>
      <c r="G474" s="81">
        <v>18334410.824462611</v>
      </c>
      <c r="H474" s="81">
        <v>18855209.902800828</v>
      </c>
      <c r="I474" s="81">
        <v>19373478.225562181</v>
      </c>
      <c r="J474" s="81">
        <v>19888565.370308235</v>
      </c>
      <c r="K474" s="81">
        <v>20399825.768293343</v>
      </c>
      <c r="L474" s="81">
        <v>20906651.172399566</v>
      </c>
      <c r="M474" s="81">
        <v>21408444.455703493</v>
      </c>
      <c r="N474" s="81">
        <v>21904653.432316683</v>
      </c>
      <c r="O474" s="81">
        <v>22394732.910342269</v>
      </c>
      <c r="P474" s="81">
        <v>22878189.855267052</v>
      </c>
      <c r="Q474" s="81">
        <v>23274342.381623551</v>
      </c>
      <c r="R474" s="81">
        <v>23661113.559130788</v>
      </c>
      <c r="S474" s="81">
        <v>24038262.783463564</v>
      </c>
      <c r="T474" s="81">
        <v>24405549.578076206</v>
      </c>
      <c r="U474" s="81">
        <v>24762839.411746472</v>
      </c>
      <c r="V474" s="81">
        <v>25110026.943525814</v>
      </c>
      <c r="W474" s="81">
        <v>25447061.603122335</v>
      </c>
      <c r="X474" s="81">
        <v>25773950.602382336</v>
      </c>
      <c r="Y474" s="81">
        <v>26090774.503941685</v>
      </c>
      <c r="Z474" s="81">
        <v>26397678.527944658</v>
      </c>
      <c r="AA474" s="81">
        <v>26691225.455381166</v>
      </c>
      <c r="AB474" s="81">
        <v>26975078.517615579</v>
      </c>
      <c r="AC474" s="81">
        <v>27249590.187612507</v>
      </c>
      <c r="AD474" s="81">
        <v>27515216.781413179</v>
      </c>
      <c r="AE474" s="81">
        <v>27772482.786543403</v>
      </c>
      <c r="AF474" s="81">
        <v>28022038.252997696</v>
      </c>
      <c r="AG474" s="81">
        <v>28264567.351187322</v>
      </c>
      <c r="AH474" s="81">
        <v>28500886.910361573</v>
      </c>
      <c r="AI474" s="81">
        <v>28731895.407056417</v>
      </c>
      <c r="AJ474" s="81">
        <v>28958604.484310213</v>
      </c>
      <c r="AK474" s="81">
        <v>29212116.931381017</v>
      </c>
      <c r="AL474" s="81">
        <v>29463636.026428796</v>
      </c>
      <c r="AM474" s="81">
        <v>29714477.392475449</v>
      </c>
      <c r="AN474" s="81">
        <v>29966106.008174807</v>
      </c>
      <c r="AO474" s="81">
        <v>30220111.331526428</v>
      </c>
      <c r="AP474" s="81">
        <v>30478195.733954519</v>
      </c>
      <c r="AQ474" s="81">
        <v>30742193.537341263</v>
      </c>
      <c r="AR474" s="81">
        <v>31014123.53333189</v>
      </c>
      <c r="AS474" s="81">
        <v>31296082.192976572</v>
      </c>
      <c r="AT474" s="81">
        <v>31590375.984620664</v>
      </c>
    </row>
    <row r="475" spans="1:46" ht="15.75">
      <c r="A475" s="81" t="s">
        <v>448</v>
      </c>
      <c r="B475" s="80">
        <v>340700</v>
      </c>
      <c r="C475" s="80" t="s">
        <v>429</v>
      </c>
      <c r="D475" s="84" t="s">
        <v>727</v>
      </c>
      <c r="E475" s="81">
        <v>10035612.820430309</v>
      </c>
      <c r="F475" s="81">
        <v>10357164.18993669</v>
      </c>
      <c r="G475" s="81">
        <v>10624291.943181153</v>
      </c>
      <c r="H475" s="81">
        <v>10890029.502100483</v>
      </c>
      <c r="I475" s="81">
        <v>11153890.708256945</v>
      </c>
      <c r="J475" s="81">
        <v>11415394.47152462</v>
      </c>
      <c r="K475" s="81">
        <v>11674093.057338875</v>
      </c>
      <c r="L475" s="81">
        <v>11929523.560121702</v>
      </c>
      <c r="M475" s="81">
        <v>12181261.996210082</v>
      </c>
      <c r="N475" s="81">
        <v>12428882.14646231</v>
      </c>
      <c r="O475" s="81">
        <v>12671984.494782578</v>
      </c>
      <c r="P475" s="81">
        <v>12910209.193787431</v>
      </c>
      <c r="Q475" s="81">
        <v>13097505.462985465</v>
      </c>
      <c r="R475" s="81">
        <v>13278462.541938413</v>
      </c>
      <c r="S475" s="81">
        <v>13452861.198386898</v>
      </c>
      <c r="T475" s="81">
        <v>13620555.210518699</v>
      </c>
      <c r="U475" s="81">
        <v>13781384.017939983</v>
      </c>
      <c r="V475" s="81">
        <v>13935286.151365897</v>
      </c>
      <c r="W475" s="81">
        <v>14082189.672110267</v>
      </c>
      <c r="X475" s="81">
        <v>14222128.903015571</v>
      </c>
      <c r="Y475" s="81">
        <v>14355120.869692456</v>
      </c>
      <c r="Z475" s="81">
        <v>14481284.622908067</v>
      </c>
      <c r="AA475" s="81">
        <v>14598158.646336552</v>
      </c>
      <c r="AB475" s="81">
        <v>14708421.827179166</v>
      </c>
      <c r="AC475" s="81">
        <v>14812385.41012452</v>
      </c>
      <c r="AD475" s="81">
        <v>14910364.09738596</v>
      </c>
      <c r="AE475" s="81">
        <v>15002780.928513704</v>
      </c>
      <c r="AF475" s="81">
        <v>15090113.359609175</v>
      </c>
      <c r="AG475" s="81">
        <v>15172907.324243337</v>
      </c>
      <c r="AH475" s="81">
        <v>15251792.248483947</v>
      </c>
      <c r="AI475" s="81">
        <v>15327472.242744504</v>
      </c>
      <c r="AJ475" s="81">
        <v>15400716.403283445</v>
      </c>
      <c r="AK475" s="81">
        <v>15487648.108047612</v>
      </c>
      <c r="AL475" s="81">
        <v>15573877.535311516</v>
      </c>
      <c r="AM475" s="81">
        <v>15660440.806546334</v>
      </c>
      <c r="AN475" s="81">
        <v>15748507.280823473</v>
      </c>
      <c r="AO475" s="81">
        <v>15839305.004607923</v>
      </c>
      <c r="AP475" s="81">
        <v>15934203.007250955</v>
      </c>
      <c r="AQ475" s="81">
        <v>16034662.287524421</v>
      </c>
      <c r="AR475" s="81">
        <v>16142238.406175816</v>
      </c>
      <c r="AS475" s="81">
        <v>16258640.572028605</v>
      </c>
      <c r="AT475" s="81">
        <v>16385680.677203381</v>
      </c>
    </row>
    <row r="476" spans="1:46" ht="15.75">
      <c r="A476" s="81" t="s">
        <v>448</v>
      </c>
      <c r="B476" s="80">
        <v>340800</v>
      </c>
      <c r="C476" s="80" t="s">
        <v>429</v>
      </c>
      <c r="D476" s="84" t="s">
        <v>726</v>
      </c>
      <c r="E476" s="81">
        <v>27885712.459085945</v>
      </c>
      <c r="F476" s="81">
        <v>28794359.230919737</v>
      </c>
      <c r="G476" s="81">
        <v>29555165.565709896</v>
      </c>
      <c r="H476" s="81">
        <v>30314377.602458261</v>
      </c>
      <c r="I476" s="81">
        <v>31070440.748352751</v>
      </c>
      <c r="J476" s="81">
        <v>31821832.960800715</v>
      </c>
      <c r="K476" s="81">
        <v>32567066.626331359</v>
      </c>
      <c r="L476" s="81">
        <v>33304689.869615614</v>
      </c>
      <c r="M476" s="81">
        <v>34033287.262486145</v>
      </c>
      <c r="N476" s="81">
        <v>34751512.249537282</v>
      </c>
      <c r="O476" s="81">
        <v>35458073.148593657</v>
      </c>
      <c r="P476" s="81">
        <v>36151758.664081141</v>
      </c>
      <c r="Q476" s="81">
        <v>36704957.340432242</v>
      </c>
      <c r="R476" s="81">
        <v>37240693.975043178</v>
      </c>
      <c r="S476" s="81">
        <v>37758265.85268762</v>
      </c>
      <c r="T476" s="81">
        <v>38257078.968473189</v>
      </c>
      <c r="U476" s="81">
        <v>38736692.207029305</v>
      </c>
      <c r="V476" s="81">
        <v>39196782.316906035</v>
      </c>
      <c r="W476" s="81">
        <v>39637170.225642368</v>
      </c>
      <c r="X476" s="81">
        <v>40057849.085608989</v>
      </c>
      <c r="Y476" s="81">
        <v>40458975.830342166</v>
      </c>
      <c r="Z476" s="81">
        <v>40840851.613381825</v>
      </c>
      <c r="AA476" s="81">
        <v>41198383.725152925</v>
      </c>
      <c r="AB476" s="81">
        <v>41537491.794924863</v>
      </c>
      <c r="AC476" s="81">
        <v>41859108.477662832</v>
      </c>
      <c r="AD476" s="81">
        <v>42164369.764597014</v>
      </c>
      <c r="AE476" s="81">
        <v>42454655.495728485</v>
      </c>
      <c r="AF476" s="81">
        <v>42731569.408491582</v>
      </c>
      <c r="AG476" s="81">
        <v>42996980.764874659</v>
      </c>
      <c r="AH476" s="81">
        <v>43252982.301261008</v>
      </c>
      <c r="AI476" s="81">
        <v>43501975.296366192</v>
      </c>
      <c r="AJ476" s="81">
        <v>43746616.751169406</v>
      </c>
      <c r="AK476" s="81">
        <v>44035078.735309757</v>
      </c>
      <c r="AL476" s="81">
        <v>44325163.365172006</v>
      </c>
      <c r="AM476" s="81">
        <v>44620493.428966388</v>
      </c>
      <c r="AN476" s="81">
        <v>44924983.656628244</v>
      </c>
      <c r="AO476" s="81">
        <v>45242933.116441891</v>
      </c>
      <c r="AP476" s="81">
        <v>45578992.342996761</v>
      </c>
      <c r="AQ476" s="81">
        <v>45938199.812521204</v>
      </c>
      <c r="AR476" s="81">
        <v>46325983.531740524</v>
      </c>
      <c r="AS476" s="81">
        <v>46748186.793124706</v>
      </c>
      <c r="AT476" s="81">
        <v>47211044.523329489</v>
      </c>
    </row>
    <row r="477" spans="1:46" ht="15.75">
      <c r="A477" s="81" t="s">
        <v>448</v>
      </c>
      <c r="B477" s="80">
        <v>341000</v>
      </c>
      <c r="C477" s="80" t="s">
        <v>429</v>
      </c>
      <c r="D477" s="84" t="s">
        <v>725</v>
      </c>
      <c r="E477" s="81">
        <v>9364966.5426813066</v>
      </c>
      <c r="F477" s="81">
        <v>9647035.478758378</v>
      </c>
      <c r="G477" s="81">
        <v>9876516.6062482819</v>
      </c>
      <c r="H477" s="81">
        <v>10102701.838031795</v>
      </c>
      <c r="I477" s="81">
        <v>10325252.336505249</v>
      </c>
      <c r="J477" s="81">
        <v>10543848.008521779</v>
      </c>
      <c r="K477" s="81">
        <v>10758181.889537273</v>
      </c>
      <c r="L477" s="81">
        <v>10967953.659304488</v>
      </c>
      <c r="M477" s="81">
        <v>11172895.547123749</v>
      </c>
      <c r="N477" s="81">
        <v>11372741.752210468</v>
      </c>
      <c r="O477" s="81">
        <v>11567271.879151696</v>
      </c>
      <c r="P477" s="81">
        <v>11756253.586485429</v>
      </c>
      <c r="Q477" s="81">
        <v>11898502.674306201</v>
      </c>
      <c r="R477" s="81">
        <v>12034329.613406043</v>
      </c>
      <c r="S477" s="81">
        <v>12163689.44122513</v>
      </c>
      <c r="T477" s="81">
        <v>12286539.144808657</v>
      </c>
      <c r="U477" s="81">
        <v>12402894.089220822</v>
      </c>
      <c r="V477" s="81">
        <v>12512774.005541798</v>
      </c>
      <c r="W477" s="81">
        <v>12616270.849957209</v>
      </c>
      <c r="X477" s="81">
        <v>12713474.122488905</v>
      </c>
      <c r="Y477" s="81">
        <v>12804540.014554711</v>
      </c>
      <c r="Z477" s="81">
        <v>12889654.554324893</v>
      </c>
      <c r="AA477" s="81">
        <v>12967261.280431822</v>
      </c>
      <c r="AB477" s="81">
        <v>13039315.229390563</v>
      </c>
      <c r="AC477" s="81">
        <v>13106116.180417707</v>
      </c>
      <c r="AD477" s="81">
        <v>13168041.579396548</v>
      </c>
      <c r="AE477" s="81">
        <v>13225517.829057427</v>
      </c>
      <c r="AF477" s="81">
        <v>13279011.092505148</v>
      </c>
      <c r="AG477" s="81">
        <v>13329061.929616479</v>
      </c>
      <c r="AH477" s="81">
        <v>13376243.359134821</v>
      </c>
      <c r="AI477" s="81">
        <v>13421195.685647851</v>
      </c>
      <c r="AJ477" s="81">
        <v>13464605.930989401</v>
      </c>
      <c r="AK477" s="81">
        <v>13521136.419930851</v>
      </c>
      <c r="AL477" s="81">
        <v>13577580.734032396</v>
      </c>
      <c r="AM477" s="81">
        <v>13634842.71245518</v>
      </c>
      <c r="AN477" s="81">
        <v>13693884.441018958</v>
      </c>
      <c r="AO477" s="81">
        <v>13755740.09832992</v>
      </c>
      <c r="AP477" s="81">
        <v>13821530.802192401</v>
      </c>
      <c r="AQ477" s="81">
        <v>13892454.978219621</v>
      </c>
      <c r="AR477" s="81">
        <v>13969777.770567093</v>
      </c>
      <c r="AS477" s="81">
        <v>14054871.803223057</v>
      </c>
      <c r="AT477" s="81">
        <v>14149154.980968259</v>
      </c>
    </row>
    <row r="478" spans="1:46" ht="15.75">
      <c r="A478" s="81" t="s">
        <v>448</v>
      </c>
      <c r="B478" s="80">
        <v>341100</v>
      </c>
      <c r="C478" s="80" t="s">
        <v>429</v>
      </c>
      <c r="D478" s="84" t="s">
        <v>724</v>
      </c>
      <c r="E478" s="81">
        <v>28476008.233778428</v>
      </c>
      <c r="F478" s="81">
        <v>29384132.324512545</v>
      </c>
      <c r="G478" s="81">
        <v>30145704.727798261</v>
      </c>
      <c r="H478" s="81">
        <v>30909774.912471868</v>
      </c>
      <c r="I478" s="81">
        <v>31674471.547824319</v>
      </c>
      <c r="J478" s="81">
        <v>32437938.728886433</v>
      </c>
      <c r="K478" s="81">
        <v>33198346.6667891</v>
      </c>
      <c r="L478" s="81">
        <v>33953877.870324284</v>
      </c>
      <c r="M478" s="81">
        <v>34702770.052951492</v>
      </c>
      <c r="N478" s="81">
        <v>35443311.512545675</v>
      </c>
      <c r="O478" s="81">
        <v>36173852.534818284</v>
      </c>
      <c r="P478" s="81">
        <v>36892817.163693801</v>
      </c>
      <c r="Q478" s="81">
        <v>37469606.989806063</v>
      </c>
      <c r="R478" s="81">
        <v>38029379.044550367</v>
      </c>
      <c r="S478" s="81">
        <v>38571104.280662268</v>
      </c>
      <c r="T478" s="81">
        <v>39093868.996942788</v>
      </c>
      <c r="U478" s="81">
        <v>39596894.089374475</v>
      </c>
      <c r="V478" s="81">
        <v>40079584.647099257</v>
      </c>
      <c r="W478" s="81">
        <v>40541493.905956149</v>
      </c>
      <c r="X478" s="81">
        <v>40982383.763490684</v>
      </c>
      <c r="Y478" s="81">
        <v>41402167.394195691</v>
      </c>
      <c r="Z478" s="81">
        <v>41801001.204849035</v>
      </c>
      <c r="AA478" s="81">
        <v>42173490.453045562</v>
      </c>
      <c r="AB478" s="81">
        <v>42525550.832239203</v>
      </c>
      <c r="AC478" s="81">
        <v>42858039.506514646</v>
      </c>
      <c r="AD478" s="81">
        <v>43172079.298121184</v>
      </c>
      <c r="AE478" s="81">
        <v>43469028.029334955</v>
      </c>
      <c r="AF478" s="81">
        <v>43750567.822764553</v>
      </c>
      <c r="AG478" s="81">
        <v>44018641.785164043</v>
      </c>
      <c r="AH478" s="81">
        <v>44275522.733147465</v>
      </c>
      <c r="AI478" s="81">
        <v>44523816.632559478</v>
      </c>
      <c r="AJ478" s="81">
        <v>44766429.950348772</v>
      </c>
      <c r="AK478" s="81">
        <v>45052914.894680053</v>
      </c>
      <c r="AL478" s="81">
        <v>45340426.597278453</v>
      </c>
      <c r="AM478" s="81">
        <v>45632996.981557071</v>
      </c>
      <c r="AN478" s="81">
        <v>45935104.064661615</v>
      </c>
      <c r="AO478" s="81">
        <v>46251652.690008365</v>
      </c>
      <c r="AP478" s="81">
        <v>46587978.086829357</v>
      </c>
      <c r="AQ478" s="81">
        <v>46949887.512408376</v>
      </c>
      <c r="AR478" s="81">
        <v>47343651.614013888</v>
      </c>
      <c r="AS478" s="81">
        <v>47776087.063720442</v>
      </c>
      <c r="AT478" s="81">
        <v>48254455.962577999</v>
      </c>
    </row>
    <row r="479" spans="1:46" ht="15.75">
      <c r="A479" s="81" t="s">
        <v>448</v>
      </c>
      <c r="B479" s="80">
        <v>341200</v>
      </c>
      <c r="C479" s="80" t="s">
        <v>429</v>
      </c>
      <c r="D479" s="84" t="s">
        <v>723</v>
      </c>
      <c r="E479" s="81">
        <v>61720158.274099931</v>
      </c>
      <c r="F479" s="81">
        <v>63459702.451782577</v>
      </c>
      <c r="G479" s="81">
        <v>64947512.724603005</v>
      </c>
      <c r="H479" s="81">
        <v>66503918.859480567</v>
      </c>
      <c r="I479" s="81">
        <v>68121934.350311935</v>
      </c>
      <c r="J479" s="81">
        <v>69794431.963102937</v>
      </c>
      <c r="K479" s="81">
        <v>71514182.794614017</v>
      </c>
      <c r="L479" s="81">
        <v>73273897.040851638</v>
      </c>
      <c r="M479" s="81">
        <v>75066239.826403707</v>
      </c>
      <c r="N479" s="81">
        <v>76883909.057440355</v>
      </c>
      <c r="O479" s="81">
        <v>78719663.680137306</v>
      </c>
      <c r="P479" s="81">
        <v>80566370.391665623</v>
      </c>
      <c r="Q479" s="81">
        <v>82134033.86849156</v>
      </c>
      <c r="R479" s="81">
        <v>83691027.361639649</v>
      </c>
      <c r="S479" s="81">
        <v>85231157.648884431</v>
      </c>
      <c r="T479" s="81">
        <v>86748598.355507344</v>
      </c>
      <c r="U479" s="81">
        <v>88237954.814711079</v>
      </c>
      <c r="V479" s="81">
        <v>89694311.134395853</v>
      </c>
      <c r="W479" s="81">
        <v>91113319.899968341</v>
      </c>
      <c r="X479" s="81">
        <v>92491159.193964422</v>
      </c>
      <c r="Y479" s="81">
        <v>93824664.622021481</v>
      </c>
      <c r="Z479" s="81">
        <v>95111360.912291884</v>
      </c>
      <c r="AA479" s="81">
        <v>96336328.876332</v>
      </c>
      <c r="AB479" s="81">
        <v>97510692.992491096</v>
      </c>
      <c r="AC479" s="81">
        <v>98634358.513574749</v>
      </c>
      <c r="AD479" s="81">
        <v>99708148.703562111</v>
      </c>
      <c r="AE479" s="81">
        <v>100733803.45055497</v>
      </c>
      <c r="AF479" s="81">
        <v>101714091.83177973</v>
      </c>
      <c r="AG479" s="81">
        <v>102652858.6159924</v>
      </c>
      <c r="AH479" s="81">
        <v>103555058.6475385</v>
      </c>
      <c r="AI479" s="81">
        <v>104426826.93645273</v>
      </c>
      <c r="AJ479" s="81">
        <v>105275550.54659085</v>
      </c>
      <c r="AK479" s="81">
        <v>106218983.20317158</v>
      </c>
      <c r="AL479" s="81">
        <v>107158063.97647195</v>
      </c>
      <c r="AM479" s="81">
        <v>108104305.41724819</v>
      </c>
      <c r="AN479" s="81">
        <v>109070758.92405462</v>
      </c>
      <c r="AO479" s="81">
        <v>110072110.82744586</v>
      </c>
      <c r="AP479" s="81">
        <v>111124687.55768271</v>
      </c>
      <c r="AQ479" s="81">
        <v>112246606.21255377</v>
      </c>
      <c r="AR479" s="81">
        <v>113457794.61664817</v>
      </c>
      <c r="AS479" s="81">
        <v>114780091.90886515</v>
      </c>
      <c r="AT479" s="81">
        <v>116237295.68901314</v>
      </c>
    </row>
    <row r="480" spans="1:46" ht="15.75">
      <c r="A480" s="81" t="s">
        <v>448</v>
      </c>
      <c r="B480" s="80">
        <v>341300</v>
      </c>
      <c r="C480" s="80" t="s">
        <v>429</v>
      </c>
      <c r="D480" s="84" t="s">
        <v>722</v>
      </c>
      <c r="E480" s="81">
        <v>30396306.198307667</v>
      </c>
      <c r="F480" s="81">
        <v>31378693.506358135</v>
      </c>
      <c r="G480" s="81">
        <v>32217576.790067125</v>
      </c>
      <c r="H480" s="81">
        <v>33071711.878414493</v>
      </c>
      <c r="I480" s="81">
        <v>33938692.902747095</v>
      </c>
      <c r="J480" s="81">
        <v>34816127.524932593</v>
      </c>
      <c r="K480" s="81">
        <v>35701601.184695192</v>
      </c>
      <c r="L480" s="81">
        <v>36592702.25066682</v>
      </c>
      <c r="M480" s="81">
        <v>37487062.7144337</v>
      </c>
      <c r="N480" s="81">
        <v>38382326.665675275</v>
      </c>
      <c r="O480" s="81">
        <v>39276198.168389134</v>
      </c>
      <c r="P480" s="81">
        <v>40166457.765600421</v>
      </c>
      <c r="Q480" s="81">
        <v>40909984.91717457</v>
      </c>
      <c r="R480" s="81">
        <v>41642089.722349234</v>
      </c>
      <c r="S480" s="81">
        <v>42361020.212970406</v>
      </c>
      <c r="T480" s="81">
        <v>43065209.220229961</v>
      </c>
      <c r="U480" s="81">
        <v>43753230.140760191</v>
      </c>
      <c r="V480" s="81">
        <v>44423849.298022904</v>
      </c>
      <c r="W480" s="81">
        <v>45076034.382455654</v>
      </c>
      <c r="X480" s="81">
        <v>45708962.540245406</v>
      </c>
      <c r="Y480" s="81">
        <v>46322052.556106344</v>
      </c>
      <c r="Z480" s="81">
        <v>46914957.374166153</v>
      </c>
      <c r="AA480" s="81">
        <v>47481103.312419958</v>
      </c>
      <c r="AB480" s="81">
        <v>48026679.414738402</v>
      </c>
      <c r="AC480" s="81">
        <v>48552195.895980455</v>
      </c>
      <c r="AD480" s="81">
        <v>49058491.556173675</v>
      </c>
      <c r="AE480" s="81">
        <v>49546734.609615996</v>
      </c>
      <c r="AF480" s="81">
        <v>50018440.314187579</v>
      </c>
      <c r="AG480" s="81">
        <v>50475516.102774382</v>
      </c>
      <c r="AH480" s="81">
        <v>50920235.528880239</v>
      </c>
      <c r="AI480" s="81">
        <v>51355302.100874588</v>
      </c>
      <c r="AJ480" s="81">
        <v>51783822.587682568</v>
      </c>
      <c r="AK480" s="81">
        <v>52263033.638104975</v>
      </c>
      <c r="AL480" s="81">
        <v>52743309.748565689</v>
      </c>
      <c r="AM480" s="81">
        <v>53229204.82794413</v>
      </c>
      <c r="AN480" s="81">
        <v>53725773.576364391</v>
      </c>
      <c r="AO480" s="81">
        <v>54238652.600766592</v>
      </c>
      <c r="AP480" s="81">
        <v>54774013.660944752</v>
      </c>
      <c r="AQ480" s="81">
        <v>55338635.962688446</v>
      </c>
      <c r="AR480" s="81">
        <v>55939940.784645952</v>
      </c>
      <c r="AS480" s="81">
        <v>56585942.176249877</v>
      </c>
      <c r="AT480" s="81">
        <v>57285375.34288799</v>
      </c>
    </row>
    <row r="481" spans="1:46" ht="15.75">
      <c r="A481" s="81" t="s">
        <v>448</v>
      </c>
      <c r="B481" s="80">
        <v>341500</v>
      </c>
      <c r="C481" s="80" t="s">
        <v>429</v>
      </c>
      <c r="D481" s="84" t="s">
        <v>721</v>
      </c>
      <c r="E481" s="81">
        <v>27518603.677854646</v>
      </c>
      <c r="F481" s="81">
        <v>28370948.919426102</v>
      </c>
      <c r="G481" s="81">
        <v>29083803.256186843</v>
      </c>
      <c r="H481" s="81">
        <v>29801345.275948808</v>
      </c>
      <c r="I481" s="81">
        <v>30521896.571572356</v>
      </c>
      <c r="J481" s="81">
        <v>31243774.361301184</v>
      </c>
      <c r="K481" s="81">
        <v>31965306.965011232</v>
      </c>
      <c r="L481" s="81">
        <v>32684850.435708404</v>
      </c>
      <c r="M481" s="81">
        <v>33400776.726269878</v>
      </c>
      <c r="N481" s="81">
        <v>34111520.097805895</v>
      </c>
      <c r="O481" s="81">
        <v>34815543.4555967</v>
      </c>
      <c r="P481" s="81">
        <v>35511370.460225612</v>
      </c>
      <c r="Q481" s="81">
        <v>36073314.596690185</v>
      </c>
      <c r="R481" s="81">
        <v>36621823.271372341</v>
      </c>
      <c r="S481" s="81">
        <v>37155873.368252918</v>
      </c>
      <c r="T481" s="81">
        <v>37674542.031942949</v>
      </c>
      <c r="U481" s="81">
        <v>38177032.422806144</v>
      </c>
      <c r="V481" s="81">
        <v>38662692.55514764</v>
      </c>
      <c r="W481" s="81">
        <v>39131000.335127406</v>
      </c>
      <c r="X481" s="81">
        <v>39581625.866442285</v>
      </c>
      <c r="Y481" s="81">
        <v>40014355.481973745</v>
      </c>
      <c r="Z481" s="81">
        <v>40429198.742171802</v>
      </c>
      <c r="AA481" s="81">
        <v>40820746.762752153</v>
      </c>
      <c r="AB481" s="81">
        <v>41194558.55340334</v>
      </c>
      <c r="AC481" s="81">
        <v>41551227.129034922</v>
      </c>
      <c r="AD481" s="81">
        <v>41891599.121541701</v>
      </c>
      <c r="AE481" s="81">
        <v>42216740.039661743</v>
      </c>
      <c r="AF481" s="81">
        <v>42527974.435675927</v>
      </c>
      <c r="AG481" s="81">
        <v>42826868.862604447</v>
      </c>
      <c r="AH481" s="81">
        <v>43115293.303624094</v>
      </c>
      <c r="AI481" s="81">
        <v>43395374.380285598</v>
      </c>
      <c r="AJ481" s="81">
        <v>43669547.439560853</v>
      </c>
      <c r="AK481" s="81">
        <v>43985724.358509809</v>
      </c>
      <c r="AL481" s="81">
        <v>44301640.128902636</v>
      </c>
      <c r="AM481" s="81">
        <v>44620730.615810186</v>
      </c>
      <c r="AN481" s="81">
        <v>44946765.509902827</v>
      </c>
      <c r="AO481" s="81">
        <v>45283916.259446368</v>
      </c>
      <c r="AP481" s="81">
        <v>45636761.323741667</v>
      </c>
      <c r="AQ481" s="81">
        <v>46010256.705581583</v>
      </c>
      <c r="AR481" s="81">
        <v>46409806.659223996</v>
      </c>
      <c r="AS481" s="81">
        <v>46841234.172797464</v>
      </c>
      <c r="AT481" s="81">
        <v>47310854.287017368</v>
      </c>
    </row>
    <row r="482" spans="1:46" ht="15.75">
      <c r="A482" s="81" t="s">
        <v>448</v>
      </c>
      <c r="B482" s="80">
        <v>341600</v>
      </c>
      <c r="C482" s="80" t="s">
        <v>429</v>
      </c>
      <c r="D482" s="84" t="s">
        <v>720</v>
      </c>
      <c r="E482" s="81">
        <v>27407519.076414168</v>
      </c>
      <c r="F482" s="81">
        <v>28203367.754623596</v>
      </c>
      <c r="G482" s="81">
        <v>28888195.366995815</v>
      </c>
      <c r="H482" s="81">
        <v>29604408.964407835</v>
      </c>
      <c r="I482" s="81">
        <v>30349074.903574821</v>
      </c>
      <c r="J482" s="81">
        <v>31119189.719563581</v>
      </c>
      <c r="K482" s="81">
        <v>31911689.600041073</v>
      </c>
      <c r="L482" s="81">
        <v>32723497.970277153</v>
      </c>
      <c r="M482" s="81">
        <v>33551493.217850398</v>
      </c>
      <c r="N482" s="81">
        <v>34392570.286534861</v>
      </c>
      <c r="O482" s="81">
        <v>35243634.148178987</v>
      </c>
      <c r="P482" s="81">
        <v>36101632.124639533</v>
      </c>
      <c r="Q482" s="81">
        <v>36836617.288260937</v>
      </c>
      <c r="R482" s="81">
        <v>37568854.85619463</v>
      </c>
      <c r="S482" s="81">
        <v>38295627.37743485</v>
      </c>
      <c r="T482" s="81">
        <v>39014384.070106037</v>
      </c>
      <c r="U482" s="81">
        <v>39722738.806663029</v>
      </c>
      <c r="V482" s="81">
        <v>40418504.03511589</v>
      </c>
      <c r="W482" s="81">
        <v>41099711.213541068</v>
      </c>
      <c r="X482" s="81">
        <v>41764616.272179097</v>
      </c>
      <c r="Y482" s="81">
        <v>42411727.622505464</v>
      </c>
      <c r="Z482" s="81">
        <v>43039835.230415411</v>
      </c>
      <c r="AA482" s="81">
        <v>43642064.287433937</v>
      </c>
      <c r="AB482" s="81">
        <v>44223281.120456122</v>
      </c>
      <c r="AC482" s="81">
        <v>44783248.266788028</v>
      </c>
      <c r="AD482" s="81">
        <v>45322092.56609264</v>
      </c>
      <c r="AE482" s="81">
        <v>45840328.035494983</v>
      </c>
      <c r="AF482" s="81">
        <v>46338870.523651786</v>
      </c>
      <c r="AG482" s="81">
        <v>46819095.526545107</v>
      </c>
      <c r="AH482" s="81">
        <v>47282819.798335761</v>
      </c>
      <c r="AI482" s="81">
        <v>47732351.313104324</v>
      </c>
      <c r="AJ482" s="81">
        <v>48170496.44594495</v>
      </c>
      <c r="AK482" s="81">
        <v>48650573.284246236</v>
      </c>
      <c r="AL482" s="81">
        <v>49126593.58742594</v>
      </c>
      <c r="AM482" s="81">
        <v>49603066.259602785</v>
      </c>
      <c r="AN482" s="81">
        <v>50085121.917153142</v>
      </c>
      <c r="AO482" s="81">
        <v>50578541.131379619</v>
      </c>
      <c r="AP482" s="81">
        <v>51089832.05106692</v>
      </c>
      <c r="AQ482" s="81">
        <v>51626183.274522968</v>
      </c>
      <c r="AR482" s="81">
        <v>52195551.714267924</v>
      </c>
      <c r="AS482" s="81">
        <v>52806684.230889894</v>
      </c>
      <c r="AT482" s="81">
        <v>53469128.60066162</v>
      </c>
    </row>
    <row r="483" spans="1:46" ht="15.75">
      <c r="A483" s="81" t="s">
        <v>448</v>
      </c>
      <c r="B483" s="80">
        <v>341700</v>
      </c>
      <c r="C483" s="80" t="s">
        <v>429</v>
      </c>
      <c r="D483" s="84" t="s">
        <v>719</v>
      </c>
      <c r="E483" s="81">
        <v>9949725.36102877</v>
      </c>
      <c r="F483" s="81">
        <v>10259596.84828876</v>
      </c>
      <c r="G483" s="81">
        <v>10517197.254243767</v>
      </c>
      <c r="H483" s="81">
        <v>10774714.097580461</v>
      </c>
      <c r="I483" s="81">
        <v>11031594.518551633</v>
      </c>
      <c r="J483" s="81">
        <v>11287287.37498517</v>
      </c>
      <c r="K483" s="81">
        <v>11541271.168475756</v>
      </c>
      <c r="L483" s="81">
        <v>11792998.982996859</v>
      </c>
      <c r="M483" s="81">
        <v>12041976.941406623</v>
      </c>
      <c r="N483" s="81">
        <v>12287690.83108343</v>
      </c>
      <c r="O483" s="81">
        <v>12529669.519980792</v>
      </c>
      <c r="P483" s="81">
        <v>12767462.767082199</v>
      </c>
      <c r="Q483" s="81">
        <v>12955989.625668403</v>
      </c>
      <c r="R483" s="81">
        <v>13138695.101419143</v>
      </c>
      <c r="S483" s="81">
        <v>13315295.767093759</v>
      </c>
      <c r="T483" s="81">
        <v>13485545.14820946</v>
      </c>
      <c r="U483" s="81">
        <v>13649226.637742804</v>
      </c>
      <c r="V483" s="81">
        <v>13806196.25575627</v>
      </c>
      <c r="W483" s="81">
        <v>13956336.453502042</v>
      </c>
      <c r="X483" s="81">
        <v>14099589.00778636</v>
      </c>
      <c r="Y483" s="81">
        <v>14235969.455789803</v>
      </c>
      <c r="Z483" s="81">
        <v>14365528.895591566</v>
      </c>
      <c r="AA483" s="81">
        <v>14486407.217411591</v>
      </c>
      <c r="AB483" s="81">
        <v>14600637.570442596</v>
      </c>
      <c r="AC483" s="81">
        <v>14708475.886583</v>
      </c>
      <c r="AD483" s="81">
        <v>14810281.849559531</v>
      </c>
      <c r="AE483" s="81">
        <v>14906455.752327302</v>
      </c>
      <c r="AF483" s="81">
        <v>14997509.389389006</v>
      </c>
      <c r="AG483" s="81">
        <v>15084001.208960548</v>
      </c>
      <c r="AH483" s="81">
        <v>15166632.964776428</v>
      </c>
      <c r="AI483" s="81">
        <v>15246160.529465459</v>
      </c>
      <c r="AJ483" s="81">
        <v>15323444.176682752</v>
      </c>
      <c r="AK483" s="81">
        <v>15415277.875254337</v>
      </c>
      <c r="AL483" s="81">
        <v>15506794.798782377</v>
      </c>
      <c r="AM483" s="81">
        <v>15599174.806056494</v>
      </c>
      <c r="AN483" s="81">
        <v>15693737.086809982</v>
      </c>
      <c r="AO483" s="81">
        <v>15791880.729812261</v>
      </c>
      <c r="AP483" s="81">
        <v>15895166.034211406</v>
      </c>
      <c r="AQ483" s="81">
        <v>16005281.200480357</v>
      </c>
      <c r="AR483" s="81">
        <v>16124033.184218783</v>
      </c>
      <c r="AS483" s="81">
        <v>16253378.905936256</v>
      </c>
      <c r="AT483" s="81">
        <v>16395416.739440156</v>
      </c>
    </row>
    <row r="484" spans="1:46" ht="15.75">
      <c r="A484" s="81" t="s">
        <v>448</v>
      </c>
      <c r="B484" s="80">
        <v>341800</v>
      </c>
      <c r="C484" s="80" t="s">
        <v>429</v>
      </c>
      <c r="D484" s="84" t="s">
        <v>718</v>
      </c>
      <c r="E484" s="81">
        <v>18496408.636707786</v>
      </c>
      <c r="F484" s="81">
        <v>19044802.728742953</v>
      </c>
      <c r="G484" s="81">
        <v>19491546.102358982</v>
      </c>
      <c r="H484" s="81">
        <v>19933910.179809846</v>
      </c>
      <c r="I484" s="81">
        <v>20371160.149885029</v>
      </c>
      <c r="J484" s="81">
        <v>20802554.710558008</v>
      </c>
      <c r="K484" s="81">
        <v>21227397.927437816</v>
      </c>
      <c r="L484" s="81">
        <v>21645011.255390715</v>
      </c>
      <c r="M484" s="81">
        <v>22054745.497972388</v>
      </c>
      <c r="N484" s="81">
        <v>22455976.041888367</v>
      </c>
      <c r="O484" s="81">
        <v>22848115.357634608</v>
      </c>
      <c r="P484" s="81">
        <v>23230626.616461512</v>
      </c>
      <c r="Q484" s="81">
        <v>23521945.902196892</v>
      </c>
      <c r="R484" s="81">
        <v>23801573.233475093</v>
      </c>
      <c r="S484" s="81">
        <v>24069244.151041999</v>
      </c>
      <c r="T484" s="81">
        <v>24324773.28084467</v>
      </c>
      <c r="U484" s="81">
        <v>24568009.853520572</v>
      </c>
      <c r="V484" s="81">
        <v>24798890.007461242</v>
      </c>
      <c r="W484" s="81">
        <v>25017411.504244585</v>
      </c>
      <c r="X484" s="81">
        <v>25223657.874549031</v>
      </c>
      <c r="Y484" s="81">
        <v>25417771.688465726</v>
      </c>
      <c r="Z484" s="81">
        <v>25599989.369968221</v>
      </c>
      <c r="AA484" s="81">
        <v>25767122.335308943</v>
      </c>
      <c r="AB484" s="81">
        <v>25922837.772896424</v>
      </c>
      <c r="AC484" s="81">
        <v>26067669.577099469</v>
      </c>
      <c r="AD484" s="81">
        <v>26202242.226938982</v>
      </c>
      <c r="AE484" s="81">
        <v>26327251.601432674</v>
      </c>
      <c r="AF484" s="81">
        <v>26443548.27771765</v>
      </c>
      <c r="AG484" s="81">
        <v>26552062.94802504</v>
      </c>
      <c r="AH484" s="81">
        <v>26653856.294385344</v>
      </c>
      <c r="AI484" s="81">
        <v>26750100.324813701</v>
      </c>
      <c r="AJ484" s="81">
        <v>26842106.715826761</v>
      </c>
      <c r="AK484" s="81">
        <v>26958982.860798061</v>
      </c>
      <c r="AL484" s="81">
        <v>27074370.48183997</v>
      </c>
      <c r="AM484" s="81">
        <v>27189964.300275356</v>
      </c>
      <c r="AN484" s="81">
        <v>27307663.288112532</v>
      </c>
      <c r="AO484" s="81">
        <v>27429488.249483321</v>
      </c>
      <c r="AP484" s="81">
        <v>27557637.693357237</v>
      </c>
      <c r="AQ484" s="81">
        <v>27694454.144821044</v>
      </c>
      <c r="AR484" s="81">
        <v>27842495.946906704</v>
      </c>
      <c r="AS484" s="81">
        <v>28004463.182683896</v>
      </c>
      <c r="AT484" s="81">
        <v>28183270.485166062</v>
      </c>
    </row>
    <row r="485" spans="1:46" ht="15.75">
      <c r="A485" s="81" t="s">
        <v>448</v>
      </c>
      <c r="B485" s="80">
        <v>350100</v>
      </c>
      <c r="C485" s="80" t="s">
        <v>428</v>
      </c>
      <c r="D485" s="84" t="s">
        <v>717</v>
      </c>
      <c r="E485" s="81">
        <v>84262018.860143498</v>
      </c>
      <c r="F485" s="81">
        <v>87460524.921500579</v>
      </c>
      <c r="G485" s="81">
        <v>90196580.063478187</v>
      </c>
      <c r="H485" s="81">
        <v>92892308.206429958</v>
      </c>
      <c r="I485" s="81">
        <v>95547896.974374875</v>
      </c>
      <c r="J485" s="81">
        <v>98163690.032631963</v>
      </c>
      <c r="K485" s="81">
        <v>100740188.0863312</v>
      </c>
      <c r="L485" s="81">
        <v>103278062.61352986</v>
      </c>
      <c r="M485" s="81">
        <v>105778085.97423345</v>
      </c>
      <c r="N485" s="81">
        <v>108241178.44704893</v>
      </c>
      <c r="O485" s="81">
        <v>110668398.22502638</v>
      </c>
      <c r="P485" s="81">
        <v>113060852.41602033</v>
      </c>
      <c r="Q485" s="81">
        <v>115068014.06786944</v>
      </c>
      <c r="R485" s="81">
        <v>117033799.49112225</v>
      </c>
      <c r="S485" s="81">
        <v>118960037.59514968</v>
      </c>
      <c r="T485" s="81">
        <v>120848579.47671221</v>
      </c>
      <c r="U485" s="81">
        <v>122701240.57907155</v>
      </c>
      <c r="V485" s="81">
        <v>124519853.62239152</v>
      </c>
      <c r="W485" s="81">
        <v>126306181.47480962</v>
      </c>
      <c r="X485" s="81">
        <v>128061926.82173979</v>
      </c>
      <c r="Y485" s="81">
        <v>129788744.17612617</v>
      </c>
      <c r="Z485" s="81">
        <v>131488162.083924</v>
      </c>
      <c r="AA485" s="81">
        <v>133195062.77853735</v>
      </c>
      <c r="AB485" s="81">
        <v>134875493.35512266</v>
      </c>
      <c r="AC485" s="81">
        <v>136530589.41249436</v>
      </c>
      <c r="AD485" s="81">
        <v>138161331.05129558</v>
      </c>
      <c r="AE485" s="81">
        <v>139768489.34996167</v>
      </c>
      <c r="AF485" s="81">
        <v>141352636.865071</v>
      </c>
      <c r="AG485" s="81">
        <v>142914092.30534112</v>
      </c>
      <c r="AH485" s="81">
        <v>144452931.22410607</v>
      </c>
      <c r="AI485" s="81">
        <v>145968911.26142803</v>
      </c>
      <c r="AJ485" s="81">
        <v>147461553.2573013</v>
      </c>
      <c r="AK485" s="81">
        <v>149140869.64488769</v>
      </c>
      <c r="AL485" s="81">
        <v>150794746.74624041</v>
      </c>
      <c r="AM485" s="81">
        <v>152421501.09041566</v>
      </c>
      <c r="AN485" s="81">
        <v>154019018.57923466</v>
      </c>
      <c r="AO485" s="81">
        <v>155584802.08758906</v>
      </c>
      <c r="AP485" s="81">
        <v>157115849.13933277</v>
      </c>
      <c r="AQ485" s="81">
        <v>158608659.66149449</v>
      </c>
      <c r="AR485" s="81">
        <v>160059206.37756968</v>
      </c>
      <c r="AS485" s="81">
        <v>161462945.71569982</v>
      </c>
      <c r="AT485" s="81">
        <v>162814686.29577738</v>
      </c>
    </row>
    <row r="486" spans="1:46" ht="15.75">
      <c r="A486" s="81" t="s">
        <v>448</v>
      </c>
      <c r="B486" s="80">
        <v>350200</v>
      </c>
      <c r="C486" s="80" t="s">
        <v>428</v>
      </c>
      <c r="D486" s="84" t="s">
        <v>716</v>
      </c>
      <c r="E486" s="81">
        <v>52142978.441182628</v>
      </c>
      <c r="F486" s="81">
        <v>54475707.575463004</v>
      </c>
      <c r="G486" s="81">
        <v>56491579.32743299</v>
      </c>
      <c r="H486" s="81">
        <v>58454701.593073361</v>
      </c>
      <c r="I486" s="81">
        <v>60368144.639758259</v>
      </c>
      <c r="J486" s="81">
        <v>62235235.262530856</v>
      </c>
      <c r="K486" s="81">
        <v>64059417.210989751</v>
      </c>
      <c r="L486" s="81">
        <v>65844299.463716336</v>
      </c>
      <c r="M486" s="81">
        <v>67593590.651324987</v>
      </c>
      <c r="N486" s="81">
        <v>69311102.530410305</v>
      </c>
      <c r="O486" s="81">
        <v>71000654.172613382</v>
      </c>
      <c r="P486" s="81">
        <v>72666071.199669302</v>
      </c>
      <c r="Q486" s="81">
        <v>74084710.251164258</v>
      </c>
      <c r="R486" s="81">
        <v>75480081.388114676</v>
      </c>
      <c r="S486" s="81">
        <v>76856079.790363476</v>
      </c>
      <c r="T486" s="81">
        <v>78216371.318054408</v>
      </c>
      <c r="U486" s="81">
        <v>79564407.535197139</v>
      </c>
      <c r="V486" s="81">
        <v>80903301.066135764</v>
      </c>
      <c r="W486" s="81">
        <v>82235896.817597538</v>
      </c>
      <c r="X486" s="81">
        <v>83564630.056370437</v>
      </c>
      <c r="Y486" s="81">
        <v>84891540.09040381</v>
      </c>
      <c r="Z486" s="81">
        <v>86218196.433166265</v>
      </c>
      <c r="AA486" s="81">
        <v>87567667.532387987</v>
      </c>
      <c r="AB486" s="81">
        <v>88917400.607513383</v>
      </c>
      <c r="AC486" s="81">
        <v>90267351.391801193</v>
      </c>
      <c r="AD486" s="81">
        <v>91616753.792615816</v>
      </c>
      <c r="AE486" s="81">
        <v>92964213.343906879</v>
      </c>
      <c r="AF486" s="81">
        <v>94307560.438347012</v>
      </c>
      <c r="AG486" s="81">
        <v>95643796.345575571</v>
      </c>
      <c r="AH486" s="81">
        <v>96969107.789424181</v>
      </c>
      <c r="AI486" s="81">
        <v>98278781.056215391</v>
      </c>
      <c r="AJ486" s="81">
        <v>99567112.21063447</v>
      </c>
      <c r="AK486" s="81">
        <v>100970186.5441086</v>
      </c>
      <c r="AL486" s="81">
        <v>102338107.03747216</v>
      </c>
      <c r="AM486" s="81">
        <v>103661785.50357327</v>
      </c>
      <c r="AN486" s="81">
        <v>104930886.74795882</v>
      </c>
      <c r="AO486" s="81">
        <v>106133781.91721235</v>
      </c>
      <c r="AP486" s="81">
        <v>107257443.77218617</v>
      </c>
      <c r="AQ486" s="81">
        <v>108287476.73888776</v>
      </c>
      <c r="AR486" s="81">
        <v>109207952.84174426</v>
      </c>
      <c r="AS486" s="81">
        <v>110001340.26361285</v>
      </c>
      <c r="AT486" s="81">
        <v>110648534.8239103</v>
      </c>
    </row>
    <row r="487" spans="1:46" ht="15.75">
      <c r="A487" s="81" t="s">
        <v>448</v>
      </c>
      <c r="B487" s="80">
        <v>350300</v>
      </c>
      <c r="C487" s="80" t="s">
        <v>428</v>
      </c>
      <c r="D487" s="84" t="s">
        <v>715</v>
      </c>
      <c r="E487" s="81">
        <v>31194513.349581562</v>
      </c>
      <c r="F487" s="81">
        <v>32310245.611685004</v>
      </c>
      <c r="G487" s="81">
        <v>33275970.574525852</v>
      </c>
      <c r="H487" s="81">
        <v>34246453.538117096</v>
      </c>
      <c r="I487" s="81">
        <v>35220162.349704377</v>
      </c>
      <c r="J487" s="81">
        <v>36195553.11689949</v>
      </c>
      <c r="K487" s="81">
        <v>37171110.357255019</v>
      </c>
      <c r="L487" s="81">
        <v>38145345.866591394</v>
      </c>
      <c r="M487" s="81">
        <v>39116773.09139552</v>
      </c>
      <c r="N487" s="81">
        <v>40083949.159556404</v>
      </c>
      <c r="O487" s="81">
        <v>41045497.191877261</v>
      </c>
      <c r="P487" s="81">
        <v>42000068.192094378</v>
      </c>
      <c r="Q487" s="81">
        <v>42815519.049573712</v>
      </c>
      <c r="R487" s="81">
        <v>43617685.689013399</v>
      </c>
      <c r="S487" s="81">
        <v>44405652.650687784</v>
      </c>
      <c r="T487" s="81">
        <v>45178578.590784982</v>
      </c>
      <c r="U487" s="81">
        <v>45935770.745571941</v>
      </c>
      <c r="V487" s="81">
        <v>46676614.823871516</v>
      </c>
      <c r="W487" s="81">
        <v>47400650.931486137</v>
      </c>
      <c r="X487" s="81">
        <v>48107556.897060104</v>
      </c>
      <c r="Y487" s="81">
        <v>48797172.414770357</v>
      </c>
      <c r="Z487" s="81">
        <v>49469466.08947406</v>
      </c>
      <c r="AA487" s="81">
        <v>50137219.581183925</v>
      </c>
      <c r="AB487" s="81">
        <v>50787509.647718459</v>
      </c>
      <c r="AC487" s="81">
        <v>51420862.457856454</v>
      </c>
      <c r="AD487" s="81">
        <v>52038037.657633379</v>
      </c>
      <c r="AE487" s="81">
        <v>52639962.333668433</v>
      </c>
      <c r="AF487" s="81">
        <v>53227850.952318899</v>
      </c>
      <c r="AG487" s="81">
        <v>53803107.024096914</v>
      </c>
      <c r="AH487" s="81">
        <v>54367430.16183842</v>
      </c>
      <c r="AI487" s="81">
        <v>54922747.129378051</v>
      </c>
      <c r="AJ487" s="81">
        <v>55471289.237534188</v>
      </c>
      <c r="AK487" s="81">
        <v>56094868.677054867</v>
      </c>
      <c r="AL487" s="81">
        <v>56716949.614630677</v>
      </c>
      <c r="AM487" s="81">
        <v>57340695.740888409</v>
      </c>
      <c r="AN487" s="81">
        <v>57969539.411699653</v>
      </c>
      <c r="AO487" s="81">
        <v>58607355.800201133</v>
      </c>
      <c r="AP487" s="81">
        <v>59258315.542344511</v>
      </c>
      <c r="AQ487" s="81">
        <v>59927026.28614229</v>
      </c>
      <c r="AR487" s="81">
        <v>60618493.521509081</v>
      </c>
      <c r="AS487" s="81">
        <v>61338076.563673288</v>
      </c>
      <c r="AT487" s="81">
        <v>62091677.611532986</v>
      </c>
    </row>
    <row r="488" spans="1:46" ht="15.75">
      <c r="A488" s="81" t="s">
        <v>448</v>
      </c>
      <c r="B488" s="80">
        <v>350400</v>
      </c>
      <c r="C488" s="80" t="s">
        <v>428</v>
      </c>
      <c r="D488" s="84" t="s">
        <v>714</v>
      </c>
      <c r="E488" s="81">
        <v>21898377.07190739</v>
      </c>
      <c r="F488" s="81">
        <v>22609502.525359079</v>
      </c>
      <c r="G488" s="81">
        <v>23214455.566729058</v>
      </c>
      <c r="H488" s="81">
        <v>23821866.493472502</v>
      </c>
      <c r="I488" s="81">
        <v>24430651.574180823</v>
      </c>
      <c r="J488" s="81">
        <v>25039728.109141957</v>
      </c>
      <c r="K488" s="81">
        <v>25648000.100261018</v>
      </c>
      <c r="L488" s="81">
        <v>26254393.364962846</v>
      </c>
      <c r="M488" s="81">
        <v>26857831.283483438</v>
      </c>
      <c r="N488" s="81">
        <v>27457260.844225682</v>
      </c>
      <c r="O488" s="81">
        <v>28051626.416029062</v>
      </c>
      <c r="P488" s="81">
        <v>28639952.212065723</v>
      </c>
      <c r="Q488" s="81">
        <v>29132187.114413474</v>
      </c>
      <c r="R488" s="81">
        <v>29614239.942617245</v>
      </c>
      <c r="S488" s="81">
        <v>30085382.563688878</v>
      </c>
      <c r="T488" s="81">
        <v>30544898.779823992</v>
      </c>
      <c r="U488" s="81">
        <v>30992171.906455927</v>
      </c>
      <c r="V488" s="81">
        <v>31426656.472413879</v>
      </c>
      <c r="W488" s="81">
        <v>31847884.381050948</v>
      </c>
      <c r="X488" s="81">
        <v>32255471.195785828</v>
      </c>
      <c r="Y488" s="81">
        <v>32649135.59246539</v>
      </c>
      <c r="Z488" s="81">
        <v>33028693.674653839</v>
      </c>
      <c r="AA488" s="81">
        <v>33402437.906107586</v>
      </c>
      <c r="AB488" s="81">
        <v>33761547.25971292</v>
      </c>
      <c r="AC488" s="81">
        <v>34106195.723705046</v>
      </c>
      <c r="AD488" s="81">
        <v>34436629.120660909</v>
      </c>
      <c r="AE488" s="81">
        <v>34753311.117215879</v>
      </c>
      <c r="AF488" s="81">
        <v>35056791.670076951</v>
      </c>
      <c r="AG488" s="81">
        <v>35347783.837212294</v>
      </c>
      <c r="AH488" s="81">
        <v>35627202.298448764</v>
      </c>
      <c r="AI488" s="81">
        <v>35896067.960753307</v>
      </c>
      <c r="AJ488" s="81">
        <v>36155649.967994891</v>
      </c>
      <c r="AK488" s="81">
        <v>36458888.577276073</v>
      </c>
      <c r="AL488" s="81">
        <v>36755532.291291155</v>
      </c>
      <c r="AM488" s="81">
        <v>37047396.449800164</v>
      </c>
      <c r="AN488" s="81">
        <v>37336498.253253892</v>
      </c>
      <c r="AO488" s="81">
        <v>37625114.691820778</v>
      </c>
      <c r="AP488" s="81">
        <v>37915726.817069702</v>
      </c>
      <c r="AQ488" s="81">
        <v>38211095.329524964</v>
      </c>
      <c r="AR488" s="81">
        <v>38514237.918016374</v>
      </c>
      <c r="AS488" s="81">
        <v>38828403.693819761</v>
      </c>
      <c r="AT488" s="81">
        <v>39157205.962423407</v>
      </c>
    </row>
    <row r="489" spans="1:46" ht="15.75">
      <c r="A489" s="81" t="s">
        <v>448</v>
      </c>
      <c r="B489" s="80">
        <v>350500</v>
      </c>
      <c r="C489" s="80" t="s">
        <v>428</v>
      </c>
      <c r="D489" s="84" t="s">
        <v>713</v>
      </c>
      <c r="E489" s="81">
        <v>89021912.555483982</v>
      </c>
      <c r="F489" s="81">
        <v>92643711.090993643</v>
      </c>
      <c r="G489" s="81">
        <v>95785281.23437883</v>
      </c>
      <c r="H489" s="81">
        <v>98892332.946684286</v>
      </c>
      <c r="I489" s="81">
        <v>101964744.61994736</v>
      </c>
      <c r="J489" s="81">
        <v>105002576.11098602</v>
      </c>
      <c r="K489" s="81">
        <v>108006026.48148957</v>
      </c>
      <c r="L489" s="81">
        <v>110975398.55182076</v>
      </c>
      <c r="M489" s="81">
        <v>113911157.80211012</v>
      </c>
      <c r="N489" s="81">
        <v>116813836.74251582</v>
      </c>
      <c r="O489" s="81">
        <v>119684094.0249099</v>
      </c>
      <c r="P489" s="81">
        <v>122522664.60291141</v>
      </c>
      <c r="Q489" s="81">
        <v>124948398.14859717</v>
      </c>
      <c r="R489" s="81">
        <v>127332650.04607657</v>
      </c>
      <c r="S489" s="81">
        <v>129676823.72905064</v>
      </c>
      <c r="T489" s="81">
        <v>131982308.87094913</v>
      </c>
      <c r="U489" s="81">
        <v>134250477.98435959</v>
      </c>
      <c r="V489" s="81">
        <v>136482655.08683848</v>
      </c>
      <c r="W489" s="81">
        <v>138680111.82051936</v>
      </c>
      <c r="X489" s="81">
        <v>140844049.61116177</v>
      </c>
      <c r="Y489" s="81">
        <v>142975535.97995833</v>
      </c>
      <c r="Z489" s="81">
        <v>145075543.68220907</v>
      </c>
      <c r="AA489" s="81">
        <v>147181882.80739391</v>
      </c>
      <c r="AB489" s="81">
        <v>149256377.42906857</v>
      </c>
      <c r="AC489" s="81">
        <v>151299520.57578766</v>
      </c>
      <c r="AD489" s="81">
        <v>153311603.4602316</v>
      </c>
      <c r="AE489" s="81">
        <v>155292709.1698491</v>
      </c>
      <c r="AF489" s="81">
        <v>157242623.16111857</v>
      </c>
      <c r="AG489" s="81">
        <v>159160959.69596919</v>
      </c>
      <c r="AH489" s="81">
        <v>161046971.62139598</v>
      </c>
      <c r="AI489" s="81">
        <v>162899608.79184502</v>
      </c>
      <c r="AJ489" s="81">
        <v>164717547.94184563</v>
      </c>
      <c r="AK489" s="81">
        <v>166734759.82290632</v>
      </c>
      <c r="AL489" s="81">
        <v>168713727.14472562</v>
      </c>
      <c r="AM489" s="81">
        <v>170651754.87150806</v>
      </c>
      <c r="AN489" s="81">
        <v>172545654.31488284</v>
      </c>
      <c r="AO489" s="81">
        <v>174391845.53462616</v>
      </c>
      <c r="AP489" s="81">
        <v>176186177.39701372</v>
      </c>
      <c r="AQ489" s="81">
        <v>177923971.93999624</v>
      </c>
      <c r="AR489" s="81">
        <v>179599994.48628786</v>
      </c>
      <c r="AS489" s="81">
        <v>181208423.2867012</v>
      </c>
      <c r="AT489" s="81">
        <v>182742777.11112133</v>
      </c>
    </row>
    <row r="490" spans="1:46" ht="15.75">
      <c r="A490" s="81" t="s">
        <v>448</v>
      </c>
      <c r="B490" s="80">
        <v>350600</v>
      </c>
      <c r="C490" s="80" t="s">
        <v>428</v>
      </c>
      <c r="D490" s="84" t="s">
        <v>712</v>
      </c>
      <c r="E490" s="81">
        <v>49128653.889548287</v>
      </c>
      <c r="F490" s="81">
        <v>50863961.688304588</v>
      </c>
      <c r="G490" s="81">
        <v>52355131.232728668</v>
      </c>
      <c r="H490" s="81">
        <v>53846408.268256955</v>
      </c>
      <c r="I490" s="81">
        <v>55335976.984753177</v>
      </c>
      <c r="J490" s="81">
        <v>56822006.41566629</v>
      </c>
      <c r="K490" s="81">
        <v>58302699.591779381</v>
      </c>
      <c r="L490" s="81">
        <v>59776291.273317792</v>
      </c>
      <c r="M490" s="81">
        <v>61241067.949412525</v>
      </c>
      <c r="N490" s="81">
        <v>62695341.754315495</v>
      </c>
      <c r="O490" s="81">
        <v>64137505.647248998</v>
      </c>
      <c r="P490" s="81">
        <v>65565995.164340705</v>
      </c>
      <c r="Q490" s="81">
        <v>66775212.782887958</v>
      </c>
      <c r="R490" s="81">
        <v>67962308.671833664</v>
      </c>
      <c r="S490" s="81">
        <v>69126287.312224939</v>
      </c>
      <c r="T490" s="81">
        <v>70266225.80750674</v>
      </c>
      <c r="U490" s="81">
        <v>71381373.804165184</v>
      </c>
      <c r="V490" s="81">
        <v>72471056.415023208</v>
      </c>
      <c r="W490" s="81">
        <v>73534762.445536017</v>
      </c>
      <c r="X490" s="81">
        <v>74572127.116133451</v>
      </c>
      <c r="Y490" s="81">
        <v>75582955.578442514</v>
      </c>
      <c r="Z490" s="81">
        <v>76567174.649041414</v>
      </c>
      <c r="AA490" s="81">
        <v>77544380.838779792</v>
      </c>
      <c r="AB490" s="81">
        <v>78494362.235951304</v>
      </c>
      <c r="AC490" s="81">
        <v>79417616.800738975</v>
      </c>
      <c r="AD490" s="81">
        <v>80314833.695527345</v>
      </c>
      <c r="AE490" s="81">
        <v>81186933.716036096</v>
      </c>
      <c r="AF490" s="81">
        <v>82035064.480082199</v>
      </c>
      <c r="AG490" s="81">
        <v>82860578.009684265</v>
      </c>
      <c r="AH490" s="81">
        <v>83665121.495262548</v>
      </c>
      <c r="AI490" s="81">
        <v>84450550.587058082</v>
      </c>
      <c r="AJ490" s="81">
        <v>85219038.702595577</v>
      </c>
      <c r="AK490" s="81">
        <v>86094736.584902868</v>
      </c>
      <c r="AL490" s="81">
        <v>86958342.837428406</v>
      </c>
      <c r="AM490" s="81">
        <v>87812858.996561691</v>
      </c>
      <c r="AN490" s="81">
        <v>88661600.268711001</v>
      </c>
      <c r="AO490" s="81">
        <v>89508243.656812415</v>
      </c>
      <c r="AP490" s="81">
        <v>90356786.057970256</v>
      </c>
      <c r="AQ490" s="81">
        <v>91211630.388907626</v>
      </c>
      <c r="AR490" s="81">
        <v>92077543.736450464</v>
      </c>
      <c r="AS490" s="81">
        <v>92959708.363427952</v>
      </c>
      <c r="AT490" s="81">
        <v>93863696.938738838</v>
      </c>
    </row>
    <row r="491" spans="1:46" ht="15.75">
      <c r="A491" s="81" t="s">
        <v>448</v>
      </c>
      <c r="B491" s="80">
        <v>350700</v>
      </c>
      <c r="C491" s="80" t="s">
        <v>428</v>
      </c>
      <c r="D491" s="84" t="s">
        <v>711</v>
      </c>
      <c r="E491" s="81">
        <v>23706648.716924708</v>
      </c>
      <c r="F491" s="81">
        <v>24375006.258097935</v>
      </c>
      <c r="G491" s="81">
        <v>24938347.821099952</v>
      </c>
      <c r="H491" s="81">
        <v>25513583.480419427</v>
      </c>
      <c r="I491" s="81">
        <v>26098793.938036311</v>
      </c>
      <c r="J491" s="81">
        <v>26692017.5735179</v>
      </c>
      <c r="K491" s="81">
        <v>27291261.19533857</v>
      </c>
      <c r="L491" s="81">
        <v>27894542.390898533</v>
      </c>
      <c r="M491" s="81">
        <v>28499819.949229281</v>
      </c>
      <c r="N491" s="81">
        <v>29105108.707997024</v>
      </c>
      <c r="O491" s="81">
        <v>29708387.650986023</v>
      </c>
      <c r="P491" s="81">
        <v>30307720.168342628</v>
      </c>
      <c r="Q491" s="81">
        <v>30806998.416325007</v>
      </c>
      <c r="R491" s="81">
        <v>31296331.890955999</v>
      </c>
      <c r="S491" s="81">
        <v>31774064.711869925</v>
      </c>
      <c r="T491" s="81">
        <v>32238657.954939887</v>
      </c>
      <c r="U491" s="81">
        <v>32688679.93886273</v>
      </c>
      <c r="V491" s="81">
        <v>33122844.172711503</v>
      </c>
      <c r="W491" s="81">
        <v>33540024.744220722</v>
      </c>
      <c r="X491" s="81">
        <v>33939220.688011169</v>
      </c>
      <c r="Y491" s="81">
        <v>34319646.202870086</v>
      </c>
      <c r="Z491" s="81">
        <v>34680682.797175393</v>
      </c>
      <c r="AA491" s="81">
        <v>35030727.73386509</v>
      </c>
      <c r="AB491" s="81">
        <v>35360301.987705007</v>
      </c>
      <c r="AC491" s="81">
        <v>35669442.813528486</v>
      </c>
      <c r="AD491" s="81">
        <v>35958487.642314553</v>
      </c>
      <c r="AE491" s="81">
        <v>36228037.014671497</v>
      </c>
      <c r="AF491" s="81">
        <v>36478985.293926872</v>
      </c>
      <c r="AG491" s="81">
        <v>36712508.69915624</v>
      </c>
      <c r="AH491" s="81">
        <v>36930170.720831081</v>
      </c>
      <c r="AI491" s="81">
        <v>37133853.45721066</v>
      </c>
      <c r="AJ491" s="81">
        <v>37325773.776581325</v>
      </c>
      <c r="AK491" s="81">
        <v>37561702.980750009</v>
      </c>
      <c r="AL491" s="81">
        <v>37791016.971801206</v>
      </c>
      <c r="AM491" s="81">
        <v>38017178.350043185</v>
      </c>
      <c r="AN491" s="81">
        <v>38244129.0239942</v>
      </c>
      <c r="AO491" s="81">
        <v>38476263.399463609</v>
      </c>
      <c r="AP491" s="81">
        <v>38718498.773431852</v>
      </c>
      <c r="AQ491" s="81">
        <v>38976281.953110404</v>
      </c>
      <c r="AR491" s="81">
        <v>39255629.50359524</v>
      </c>
      <c r="AS491" s="81">
        <v>39563099.193976566</v>
      </c>
      <c r="AT491" s="81">
        <v>39905882.602816962</v>
      </c>
    </row>
    <row r="492" spans="1:46" ht="15.75">
      <c r="A492" s="81" t="s">
        <v>448</v>
      </c>
      <c r="B492" s="80">
        <v>350800</v>
      </c>
      <c r="C492" s="80" t="s">
        <v>428</v>
      </c>
      <c r="D492" s="84" t="s">
        <v>710</v>
      </c>
      <c r="E492" s="81">
        <v>24009491.422454797</v>
      </c>
      <c r="F492" s="81">
        <v>24765741.886263765</v>
      </c>
      <c r="G492" s="81">
        <v>25408135.033984538</v>
      </c>
      <c r="H492" s="81">
        <v>26055714.043650724</v>
      </c>
      <c r="I492" s="81">
        <v>26707225.115718994</v>
      </c>
      <c r="J492" s="81">
        <v>27361419.420088585</v>
      </c>
      <c r="K492" s="81">
        <v>28017020.896940809</v>
      </c>
      <c r="L492" s="81">
        <v>28672751.36250136</v>
      </c>
      <c r="M492" s="81">
        <v>29327326.709198333</v>
      </c>
      <c r="N492" s="81">
        <v>29979506.062129423</v>
      </c>
      <c r="O492" s="81">
        <v>30628025.26046579</v>
      </c>
      <c r="P492" s="81">
        <v>31271678.749933835</v>
      </c>
      <c r="Q492" s="81">
        <v>31812029.411007203</v>
      </c>
      <c r="R492" s="81">
        <v>32342735.885917541</v>
      </c>
      <c r="S492" s="81">
        <v>32862828.406028993</v>
      </c>
      <c r="T492" s="81">
        <v>33371416.865572076</v>
      </c>
      <c r="U492" s="81">
        <v>33867662.74255532</v>
      </c>
      <c r="V492" s="81">
        <v>34350834.633299783</v>
      </c>
      <c r="W492" s="81">
        <v>34820267.672692716</v>
      </c>
      <c r="X492" s="81">
        <v>35275420.991850905</v>
      </c>
      <c r="Y492" s="81">
        <v>35715835.867726646</v>
      </c>
      <c r="Z492" s="81">
        <v>36141168.629540578</v>
      </c>
      <c r="AA492" s="81">
        <v>36560404.702229299</v>
      </c>
      <c r="AB492" s="81">
        <v>36963745.747332521</v>
      </c>
      <c r="AC492" s="81">
        <v>37351242.666327536</v>
      </c>
      <c r="AD492" s="81">
        <v>37723126.788164787</v>
      </c>
      <c r="AE492" s="81">
        <v>38079735.434584312</v>
      </c>
      <c r="AF492" s="81">
        <v>38421618.758999698</v>
      </c>
      <c r="AG492" s="81">
        <v>38749493.582951032</v>
      </c>
      <c r="AH492" s="81">
        <v>39064237.076221801</v>
      </c>
      <c r="AI492" s="81">
        <v>39366970.368340768</v>
      </c>
      <c r="AJ492" s="81">
        <v>39658994.82624805</v>
      </c>
      <c r="AK492" s="81">
        <v>39998401.688046776</v>
      </c>
      <c r="AL492" s="81">
        <v>40330047.732636638</v>
      </c>
      <c r="AM492" s="81">
        <v>40655912.02705612</v>
      </c>
      <c r="AN492" s="81">
        <v>40978253.578554295</v>
      </c>
      <c r="AO492" s="81">
        <v>41299574.572481886</v>
      </c>
      <c r="AP492" s="81">
        <v>41622697.565900542</v>
      </c>
      <c r="AQ492" s="81">
        <v>41950677.356546305</v>
      </c>
      <c r="AR492" s="81">
        <v>42286965.015872113</v>
      </c>
      <c r="AS492" s="81">
        <v>42635285.546919994</v>
      </c>
      <c r="AT492" s="81">
        <v>42999682.673230268</v>
      </c>
    </row>
    <row r="493" spans="1:46" ht="15.75">
      <c r="A493" s="81" t="s">
        <v>448</v>
      </c>
      <c r="B493" s="80">
        <v>350900</v>
      </c>
      <c r="C493" s="80" t="s">
        <v>428</v>
      </c>
      <c r="D493" s="84" t="s">
        <v>709</v>
      </c>
      <c r="E493" s="81">
        <v>30632595.228193358</v>
      </c>
      <c r="F493" s="81">
        <v>31666439.27259307</v>
      </c>
      <c r="G493" s="81">
        <v>32550778.593383253</v>
      </c>
      <c r="H493" s="81">
        <v>33437642.509299196</v>
      </c>
      <c r="I493" s="81">
        <v>34325585.553266361</v>
      </c>
      <c r="J493" s="81">
        <v>35213191.388631143</v>
      </c>
      <c r="K493" s="81">
        <v>36099015.655794755</v>
      </c>
      <c r="L493" s="81">
        <v>36981658.160637006</v>
      </c>
      <c r="M493" s="81">
        <v>37859726.851452701</v>
      </c>
      <c r="N493" s="81">
        <v>38731856.066261888</v>
      </c>
      <c r="O493" s="81">
        <v>39596750.899193898</v>
      </c>
      <c r="P493" s="81">
        <v>40453111.807816699</v>
      </c>
      <c r="Q493" s="81">
        <v>41173890.610762253</v>
      </c>
      <c r="R493" s="81">
        <v>41880501.093039788</v>
      </c>
      <c r="S493" s="81">
        <v>42572045.885765508</v>
      </c>
      <c r="T493" s="81">
        <v>43247740.223605014</v>
      </c>
      <c r="U493" s="81">
        <v>43906881.358890839</v>
      </c>
      <c r="V493" s="81">
        <v>44548869.231977485</v>
      </c>
      <c r="W493" s="81">
        <v>45173228.618526496</v>
      </c>
      <c r="X493" s="81">
        <v>45779618.577935062</v>
      </c>
      <c r="Y493" s="81">
        <v>46367813.216990411</v>
      </c>
      <c r="Z493" s="81">
        <v>46937753.213439591</v>
      </c>
      <c r="AA493" s="81">
        <v>47501422.645488337</v>
      </c>
      <c r="AB493" s="81">
        <v>48046475.104774356</v>
      </c>
      <c r="AC493" s="81">
        <v>48573316.65080554</v>
      </c>
      <c r="AD493" s="81">
        <v>49082562.31717442</v>
      </c>
      <c r="AE493" s="81">
        <v>49574968.747324735</v>
      </c>
      <c r="AF493" s="81">
        <v>50051536.705216788</v>
      </c>
      <c r="AG493" s="81">
        <v>50513459.131220251</v>
      </c>
      <c r="AH493" s="81">
        <v>50962162.966233768</v>
      </c>
      <c r="AI493" s="81">
        <v>51399320.407577522</v>
      </c>
      <c r="AJ493" s="81">
        <v>51826826.220177695</v>
      </c>
      <c r="AK493" s="81">
        <v>52320801.897324711</v>
      </c>
      <c r="AL493" s="81">
        <v>52809455.292197332</v>
      </c>
      <c r="AM493" s="81">
        <v>53295479.820971064</v>
      </c>
      <c r="AN493" s="81">
        <v>53781867.076100305</v>
      </c>
      <c r="AO493" s="81">
        <v>54271974.245369509</v>
      </c>
      <c r="AP493" s="81">
        <v>54769447.088697776</v>
      </c>
      <c r="AQ493" s="81">
        <v>55278286.607798979</v>
      </c>
      <c r="AR493" s="81">
        <v>55802843.846780241</v>
      </c>
      <c r="AS493" s="81">
        <v>56347871.828884542</v>
      </c>
      <c r="AT493" s="81">
        <v>56918462.07091295</v>
      </c>
    </row>
    <row r="494" spans="1:46" ht="15.75">
      <c r="A494" s="81" t="s">
        <v>448</v>
      </c>
      <c r="B494" s="80">
        <v>360100</v>
      </c>
      <c r="C494" s="80" t="s">
        <v>427</v>
      </c>
      <c r="D494" s="84" t="s">
        <v>708</v>
      </c>
      <c r="E494" s="81">
        <v>66484361.914237529</v>
      </c>
      <c r="F494" s="81">
        <v>69127793.365304247</v>
      </c>
      <c r="G494" s="81">
        <v>71444572.248705089</v>
      </c>
      <c r="H494" s="81">
        <v>73760734.181689203</v>
      </c>
      <c r="I494" s="81">
        <v>76073782.738901839</v>
      </c>
      <c r="J494" s="81">
        <v>78381292.158617809</v>
      </c>
      <c r="K494" s="81">
        <v>80680908.034849361</v>
      </c>
      <c r="L494" s="81">
        <v>82970334.159451693</v>
      </c>
      <c r="M494" s="81">
        <v>85247393.822184891</v>
      </c>
      <c r="N494" s="81">
        <v>87510018.941616252</v>
      </c>
      <c r="O494" s="81">
        <v>89756222.846065879</v>
      </c>
      <c r="P494" s="81">
        <v>91984205.642380044</v>
      </c>
      <c r="Q494" s="81">
        <v>93913626.993743256</v>
      </c>
      <c r="R494" s="81">
        <v>95812490.603830367</v>
      </c>
      <c r="S494" s="81">
        <v>97679798.721078053</v>
      </c>
      <c r="T494" s="81">
        <v>99514832.17105189</v>
      </c>
      <c r="U494" s="81">
        <v>101317020.19530524</v>
      </c>
      <c r="V494" s="81">
        <v>103086023.72974767</v>
      </c>
      <c r="W494" s="81">
        <v>104821749.06173833</v>
      </c>
      <c r="X494" s="81">
        <v>106524314.57819842</v>
      </c>
      <c r="Y494" s="81">
        <v>108194092.99600957</v>
      </c>
      <c r="Z494" s="81">
        <v>109831756.84370364</v>
      </c>
      <c r="AA494" s="81">
        <v>111476237.25507623</v>
      </c>
      <c r="AB494" s="81">
        <v>113089266.68077487</v>
      </c>
      <c r="AC494" s="81">
        <v>114672376.2338455</v>
      </c>
      <c r="AD494" s="81">
        <v>116227392.85986063</v>
      </c>
      <c r="AE494" s="81">
        <v>117756468.1060753</v>
      </c>
      <c r="AF494" s="81">
        <v>119262126.51131125</v>
      </c>
      <c r="AG494" s="81">
        <v>120747281.21706691</v>
      </c>
      <c r="AH494" s="81">
        <v>122215194.60631581</v>
      </c>
      <c r="AI494" s="81">
        <v>123669527.51251848</v>
      </c>
      <c r="AJ494" s="81">
        <v>125114372.96749473</v>
      </c>
      <c r="AK494" s="81">
        <v>126526432.85494828</v>
      </c>
      <c r="AL494" s="81">
        <v>127934968.04281163</v>
      </c>
      <c r="AM494" s="81">
        <v>129345453.01139665</v>
      </c>
      <c r="AN494" s="81">
        <v>130763771.65258868</v>
      </c>
      <c r="AO494" s="81">
        <v>132196288.05813187</v>
      </c>
      <c r="AP494" s="81">
        <v>133649901.8243632</v>
      </c>
      <c r="AQ494" s="81">
        <v>135131960.51691434</v>
      </c>
      <c r="AR494" s="81">
        <v>136650375.68562812</v>
      </c>
      <c r="AS494" s="81">
        <v>138213597.16330335</v>
      </c>
      <c r="AT494" s="81">
        <v>139830584.08841819</v>
      </c>
    </row>
    <row r="495" spans="1:46" ht="15.75">
      <c r="A495" s="81" t="s">
        <v>448</v>
      </c>
      <c r="B495" s="80">
        <v>360200</v>
      </c>
      <c r="C495" s="80" t="s">
        <v>427</v>
      </c>
      <c r="D495" s="84" t="s">
        <v>707</v>
      </c>
      <c r="E495" s="81">
        <v>15524745.198388683</v>
      </c>
      <c r="F495" s="81">
        <v>16070666.437072916</v>
      </c>
      <c r="G495" s="81">
        <v>16548438.683658784</v>
      </c>
      <c r="H495" s="81">
        <v>17033744.561169066</v>
      </c>
      <c r="I495" s="81">
        <v>17525499.444086328</v>
      </c>
      <c r="J495" s="81">
        <v>18022630.350231953</v>
      </c>
      <c r="K495" s="81">
        <v>18524018.729857869</v>
      </c>
      <c r="L495" s="81">
        <v>19028548.32586338</v>
      </c>
      <c r="M495" s="81">
        <v>19535124.304239035</v>
      </c>
      <c r="N495" s="81">
        <v>20042611.368255906</v>
      </c>
      <c r="O495" s="81">
        <v>20549932.34940356</v>
      </c>
      <c r="P495" s="81">
        <v>21055994.044949569</v>
      </c>
      <c r="Q495" s="81">
        <v>21495967.554011967</v>
      </c>
      <c r="R495" s="81">
        <v>21930539.110399608</v>
      </c>
      <c r="S495" s="81">
        <v>22358788.607443985</v>
      </c>
      <c r="T495" s="81">
        <v>22779905.969441131</v>
      </c>
      <c r="U495" s="81">
        <v>23193095.495772973</v>
      </c>
      <c r="V495" s="81">
        <v>23597701.860950127</v>
      </c>
      <c r="W495" s="81">
        <v>23993084.596008562</v>
      </c>
      <c r="X495" s="81">
        <v>24378719.097280014</v>
      </c>
      <c r="Y495" s="81">
        <v>24754206.92917385</v>
      </c>
      <c r="Z495" s="81">
        <v>25119198.881301906</v>
      </c>
      <c r="AA495" s="81">
        <v>25482201.814565167</v>
      </c>
      <c r="AB495" s="81">
        <v>25834073.046730749</v>
      </c>
      <c r="AC495" s="81">
        <v>26174880.695436522</v>
      </c>
      <c r="AD495" s="81">
        <v>26504790.051160853</v>
      </c>
      <c r="AE495" s="81">
        <v>26824147.957576085</v>
      </c>
      <c r="AF495" s="81">
        <v>27133430.393313929</v>
      </c>
      <c r="AG495" s="81">
        <v>27433298.23477596</v>
      </c>
      <c r="AH495" s="81">
        <v>27724608.024005558</v>
      </c>
      <c r="AI495" s="81">
        <v>28008389.363485053</v>
      </c>
      <c r="AJ495" s="81">
        <v>28285853.51116566</v>
      </c>
      <c r="AK495" s="81">
        <v>28601441.276015546</v>
      </c>
      <c r="AL495" s="81">
        <v>28913760.375347599</v>
      </c>
      <c r="AM495" s="81">
        <v>29224692.816281334</v>
      </c>
      <c r="AN495" s="81">
        <v>29536354.441341814</v>
      </c>
      <c r="AO495" s="81">
        <v>29851142.129838612</v>
      </c>
      <c r="AP495" s="81">
        <v>30171747.152754497</v>
      </c>
      <c r="AQ495" s="81">
        <v>30501130.718899734</v>
      </c>
      <c r="AR495" s="81">
        <v>30842515.533561826</v>
      </c>
      <c r="AS495" s="81">
        <v>31199512.835517596</v>
      </c>
      <c r="AT495" s="81">
        <v>31576021.590581249</v>
      </c>
    </row>
    <row r="496" spans="1:46" ht="15.75">
      <c r="A496" s="81" t="s">
        <v>448</v>
      </c>
      <c r="B496" s="80">
        <v>360300</v>
      </c>
      <c r="C496" s="80" t="s">
        <v>427</v>
      </c>
      <c r="D496" s="84" t="s">
        <v>706</v>
      </c>
      <c r="E496" s="81">
        <v>17942824.627623241</v>
      </c>
      <c r="F496" s="81">
        <v>18521271.716317669</v>
      </c>
      <c r="G496" s="81">
        <v>19023135.796897594</v>
      </c>
      <c r="H496" s="81">
        <v>19535724.743078072</v>
      </c>
      <c r="I496" s="81">
        <v>20057627.364574827</v>
      </c>
      <c r="J496" s="81">
        <v>20587402.672966968</v>
      </c>
      <c r="K496" s="81">
        <v>21123599.730794143</v>
      </c>
      <c r="L496" s="81">
        <v>21664744.233920984</v>
      </c>
      <c r="M496" s="81">
        <v>22209346.454299331</v>
      </c>
      <c r="N496" s="81">
        <v>22755934.0044287</v>
      </c>
      <c r="O496" s="81">
        <v>23303013.128645122</v>
      </c>
      <c r="P496" s="81">
        <v>23849164.418494128</v>
      </c>
      <c r="Q496" s="81">
        <v>24320787.392524309</v>
      </c>
      <c r="R496" s="81">
        <v>24786460.923735362</v>
      </c>
      <c r="S496" s="81">
        <v>25244961.123447001</v>
      </c>
      <c r="T496" s="81">
        <v>25695132.21974133</v>
      </c>
      <c r="U496" s="81">
        <v>26135910.026311819</v>
      </c>
      <c r="V496" s="81">
        <v>26566332.906066447</v>
      </c>
      <c r="W496" s="81">
        <v>26985524.265308503</v>
      </c>
      <c r="X496" s="81">
        <v>27392774.606316376</v>
      </c>
      <c r="Y496" s="81">
        <v>27787452.942838721</v>
      </c>
      <c r="Z496" s="81">
        <v>28169119.45527409</v>
      </c>
      <c r="AA496" s="81">
        <v>28547178.592206128</v>
      </c>
      <c r="AB496" s="81">
        <v>28911356.653603535</v>
      </c>
      <c r="AC496" s="81">
        <v>29261689.641629267</v>
      </c>
      <c r="AD496" s="81">
        <v>29598396.507818621</v>
      </c>
      <c r="AE496" s="81">
        <v>29921907.47219488</v>
      </c>
      <c r="AF496" s="81">
        <v>30232860.919623516</v>
      </c>
      <c r="AG496" s="81">
        <v>30532149.454624198</v>
      </c>
      <c r="AH496" s="81">
        <v>30820883.825523306</v>
      </c>
      <c r="AI496" s="81">
        <v>31100473.812501945</v>
      </c>
      <c r="AJ496" s="81">
        <v>31372539.537338328</v>
      </c>
      <c r="AK496" s="81">
        <v>31686725.125511363</v>
      </c>
      <c r="AL496" s="81">
        <v>31997418.213508669</v>
      </c>
      <c r="AM496" s="81">
        <v>32307236.718852505</v>
      </c>
      <c r="AN496" s="81">
        <v>32619043.257542033</v>
      </c>
      <c r="AO496" s="81">
        <v>32936163.039585244</v>
      </c>
      <c r="AP496" s="81">
        <v>33262253.790821429</v>
      </c>
      <c r="AQ496" s="81">
        <v>33601377.866227195</v>
      </c>
      <c r="AR496" s="81">
        <v>33958000.148674913</v>
      </c>
      <c r="AS496" s="81">
        <v>34337065.377195016</v>
      </c>
      <c r="AT496" s="81">
        <v>34743916.762898184</v>
      </c>
    </row>
    <row r="497" spans="1:46" ht="15.75">
      <c r="A497" s="81" t="s">
        <v>448</v>
      </c>
      <c r="B497" s="80">
        <v>360400</v>
      </c>
      <c r="C497" s="80" t="s">
        <v>427</v>
      </c>
      <c r="D497" s="84" t="s">
        <v>705</v>
      </c>
      <c r="E497" s="81">
        <v>35711607.104617387</v>
      </c>
      <c r="F497" s="81">
        <v>36957087.123804271</v>
      </c>
      <c r="G497" s="81">
        <v>38050063.777139224</v>
      </c>
      <c r="H497" s="81">
        <v>39164495.203149214</v>
      </c>
      <c r="I497" s="81">
        <v>40297785.279148459</v>
      </c>
      <c r="J497" s="81">
        <v>41447306.100406118</v>
      </c>
      <c r="K497" s="81">
        <v>42610343.415055424</v>
      </c>
      <c r="L497" s="81">
        <v>43784198.634141028</v>
      </c>
      <c r="M497" s="81">
        <v>44966143.874169253</v>
      </c>
      <c r="N497" s="81">
        <v>46153446.049029477</v>
      </c>
      <c r="O497" s="81">
        <v>47343412.353914328</v>
      </c>
      <c r="P497" s="81">
        <v>48533370.219719782</v>
      </c>
      <c r="Q497" s="81">
        <v>49573660.902112424</v>
      </c>
      <c r="R497" s="81">
        <v>50603820.766892761</v>
      </c>
      <c r="S497" s="81">
        <v>51621615.045379877</v>
      </c>
      <c r="T497" s="81">
        <v>52624918.364488102</v>
      </c>
      <c r="U497" s="81">
        <v>53611795.823804386</v>
      </c>
      <c r="V497" s="81">
        <v>54580458.337668218</v>
      </c>
      <c r="W497" s="81">
        <v>55529346.708814748</v>
      </c>
      <c r="X497" s="81">
        <v>56457074.213232614</v>
      </c>
      <c r="Y497" s="81">
        <v>57362547.599350005</v>
      </c>
      <c r="Z497" s="81">
        <v>58244897.999492317</v>
      </c>
      <c r="AA497" s="81">
        <v>59123685.199654192</v>
      </c>
      <c r="AB497" s="81">
        <v>59977706.501742668</v>
      </c>
      <c r="AC497" s="81">
        <v>60806984.367378235</v>
      </c>
      <c r="AD497" s="81">
        <v>61611890.249607943</v>
      </c>
      <c r="AE497" s="81">
        <v>62393167.557725377</v>
      </c>
      <c r="AF497" s="81">
        <v>63151942.023583077</v>
      </c>
      <c r="AG497" s="81">
        <v>63889770.753647305</v>
      </c>
      <c r="AH497" s="81">
        <v>64608667.302528352</v>
      </c>
      <c r="AI497" s="81">
        <v>65311086.417448103</v>
      </c>
      <c r="AJ497" s="81">
        <v>66000001.948766008</v>
      </c>
      <c r="AK497" s="81">
        <v>66779300.331359193</v>
      </c>
      <c r="AL497" s="81">
        <v>67552585.355726242</v>
      </c>
      <c r="AM497" s="81">
        <v>68324444.540452421</v>
      </c>
      <c r="AN497" s="81">
        <v>69100091.169432923</v>
      </c>
      <c r="AO497" s="81">
        <v>69885423.834426075</v>
      </c>
      <c r="AP497" s="81">
        <v>70686983.170201883</v>
      </c>
      <c r="AQ497" s="81">
        <v>71512040.48509711</v>
      </c>
      <c r="AR497" s="81">
        <v>72368645.550600231</v>
      </c>
      <c r="AS497" s="81">
        <v>73265597.014065847</v>
      </c>
      <c r="AT497" s="81">
        <v>74212504.11444886</v>
      </c>
    </row>
    <row r="498" spans="1:46" ht="15.75">
      <c r="A498" s="81" t="s">
        <v>448</v>
      </c>
      <c r="B498" s="80">
        <v>360500</v>
      </c>
      <c r="C498" s="80" t="s">
        <v>427</v>
      </c>
      <c r="D498" s="84" t="s">
        <v>704</v>
      </c>
      <c r="E498" s="81">
        <v>12265600.056339076</v>
      </c>
      <c r="F498" s="81">
        <v>12670605.133038208</v>
      </c>
      <c r="G498" s="81">
        <v>13021641.284593211</v>
      </c>
      <c r="H498" s="81">
        <v>13378470.004967831</v>
      </c>
      <c r="I498" s="81">
        <v>13740254.837821098</v>
      </c>
      <c r="J498" s="81">
        <v>14106093.215486368</v>
      </c>
      <c r="K498" s="81">
        <v>14475109.850019494</v>
      </c>
      <c r="L498" s="81">
        <v>14846406.012229806</v>
      </c>
      <c r="M498" s="81">
        <v>15219075.174074925</v>
      </c>
      <c r="N498" s="81">
        <v>15592220.388370851</v>
      </c>
      <c r="O498" s="81">
        <v>15964960.641071033</v>
      </c>
      <c r="P498" s="81">
        <v>16336398.180707201</v>
      </c>
      <c r="Q498" s="81">
        <v>16656272.714563167</v>
      </c>
      <c r="R498" s="81">
        <v>16971667.918038573</v>
      </c>
      <c r="S498" s="81">
        <v>17281853.479732513</v>
      </c>
      <c r="T498" s="81">
        <v>17586139.960443318</v>
      </c>
      <c r="U498" s="81">
        <v>17883884.31326988</v>
      </c>
      <c r="V498" s="81">
        <v>18174524.528509524</v>
      </c>
      <c r="W498" s="81">
        <v>18457528.849302601</v>
      </c>
      <c r="X498" s="81">
        <v>18732459.208106436</v>
      </c>
      <c r="Y498" s="81">
        <v>18998949.233916115</v>
      </c>
      <c r="Z498" s="81">
        <v>19256710.431030244</v>
      </c>
      <c r="AA498" s="81">
        <v>19512219.921104256</v>
      </c>
      <c r="AB498" s="81">
        <v>19758436.372135818</v>
      </c>
      <c r="AC498" s="81">
        <v>19995354.904565182</v>
      </c>
      <c r="AD498" s="81">
        <v>20223126.279845614</v>
      </c>
      <c r="AE498" s="81">
        <v>20441950.400132198</v>
      </c>
      <c r="AF498" s="81">
        <v>20652214.241109144</v>
      </c>
      <c r="AG498" s="81">
        <v>20854400.532149084</v>
      </c>
      <c r="AH498" s="81">
        <v>21049180.071317691</v>
      </c>
      <c r="AI498" s="81">
        <v>21237316.225539371</v>
      </c>
      <c r="AJ498" s="81">
        <v>21419794.912382428</v>
      </c>
      <c r="AK498" s="81">
        <v>21630232.006351344</v>
      </c>
      <c r="AL498" s="81">
        <v>21837269.385003302</v>
      </c>
      <c r="AM498" s="81">
        <v>22042415.412566092</v>
      </c>
      <c r="AN498" s="81">
        <v>22247298.139257099</v>
      </c>
      <c r="AO498" s="81">
        <v>22453863.879695602</v>
      </c>
      <c r="AP498" s="81">
        <v>22664176.874040678</v>
      </c>
      <c r="AQ498" s="81">
        <v>22880602.486746471</v>
      </c>
      <c r="AR498" s="81">
        <v>23105720.302806538</v>
      </c>
      <c r="AS498" s="81">
        <v>23342373.698094122</v>
      </c>
      <c r="AT498" s="81">
        <v>23593638.849470027</v>
      </c>
    </row>
    <row r="499" spans="1:46" ht="15.75">
      <c r="A499" s="81" t="s">
        <v>448</v>
      </c>
      <c r="B499" s="80">
        <v>360600</v>
      </c>
      <c r="C499" s="80" t="s">
        <v>427</v>
      </c>
      <c r="D499" s="84" t="s">
        <v>703</v>
      </c>
      <c r="E499" s="81">
        <v>9876168.5461440552</v>
      </c>
      <c r="F499" s="81">
        <v>10191028.43703834</v>
      </c>
      <c r="G499" s="81">
        <v>10466608.840219367</v>
      </c>
      <c r="H499" s="81">
        <v>10750848.300146062</v>
      </c>
      <c r="I499" s="81">
        <v>11042877.322222438</v>
      </c>
      <c r="J499" s="81">
        <v>11341785.352831477</v>
      </c>
      <c r="K499" s="81">
        <v>11646634.154744666</v>
      </c>
      <c r="L499" s="81">
        <v>11956462.594178407</v>
      </c>
      <c r="M499" s="81">
        <v>12270322.578021068</v>
      </c>
      <c r="N499" s="81">
        <v>12587235.006040262</v>
      </c>
      <c r="O499" s="81">
        <v>12906246.854583349</v>
      </c>
      <c r="P499" s="81">
        <v>13226374.504809838</v>
      </c>
      <c r="Q499" s="81">
        <v>13506624.889263462</v>
      </c>
      <c r="R499" s="81">
        <v>13784773.380440883</v>
      </c>
      <c r="S499" s="81">
        <v>14059978.644515587</v>
      </c>
      <c r="T499" s="81">
        <v>14331426.324818412</v>
      </c>
      <c r="U499" s="81">
        <v>14598346.262571421</v>
      </c>
      <c r="V499" s="81">
        <v>14860055.3456714</v>
      </c>
      <c r="W499" s="81">
        <v>15115892.970464796</v>
      </c>
      <c r="X499" s="81">
        <v>15365312.612822911</v>
      </c>
      <c r="Y499" s="81">
        <v>15607816.2015724</v>
      </c>
      <c r="Z499" s="81">
        <v>15842997.996827424</v>
      </c>
      <c r="AA499" s="81">
        <v>16076044.867720779</v>
      </c>
      <c r="AB499" s="81">
        <v>16301066.854916126</v>
      </c>
      <c r="AC499" s="81">
        <v>16517937.996474016</v>
      </c>
      <c r="AD499" s="81">
        <v>16726698.492087176</v>
      </c>
      <c r="AE499" s="81">
        <v>16927496.714996334</v>
      </c>
      <c r="AF499" s="81">
        <v>17120610.418331794</v>
      </c>
      <c r="AG499" s="81">
        <v>17306483.843463197</v>
      </c>
      <c r="AH499" s="81">
        <v>17485708.824414924</v>
      </c>
      <c r="AI499" s="81">
        <v>17659018.315162037</v>
      </c>
      <c r="AJ499" s="81">
        <v>17827339.268804539</v>
      </c>
      <c r="AK499" s="81">
        <v>18018896.471336517</v>
      </c>
      <c r="AL499" s="81">
        <v>18207805.772517838</v>
      </c>
      <c r="AM499" s="81">
        <v>18395573.606547542</v>
      </c>
      <c r="AN499" s="81">
        <v>18583919.446887616</v>
      </c>
      <c r="AO499" s="81">
        <v>18774786.115420301</v>
      </c>
      <c r="AP499" s="81">
        <v>18970383.535745759</v>
      </c>
      <c r="AQ499" s="81">
        <v>19173134.298525095</v>
      </c>
      <c r="AR499" s="81">
        <v>19385784.838388331</v>
      </c>
      <c r="AS499" s="81">
        <v>19611299.599940524</v>
      </c>
      <c r="AT499" s="81">
        <v>19852974.332954444</v>
      </c>
    </row>
    <row r="500" spans="1:46" ht="15.75">
      <c r="A500" s="81" t="s">
        <v>448</v>
      </c>
      <c r="B500" s="80">
        <v>360700</v>
      </c>
      <c r="C500" s="80" t="s">
        <v>427</v>
      </c>
      <c r="D500" s="84" t="s">
        <v>702</v>
      </c>
      <c r="E500" s="81">
        <v>63196852.120193467</v>
      </c>
      <c r="F500" s="81">
        <v>65263507.787216954</v>
      </c>
      <c r="G500" s="81">
        <v>67100826.397348896</v>
      </c>
      <c r="H500" s="81">
        <v>69014310.687387556</v>
      </c>
      <c r="I500" s="81">
        <v>70996910.542861134</v>
      </c>
      <c r="J500" s="81">
        <v>73041307.046806738</v>
      </c>
      <c r="K500" s="81">
        <v>75140032.765612379</v>
      </c>
      <c r="L500" s="81">
        <v>77285438.522905111</v>
      </c>
      <c r="M500" s="81">
        <v>79469813.100399897</v>
      </c>
      <c r="N500" s="81">
        <v>81685376.051544785</v>
      </c>
      <c r="O500" s="81">
        <v>83924371.413631678</v>
      </c>
      <c r="P500" s="81">
        <v>86179078.709721729</v>
      </c>
      <c r="Q500" s="81">
        <v>88180320.24688217</v>
      </c>
      <c r="R500" s="81">
        <v>90172470.989079997</v>
      </c>
      <c r="S500" s="81">
        <v>92148630.848866478</v>
      </c>
      <c r="T500" s="81">
        <v>94102254.762014747</v>
      </c>
      <c r="U500" s="81">
        <v>96027248.135626018</v>
      </c>
      <c r="V500" s="81">
        <v>97918007.499021783</v>
      </c>
      <c r="W500" s="81">
        <v>99769470.719387501</v>
      </c>
      <c r="X500" s="81">
        <v>101577177.90584309</v>
      </c>
      <c r="Y500" s="81">
        <v>103337365.18677834</v>
      </c>
      <c r="Z500" s="81">
        <v>105046998.76713948</v>
      </c>
      <c r="AA500" s="81">
        <v>106740207.33586577</v>
      </c>
      <c r="AB500" s="81">
        <v>108377943.36584496</v>
      </c>
      <c r="AC500" s="81">
        <v>109959713.69541638</v>
      </c>
      <c r="AD500" s="81">
        <v>111486066.56941211</v>
      </c>
      <c r="AE500" s="81">
        <v>112958630.79728363</v>
      </c>
      <c r="AF500" s="81">
        <v>114380199.89071375</v>
      </c>
      <c r="AG500" s="81">
        <v>115754818.46537594</v>
      </c>
      <c r="AH500" s="81">
        <v>117087822.49025691</v>
      </c>
      <c r="AI500" s="81">
        <v>118385963.50365956</v>
      </c>
      <c r="AJ500" s="81">
        <v>119657426.1200316</v>
      </c>
      <c r="AK500" s="81">
        <v>121094055.40100728</v>
      </c>
      <c r="AL500" s="81">
        <v>122525232.95587528</v>
      </c>
      <c r="AM500" s="81">
        <v>123964068.26165645</v>
      </c>
      <c r="AN500" s="81">
        <v>125425575.20299263</v>
      </c>
      <c r="AO500" s="81">
        <v>126926727.08961688</v>
      </c>
      <c r="AP500" s="81">
        <v>128486577.91400871</v>
      </c>
      <c r="AQ500" s="81">
        <v>130126331.80633658</v>
      </c>
      <c r="AR500" s="81">
        <v>131869425.49667586</v>
      </c>
      <c r="AS500" s="81">
        <v>133741711.35117276</v>
      </c>
      <c r="AT500" s="81">
        <v>135771460.10434014</v>
      </c>
    </row>
    <row r="501" spans="1:46" ht="15.75">
      <c r="A501" s="81" t="s">
        <v>448</v>
      </c>
      <c r="B501" s="80">
        <v>360800</v>
      </c>
      <c r="C501" s="80" t="s">
        <v>427</v>
      </c>
      <c r="D501" s="84" t="s">
        <v>701</v>
      </c>
      <c r="E501" s="81">
        <v>31891608.786541637</v>
      </c>
      <c r="F501" s="81">
        <v>32939874.094835319</v>
      </c>
      <c r="G501" s="81">
        <v>33859262.677699335</v>
      </c>
      <c r="H501" s="81">
        <v>34804809.250039354</v>
      </c>
      <c r="I501" s="81">
        <v>35773844.649750635</v>
      </c>
      <c r="J501" s="81">
        <v>36763622.20290602</v>
      </c>
      <c r="K501" s="81">
        <v>37771333.204521306</v>
      </c>
      <c r="L501" s="81">
        <v>38794106.339060381</v>
      </c>
      <c r="M501" s="81">
        <v>39829057.305217922</v>
      </c>
      <c r="N501" s="81">
        <v>40873264.506212704</v>
      </c>
      <c r="O501" s="81">
        <v>41923820.740187399</v>
      </c>
      <c r="P501" s="81">
        <v>42977835.136567779</v>
      </c>
      <c r="Q501" s="81">
        <v>43902195.083760597</v>
      </c>
      <c r="R501" s="81">
        <v>44819925.492505483</v>
      </c>
      <c r="S501" s="81">
        <v>45728453.264951289</v>
      </c>
      <c r="T501" s="81">
        <v>46625330.329586104</v>
      </c>
      <c r="U501" s="81">
        <v>47508283.09700989</v>
      </c>
      <c r="V501" s="81">
        <v>48375184.241940364</v>
      </c>
      <c r="W501" s="81">
        <v>49224112.737391889</v>
      </c>
      <c r="X501" s="81">
        <v>50053345.015811995</v>
      </c>
      <c r="Y501" s="81">
        <v>50861418.105184078</v>
      </c>
      <c r="Z501" s="81">
        <v>51647110.743253671</v>
      </c>
      <c r="AA501" s="81">
        <v>52427332.68943578</v>
      </c>
      <c r="AB501" s="81">
        <v>53182910.878003269</v>
      </c>
      <c r="AC501" s="81">
        <v>53913493.795213714</v>
      </c>
      <c r="AD501" s="81">
        <v>54619111.839160025</v>
      </c>
      <c r="AE501" s="81">
        <v>55300157.593457669</v>
      </c>
      <c r="AF501" s="81">
        <v>55957445.48176308</v>
      </c>
      <c r="AG501" s="81">
        <v>56592190.524580568</v>
      </c>
      <c r="AH501" s="81">
        <v>57206093.516139112</v>
      </c>
      <c r="AI501" s="81">
        <v>57801344.96225372</v>
      </c>
      <c r="AJ501" s="81">
        <v>58380589.318977877</v>
      </c>
      <c r="AK501" s="81">
        <v>59035841.682084866</v>
      </c>
      <c r="AL501" s="81">
        <v>59682001.158177689</v>
      </c>
      <c r="AM501" s="81">
        <v>60323410.829152018</v>
      </c>
      <c r="AN501" s="81">
        <v>60965111.033022232</v>
      </c>
      <c r="AO501" s="81">
        <v>61612779.538854472</v>
      </c>
      <c r="AP501" s="81">
        <v>62272843.981589451</v>
      </c>
      <c r="AQ501" s="81">
        <v>62952475.424492434</v>
      </c>
      <c r="AR501" s="81">
        <v>63659607.2264456</v>
      </c>
      <c r="AS501" s="81">
        <v>64403025.786465198</v>
      </c>
      <c r="AT501" s="81">
        <v>65192334.13672512</v>
      </c>
    </row>
    <row r="502" spans="1:46" ht="15.75">
      <c r="A502" s="81" t="s">
        <v>448</v>
      </c>
      <c r="B502" s="80">
        <v>360900</v>
      </c>
      <c r="C502" s="80" t="s">
        <v>427</v>
      </c>
      <c r="D502" s="84" t="s">
        <v>700</v>
      </c>
      <c r="E502" s="81">
        <v>34816768.492394604</v>
      </c>
      <c r="F502" s="81">
        <v>35970720.590037219</v>
      </c>
      <c r="G502" s="81">
        <v>36986300.978630587</v>
      </c>
      <c r="H502" s="81">
        <v>38032384.063860677</v>
      </c>
      <c r="I502" s="81">
        <v>39105692.321778461</v>
      </c>
      <c r="J502" s="81">
        <v>40202861.394687831</v>
      </c>
      <c r="K502" s="81">
        <v>41320427.845471308</v>
      </c>
      <c r="L502" s="81">
        <v>42454903.953094006</v>
      </c>
      <c r="M502" s="81">
        <v>43602760.220911436</v>
      </c>
      <c r="N502" s="81">
        <v>44760446.39503397</v>
      </c>
      <c r="O502" s="81">
        <v>45924448.37396951</v>
      </c>
      <c r="P502" s="81">
        <v>47091270.110874519</v>
      </c>
      <c r="Q502" s="81">
        <v>48114738.333414122</v>
      </c>
      <c r="R502" s="81">
        <v>49129335.642076112</v>
      </c>
      <c r="S502" s="81">
        <v>50132021.939297363</v>
      </c>
      <c r="T502" s="81">
        <v>51119910.766571425</v>
      </c>
      <c r="U502" s="81">
        <v>52090341.40539135</v>
      </c>
      <c r="V502" s="81">
        <v>53040847.683256656</v>
      </c>
      <c r="W502" s="81">
        <v>53969252.13555482</v>
      </c>
      <c r="X502" s="81">
        <v>54873645.069007233</v>
      </c>
      <c r="Y502" s="81">
        <v>55752411.182809353</v>
      </c>
      <c r="Z502" s="81">
        <v>56604298.945081517</v>
      </c>
      <c r="AA502" s="81">
        <v>57447966.363750488</v>
      </c>
      <c r="AB502" s="81">
        <v>58262573.428291924</v>
      </c>
      <c r="AC502" s="81">
        <v>59048017.979727037</v>
      </c>
      <c r="AD502" s="81">
        <v>59804643.117971279</v>
      </c>
      <c r="AE502" s="81">
        <v>60533313.309172101</v>
      </c>
      <c r="AF502" s="81">
        <v>61235367.67781546</v>
      </c>
      <c r="AG502" s="81">
        <v>61912754.779330343</v>
      </c>
      <c r="AH502" s="81">
        <v>62567986.230394937</v>
      </c>
      <c r="AI502" s="81">
        <v>63204192.572763547</v>
      </c>
      <c r="AJ502" s="81">
        <v>63825169.481285937</v>
      </c>
      <c r="AK502" s="81">
        <v>64532455.45729515</v>
      </c>
      <c r="AL502" s="81">
        <v>65234058.048353583</v>
      </c>
      <c r="AM502" s="81">
        <v>65936002.936538815</v>
      </c>
      <c r="AN502" s="81">
        <v>66645099.938602336</v>
      </c>
      <c r="AO502" s="81">
        <v>67369046.197524756</v>
      </c>
      <c r="AP502" s="81">
        <v>68116495.491357625</v>
      </c>
      <c r="AQ502" s="81">
        <v>68897020.653708905</v>
      </c>
      <c r="AR502" s="81">
        <v>69721236.629443377</v>
      </c>
      <c r="AS502" s="81">
        <v>70600775.781467915</v>
      </c>
      <c r="AT502" s="81">
        <v>71548401.324130103</v>
      </c>
    </row>
    <row r="503" spans="1:46" ht="15.75">
      <c r="A503" s="81" t="s">
        <v>448</v>
      </c>
      <c r="B503" s="80">
        <v>361000</v>
      </c>
      <c r="C503" s="80" t="s">
        <v>427</v>
      </c>
      <c r="D503" s="84" t="s">
        <v>699</v>
      </c>
      <c r="E503" s="81">
        <v>25172944.16525634</v>
      </c>
      <c r="F503" s="81">
        <v>26042600.053065974</v>
      </c>
      <c r="G503" s="81">
        <v>26809369.138504576</v>
      </c>
      <c r="H503" s="81">
        <v>27595633.262587093</v>
      </c>
      <c r="I503" s="81">
        <v>28399290.955469932</v>
      </c>
      <c r="J503" s="81">
        <v>29218192.393302005</v>
      </c>
      <c r="K503" s="81">
        <v>30050128.05729188</v>
      </c>
      <c r="L503" s="81">
        <v>30892864.229764435</v>
      </c>
      <c r="M503" s="81">
        <v>31744156.997443862</v>
      </c>
      <c r="N503" s="81">
        <v>32601732.531478334</v>
      </c>
      <c r="O503" s="81">
        <v>33463351.309271388</v>
      </c>
      <c r="P503" s="81">
        <v>34326789.932038635</v>
      </c>
      <c r="Q503" s="81">
        <v>35085745.972036697</v>
      </c>
      <c r="R503" s="81">
        <v>35838519.424232192</v>
      </c>
      <c r="S503" s="81">
        <v>36583164.599292226</v>
      </c>
      <c r="T503" s="81">
        <v>37317835.198777713</v>
      </c>
      <c r="U503" s="81">
        <v>38040818.627008758</v>
      </c>
      <c r="V503" s="81">
        <v>38750532.952333488</v>
      </c>
      <c r="W503" s="81">
        <v>39445572.6604743</v>
      </c>
      <c r="X503" s="81">
        <v>40124686.025302671</v>
      </c>
      <c r="Y503" s="81">
        <v>40786800.921876699</v>
      </c>
      <c r="Z503" s="81">
        <v>41431073.131007254</v>
      </c>
      <c r="AA503" s="81">
        <v>42071201.159967639</v>
      </c>
      <c r="AB503" s="81">
        <v>42691928.635362841</v>
      </c>
      <c r="AC503" s="81">
        <v>43293101.927482337</v>
      </c>
      <c r="AD503" s="81">
        <v>43874850.303555191</v>
      </c>
      <c r="AE503" s="81">
        <v>44437616.797131293</v>
      </c>
      <c r="AF503" s="81">
        <v>44982167.200641304</v>
      </c>
      <c r="AG503" s="81">
        <v>45509574.697215468</v>
      </c>
      <c r="AH503" s="81">
        <v>46021309.485519625</v>
      </c>
      <c r="AI503" s="81">
        <v>46519213.47879491</v>
      </c>
      <c r="AJ503" s="81">
        <v>47005520.413957059</v>
      </c>
      <c r="AK503" s="81">
        <v>47554403.30952289</v>
      </c>
      <c r="AL503" s="81">
        <v>48097436.285190769</v>
      </c>
      <c r="AM503" s="81">
        <v>48638199.241111219</v>
      </c>
      <c r="AN503" s="81">
        <v>49180761.196827427</v>
      </c>
      <c r="AO503" s="81">
        <v>49729743.501112692</v>
      </c>
      <c r="AP503" s="81">
        <v>50290346.371578105</v>
      </c>
      <c r="AQ503" s="81">
        <v>50868334.450504728</v>
      </c>
      <c r="AR503" s="81">
        <v>51470088.974622145</v>
      </c>
      <c r="AS503" s="81">
        <v>52102648.604624406</v>
      </c>
      <c r="AT503" s="81">
        <v>52773694.201228</v>
      </c>
    </row>
    <row r="504" spans="1:46" ht="15.75">
      <c r="A504" s="81" t="s">
        <v>448</v>
      </c>
      <c r="B504" s="80">
        <v>361100</v>
      </c>
      <c r="C504" s="80" t="s">
        <v>427</v>
      </c>
      <c r="D504" s="84" t="s">
        <v>698</v>
      </c>
      <c r="E504" s="81">
        <v>47411138.819690235</v>
      </c>
      <c r="F504" s="81">
        <v>48964542.014861643</v>
      </c>
      <c r="G504" s="81">
        <v>50338273.75573837</v>
      </c>
      <c r="H504" s="81">
        <v>51762075.944295578</v>
      </c>
      <c r="I504" s="81">
        <v>53231227.016450077</v>
      </c>
      <c r="J504" s="81">
        <v>54740862.362170838</v>
      </c>
      <c r="K504" s="81">
        <v>56285961.334749192</v>
      </c>
      <c r="L504" s="81">
        <v>57861459.472506985</v>
      </c>
      <c r="M504" s="81">
        <v>59462170.735537082</v>
      </c>
      <c r="N504" s="81">
        <v>61082930.466241777</v>
      </c>
      <c r="O504" s="81">
        <v>62718552.428401031</v>
      </c>
      <c r="P504" s="81">
        <v>64363898.947376169</v>
      </c>
      <c r="Q504" s="81">
        <v>65818630.660744816</v>
      </c>
      <c r="R504" s="81">
        <v>67265965.179892585</v>
      </c>
      <c r="S504" s="81">
        <v>68701319.284939438</v>
      </c>
      <c r="T504" s="81">
        <v>70120334.952681467</v>
      </c>
      <c r="U504" s="81">
        <v>71518935.716106072</v>
      </c>
      <c r="V504" s="81">
        <v>72893375.53959623</v>
      </c>
      <c r="W504" s="81">
        <v>74240279.05318144</v>
      </c>
      <c r="X504" s="81">
        <v>75556629.050427228</v>
      </c>
      <c r="Y504" s="81">
        <v>76839902.253784478</v>
      </c>
      <c r="Z504" s="81">
        <v>78088027.077879384</v>
      </c>
      <c r="AA504" s="81">
        <v>79326481.808213264</v>
      </c>
      <c r="AB504" s="81">
        <v>80526284.660320923</v>
      </c>
      <c r="AC504" s="81">
        <v>81687023.828831121</v>
      </c>
      <c r="AD504" s="81">
        <v>82808975.997592896</v>
      </c>
      <c r="AE504" s="81">
        <v>83893131.190945968</v>
      </c>
      <c r="AF504" s="81">
        <v>84941240.557605401</v>
      </c>
      <c r="AG504" s="81">
        <v>85955840.200161934</v>
      </c>
      <c r="AH504" s="81">
        <v>86940361.405698746</v>
      </c>
      <c r="AI504" s="81">
        <v>87899119.864444494</v>
      </c>
      <c r="AJ504" s="81">
        <v>88837403.477054149</v>
      </c>
      <c r="AK504" s="81">
        <v>89896678.932629958</v>
      </c>
      <c r="AL504" s="81">
        <v>90949151.129064307</v>
      </c>
      <c r="AM504" s="81">
        <v>92003297.872633189</v>
      </c>
      <c r="AN504" s="81">
        <v>93068851.012559146</v>
      </c>
      <c r="AO504" s="81">
        <v>94156803.524166048</v>
      </c>
      <c r="AP504" s="81">
        <v>95279511.868064642</v>
      </c>
      <c r="AQ504" s="81">
        <v>96450730.957460061</v>
      </c>
      <c r="AR504" s="81">
        <v>97685706.054310724</v>
      </c>
      <c r="AS504" s="81">
        <v>99001223.56603393</v>
      </c>
      <c r="AT504" s="81">
        <v>100415646.33059265</v>
      </c>
    </row>
    <row r="505" spans="1:46" ht="15.75">
      <c r="A505" s="81" t="s">
        <v>448</v>
      </c>
      <c r="B505" s="80">
        <v>370100</v>
      </c>
      <c r="C505" s="80" t="s">
        <v>145</v>
      </c>
      <c r="D505" s="84" t="s">
        <v>146</v>
      </c>
      <c r="E505" s="81">
        <v>122825752.02426563</v>
      </c>
      <c r="F505" s="81">
        <v>126642251.05070336</v>
      </c>
      <c r="G505" s="81">
        <v>129645100.92756446</v>
      </c>
      <c r="H505" s="81">
        <v>132538525.92846763</v>
      </c>
      <c r="I505" s="81">
        <v>135326430.52393004</v>
      </c>
      <c r="J505" s="81">
        <v>138012896.88366309</v>
      </c>
      <c r="K505" s="81">
        <v>140602134.36493093</v>
      </c>
      <c r="L505" s="81">
        <v>143098501.18601125</v>
      </c>
      <c r="M505" s="81">
        <v>145506452.6164827</v>
      </c>
      <c r="N505" s="81">
        <v>147830532.46101192</v>
      </c>
      <c r="O505" s="81">
        <v>150075333.46652362</v>
      </c>
      <c r="P505" s="81">
        <v>152245487.75100666</v>
      </c>
      <c r="Q505" s="81">
        <v>153080405.53674316</v>
      </c>
      <c r="R505" s="81">
        <v>153839918.46231729</v>
      </c>
      <c r="S505" s="81">
        <v>154530339.12964201</v>
      </c>
      <c r="T505" s="81">
        <v>155157707.10308564</v>
      </c>
      <c r="U505" s="81">
        <v>155727740.20889509</v>
      </c>
      <c r="V505" s="81">
        <v>156245885.12198415</v>
      </c>
      <c r="W505" s="81">
        <v>156717218.50404361</v>
      </c>
      <c r="X505" s="81">
        <v>157146514.78404853</v>
      </c>
      <c r="Y505" s="81">
        <v>157538163.15271205</v>
      </c>
      <c r="Z505" s="81">
        <v>157896185.18167961</v>
      </c>
      <c r="AA505" s="81">
        <v>158308043.20766124</v>
      </c>
      <c r="AB505" s="81">
        <v>158692821.59747633</v>
      </c>
      <c r="AC505" s="81">
        <v>159053329.69859552</v>
      </c>
      <c r="AD505" s="81">
        <v>159391880.66903323</v>
      </c>
      <c r="AE505" s="81">
        <v>159710378.72048673</v>
      </c>
      <c r="AF505" s="81">
        <v>160010248.99961391</v>
      </c>
      <c r="AG505" s="81">
        <v>160292419.42926005</v>
      </c>
      <c r="AH505" s="81">
        <v>160557338.87104404</v>
      </c>
      <c r="AI505" s="81">
        <v>160804905.007871</v>
      </c>
      <c r="AJ505" s="81">
        <v>161034519.10476822</v>
      </c>
      <c r="AK505" s="81">
        <v>161133403.40293956</v>
      </c>
      <c r="AL505" s="81">
        <v>161210731.61551568</v>
      </c>
      <c r="AM505" s="81">
        <v>161264200.23456395</v>
      </c>
      <c r="AN505" s="81">
        <v>161290889.11125574</v>
      </c>
      <c r="AO505" s="81">
        <v>161287301.85906982</v>
      </c>
      <c r="AP505" s="81">
        <v>161249274.40495896</v>
      </c>
      <c r="AQ505" s="81">
        <v>161171977.03961152</v>
      </c>
      <c r="AR505" s="81">
        <v>161049936.47555357</v>
      </c>
      <c r="AS505" s="81">
        <v>160876961.96747217</v>
      </c>
      <c r="AT505" s="81">
        <v>160646206.38835442</v>
      </c>
    </row>
    <row r="506" spans="1:46" ht="15.75">
      <c r="A506" s="81" t="s">
        <v>448</v>
      </c>
      <c r="B506" s="80">
        <v>370200</v>
      </c>
      <c r="C506" s="80" t="s">
        <v>145</v>
      </c>
      <c r="D506" s="84" t="s">
        <v>147</v>
      </c>
      <c r="E506" s="81">
        <v>121868218.09247983</v>
      </c>
      <c r="F506" s="81">
        <v>125425756.65157667</v>
      </c>
      <c r="G506" s="81">
        <v>128194529.67905506</v>
      </c>
      <c r="H506" s="81">
        <v>130871548.49945362</v>
      </c>
      <c r="I506" s="81">
        <v>133458920.71021275</v>
      </c>
      <c r="J506" s="81">
        <v>135958907.92503747</v>
      </c>
      <c r="K506" s="81">
        <v>138373940.31195122</v>
      </c>
      <c r="L506" s="81">
        <v>140706564.63386214</v>
      </c>
      <c r="M506" s="81">
        <v>142959457.61337793</v>
      </c>
      <c r="N506" s="81">
        <v>145135370.65352127</v>
      </c>
      <c r="O506" s="81">
        <v>147237185.07234132</v>
      </c>
      <c r="P506" s="81">
        <v>149267842.13777211</v>
      </c>
      <c r="Q506" s="81">
        <v>150628551.64851031</v>
      </c>
      <c r="R506" s="81">
        <v>151920332.58932465</v>
      </c>
      <c r="S506" s="81">
        <v>153147130.47113758</v>
      </c>
      <c r="T506" s="81">
        <v>154312778.36513588</v>
      </c>
      <c r="U506" s="81">
        <v>155421073.17690423</v>
      </c>
      <c r="V506" s="81">
        <v>156475686.30467042</v>
      </c>
      <c r="W506" s="81">
        <v>157480226.43124485</v>
      </c>
      <c r="X506" s="81">
        <v>158438147.96914479</v>
      </c>
      <c r="Y506" s="81">
        <v>159352766.73181352</v>
      </c>
      <c r="Z506" s="81">
        <v>160227293.59500363</v>
      </c>
      <c r="AA506" s="81">
        <v>160954580.83716217</v>
      </c>
      <c r="AB506" s="81">
        <v>161647386.34323701</v>
      </c>
      <c r="AC506" s="81">
        <v>162308455.41877359</v>
      </c>
      <c r="AD506" s="81">
        <v>162940260.87240636</v>
      </c>
      <c r="AE506" s="81">
        <v>163545087.3858411</v>
      </c>
      <c r="AF506" s="81">
        <v>164124932.05411226</v>
      </c>
      <c r="AG506" s="81">
        <v>164681556.28065473</v>
      </c>
      <c r="AH506" s="81">
        <v>165216453.61436734</v>
      </c>
      <c r="AI506" s="81">
        <v>165730763.21163067</v>
      </c>
      <c r="AJ506" s="81">
        <v>166225357.94550183</v>
      </c>
      <c r="AK506" s="81">
        <v>166670324.86618012</v>
      </c>
      <c r="AL506" s="81">
        <v>167096099.22189367</v>
      </c>
      <c r="AM506" s="81">
        <v>167502494.77389902</v>
      </c>
      <c r="AN506" s="81">
        <v>167888956.32810333</v>
      </c>
      <c r="AO506" s="81">
        <v>168254543.04116681</v>
      </c>
      <c r="AP506" s="81">
        <v>168597892.63624147</v>
      </c>
      <c r="AQ506" s="81">
        <v>168917241.56551817</v>
      </c>
      <c r="AR506" s="81">
        <v>169210312.42364755</v>
      </c>
      <c r="AS506" s="81">
        <v>169474409.39785647</v>
      </c>
      <c r="AT506" s="81">
        <v>169706323.97295871</v>
      </c>
    </row>
    <row r="507" spans="1:46" ht="15.75">
      <c r="A507" s="81" t="s">
        <v>448</v>
      </c>
      <c r="B507" s="80">
        <v>370300</v>
      </c>
      <c r="C507" s="80" t="s">
        <v>145</v>
      </c>
      <c r="D507" s="84" t="s">
        <v>148</v>
      </c>
      <c r="E507" s="81">
        <v>55127508.885681018</v>
      </c>
      <c r="F507" s="81">
        <v>56638100.613548003</v>
      </c>
      <c r="G507" s="81">
        <v>57807859.34756691</v>
      </c>
      <c r="H507" s="81">
        <v>58950224.378791913</v>
      </c>
      <c r="I507" s="81">
        <v>60064289.714108288</v>
      </c>
      <c r="J507" s="81">
        <v>61149186.99809666</v>
      </c>
      <c r="K507" s="81">
        <v>62204165.095363647</v>
      </c>
      <c r="L507" s="81">
        <v>63228544.526560746</v>
      </c>
      <c r="M507" s="81">
        <v>64221720.911754832</v>
      </c>
      <c r="N507" s="81">
        <v>65183195.811749689</v>
      </c>
      <c r="O507" s="81">
        <v>66112554.599029675</v>
      </c>
      <c r="P507" s="81">
        <v>67009498.267835692</v>
      </c>
      <c r="Q507" s="81">
        <v>67603703.331634372</v>
      </c>
      <c r="R507" s="81">
        <v>68163630.812356383</v>
      </c>
      <c r="S507" s="81">
        <v>68689712.70836933</v>
      </c>
      <c r="T507" s="81">
        <v>69182513.033944309</v>
      </c>
      <c r="U507" s="81">
        <v>69642658.323427707</v>
      </c>
      <c r="V507" s="81">
        <v>70070913.918447122</v>
      </c>
      <c r="W507" s="81">
        <v>70468143.376597896</v>
      </c>
      <c r="X507" s="81">
        <v>70835357.299060568</v>
      </c>
      <c r="Y507" s="81">
        <v>71173625.221791849</v>
      </c>
      <c r="Z507" s="81">
        <v>71484185.878827214</v>
      </c>
      <c r="AA507" s="81">
        <v>71719288.573552087</v>
      </c>
      <c r="AB507" s="81">
        <v>71929548.076060638</v>
      </c>
      <c r="AC507" s="81">
        <v>72116594.868139654</v>
      </c>
      <c r="AD507" s="81">
        <v>72282239.72382839</v>
      </c>
      <c r="AE507" s="81">
        <v>72428380.49146919</v>
      </c>
      <c r="AF507" s="81">
        <v>72557069.753845617</v>
      </c>
      <c r="AG507" s="81">
        <v>72670519.066111162</v>
      </c>
      <c r="AH507" s="81">
        <v>72771069.293337747</v>
      </c>
      <c r="AI507" s="81">
        <v>72861193.327105194</v>
      </c>
      <c r="AJ507" s="81">
        <v>72943533.412421331</v>
      </c>
      <c r="AK507" s="81">
        <v>73055904.889330447</v>
      </c>
      <c r="AL507" s="81">
        <v>73165975.192427516</v>
      </c>
      <c r="AM507" s="81">
        <v>73276818.613394007</v>
      </c>
      <c r="AN507" s="81">
        <v>73391734.625147387</v>
      </c>
      <c r="AO507" s="81">
        <v>73514199.962087259</v>
      </c>
      <c r="AP507" s="81">
        <v>73647817.628626376</v>
      </c>
      <c r="AQ507" s="81">
        <v>73796447.841774896</v>
      </c>
      <c r="AR507" s="81">
        <v>73964047.466164067</v>
      </c>
      <c r="AS507" s="81">
        <v>74154858.291572437</v>
      </c>
      <c r="AT507" s="81">
        <v>74373225.222367391</v>
      </c>
    </row>
    <row r="508" spans="1:46" ht="15.75">
      <c r="A508" s="81" t="s">
        <v>448</v>
      </c>
      <c r="B508" s="80">
        <v>370400</v>
      </c>
      <c r="C508" s="80" t="s">
        <v>145</v>
      </c>
      <c r="D508" s="84" t="s">
        <v>149</v>
      </c>
      <c r="E508" s="81">
        <v>36359832.780862227</v>
      </c>
      <c r="F508" s="81">
        <v>37437243.937818609</v>
      </c>
      <c r="G508" s="81">
        <v>38297481.661423698</v>
      </c>
      <c r="H508" s="81">
        <v>39147107.32346765</v>
      </c>
      <c r="I508" s="81">
        <v>39985364.08653605</v>
      </c>
      <c r="J508" s="81">
        <v>40811506.911602326</v>
      </c>
      <c r="K508" s="81">
        <v>41624835.303924486</v>
      </c>
      <c r="L508" s="81">
        <v>42424707.691982098</v>
      </c>
      <c r="M508" s="81">
        <v>43210502.585800059</v>
      </c>
      <c r="N508" s="81">
        <v>43981652.973882027</v>
      </c>
      <c r="O508" s="81">
        <v>44737639.005512156</v>
      </c>
      <c r="P508" s="81">
        <v>45478002.45934476</v>
      </c>
      <c r="Q508" s="81">
        <v>46018477.589053035</v>
      </c>
      <c r="R508" s="81">
        <v>46540409.632600583</v>
      </c>
      <c r="S508" s="81">
        <v>47043756.051493064</v>
      </c>
      <c r="T508" s="81">
        <v>47528567.546068184</v>
      </c>
      <c r="U508" s="81">
        <v>47994932.288141176</v>
      </c>
      <c r="V508" s="81">
        <v>48443037.731228277</v>
      </c>
      <c r="W508" s="81">
        <v>48873101.354276739</v>
      </c>
      <c r="X508" s="81">
        <v>49285433.182715207</v>
      </c>
      <c r="Y508" s="81">
        <v>49680439.594061486</v>
      </c>
      <c r="Z508" s="81">
        <v>50058563.823480934</v>
      </c>
      <c r="AA508" s="81">
        <v>50385866.016020775</v>
      </c>
      <c r="AB508" s="81">
        <v>50697254.601676725</v>
      </c>
      <c r="AC508" s="81">
        <v>50993482.136358611</v>
      </c>
      <c r="AD508" s="81">
        <v>51275370.63018591</v>
      </c>
      <c r="AE508" s="81">
        <v>51543853.268779829</v>
      </c>
      <c r="AF508" s="81">
        <v>51799924.449289262</v>
      </c>
      <c r="AG508" s="81">
        <v>52044695.23897288</v>
      </c>
      <c r="AH508" s="81">
        <v>52279369.819002941</v>
      </c>
      <c r="AI508" s="81">
        <v>52505248.049192131</v>
      </c>
      <c r="AJ508" s="81">
        <v>52723728.05900874</v>
      </c>
      <c r="AK508" s="81">
        <v>52961720.962803297</v>
      </c>
      <c r="AL508" s="81">
        <v>53195394.159515239</v>
      </c>
      <c r="AM508" s="81">
        <v>53426468.796021864</v>
      </c>
      <c r="AN508" s="81">
        <v>53656793.472228222</v>
      </c>
      <c r="AO508" s="81">
        <v>53888318.565611474</v>
      </c>
      <c r="AP508" s="81">
        <v>54123128.033937819</v>
      </c>
      <c r="AQ508" s="81">
        <v>54363458.011143036</v>
      </c>
      <c r="AR508" s="81">
        <v>54611625.898464158</v>
      </c>
      <c r="AS508" s="81">
        <v>54870122.517371558</v>
      </c>
      <c r="AT508" s="81">
        <v>55141540.551174313</v>
      </c>
    </row>
    <row r="509" spans="1:46" ht="15.75">
      <c r="A509" s="81" t="s">
        <v>448</v>
      </c>
      <c r="B509" s="80">
        <v>370500</v>
      </c>
      <c r="C509" s="80" t="s">
        <v>145</v>
      </c>
      <c r="D509" s="84" t="s">
        <v>150</v>
      </c>
      <c r="E509" s="81">
        <v>24797129.189354565</v>
      </c>
      <c r="F509" s="81">
        <v>25497137.137805395</v>
      </c>
      <c r="G509" s="81">
        <v>26043741.631711762</v>
      </c>
      <c r="H509" s="81">
        <v>26578205.313795298</v>
      </c>
      <c r="I509" s="81">
        <v>27100395.973739833</v>
      </c>
      <c r="J509" s="81">
        <v>27610179.534604847</v>
      </c>
      <c r="K509" s="81">
        <v>28107481.004274052</v>
      </c>
      <c r="L509" s="81">
        <v>28592223.34812304</v>
      </c>
      <c r="M509" s="81">
        <v>29064364.382758092</v>
      </c>
      <c r="N509" s="81">
        <v>29523884.434906743</v>
      </c>
      <c r="O509" s="81">
        <v>29970812.997937668</v>
      </c>
      <c r="P509" s="81">
        <v>30405162.544568881</v>
      </c>
      <c r="Q509" s="81">
        <v>30704318.712838341</v>
      </c>
      <c r="R509" s="81">
        <v>30990110.011448033</v>
      </c>
      <c r="S509" s="81">
        <v>31262786.161882065</v>
      </c>
      <c r="T509" s="81">
        <v>31522666.479877666</v>
      </c>
      <c r="U509" s="81">
        <v>31770070.739490338</v>
      </c>
      <c r="V509" s="81">
        <v>32005332.608839057</v>
      </c>
      <c r="W509" s="81">
        <v>32228784.616941959</v>
      </c>
      <c r="X509" s="81">
        <v>32440816.41201226</v>
      </c>
      <c r="Y509" s="81">
        <v>32641801.722101327</v>
      </c>
      <c r="Z509" s="81">
        <v>32832141.903505005</v>
      </c>
      <c r="AA509" s="81">
        <v>32989672.597191725</v>
      </c>
      <c r="AB509" s="81">
        <v>33137375.10079306</v>
      </c>
      <c r="AC509" s="81">
        <v>33275677.278240435</v>
      </c>
      <c r="AD509" s="81">
        <v>33405094.596378312</v>
      </c>
      <c r="AE509" s="81">
        <v>33526122.020304706</v>
      </c>
      <c r="AF509" s="81">
        <v>33639248.127847612</v>
      </c>
      <c r="AG509" s="81">
        <v>33745018.806115061</v>
      </c>
      <c r="AH509" s="81">
        <v>33843940.789730102</v>
      </c>
      <c r="AI509" s="81">
        <v>33936594.649910398</v>
      </c>
      <c r="AJ509" s="81">
        <v>34023520.54926312</v>
      </c>
      <c r="AK509" s="81">
        <v>34121662.868623592</v>
      </c>
      <c r="AL509" s="81">
        <v>34215159.933135204</v>
      </c>
      <c r="AM509" s="81">
        <v>34304587.118883371</v>
      </c>
      <c r="AN509" s="81">
        <v>34390544.774098739</v>
      </c>
      <c r="AO509" s="81">
        <v>34473676.039012119</v>
      </c>
      <c r="AP509" s="81">
        <v>34554579.501692981</v>
      </c>
      <c r="AQ509" s="81">
        <v>34633895.437448241</v>
      </c>
      <c r="AR509" s="81">
        <v>34712288.893490322</v>
      </c>
      <c r="AS509" s="81">
        <v>34790395.347054005</v>
      </c>
      <c r="AT509" s="81">
        <v>34868910.297453724</v>
      </c>
    </row>
    <row r="510" spans="1:46" ht="15.75">
      <c r="A510" s="81" t="s">
        <v>448</v>
      </c>
      <c r="B510" s="80">
        <v>370600</v>
      </c>
      <c r="C510" s="80" t="s">
        <v>145</v>
      </c>
      <c r="D510" s="84" t="s">
        <v>151</v>
      </c>
      <c r="E510" s="81">
        <v>74886307.180017769</v>
      </c>
      <c r="F510" s="81">
        <v>77001350.827607319</v>
      </c>
      <c r="G510" s="81">
        <v>78607936.300928876</v>
      </c>
      <c r="H510" s="81">
        <v>80135019.784921035</v>
      </c>
      <c r="I510" s="81">
        <v>81584620.766359955</v>
      </c>
      <c r="J510" s="81">
        <v>82958879.083798289</v>
      </c>
      <c r="K510" s="81">
        <v>84260125.915962517</v>
      </c>
      <c r="L510" s="81">
        <v>85490771.123216316</v>
      </c>
      <c r="M510" s="81">
        <v>86653386.339977011</v>
      </c>
      <c r="N510" s="81">
        <v>87750648.86996524</v>
      </c>
      <c r="O510" s="81">
        <v>88785330.73472859</v>
      </c>
      <c r="P510" s="81">
        <v>89760287.333776399</v>
      </c>
      <c r="Q510" s="81">
        <v>90317630.501483768</v>
      </c>
      <c r="R510" s="81">
        <v>90821074.704959348</v>
      </c>
      <c r="S510" s="81">
        <v>91274293.24748221</v>
      </c>
      <c r="T510" s="81">
        <v>91680926.075168356</v>
      </c>
      <c r="U510" s="81">
        <v>92044609.475171059</v>
      </c>
      <c r="V510" s="81">
        <v>92368886.142256409</v>
      </c>
      <c r="W510" s="81">
        <v>92657274.25187996</v>
      </c>
      <c r="X510" s="81">
        <v>92913216.901638865</v>
      </c>
      <c r="Y510" s="81">
        <v>93140084.703903317</v>
      </c>
      <c r="Z510" s="81">
        <v>93341164.899361089</v>
      </c>
      <c r="AA510" s="81">
        <v>93455659.779384747</v>
      </c>
      <c r="AB510" s="81">
        <v>93550889.473184511</v>
      </c>
      <c r="AC510" s="81">
        <v>93629824.132535681</v>
      </c>
      <c r="AD510" s="81">
        <v>93695324.980839282</v>
      </c>
      <c r="AE510" s="81">
        <v>93750030.445454702</v>
      </c>
      <c r="AF510" s="81">
        <v>93796476.066804692</v>
      </c>
      <c r="AG510" s="81">
        <v>93836979.702399746</v>
      </c>
      <c r="AH510" s="81">
        <v>93873703.941314504</v>
      </c>
      <c r="AI510" s="81">
        <v>93908568.374060407</v>
      </c>
      <c r="AJ510" s="81">
        <v>93943297.506373644</v>
      </c>
      <c r="AK510" s="81">
        <v>94024498.945665479</v>
      </c>
      <c r="AL510" s="81">
        <v>94107910.545376092</v>
      </c>
      <c r="AM510" s="81">
        <v>94194546.474452376</v>
      </c>
      <c r="AN510" s="81">
        <v>94285160.785020009</v>
      </c>
      <c r="AO510" s="81">
        <v>94380217.289683208</v>
      </c>
      <c r="AP510" s="81">
        <v>94479891.314748362</v>
      </c>
      <c r="AQ510" s="81">
        <v>94584038.867346466</v>
      </c>
      <c r="AR510" s="81">
        <v>94692215.126608148</v>
      </c>
      <c r="AS510" s="81">
        <v>94803626.712034911</v>
      </c>
      <c r="AT510" s="81">
        <v>94917116.132989243</v>
      </c>
    </row>
    <row r="511" spans="1:46" ht="15.75">
      <c r="A511" s="81" t="s">
        <v>448</v>
      </c>
      <c r="B511" s="80">
        <v>370700</v>
      </c>
      <c r="C511" s="80" t="s">
        <v>145</v>
      </c>
      <c r="D511" s="84" t="s">
        <v>152</v>
      </c>
      <c r="E511" s="81">
        <v>92877688.454858691</v>
      </c>
      <c r="F511" s="81">
        <v>95438651.63975881</v>
      </c>
      <c r="G511" s="81">
        <v>97430460.309206948</v>
      </c>
      <c r="H511" s="81">
        <v>99381319.166382968</v>
      </c>
      <c r="I511" s="81">
        <v>101289827.44981782</v>
      </c>
      <c r="J511" s="81">
        <v>103154698.76046902</v>
      </c>
      <c r="K511" s="81">
        <v>104974745.36720838</v>
      </c>
      <c r="L511" s="81">
        <v>106748938.88972975</v>
      </c>
      <c r="M511" s="81">
        <v>108476328.47260213</v>
      </c>
      <c r="N511" s="81">
        <v>110156158.50202045</v>
      </c>
      <c r="O511" s="81">
        <v>111787774.19697107</v>
      </c>
      <c r="P511" s="81">
        <v>113370696.30211486</v>
      </c>
      <c r="Q511" s="81">
        <v>114447320.0966315</v>
      </c>
      <c r="R511" s="81">
        <v>115471505.36771461</v>
      </c>
      <c r="S511" s="81">
        <v>116443901.18220255</v>
      </c>
      <c r="T511" s="81">
        <v>117365333.92549317</v>
      </c>
      <c r="U511" s="81">
        <v>118236788.38645719</v>
      </c>
      <c r="V511" s="81">
        <v>119059374.56708628</v>
      </c>
      <c r="W511" s="81">
        <v>119834420.59835628</v>
      </c>
      <c r="X511" s="81">
        <v>120563363.63082345</v>
      </c>
      <c r="Y511" s="81">
        <v>121247869.6520852</v>
      </c>
      <c r="Z511" s="81">
        <v>121889761.81090413</v>
      </c>
      <c r="AA511" s="81">
        <v>122407261.0344689</v>
      </c>
      <c r="AB511" s="81">
        <v>122886226.07658748</v>
      </c>
      <c r="AC511" s="81">
        <v>123329161.17970282</v>
      </c>
      <c r="AD511" s="81">
        <v>123738684.40483609</v>
      </c>
      <c r="AE511" s="81">
        <v>124117695.67443494</v>
      </c>
      <c r="AF511" s="81">
        <v>124469231.0123785</v>
      </c>
      <c r="AG511" s="81">
        <v>124796563.55164449</v>
      </c>
      <c r="AH511" s="81">
        <v>125103166.89638992</v>
      </c>
      <c r="AI511" s="81">
        <v>125392733.97650215</v>
      </c>
      <c r="AJ511" s="81">
        <v>125669196.75741155</v>
      </c>
      <c r="AK511" s="81">
        <v>125997110.3049113</v>
      </c>
      <c r="AL511" s="81">
        <v>126320088.61538987</v>
      </c>
      <c r="AM511" s="81">
        <v>126642743.82959409</v>
      </c>
      <c r="AN511" s="81">
        <v>126969941.90296601</v>
      </c>
      <c r="AO511" s="81">
        <v>127306808.30258341</v>
      </c>
      <c r="AP511" s="81">
        <v>127658733.75460318</v>
      </c>
      <c r="AQ511" s="81">
        <v>128031364.41463889</v>
      </c>
      <c r="AR511" s="81">
        <v>128430622.74847932</v>
      </c>
      <c r="AS511" s="81">
        <v>128862729.35019495</v>
      </c>
      <c r="AT511" s="81">
        <v>129334161.40753019</v>
      </c>
    </row>
    <row r="512" spans="1:46" ht="15.75">
      <c r="A512" s="81" t="s">
        <v>448</v>
      </c>
      <c r="B512" s="80">
        <v>370800</v>
      </c>
      <c r="C512" s="80" t="s">
        <v>145</v>
      </c>
      <c r="D512" s="84" t="s">
        <v>153</v>
      </c>
      <c r="E512" s="81">
        <v>78710898.203637183</v>
      </c>
      <c r="F512" s="81">
        <v>80838222.46243906</v>
      </c>
      <c r="G512" s="81">
        <v>82509961.922663406</v>
      </c>
      <c r="H512" s="81">
        <v>84172839.457324535</v>
      </c>
      <c r="I512" s="81">
        <v>85824673.942282259</v>
      </c>
      <c r="J512" s="81">
        <v>87463331.889832199</v>
      </c>
      <c r="K512" s="81">
        <v>89086715.356266633</v>
      </c>
      <c r="L512" s="81">
        <v>90692801.330672994</v>
      </c>
      <c r="M512" s="81">
        <v>92279619.40740329</v>
      </c>
      <c r="N512" s="81">
        <v>93845281.596437097</v>
      </c>
      <c r="O512" s="81">
        <v>95387947.415053651</v>
      </c>
      <c r="P512" s="81">
        <v>96905932.348395407</v>
      </c>
      <c r="Q512" s="81">
        <v>98006012.321391508</v>
      </c>
      <c r="R512" s="81">
        <v>99073961.677546382</v>
      </c>
      <c r="S512" s="81">
        <v>100108861.04569365</v>
      </c>
      <c r="T512" s="81">
        <v>101109887.26675618</v>
      </c>
      <c r="U512" s="81">
        <v>102076402.52416851</v>
      </c>
      <c r="V512" s="81">
        <v>103007891.77076304</v>
      </c>
      <c r="W512" s="81">
        <v>103904005.64631559</v>
      </c>
      <c r="X512" s="81">
        <v>104764544.06576569</v>
      </c>
      <c r="Y512" s="81">
        <v>105589488.30525772</v>
      </c>
      <c r="Z512" s="81">
        <v>106379009.54071704</v>
      </c>
      <c r="AA512" s="81">
        <v>107060166.3176634</v>
      </c>
      <c r="AB512" s="81">
        <v>107706377.17075144</v>
      </c>
      <c r="AC512" s="81">
        <v>108318468.55260703</v>
      </c>
      <c r="AD512" s="81">
        <v>108897460.52354607</v>
      </c>
      <c r="AE512" s="81">
        <v>109444600.41519101</v>
      </c>
      <c r="AF512" s="81">
        <v>109961344.60158104</v>
      </c>
      <c r="AG512" s="81">
        <v>110449419.87063038</v>
      </c>
      <c r="AH512" s="81">
        <v>110910737.99621443</v>
      </c>
      <c r="AI512" s="81">
        <v>111347511.45334655</v>
      </c>
      <c r="AJ512" s="81">
        <v>111762180.92292932</v>
      </c>
      <c r="AK512" s="81">
        <v>112211275.8417141</v>
      </c>
      <c r="AL512" s="81">
        <v>112643791.73057541</v>
      </c>
      <c r="AM512" s="81">
        <v>113062997.80915752</v>
      </c>
      <c r="AN512" s="81">
        <v>113472431.56713641</v>
      </c>
      <c r="AO512" s="81">
        <v>113875965.00811946</v>
      </c>
      <c r="AP512" s="81">
        <v>114277785.9966705</v>
      </c>
      <c r="AQ512" s="81">
        <v>114682378.03906825</v>
      </c>
      <c r="AR512" s="81">
        <v>115094588.51623613</v>
      </c>
      <c r="AS512" s="81">
        <v>115519624.66739537</v>
      </c>
      <c r="AT512" s="81">
        <v>115963018.25626509</v>
      </c>
    </row>
    <row r="513" spans="1:46" ht="15.75">
      <c r="A513" s="81" t="s">
        <v>448</v>
      </c>
      <c r="B513" s="80">
        <v>370900</v>
      </c>
      <c r="C513" s="80" t="s">
        <v>145</v>
      </c>
      <c r="D513" s="84" t="s">
        <v>154</v>
      </c>
      <c r="E513" s="81">
        <v>55037923.568205953</v>
      </c>
      <c r="F513" s="81">
        <v>56489461.747916013</v>
      </c>
      <c r="G513" s="81">
        <v>57604355.522143602</v>
      </c>
      <c r="H513" s="81">
        <v>58695994.065291442</v>
      </c>
      <c r="I513" s="81">
        <v>59763955.31175229</v>
      </c>
      <c r="J513" s="81">
        <v>60807829.04674539</v>
      </c>
      <c r="K513" s="81">
        <v>61827259.681678466</v>
      </c>
      <c r="L513" s="81">
        <v>62821947.733273834</v>
      </c>
      <c r="M513" s="81">
        <v>63791651.302694499</v>
      </c>
      <c r="N513" s="81">
        <v>64736164.10318768</v>
      </c>
      <c r="O513" s="81">
        <v>65655327.035511732</v>
      </c>
      <c r="P513" s="81">
        <v>66549064.996790342</v>
      </c>
      <c r="Q513" s="81">
        <v>67149042.382940441</v>
      </c>
      <c r="R513" s="81">
        <v>67721875.721081525</v>
      </c>
      <c r="S513" s="81">
        <v>68267984.695513532</v>
      </c>
      <c r="T513" s="81">
        <v>68787826.528224453</v>
      </c>
      <c r="U513" s="81">
        <v>69281896.106928468</v>
      </c>
      <c r="V513" s="81">
        <v>69750739.011067659</v>
      </c>
      <c r="W513" s="81">
        <v>70194952.31387271</v>
      </c>
      <c r="X513" s="81">
        <v>70615145.81932269</v>
      </c>
      <c r="Y513" s="81">
        <v>71012007.398583382</v>
      </c>
      <c r="Z513" s="81">
        <v>71386264.772868946</v>
      </c>
      <c r="AA513" s="81">
        <v>71689593.375797868</v>
      </c>
      <c r="AB513" s="81">
        <v>71971826.964293137</v>
      </c>
      <c r="AC513" s="81">
        <v>72233841.678502768</v>
      </c>
      <c r="AD513" s="81">
        <v>72476592.183191076</v>
      </c>
      <c r="AE513" s="81">
        <v>72701057.089629412</v>
      </c>
      <c r="AF513" s="81">
        <v>72908281.07358174</v>
      </c>
      <c r="AG513" s="81">
        <v>73099304.121600553</v>
      </c>
      <c r="AH513" s="81">
        <v>73275261.284869611</v>
      </c>
      <c r="AI513" s="81">
        <v>73437311.916183621</v>
      </c>
      <c r="AJ513" s="81">
        <v>73586668.573857814</v>
      </c>
      <c r="AK513" s="81">
        <v>73759924.629776746</v>
      </c>
      <c r="AL513" s="81">
        <v>73922785.532266587</v>
      </c>
      <c r="AM513" s="81">
        <v>74076585.945232853</v>
      </c>
      <c r="AN513" s="81">
        <v>74222702.478105024</v>
      </c>
      <c r="AO513" s="81">
        <v>74362553.610581651</v>
      </c>
      <c r="AP513" s="81">
        <v>74497615.323005855</v>
      </c>
      <c r="AQ513" s="81">
        <v>74629405.886373013</v>
      </c>
      <c r="AR513" s="81">
        <v>74759501.78054522</v>
      </c>
      <c r="AS513" s="81">
        <v>74889506.00536491</v>
      </c>
      <c r="AT513" s="81">
        <v>75021112.492047444</v>
      </c>
    </row>
    <row r="514" spans="1:46" ht="15.75">
      <c r="A514" s="81" t="s">
        <v>448</v>
      </c>
      <c r="B514" s="80">
        <v>371000</v>
      </c>
      <c r="C514" s="80" t="s">
        <v>145</v>
      </c>
      <c r="D514" s="84" t="s">
        <v>155</v>
      </c>
      <c r="E514" s="81">
        <v>32035726.310897641</v>
      </c>
      <c r="F514" s="81">
        <v>32952105.151850305</v>
      </c>
      <c r="G514" s="81">
        <v>33645544.777911052</v>
      </c>
      <c r="H514" s="81">
        <v>34299896.138537765</v>
      </c>
      <c r="I514" s="81">
        <v>34916394.358174644</v>
      </c>
      <c r="J514" s="81">
        <v>35496333.382373407</v>
      </c>
      <c r="K514" s="81">
        <v>36041059.57282199</v>
      </c>
      <c r="L514" s="81">
        <v>36552002.522172928</v>
      </c>
      <c r="M514" s="81">
        <v>37030645.756812885</v>
      </c>
      <c r="N514" s="81">
        <v>37478507.77796822</v>
      </c>
      <c r="O514" s="81">
        <v>37897160.927699387</v>
      </c>
      <c r="P514" s="81">
        <v>38288239.14551051</v>
      </c>
      <c r="Q514" s="81">
        <v>38499531.859604388</v>
      </c>
      <c r="R514" s="81">
        <v>38686688.485457242</v>
      </c>
      <c r="S514" s="81">
        <v>38851682.7689308</v>
      </c>
      <c r="T514" s="81">
        <v>38996392.311400451</v>
      </c>
      <c r="U514" s="81">
        <v>39122729.103484072</v>
      </c>
      <c r="V514" s="81">
        <v>39232552.153997295</v>
      </c>
      <c r="W514" s="81">
        <v>39327646.206696972</v>
      </c>
      <c r="X514" s="81">
        <v>39409771.823833309</v>
      </c>
      <c r="Y514" s="81">
        <v>39480645.83594235</v>
      </c>
      <c r="Z514" s="81">
        <v>39541905.966604568</v>
      </c>
      <c r="AA514" s="81">
        <v>39568037.608564958</v>
      </c>
      <c r="AB514" s="81">
        <v>39587773.700040124</v>
      </c>
      <c r="AC514" s="81">
        <v>39602526.001347937</v>
      </c>
      <c r="AD514" s="81">
        <v>39613656.33155416</v>
      </c>
      <c r="AE514" s="81">
        <v>39622363.311209269</v>
      </c>
      <c r="AF514" s="81">
        <v>39629782.291757956</v>
      </c>
      <c r="AG514" s="81">
        <v>39636948.965977222</v>
      </c>
      <c r="AH514" s="81">
        <v>39644729.134109765</v>
      </c>
      <c r="AI514" s="81">
        <v>39653906.075390004</v>
      </c>
      <c r="AJ514" s="81">
        <v>39665126.695036687</v>
      </c>
      <c r="AK514" s="81">
        <v>39697898.584439456</v>
      </c>
      <c r="AL514" s="81">
        <v>39733363.471707672</v>
      </c>
      <c r="AM514" s="81">
        <v>39771737.393500455</v>
      </c>
      <c r="AN514" s="81">
        <v>39813036.6430097</v>
      </c>
      <c r="AO514" s="81">
        <v>39857119.252042614</v>
      </c>
      <c r="AP514" s="81">
        <v>39903694.776492044</v>
      </c>
      <c r="AQ514" s="81">
        <v>39952230.415808007</v>
      </c>
      <c r="AR514" s="81">
        <v>40002027.983070157</v>
      </c>
      <c r="AS514" s="81">
        <v>40052199.177947201</v>
      </c>
      <c r="AT514" s="81">
        <v>40101621.838759802</v>
      </c>
    </row>
    <row r="515" spans="1:46" ht="15.75">
      <c r="A515" s="81" t="s">
        <v>448</v>
      </c>
      <c r="B515" s="80">
        <v>371100</v>
      </c>
      <c r="C515" s="80" t="s">
        <v>145</v>
      </c>
      <c r="D515" s="84" t="s">
        <v>156</v>
      </c>
      <c r="E515" s="81">
        <v>28776815.787366293</v>
      </c>
      <c r="F515" s="81">
        <v>29526749.729233164</v>
      </c>
      <c r="G515" s="81">
        <v>30108164.453449126</v>
      </c>
      <c r="H515" s="81">
        <v>30684167.445203651</v>
      </c>
      <c r="I515" s="81">
        <v>31253771.49299062</v>
      </c>
      <c r="J515" s="81">
        <v>31815995.364491105</v>
      </c>
      <c r="K515" s="81">
        <v>32369899.033064663</v>
      </c>
      <c r="L515" s="81">
        <v>32914600.14406386</v>
      </c>
      <c r="M515" s="81">
        <v>33449213.762442596</v>
      </c>
      <c r="N515" s="81">
        <v>33972932.924063586</v>
      </c>
      <c r="O515" s="81">
        <v>34485001.815541387</v>
      </c>
      <c r="P515" s="81">
        <v>34984709.258746877</v>
      </c>
      <c r="Q515" s="81">
        <v>35330258.669176519</v>
      </c>
      <c r="R515" s="81">
        <v>35661093.129154004</v>
      </c>
      <c r="S515" s="81">
        <v>35976920.145065226</v>
      </c>
      <c r="T515" s="81">
        <v>36277500.756462052</v>
      </c>
      <c r="U515" s="81">
        <v>36562676.946475647</v>
      </c>
      <c r="V515" s="81">
        <v>36832400.696912184</v>
      </c>
      <c r="W515" s="81">
        <v>37086676.702288464</v>
      </c>
      <c r="X515" s="81">
        <v>37325653.625591129</v>
      </c>
      <c r="Y515" s="81">
        <v>37549528.419196837</v>
      </c>
      <c r="Z515" s="81">
        <v>37758625.936632067</v>
      </c>
      <c r="AA515" s="81">
        <v>37927433.803415388</v>
      </c>
      <c r="AB515" s="81">
        <v>38082385.902722999</v>
      </c>
      <c r="AC515" s="81">
        <v>38224197.266313635</v>
      </c>
      <c r="AD515" s="81">
        <v>38353662.351121292</v>
      </c>
      <c r="AE515" s="81">
        <v>38471711.989109211</v>
      </c>
      <c r="AF515" s="81">
        <v>38579404.71966403</v>
      </c>
      <c r="AG515" s="81">
        <v>38677945.174228474</v>
      </c>
      <c r="AH515" s="81">
        <v>38768647.220438547</v>
      </c>
      <c r="AI515" s="81">
        <v>38852993.861509554</v>
      </c>
      <c r="AJ515" s="81">
        <v>38932600.356424674</v>
      </c>
      <c r="AK515" s="81">
        <v>39027963.137568817</v>
      </c>
      <c r="AL515" s="81">
        <v>39122175.541934498</v>
      </c>
      <c r="AM515" s="81">
        <v>39217308.281560123</v>
      </c>
      <c r="AN515" s="81">
        <v>39315645.431223735</v>
      </c>
      <c r="AO515" s="81">
        <v>39419631.801150292</v>
      </c>
      <c r="AP515" s="81">
        <v>39531862.368346669</v>
      </c>
      <c r="AQ515" s="81">
        <v>39655147.333234765</v>
      </c>
      <c r="AR515" s="81">
        <v>39792503.536690295</v>
      </c>
      <c r="AS515" s="81">
        <v>39947098.33566609</v>
      </c>
      <c r="AT515" s="81">
        <v>40122331.57293541</v>
      </c>
    </row>
    <row r="516" spans="1:46" ht="15.75">
      <c r="A516" s="81" t="s">
        <v>448</v>
      </c>
      <c r="B516" s="80">
        <v>371300</v>
      </c>
      <c r="C516" s="80" t="s">
        <v>145</v>
      </c>
      <c r="D516" s="84" t="s">
        <v>157</v>
      </c>
      <c r="E516" s="81">
        <v>106232276.92521264</v>
      </c>
      <c r="F516" s="81">
        <v>109379353.91390689</v>
      </c>
      <c r="G516" s="81">
        <v>111996633.29901214</v>
      </c>
      <c r="H516" s="81">
        <v>114637839.70269448</v>
      </c>
      <c r="I516" s="81">
        <v>117298010.20373297</v>
      </c>
      <c r="J516" s="81">
        <v>119972137.25981851</v>
      </c>
      <c r="K516" s="81">
        <v>122655181.2230334</v>
      </c>
      <c r="L516" s="81">
        <v>125342149.70496558</v>
      </c>
      <c r="M516" s="81">
        <v>128028036.0036618</v>
      </c>
      <c r="N516" s="81">
        <v>130707934.22717631</v>
      </c>
      <c r="O516" s="81">
        <v>133376999.88645916</v>
      </c>
      <c r="P516" s="81">
        <v>136030536.43021137</v>
      </c>
      <c r="Q516" s="81">
        <v>138195409.41992408</v>
      </c>
      <c r="R516" s="81">
        <v>140325956.85756457</v>
      </c>
      <c r="S516" s="81">
        <v>142418530.86667719</v>
      </c>
      <c r="T516" s="81">
        <v>144469755.85833311</v>
      </c>
      <c r="U516" s="81">
        <v>146476555.85167301</v>
      </c>
      <c r="V516" s="81">
        <v>148436195.58931103</v>
      </c>
      <c r="W516" s="81">
        <v>150346309.96572882</v>
      </c>
      <c r="X516" s="81">
        <v>152204906.81571236</v>
      </c>
      <c r="Y516" s="81">
        <v>154010423.17759788</v>
      </c>
      <c r="Z516" s="81">
        <v>155761770.46982977</v>
      </c>
      <c r="AA516" s="81">
        <v>157445469.64849329</v>
      </c>
      <c r="AB516" s="81">
        <v>159072531.16538933</v>
      </c>
      <c r="AC516" s="81">
        <v>160643415.42427626</v>
      </c>
      <c r="AD516" s="81">
        <v>162159173.59256479</v>
      </c>
      <c r="AE516" s="81">
        <v>163621496.0783515</v>
      </c>
      <c r="AF516" s="81">
        <v>165032671.47407764</v>
      </c>
      <c r="AG516" s="81">
        <v>166395740.29479301</v>
      </c>
      <c r="AH516" s="81">
        <v>167714393.47422731</v>
      </c>
      <c r="AI516" s="81">
        <v>168993113.51825139</v>
      </c>
      <c r="AJ516" s="81">
        <v>170237148.42720968</v>
      </c>
      <c r="AK516" s="81">
        <v>171638272.31216225</v>
      </c>
      <c r="AL516" s="81">
        <v>173017246.37535477</v>
      </c>
      <c r="AM516" s="81">
        <v>174381867.41228512</v>
      </c>
      <c r="AN516" s="81">
        <v>175740930.2877278</v>
      </c>
      <c r="AO516" s="81">
        <v>177104219.69773233</v>
      </c>
      <c r="AP516" s="81">
        <v>178482602.8161447</v>
      </c>
      <c r="AQ516" s="81">
        <v>179888038.47381416</v>
      </c>
      <c r="AR516" s="81">
        <v>181333602.0012823</v>
      </c>
      <c r="AS516" s="81">
        <v>182833581.68557999</v>
      </c>
      <c r="AT516" s="81">
        <v>184403488.28235549</v>
      </c>
    </row>
    <row r="517" spans="1:46" ht="15.75">
      <c r="A517" s="81" t="s">
        <v>448</v>
      </c>
      <c r="B517" s="80">
        <v>371400</v>
      </c>
      <c r="C517" s="80" t="s">
        <v>145</v>
      </c>
      <c r="D517" s="84" t="s">
        <v>158</v>
      </c>
      <c r="E517" s="81">
        <v>51499760.004291333</v>
      </c>
      <c r="F517" s="81">
        <v>52853958.288690396</v>
      </c>
      <c r="G517" s="81">
        <v>53907419.236575462</v>
      </c>
      <c r="H517" s="81">
        <v>54952564.658004865</v>
      </c>
      <c r="I517" s="81">
        <v>55988099.105998218</v>
      </c>
      <c r="J517" s="81">
        <v>57012759.970794156</v>
      </c>
      <c r="K517" s="81">
        <v>58025312.470999323</v>
      </c>
      <c r="L517" s="81">
        <v>59024564.543860368</v>
      </c>
      <c r="M517" s="81">
        <v>60009351.213533334</v>
      </c>
      <c r="N517" s="81">
        <v>60978570.611454628</v>
      </c>
      <c r="O517" s="81">
        <v>61931157.872722976</v>
      </c>
      <c r="P517" s="81">
        <v>62866133.395090222</v>
      </c>
      <c r="Q517" s="81">
        <v>63528732.551748954</v>
      </c>
      <c r="R517" s="81">
        <v>64169531.321945585</v>
      </c>
      <c r="S517" s="81">
        <v>64788021.19159466</v>
      </c>
      <c r="T517" s="81">
        <v>65383813.974396519</v>
      </c>
      <c r="U517" s="81">
        <v>65956566.719279997</v>
      </c>
      <c r="V517" s="81">
        <v>66506042.758554935</v>
      </c>
      <c r="W517" s="81">
        <v>67032093.256435975</v>
      </c>
      <c r="X517" s="81">
        <v>67534661.373471275</v>
      </c>
      <c r="Y517" s="81">
        <v>68013810.816350639</v>
      </c>
      <c r="Z517" s="81">
        <v>68469682.250132546</v>
      </c>
      <c r="AA517" s="81">
        <v>68855433.195760131</v>
      </c>
      <c r="AB517" s="81">
        <v>69218369.158947349</v>
      </c>
      <c r="AC517" s="81">
        <v>69559058.623849154</v>
      </c>
      <c r="AD517" s="81">
        <v>69878149.646467745</v>
      </c>
      <c r="AE517" s="81">
        <v>70176449.666590929</v>
      </c>
      <c r="AF517" s="81">
        <v>70454892.565943718</v>
      </c>
      <c r="AG517" s="81">
        <v>70714543.015088513</v>
      </c>
      <c r="AH517" s="81">
        <v>70956614.148765668</v>
      </c>
      <c r="AI517" s="81">
        <v>71182445.837379783</v>
      </c>
      <c r="AJ517" s="81">
        <v>71393549.149572313</v>
      </c>
      <c r="AK517" s="81">
        <v>71625919.719317555</v>
      </c>
      <c r="AL517" s="81">
        <v>71846890.675064862</v>
      </c>
      <c r="AM517" s="81">
        <v>72058397.946021661</v>
      </c>
      <c r="AN517" s="81">
        <v>72262614.664057538</v>
      </c>
      <c r="AO517" s="81">
        <v>72461845.983367473</v>
      </c>
      <c r="AP517" s="81">
        <v>72658618.20540458</v>
      </c>
      <c r="AQ517" s="81">
        <v>72855628.100131452</v>
      </c>
      <c r="AR517" s="81">
        <v>73055747.463132247</v>
      </c>
      <c r="AS517" s="81">
        <v>73262101.487630919</v>
      </c>
      <c r="AT517" s="81">
        <v>73477972.643917054</v>
      </c>
    </row>
    <row r="518" spans="1:46" ht="15.75">
      <c r="A518" s="81" t="s">
        <v>448</v>
      </c>
      <c r="B518" s="80">
        <v>371500</v>
      </c>
      <c r="C518" s="80" t="s">
        <v>145</v>
      </c>
      <c r="D518" s="84" t="s">
        <v>159</v>
      </c>
      <c r="E518" s="81">
        <v>49369080.680869393</v>
      </c>
      <c r="F518" s="81">
        <v>50705229.559250809</v>
      </c>
      <c r="G518" s="81">
        <v>51754954.229324192</v>
      </c>
      <c r="H518" s="81">
        <v>52798731.945793234</v>
      </c>
      <c r="I518" s="81">
        <v>53835461.529659428</v>
      </c>
      <c r="J518" s="81">
        <v>54864066.731018923</v>
      </c>
      <c r="K518" s="81">
        <v>55883500.293653347</v>
      </c>
      <c r="L518" s="81">
        <v>56892738.73524382</v>
      </c>
      <c r="M518" s="81">
        <v>57890785.868368499</v>
      </c>
      <c r="N518" s="81">
        <v>58876666.725463554</v>
      </c>
      <c r="O518" s="81">
        <v>59849479.622125991</v>
      </c>
      <c r="P518" s="81">
        <v>60808333.084287591</v>
      </c>
      <c r="Q518" s="81">
        <v>61506655.198223263</v>
      </c>
      <c r="R518" s="81">
        <v>62186621.548501208</v>
      </c>
      <c r="S518" s="81">
        <v>62847768.573434517</v>
      </c>
      <c r="T518" s="81">
        <v>63489699.347062849</v>
      </c>
      <c r="U518" s="81">
        <v>64112076.616905361</v>
      </c>
      <c r="V518" s="81">
        <v>64714615.211022571</v>
      </c>
      <c r="W518" s="81">
        <v>65297127.640503146</v>
      </c>
      <c r="X518" s="81">
        <v>65859463.678220995</v>
      </c>
      <c r="Y518" s="81">
        <v>66401588.823065184</v>
      </c>
      <c r="Z518" s="81">
        <v>66923500.942899071</v>
      </c>
      <c r="AA518" s="81">
        <v>67379217.401940122</v>
      </c>
      <c r="AB518" s="81">
        <v>67814730.091059908</v>
      </c>
      <c r="AC518" s="81">
        <v>68230384.979164794</v>
      </c>
      <c r="AD518" s="81">
        <v>68626593.963905647</v>
      </c>
      <c r="AE518" s="81">
        <v>69003871.977459297</v>
      </c>
      <c r="AF518" s="81">
        <v>69362829.007669687</v>
      </c>
      <c r="AG518" s="81">
        <v>69704197.173199847</v>
      </c>
      <c r="AH518" s="81">
        <v>70028775.139747068</v>
      </c>
      <c r="AI518" s="81">
        <v>70337514.639062092</v>
      </c>
      <c r="AJ518" s="81">
        <v>70631452.733540893</v>
      </c>
      <c r="AK518" s="81">
        <v>70945761.168227717</v>
      </c>
      <c r="AL518" s="81">
        <v>71247640.295713633</v>
      </c>
      <c r="AM518" s="81">
        <v>71538486.648478851</v>
      </c>
      <c r="AN518" s="81">
        <v>71819785.610799998</v>
      </c>
      <c r="AO518" s="81">
        <v>72093229.014497072</v>
      </c>
      <c r="AP518" s="81">
        <v>72360605.980206087</v>
      </c>
      <c r="AQ518" s="81">
        <v>72623857.360830188</v>
      </c>
      <c r="AR518" s="81">
        <v>72885053.887008443</v>
      </c>
      <c r="AS518" s="81">
        <v>73146452.919289321</v>
      </c>
      <c r="AT518" s="81">
        <v>73410450.501941055</v>
      </c>
    </row>
    <row r="519" spans="1:46" ht="15.75">
      <c r="A519" s="81" t="s">
        <v>448</v>
      </c>
      <c r="B519" s="80">
        <v>371600</v>
      </c>
      <c r="C519" s="80" t="s">
        <v>145</v>
      </c>
      <c r="D519" s="84" t="s">
        <v>160</v>
      </c>
      <c r="E519" s="81">
        <v>38055271.034391984</v>
      </c>
      <c r="F519" s="81">
        <v>39059082.002009355</v>
      </c>
      <c r="G519" s="81">
        <v>39835741.432854466</v>
      </c>
      <c r="H519" s="81">
        <v>40601445.316316314</v>
      </c>
      <c r="I519" s="81">
        <v>41355343.523367561</v>
      </c>
      <c r="J519" s="81">
        <v>42096629.636042655</v>
      </c>
      <c r="K519" s="81">
        <v>42824545.2817614</v>
      </c>
      <c r="L519" s="81">
        <v>43538362.664672963</v>
      </c>
      <c r="M519" s="81">
        <v>44237387.36869067</v>
      </c>
      <c r="N519" s="81">
        <v>44920983.803455427</v>
      </c>
      <c r="O519" s="81">
        <v>45588579.863564149</v>
      </c>
      <c r="P519" s="81">
        <v>46239648.394835725</v>
      </c>
      <c r="Q519" s="81">
        <v>46687176.932959676</v>
      </c>
      <c r="R519" s="81">
        <v>47115883.089430533</v>
      </c>
      <c r="S519" s="81">
        <v>47525689.514469028</v>
      </c>
      <c r="T519" s="81">
        <v>47916574.489420362</v>
      </c>
      <c r="U519" s="81">
        <v>48288561.975141808</v>
      </c>
      <c r="V519" s="81">
        <v>48641785.490553319</v>
      </c>
      <c r="W519" s="81">
        <v>48976442.931620389</v>
      </c>
      <c r="X519" s="81">
        <v>49292799.037422575</v>
      </c>
      <c r="Y519" s="81">
        <v>49591226.401190087</v>
      </c>
      <c r="Z519" s="81">
        <v>49872158.149351306</v>
      </c>
      <c r="AA519" s="81">
        <v>50101839.02890233</v>
      </c>
      <c r="AB519" s="81">
        <v>50315105.657237217</v>
      </c>
      <c r="AC519" s="81">
        <v>50512727.12682686</v>
      </c>
      <c r="AD519" s="81">
        <v>50695529.073795348</v>
      </c>
      <c r="AE519" s="81">
        <v>50864490.207931533</v>
      </c>
      <c r="AF519" s="81">
        <v>51020624.338862844</v>
      </c>
      <c r="AG519" s="81">
        <v>51165105.253250249</v>
      </c>
      <c r="AH519" s="81">
        <v>51299188.500657126</v>
      </c>
      <c r="AI519" s="81">
        <v>51424255.798374861</v>
      </c>
      <c r="AJ519" s="81">
        <v>51541804.731547974</v>
      </c>
      <c r="AK519" s="81">
        <v>51678220.205897532</v>
      </c>
      <c r="AL519" s="81">
        <v>51810302.194729865</v>
      </c>
      <c r="AM519" s="81">
        <v>51939914.252756789</v>
      </c>
      <c r="AN519" s="81">
        <v>52069053.223456763</v>
      </c>
      <c r="AO519" s="81">
        <v>52199822.975195162</v>
      </c>
      <c r="AP519" s="81">
        <v>52334512.400805287</v>
      </c>
      <c r="AQ519" s="81">
        <v>52475509.68953494</v>
      </c>
      <c r="AR519" s="81">
        <v>52625381.123394236</v>
      </c>
      <c r="AS519" s="81">
        <v>52786829.685473442</v>
      </c>
      <c r="AT519" s="81">
        <v>52962745.402986534</v>
      </c>
    </row>
    <row r="520" spans="1:46" ht="15.75">
      <c r="A520" s="81" t="s">
        <v>448</v>
      </c>
      <c r="B520" s="80">
        <v>371700</v>
      </c>
      <c r="C520" s="80" t="s">
        <v>145</v>
      </c>
      <c r="D520" s="84" t="s">
        <v>161</v>
      </c>
      <c r="E520" s="81">
        <v>71489774.443355873</v>
      </c>
      <c r="F520" s="81">
        <v>73217016.652814031</v>
      </c>
      <c r="G520" s="81">
        <v>74586903.4163322</v>
      </c>
      <c r="H520" s="81">
        <v>76001289.888385549</v>
      </c>
      <c r="I520" s="81">
        <v>77454235.70613268</v>
      </c>
      <c r="J520" s="81">
        <v>78939785.701458976</v>
      </c>
      <c r="K520" s="81">
        <v>80452014.46527192</v>
      </c>
      <c r="L520" s="81">
        <v>81985000.078855276</v>
      </c>
      <c r="M520" s="81">
        <v>83532905.205510885</v>
      </c>
      <c r="N520" s="81">
        <v>85089969.568873823</v>
      </c>
      <c r="O520" s="81">
        <v>86650566.952752307</v>
      </c>
      <c r="P520" s="81">
        <v>88209216.859151736</v>
      </c>
      <c r="Q520" s="81">
        <v>89403413.746436194</v>
      </c>
      <c r="R520" s="81">
        <v>90579734.030541688</v>
      </c>
      <c r="S520" s="81">
        <v>91733713.874024853</v>
      </c>
      <c r="T520" s="81">
        <v>92861180.852636769</v>
      </c>
      <c r="U520" s="81">
        <v>93958359.209455371</v>
      </c>
      <c r="V520" s="81">
        <v>95021845.55035305</v>
      </c>
      <c r="W520" s="81">
        <v>96048644.777842313</v>
      </c>
      <c r="X520" s="81">
        <v>97036228.402976751</v>
      </c>
      <c r="Y520" s="81">
        <v>97982498.606044695</v>
      </c>
      <c r="Z520" s="81">
        <v>98885889.867490351</v>
      </c>
      <c r="AA520" s="81">
        <v>99677113.224618301</v>
      </c>
      <c r="AB520" s="81">
        <v>100423324.63393173</v>
      </c>
      <c r="AC520" s="81">
        <v>101124684.9611724</v>
      </c>
      <c r="AD520" s="81">
        <v>101781989.45995127</v>
      </c>
      <c r="AE520" s="81">
        <v>102396639.83015755</v>
      </c>
      <c r="AF520" s="81">
        <v>102970728.5059479</v>
      </c>
      <c r="AG520" s="81">
        <v>103507010.37101494</v>
      </c>
      <c r="AH520" s="81">
        <v>104009000.61600348</v>
      </c>
      <c r="AI520" s="81">
        <v>104480934.81154743</v>
      </c>
      <c r="AJ520" s="81">
        <v>104927821.01231574</v>
      </c>
      <c r="AK520" s="81">
        <v>105406053.55358872</v>
      </c>
      <c r="AL520" s="81">
        <v>105871649.8262848</v>
      </c>
      <c r="AM520" s="81">
        <v>106332148.04167342</v>
      </c>
      <c r="AN520" s="81">
        <v>106795997.20150825</v>
      </c>
      <c r="AO520" s="81">
        <v>107272615.14338122</v>
      </c>
      <c r="AP520" s="81">
        <v>107772372.40284716</v>
      </c>
      <c r="AQ520" s="81">
        <v>108306688.73385496</v>
      </c>
      <c r="AR520" s="81">
        <v>108888030.34497328</v>
      </c>
      <c r="AS520" s="81">
        <v>109529944.47776149</v>
      </c>
      <c r="AT520" s="81">
        <v>110247094.39033197</v>
      </c>
    </row>
    <row r="521" spans="1:46" ht="15.75">
      <c r="A521" s="81" t="s">
        <v>448</v>
      </c>
      <c r="B521" s="80">
        <v>410100</v>
      </c>
      <c r="C521" s="80" t="s">
        <v>426</v>
      </c>
      <c r="D521" s="84" t="s">
        <v>697</v>
      </c>
      <c r="E521" s="81">
        <v>123650991.32888082</v>
      </c>
      <c r="F521" s="81">
        <v>128613176.32359149</v>
      </c>
      <c r="G521" s="81">
        <v>132909860.3249113</v>
      </c>
      <c r="H521" s="81">
        <v>137159888.2548072</v>
      </c>
      <c r="I521" s="81">
        <v>141363374.70836243</v>
      </c>
      <c r="J521" s="81">
        <v>145520658.07271522</v>
      </c>
      <c r="K521" s="81">
        <v>149632298.0674485</v>
      </c>
      <c r="L521" s="81">
        <v>153699085.29999208</v>
      </c>
      <c r="M521" s="81">
        <v>157721957.7094298</v>
      </c>
      <c r="N521" s="81">
        <v>161702052.6118367</v>
      </c>
      <c r="O521" s="81">
        <v>165640655.19533935</v>
      </c>
      <c r="P521" s="81">
        <v>169539179.37624291</v>
      </c>
      <c r="Q521" s="81">
        <v>172871601.77555498</v>
      </c>
      <c r="R521" s="81">
        <v>176151425.96634987</v>
      </c>
      <c r="S521" s="81">
        <v>179381052.79471818</v>
      </c>
      <c r="T521" s="81">
        <v>182562862.08387524</v>
      </c>
      <c r="U521" s="81">
        <v>185699241.85053799</v>
      </c>
      <c r="V521" s="81">
        <v>188792552.42228183</v>
      </c>
      <c r="W521" s="81">
        <v>191845088.58772311</v>
      </c>
      <c r="X521" s="81">
        <v>194859068.5788008</v>
      </c>
      <c r="Y521" s="81">
        <v>197836594.48744735</v>
      </c>
      <c r="Z521" s="81">
        <v>200779640.41833422</v>
      </c>
      <c r="AA521" s="81">
        <v>203742195.41413081</v>
      </c>
      <c r="AB521" s="81">
        <v>206671140.23831147</v>
      </c>
      <c r="AC521" s="81">
        <v>209567884.74865267</v>
      </c>
      <c r="AD521" s="81">
        <v>212433576.33077431</v>
      </c>
      <c r="AE521" s="81">
        <v>215269100.05443349</v>
      </c>
      <c r="AF521" s="81">
        <v>218075064.83759311</v>
      </c>
      <c r="AG521" s="81">
        <v>220851724.26765764</v>
      </c>
      <c r="AH521" s="81">
        <v>223598976.50324285</v>
      </c>
      <c r="AI521" s="81">
        <v>226316332.43521786</v>
      </c>
      <c r="AJ521" s="81">
        <v>229002900.59878284</v>
      </c>
      <c r="AK521" s="81">
        <v>231986438.78891268</v>
      </c>
      <c r="AL521" s="81">
        <v>234936907.8876408</v>
      </c>
      <c r="AM521" s="81">
        <v>237851731.42568475</v>
      </c>
      <c r="AN521" s="81">
        <v>240727784.52420491</v>
      </c>
      <c r="AO521" s="81">
        <v>243561300.40032664</v>
      </c>
      <c r="AP521" s="81">
        <v>246347885.05562869</v>
      </c>
      <c r="AQ521" s="81">
        <v>249082440.05042931</v>
      </c>
      <c r="AR521" s="81">
        <v>251759120.32736856</v>
      </c>
      <c r="AS521" s="81">
        <v>254371331.05404687</v>
      </c>
      <c r="AT521" s="81">
        <v>256911666.8674542</v>
      </c>
    </row>
    <row r="522" spans="1:46" ht="15.75">
      <c r="A522" s="81" t="s">
        <v>448</v>
      </c>
      <c r="B522" s="80">
        <v>410200</v>
      </c>
      <c r="C522" s="80" t="s">
        <v>426</v>
      </c>
      <c r="D522" s="84" t="s">
        <v>696</v>
      </c>
      <c r="E522" s="81">
        <v>31088259.998152655</v>
      </c>
      <c r="F522" s="81">
        <v>32137547.322381549</v>
      </c>
      <c r="G522" s="81">
        <v>33053527.29836309</v>
      </c>
      <c r="H522" s="81">
        <v>33989639.320718318</v>
      </c>
      <c r="I522" s="81">
        <v>34943633.756146461</v>
      </c>
      <c r="J522" s="81">
        <v>35913225.400014341</v>
      </c>
      <c r="K522" s="81">
        <v>36896092.886974081</v>
      </c>
      <c r="L522" s="81">
        <v>37889884.43876718</v>
      </c>
      <c r="M522" s="81">
        <v>38892254.263834745</v>
      </c>
      <c r="N522" s="81">
        <v>39900854.966874518</v>
      </c>
      <c r="O522" s="81">
        <v>40913376.13662383</v>
      </c>
      <c r="P522" s="81">
        <v>41927520.532648019</v>
      </c>
      <c r="Q522" s="81">
        <v>42810435.882413641</v>
      </c>
      <c r="R522" s="81">
        <v>43686333.821818635</v>
      </c>
      <c r="S522" s="81">
        <v>44553293.761243634</v>
      </c>
      <c r="T522" s="81">
        <v>45409530.491399556</v>
      </c>
      <c r="U522" s="81">
        <v>46253402.197252706</v>
      </c>
      <c r="V522" s="81">
        <v>47083417.970616035</v>
      </c>
      <c r="W522" s="81">
        <v>47898281.841840342</v>
      </c>
      <c r="X522" s="81">
        <v>48696883.387474231</v>
      </c>
      <c r="Y522" s="81">
        <v>49478324.271049567</v>
      </c>
      <c r="Z522" s="81">
        <v>50241965.461611651</v>
      </c>
      <c r="AA522" s="81">
        <v>51000447.693348721</v>
      </c>
      <c r="AB522" s="81">
        <v>51739950.300247647</v>
      </c>
      <c r="AC522" s="81">
        <v>52460597.630056389</v>
      </c>
      <c r="AD522" s="81">
        <v>53162874.722957745</v>
      </c>
      <c r="AE522" s="81">
        <v>53847546.364553124</v>
      </c>
      <c r="AF522" s="81">
        <v>54515769.365219675</v>
      </c>
      <c r="AG522" s="81">
        <v>55169073.183129385</v>
      </c>
      <c r="AH522" s="81">
        <v>55809359.007953592</v>
      </c>
      <c r="AI522" s="81">
        <v>56438964.032032833</v>
      </c>
      <c r="AJ522" s="81">
        <v>57060684.733984061</v>
      </c>
      <c r="AK522" s="81">
        <v>57759688.352205187</v>
      </c>
      <c r="AL522" s="81">
        <v>58457897.236275673</v>
      </c>
      <c r="AM522" s="81">
        <v>59159541.631888852</v>
      </c>
      <c r="AN522" s="81">
        <v>59869440.193263203</v>
      </c>
      <c r="AO522" s="81">
        <v>60592955.345397808</v>
      </c>
      <c r="AP522" s="81">
        <v>61336078.716031112</v>
      </c>
      <c r="AQ522" s="81">
        <v>62105447.01255893</v>
      </c>
      <c r="AR522" s="81">
        <v>62908344.417955108</v>
      </c>
      <c r="AS522" s="81">
        <v>63752754.932805344</v>
      </c>
      <c r="AT522" s="81">
        <v>64647364.778295055</v>
      </c>
    </row>
    <row r="523" spans="1:46" ht="15.75">
      <c r="A523" s="81" t="s">
        <v>448</v>
      </c>
      <c r="B523" s="80">
        <v>410300</v>
      </c>
      <c r="C523" s="80" t="s">
        <v>426</v>
      </c>
      <c r="D523" s="84" t="s">
        <v>695</v>
      </c>
      <c r="E523" s="81">
        <v>53529991.359439619</v>
      </c>
      <c r="F523" s="81">
        <v>55438648.042340271</v>
      </c>
      <c r="G523" s="81">
        <v>57104916.170785621</v>
      </c>
      <c r="H523" s="81">
        <v>58792950.171557643</v>
      </c>
      <c r="I523" s="81">
        <v>60498864.657206602</v>
      </c>
      <c r="J523" s="81">
        <v>62218737.073805958</v>
      </c>
      <c r="K523" s="81">
        <v>63948647.655962743</v>
      </c>
      <c r="L523" s="81">
        <v>65684668.894741409</v>
      </c>
      <c r="M523" s="81">
        <v>67422906.349530831</v>
      </c>
      <c r="N523" s="81">
        <v>69159524.010758832</v>
      </c>
      <c r="O523" s="81">
        <v>70890789.697932601</v>
      </c>
      <c r="P523" s="81">
        <v>72613045.996223524</v>
      </c>
      <c r="Q523" s="81">
        <v>74096684.883793816</v>
      </c>
      <c r="R523" s="81">
        <v>75557447.464771673</v>
      </c>
      <c r="S523" s="81">
        <v>76992514.535614341</v>
      </c>
      <c r="T523" s="81">
        <v>78399363.798514888</v>
      </c>
      <c r="U523" s="81">
        <v>79775726.662011504</v>
      </c>
      <c r="V523" s="81">
        <v>81119645.881403267</v>
      </c>
      <c r="W523" s="81">
        <v>82429515.039353415</v>
      </c>
      <c r="X523" s="81">
        <v>83704097.481710255</v>
      </c>
      <c r="Y523" s="81">
        <v>84942533.529369861</v>
      </c>
      <c r="Z523" s="81">
        <v>86144426.301807746</v>
      </c>
      <c r="AA523" s="81">
        <v>87332178.985427752</v>
      </c>
      <c r="AB523" s="81">
        <v>88482796.169752195</v>
      </c>
      <c r="AC523" s="81">
        <v>89597327.757950932</v>
      </c>
      <c r="AD523" s="81">
        <v>90677362.098015115</v>
      </c>
      <c r="AE523" s="81">
        <v>91725106.981725737</v>
      </c>
      <c r="AF523" s="81">
        <v>92743375.152424902</v>
      </c>
      <c r="AG523" s="81">
        <v>93735667.835351452</v>
      </c>
      <c r="AH523" s="81">
        <v>94706133.922373712</v>
      </c>
      <c r="AI523" s="81">
        <v>95659719.792158023</v>
      </c>
      <c r="AJ523" s="81">
        <v>96602103.480844647</v>
      </c>
      <c r="AK523" s="81">
        <v>97678353.49492304</v>
      </c>
      <c r="AL523" s="81">
        <v>98757165.77218844</v>
      </c>
      <c r="AM523" s="81">
        <v>99846797.987805992</v>
      </c>
      <c r="AN523" s="81">
        <v>100956488.83950599</v>
      </c>
      <c r="AO523" s="81">
        <v>102096458.81057036</v>
      </c>
      <c r="AP523" s="81">
        <v>103277995.3084718</v>
      </c>
      <c r="AQ523" s="81">
        <v>104513482.99769732</v>
      </c>
      <c r="AR523" s="81">
        <v>105816433.43606602</v>
      </c>
      <c r="AS523" s="81">
        <v>107201575.08816361</v>
      </c>
      <c r="AT523" s="81">
        <v>108684839.46045278</v>
      </c>
    </row>
    <row r="524" spans="1:46" ht="15.75">
      <c r="A524" s="81" t="s">
        <v>448</v>
      </c>
      <c r="B524" s="80">
        <v>410400</v>
      </c>
      <c r="C524" s="80" t="s">
        <v>426</v>
      </c>
      <c r="D524" s="84" t="s">
        <v>694</v>
      </c>
      <c r="E524" s="81">
        <v>35582322.446725376</v>
      </c>
      <c r="F524" s="81">
        <v>36681796.728536025</v>
      </c>
      <c r="G524" s="81">
        <v>37632094.566189274</v>
      </c>
      <c r="H524" s="81">
        <v>38608822.208146684</v>
      </c>
      <c r="I524" s="81">
        <v>39609401.163598746</v>
      </c>
      <c r="J524" s="81">
        <v>40631144.720496744</v>
      </c>
      <c r="K524" s="81">
        <v>41671334.587544791</v>
      </c>
      <c r="L524" s="81">
        <v>42727172.463547438</v>
      </c>
      <c r="M524" s="81">
        <v>43795852.316379651</v>
      </c>
      <c r="N524" s="81">
        <v>44874518.458295733</v>
      </c>
      <c r="O524" s="81">
        <v>45960359.542877987</v>
      </c>
      <c r="P524" s="81">
        <v>47050530.988600701</v>
      </c>
      <c r="Q524" s="81">
        <v>47995787.01188302</v>
      </c>
      <c r="R524" s="81">
        <v>48935327.071396992</v>
      </c>
      <c r="S524" s="81">
        <v>49866641.021886893</v>
      </c>
      <c r="T524" s="81">
        <v>50787334.113138936</v>
      </c>
      <c r="U524" s="81">
        <v>51695145.097220585</v>
      </c>
      <c r="V524" s="81">
        <v>52587974.816583283</v>
      </c>
      <c r="W524" s="81">
        <v>53463916.192953348</v>
      </c>
      <c r="X524" s="81">
        <v>54321233.697862118</v>
      </c>
      <c r="Y524" s="81">
        <v>55158455.39741911</v>
      </c>
      <c r="Z524" s="81">
        <v>55974300.852884971</v>
      </c>
      <c r="AA524" s="81">
        <v>56782335.840276539</v>
      </c>
      <c r="AB524" s="81">
        <v>57566569.054902621</v>
      </c>
      <c r="AC524" s="81">
        <v>58326575.373243295</v>
      </c>
      <c r="AD524" s="81">
        <v>59062286.388688274</v>
      </c>
      <c r="AE524" s="81">
        <v>59773957.67420885</v>
      </c>
      <c r="AF524" s="81">
        <v>60462237.03155724</v>
      </c>
      <c r="AG524" s="81">
        <v>61128165.701791771</v>
      </c>
      <c r="AH524" s="81">
        <v>61773238.416657791</v>
      </c>
      <c r="AI524" s="81">
        <v>62399380.986604512</v>
      </c>
      <c r="AJ524" s="81">
        <v>63008986.356578931</v>
      </c>
      <c r="AK524" s="81">
        <v>63695343.601575859</v>
      </c>
      <c r="AL524" s="81">
        <v>64371408.793474615</v>
      </c>
      <c r="AM524" s="81">
        <v>65041135.341782331</v>
      </c>
      <c r="AN524" s="81">
        <v>65709125.791344568</v>
      </c>
      <c r="AO524" s="81">
        <v>66380570.760775521</v>
      </c>
      <c r="AP524" s="81">
        <v>67061371.336615056</v>
      </c>
      <c r="AQ524" s="81">
        <v>67758089.951602519</v>
      </c>
      <c r="AR524" s="81">
        <v>68478035.258303389</v>
      </c>
      <c r="AS524" s="81">
        <v>69229295.182957172</v>
      </c>
      <c r="AT524" s="81">
        <v>70020726.91589801</v>
      </c>
    </row>
    <row r="525" spans="1:46" ht="15.75">
      <c r="A525" s="81" t="s">
        <v>448</v>
      </c>
      <c r="B525" s="80">
        <v>410500</v>
      </c>
      <c r="C525" s="80" t="s">
        <v>426</v>
      </c>
      <c r="D525" s="84" t="s">
        <v>693</v>
      </c>
      <c r="E525" s="81">
        <v>37322763.024133392</v>
      </c>
      <c r="F525" s="81">
        <v>38521746.644365579</v>
      </c>
      <c r="G525" s="81">
        <v>39567121.827928647</v>
      </c>
      <c r="H525" s="81">
        <v>40642844.420752637</v>
      </c>
      <c r="I525" s="81">
        <v>41745951.04672388</v>
      </c>
      <c r="J525" s="81">
        <v>42873374.338440619</v>
      </c>
      <c r="K525" s="81">
        <v>44021996.970161654</v>
      </c>
      <c r="L525" s="81">
        <v>45188639.370639175</v>
      </c>
      <c r="M525" s="81">
        <v>46370093.370527454</v>
      </c>
      <c r="N525" s="81">
        <v>47563158.705176815</v>
      </c>
      <c r="O525" s="81">
        <v>48764605.686040379</v>
      </c>
      <c r="P525" s="81">
        <v>49971270.688076794</v>
      </c>
      <c r="Q525" s="81">
        <v>51024294.388880745</v>
      </c>
      <c r="R525" s="81">
        <v>52071243.188780062</v>
      </c>
      <c r="S525" s="81">
        <v>53109303.181747451</v>
      </c>
      <c r="T525" s="81">
        <v>54135825.101671763</v>
      </c>
      <c r="U525" s="81">
        <v>55148328.560517631</v>
      </c>
      <c r="V525" s="81">
        <v>56144533.811988324</v>
      </c>
      <c r="W525" s="81">
        <v>57122375.400338583</v>
      </c>
      <c r="X525" s="81">
        <v>58080045.17749282</v>
      </c>
      <c r="Y525" s="81">
        <v>59015977.173061743</v>
      </c>
      <c r="Z525" s="81">
        <v>59928921.421948336</v>
      </c>
      <c r="AA525" s="81">
        <v>60833516.491266765</v>
      </c>
      <c r="AB525" s="81">
        <v>61712818.460787013</v>
      </c>
      <c r="AC525" s="81">
        <v>62566592.869863145</v>
      </c>
      <c r="AD525" s="81">
        <v>63394976.957975253</v>
      </c>
      <c r="AE525" s="81">
        <v>64198571.346873999</v>
      </c>
      <c r="AF525" s="81">
        <v>64978414.497832149</v>
      </c>
      <c r="AG525" s="81">
        <v>65735998.250693016</v>
      </c>
      <c r="AH525" s="81">
        <v>66473387.013341449</v>
      </c>
      <c r="AI525" s="81">
        <v>67193134.000081718</v>
      </c>
      <c r="AJ525" s="81">
        <v>67898390.418572322</v>
      </c>
      <c r="AK525" s="81">
        <v>68690355.605825514</v>
      </c>
      <c r="AL525" s="81">
        <v>69475999.667071223</v>
      </c>
      <c r="AM525" s="81">
        <v>70260342.312808245</v>
      </c>
      <c r="AN525" s="81">
        <v>71049145.480582252</v>
      </c>
      <c r="AO525" s="81">
        <v>71848937.142591104</v>
      </c>
      <c r="AP525" s="81">
        <v>72667021.405736655</v>
      </c>
      <c r="AQ525" s="81">
        <v>73511553.16908519</v>
      </c>
      <c r="AR525" s="81">
        <v>74391549.459452122</v>
      </c>
      <c r="AS525" s="81">
        <v>75316939.94875586</v>
      </c>
      <c r="AT525" s="81">
        <v>76298605.309143066</v>
      </c>
    </row>
    <row r="526" spans="1:46" ht="15.75">
      <c r="A526" s="81" t="s">
        <v>448</v>
      </c>
      <c r="B526" s="80">
        <v>410600</v>
      </c>
      <c r="C526" s="80" t="s">
        <v>426</v>
      </c>
      <c r="D526" s="84" t="s">
        <v>692</v>
      </c>
      <c r="E526" s="81">
        <v>12500365.619554896</v>
      </c>
      <c r="F526" s="81">
        <v>12933582.902112745</v>
      </c>
      <c r="G526" s="81">
        <v>13314882.368334869</v>
      </c>
      <c r="H526" s="81">
        <v>13705764.409523554</v>
      </c>
      <c r="I526" s="81">
        <v>14105153.504976815</v>
      </c>
      <c r="J526" s="81">
        <v>14511927.128033867</v>
      </c>
      <c r="K526" s="81">
        <v>14924947.164373364</v>
      </c>
      <c r="L526" s="81">
        <v>15343076.27545899</v>
      </c>
      <c r="M526" s="81">
        <v>15765157.324294446</v>
      </c>
      <c r="N526" s="81">
        <v>16190048.395994136</v>
      </c>
      <c r="O526" s="81">
        <v>16616591.616354924</v>
      </c>
      <c r="P526" s="81">
        <v>17043679.599487424</v>
      </c>
      <c r="Q526" s="81">
        <v>17417061.272078548</v>
      </c>
      <c r="R526" s="81">
        <v>17786977.772133362</v>
      </c>
      <c r="S526" s="81">
        <v>18152489.982099939</v>
      </c>
      <c r="T526" s="81">
        <v>18512681.802153308</v>
      </c>
      <c r="U526" s="81">
        <v>18866742.737874761</v>
      </c>
      <c r="V526" s="81">
        <v>19213888.806882977</v>
      </c>
      <c r="W526" s="81">
        <v>19553470.043838769</v>
      </c>
      <c r="X526" s="81">
        <v>19884889.774985541</v>
      </c>
      <c r="Y526" s="81">
        <v>20207692.990493741</v>
      </c>
      <c r="Z526" s="81">
        <v>20521494.162358973</v>
      </c>
      <c r="AA526" s="81">
        <v>20831390.309842516</v>
      </c>
      <c r="AB526" s="81">
        <v>21131683.051700067</v>
      </c>
      <c r="AC526" s="81">
        <v>21422358.853919216</v>
      </c>
      <c r="AD526" s="81">
        <v>21703596.036800306</v>
      </c>
      <c r="AE526" s="81">
        <v>21975725.936956942</v>
      </c>
      <c r="AF526" s="81">
        <v>22239229.167055655</v>
      </c>
      <c r="AG526" s="81">
        <v>22494797.85093984</v>
      </c>
      <c r="AH526" s="81">
        <v>22743266.754023779</v>
      </c>
      <c r="AI526" s="81">
        <v>22985716.833439074</v>
      </c>
      <c r="AJ526" s="81">
        <v>23223433.306539491</v>
      </c>
      <c r="AK526" s="81">
        <v>23491205.510401305</v>
      </c>
      <c r="AL526" s="81">
        <v>23757475.381145302</v>
      </c>
      <c r="AM526" s="81">
        <v>24024205.614439167</v>
      </c>
      <c r="AN526" s="81">
        <v>24293632.031659268</v>
      </c>
      <c r="AO526" s="81">
        <v>24568276.760018177</v>
      </c>
      <c r="AP526" s="81">
        <v>24850946.244848095</v>
      </c>
      <c r="AQ526" s="81">
        <v>25144774.849628802</v>
      </c>
      <c r="AR526" s="81">
        <v>25453192.29149653</v>
      </c>
      <c r="AS526" s="81">
        <v>25779967.380628873</v>
      </c>
      <c r="AT526" s="81">
        <v>26129238.437660109</v>
      </c>
    </row>
    <row r="527" spans="1:46" ht="15.75">
      <c r="A527" s="81" t="s">
        <v>448</v>
      </c>
      <c r="B527" s="80">
        <v>410700</v>
      </c>
      <c r="C527" s="80" t="s">
        <v>426</v>
      </c>
      <c r="D527" s="84" t="s">
        <v>691</v>
      </c>
      <c r="E527" s="81">
        <v>44178167.565528631</v>
      </c>
      <c r="F527" s="81">
        <v>45666049.485099107</v>
      </c>
      <c r="G527" s="81">
        <v>46962835.41075211</v>
      </c>
      <c r="H527" s="81">
        <v>48286719.993973702</v>
      </c>
      <c r="I527" s="81">
        <v>49634684.415213138</v>
      </c>
      <c r="J527" s="81">
        <v>51003619.429174148</v>
      </c>
      <c r="K527" s="81">
        <v>52390388.536614999</v>
      </c>
      <c r="L527" s="81">
        <v>53791798.264217421</v>
      </c>
      <c r="M527" s="81">
        <v>55204664.986546077</v>
      </c>
      <c r="N527" s="81">
        <v>56625784.734975271</v>
      </c>
      <c r="O527" s="81">
        <v>58051994.855302066</v>
      </c>
      <c r="P527" s="81">
        <v>59480160.473402917</v>
      </c>
      <c r="Q527" s="81">
        <v>60721910.140914455</v>
      </c>
      <c r="R527" s="81">
        <v>61953598.570996925</v>
      </c>
      <c r="S527" s="81">
        <v>63172555.541148767</v>
      </c>
      <c r="T527" s="81">
        <v>64376264.043291271</v>
      </c>
      <c r="U527" s="81">
        <v>65562430.092869669</v>
      </c>
      <c r="V527" s="81">
        <v>66728917.968966767</v>
      </c>
      <c r="W527" s="81">
        <v>67873859.997997135</v>
      </c>
      <c r="X527" s="81">
        <v>68995600.180876225</v>
      </c>
      <c r="Y527" s="81">
        <v>70092798.170935705</v>
      </c>
      <c r="Z527" s="81">
        <v>71164381.919478521</v>
      </c>
      <c r="AA527" s="81">
        <v>72228096.343593806</v>
      </c>
      <c r="AB527" s="81">
        <v>73264153.620488167</v>
      </c>
      <c r="AC527" s="81">
        <v>74272495.989839524</v>
      </c>
      <c r="AD527" s="81">
        <v>75253490.089151487</v>
      </c>
      <c r="AE527" s="81">
        <v>76207932.117785528</v>
      </c>
      <c r="AF527" s="81">
        <v>77137051.365337104</v>
      </c>
      <c r="AG527" s="81">
        <v>78042571.332260251</v>
      </c>
      <c r="AH527" s="81">
        <v>78926738.333257392</v>
      </c>
      <c r="AI527" s="81">
        <v>79792313.920514956</v>
      </c>
      <c r="AJ527" s="81">
        <v>80642626.469010219</v>
      </c>
      <c r="AK527" s="81">
        <v>81597393.239976689</v>
      </c>
      <c r="AL527" s="81">
        <v>82545489.862867504</v>
      </c>
      <c r="AM527" s="81">
        <v>83492116.179665267</v>
      </c>
      <c r="AN527" s="81">
        <v>84443203.332556859</v>
      </c>
      <c r="AO527" s="81">
        <v>85405395.314832985</v>
      </c>
      <c r="AP527" s="81">
        <v>86386162.02997826</v>
      </c>
      <c r="AQ527" s="81">
        <v>87393796.029901117</v>
      </c>
      <c r="AR527" s="81">
        <v>88437406.108736545</v>
      </c>
      <c r="AS527" s="81">
        <v>89527021.295759693</v>
      </c>
      <c r="AT527" s="81">
        <v>90673600.653409287</v>
      </c>
    </row>
    <row r="528" spans="1:46" ht="15.75">
      <c r="A528" s="81" t="s">
        <v>448</v>
      </c>
      <c r="B528" s="80">
        <v>410800</v>
      </c>
      <c r="C528" s="80" t="s">
        <v>426</v>
      </c>
      <c r="D528" s="84" t="s">
        <v>690</v>
      </c>
      <c r="E528" s="81">
        <v>27667514.781812221</v>
      </c>
      <c r="F528" s="81">
        <v>28704908.829546414</v>
      </c>
      <c r="G528" s="81">
        <v>29609518.557880878</v>
      </c>
      <c r="H528" s="81">
        <v>30518249.501824643</v>
      </c>
      <c r="I528" s="81">
        <v>31429515.976720314</v>
      </c>
      <c r="J528" s="81">
        <v>32341711.618517254</v>
      </c>
      <c r="K528" s="81">
        <v>33253278.851875313</v>
      </c>
      <c r="L528" s="81">
        <v>34162666.005907625</v>
      </c>
      <c r="M528" s="81">
        <v>35068344.219243087</v>
      </c>
      <c r="N528" s="81">
        <v>35968845.187650494</v>
      </c>
      <c r="O528" s="81">
        <v>36862753.400330648</v>
      </c>
      <c r="P528" s="81">
        <v>37748706.431340806</v>
      </c>
      <c r="Q528" s="81">
        <v>38507885.817929417</v>
      </c>
      <c r="R528" s="81">
        <v>39253051.911322474</v>
      </c>
      <c r="S528" s="81">
        <v>39983270.109057948</v>
      </c>
      <c r="T528" s="81">
        <v>40697729.971231781</v>
      </c>
      <c r="U528" s="81">
        <v>41395778.06677103</v>
      </c>
      <c r="V528" s="81">
        <v>42076841.695272595</v>
      </c>
      <c r="W528" s="81">
        <v>42740548.147878818</v>
      </c>
      <c r="X528" s="81">
        <v>43386647.767199837</v>
      </c>
      <c r="Y528" s="81">
        <v>44015057.167514354</v>
      </c>
      <c r="Z528" s="81">
        <v>44625894.048735268</v>
      </c>
      <c r="AA528" s="81">
        <v>45231035.722286917</v>
      </c>
      <c r="AB528" s="81">
        <v>45818794.955514252</v>
      </c>
      <c r="AC528" s="81">
        <v>46389860.689782165</v>
      </c>
      <c r="AD528" s="81">
        <v>46945173.502893709</v>
      </c>
      <c r="AE528" s="81">
        <v>47485913.895901814</v>
      </c>
      <c r="AF528" s="81">
        <v>48013475.423752598</v>
      </c>
      <c r="AG528" s="81">
        <v>48529580.012709819</v>
      </c>
      <c r="AH528" s="81">
        <v>49036174.603247061</v>
      </c>
      <c r="AI528" s="81">
        <v>49535508.113296062</v>
      </c>
      <c r="AJ528" s="81">
        <v>50030145.369452968</v>
      </c>
      <c r="AK528" s="81">
        <v>50594743.279149957</v>
      </c>
      <c r="AL528" s="81">
        <v>51160732.032874875</v>
      </c>
      <c r="AM528" s="81">
        <v>51731658.534783795</v>
      </c>
      <c r="AN528" s="81">
        <v>52311474.518364117</v>
      </c>
      <c r="AO528" s="81">
        <v>52904539.261808053</v>
      </c>
      <c r="AP528" s="81">
        <v>53515575.702913567</v>
      </c>
      <c r="AQ528" s="81">
        <v>54149775.230955377</v>
      </c>
      <c r="AR528" s="81">
        <v>54812739.05315128</v>
      </c>
      <c r="AS528" s="81">
        <v>55510555.576005094</v>
      </c>
      <c r="AT528" s="81">
        <v>56249770.94145599</v>
      </c>
    </row>
    <row r="529" spans="1:46" ht="15.75">
      <c r="A529" s="81" t="s">
        <v>448</v>
      </c>
      <c r="B529" s="80">
        <v>410900</v>
      </c>
      <c r="C529" s="80" t="s">
        <v>426</v>
      </c>
      <c r="D529" s="84" t="s">
        <v>689</v>
      </c>
      <c r="E529" s="81">
        <v>22336116.723438405</v>
      </c>
      <c r="F529" s="81">
        <v>23086109.891969118</v>
      </c>
      <c r="G529" s="81">
        <v>23742594.125461396</v>
      </c>
      <c r="H529" s="81">
        <v>24415707.787149809</v>
      </c>
      <c r="I529" s="81">
        <v>25103723.98882718</v>
      </c>
      <c r="J529" s="81">
        <v>25804888.774015065</v>
      </c>
      <c r="K529" s="81">
        <v>26517412.210302953</v>
      </c>
      <c r="L529" s="81">
        <v>27239464.356890842</v>
      </c>
      <c r="M529" s="81">
        <v>27969234.024170917</v>
      </c>
      <c r="N529" s="81">
        <v>28704885.142648015</v>
      </c>
      <c r="O529" s="81">
        <v>29444595.541707389</v>
      </c>
      <c r="P529" s="81">
        <v>30186584.628150914</v>
      </c>
      <c r="Q529" s="81">
        <v>30834979.01645954</v>
      </c>
      <c r="R529" s="81">
        <v>31479020.083041318</v>
      </c>
      <c r="S529" s="81">
        <v>32117159.553529888</v>
      </c>
      <c r="T529" s="81">
        <v>32747937.839313164</v>
      </c>
      <c r="U529" s="81">
        <v>33370021.028707303</v>
      </c>
      <c r="V529" s="81">
        <v>33982156.876748942</v>
      </c>
      <c r="W529" s="81">
        <v>34583253.013262205</v>
      </c>
      <c r="X529" s="81">
        <v>35172366.861497872</v>
      </c>
      <c r="Y529" s="81">
        <v>35748693.411347345</v>
      </c>
      <c r="Z529" s="81">
        <v>36311604.312544279</v>
      </c>
      <c r="AA529" s="81">
        <v>36870130.503006406</v>
      </c>
      <c r="AB529" s="81">
        <v>37414115.310711026</v>
      </c>
      <c r="AC529" s="81">
        <v>37943557.736886173</v>
      </c>
      <c r="AD529" s="81">
        <v>38458649.685787886</v>
      </c>
      <c r="AE529" s="81">
        <v>38959865.420313701</v>
      </c>
      <c r="AF529" s="81">
        <v>39447931.022699647</v>
      </c>
      <c r="AG529" s="81">
        <v>39923849.335930601</v>
      </c>
      <c r="AH529" s="81">
        <v>40388936.106837258</v>
      </c>
      <c r="AI529" s="81">
        <v>40844817.245483518</v>
      </c>
      <c r="AJ529" s="81">
        <v>41293445.31932871</v>
      </c>
      <c r="AK529" s="81">
        <v>41796432.781167462</v>
      </c>
      <c r="AL529" s="81">
        <v>42297231.524776511</v>
      </c>
      <c r="AM529" s="81">
        <v>42798911.352481857</v>
      </c>
      <c r="AN529" s="81">
        <v>43304946.9826589</v>
      </c>
      <c r="AO529" s="81">
        <v>43819259.329016753</v>
      </c>
      <c r="AP529" s="81">
        <v>44346247.70965033</v>
      </c>
      <c r="AQ529" s="81">
        <v>44890777.164844148</v>
      </c>
      <c r="AR529" s="81">
        <v>45458198.17659431</v>
      </c>
      <c r="AS529" s="81">
        <v>46054438.059299596</v>
      </c>
      <c r="AT529" s="81">
        <v>46685929.853626132</v>
      </c>
    </row>
    <row r="530" spans="1:46" ht="15.75">
      <c r="A530" s="81" t="s">
        <v>448</v>
      </c>
      <c r="B530" s="80">
        <v>411000</v>
      </c>
      <c r="C530" s="80" t="s">
        <v>426</v>
      </c>
      <c r="D530" s="84" t="s">
        <v>688</v>
      </c>
      <c r="E530" s="81">
        <v>30358577.797775578</v>
      </c>
      <c r="F530" s="81">
        <v>31340664.311936326</v>
      </c>
      <c r="G530" s="81">
        <v>32190224.185435794</v>
      </c>
      <c r="H530" s="81">
        <v>33057127.715706099</v>
      </c>
      <c r="I530" s="81">
        <v>33939211.016182907</v>
      </c>
      <c r="J530" s="81">
        <v>34834269.857647166</v>
      </c>
      <c r="K530" s="81">
        <v>35740072.431352541</v>
      </c>
      <c r="L530" s="81">
        <v>36654356.397672012</v>
      </c>
      <c r="M530" s="81">
        <v>37574866.093611978</v>
      </c>
      <c r="N530" s="81">
        <v>38499350.913086541</v>
      </c>
      <c r="O530" s="81">
        <v>39425570.871295571</v>
      </c>
      <c r="P530" s="81">
        <v>40351337.0933678</v>
      </c>
      <c r="Q530" s="81">
        <v>41148923.09948495</v>
      </c>
      <c r="R530" s="81">
        <v>41938057.278949499</v>
      </c>
      <c r="S530" s="81">
        <v>42716904.307023682</v>
      </c>
      <c r="T530" s="81">
        <v>43483728.860710479</v>
      </c>
      <c r="U530" s="81">
        <v>44236967.102575637</v>
      </c>
      <c r="V530" s="81">
        <v>44975196.499011435</v>
      </c>
      <c r="W530" s="81">
        <v>45697151.009390585</v>
      </c>
      <c r="X530" s="81">
        <v>46401766.921347909</v>
      </c>
      <c r="Y530" s="81">
        <v>47088170.308994956</v>
      </c>
      <c r="Z530" s="81">
        <v>47755734.955076359</v>
      </c>
      <c r="AA530" s="81">
        <v>48416435.843331382</v>
      </c>
      <c r="AB530" s="81">
        <v>49057098.356447265</v>
      </c>
      <c r="AC530" s="81">
        <v>49677834.312844276</v>
      </c>
      <c r="AD530" s="81">
        <v>50279058.557314724</v>
      </c>
      <c r="AE530" s="81">
        <v>50861497.38346453</v>
      </c>
      <c r="AF530" s="81">
        <v>51426219.13000083</v>
      </c>
      <c r="AG530" s="81">
        <v>51974631.274511471</v>
      </c>
      <c r="AH530" s="81">
        <v>52508546.482642755</v>
      </c>
      <c r="AI530" s="81">
        <v>53030145.486381561</v>
      </c>
      <c r="AJ530" s="81">
        <v>53542020.003027692</v>
      </c>
      <c r="AK530" s="81">
        <v>54124028.224640451</v>
      </c>
      <c r="AL530" s="81">
        <v>54702796.181886956</v>
      </c>
      <c r="AM530" s="81">
        <v>55282297.061808638</v>
      </c>
      <c r="AN530" s="81">
        <v>55867050.452347368</v>
      </c>
      <c r="AO530" s="81">
        <v>56462135.517105781</v>
      </c>
      <c r="AP530" s="81">
        <v>57073190.054631494</v>
      </c>
      <c r="AQ530" s="81">
        <v>57706448.05716154</v>
      </c>
      <c r="AR530" s="81">
        <v>58368806.232855119</v>
      </c>
      <c r="AS530" s="81">
        <v>59067769.30615139</v>
      </c>
      <c r="AT530" s="81">
        <v>59811557.794875875</v>
      </c>
    </row>
    <row r="531" spans="1:46" ht="15.75">
      <c r="A531" s="81" t="s">
        <v>448</v>
      </c>
      <c r="B531" s="80">
        <v>411100</v>
      </c>
      <c r="C531" s="80" t="s">
        <v>426</v>
      </c>
      <c r="D531" s="84" t="s">
        <v>687</v>
      </c>
      <c r="E531" s="81">
        <v>16334251.222427959</v>
      </c>
      <c r="F531" s="81">
        <v>16889298.976479147</v>
      </c>
      <c r="G531" s="81">
        <v>17367039.078037847</v>
      </c>
      <c r="H531" s="81">
        <v>17848388.004287727</v>
      </c>
      <c r="I531" s="81">
        <v>18332494.971631948</v>
      </c>
      <c r="J531" s="81">
        <v>18818488.990996312</v>
      </c>
      <c r="K531" s="81">
        <v>19305513.520808216</v>
      </c>
      <c r="L531" s="81">
        <v>19792708.432796836</v>
      </c>
      <c r="M531" s="81">
        <v>20279238.935407534</v>
      </c>
      <c r="N531" s="81">
        <v>20764268.455806684</v>
      </c>
      <c r="O531" s="81">
        <v>21246996.763311714</v>
      </c>
      <c r="P531" s="81">
        <v>21726623.021282349</v>
      </c>
      <c r="Q531" s="81">
        <v>22134860.384503126</v>
      </c>
      <c r="R531" s="81">
        <v>22536654.85764797</v>
      </c>
      <c r="S531" s="81">
        <v>22931405.259149503</v>
      </c>
      <c r="T531" s="81">
        <v>23318610.185116593</v>
      </c>
      <c r="U531" s="81">
        <v>23697800.475432925</v>
      </c>
      <c r="V531" s="81">
        <v>24068591.173991684</v>
      </c>
      <c r="W531" s="81">
        <v>24430639.143876661</v>
      </c>
      <c r="X531" s="81">
        <v>24783716.955117978</v>
      </c>
      <c r="Y531" s="81">
        <v>25127660.507654384</v>
      </c>
      <c r="Z531" s="81">
        <v>25462394.198695716</v>
      </c>
      <c r="AA531" s="81">
        <v>25794552.379682362</v>
      </c>
      <c r="AB531" s="81">
        <v>26117322.437186882</v>
      </c>
      <c r="AC531" s="81">
        <v>26430918.433883671</v>
      </c>
      <c r="AD531" s="81">
        <v>26735701.803518567</v>
      </c>
      <c r="AE531" s="81">
        <v>27032156.708723195</v>
      </c>
      <c r="AF531" s="81">
        <v>27320873.88278323</v>
      </c>
      <c r="AG531" s="81">
        <v>27602601.982284699</v>
      </c>
      <c r="AH531" s="81">
        <v>27878244.396976024</v>
      </c>
      <c r="AI531" s="81">
        <v>28148819.380383749</v>
      </c>
      <c r="AJ531" s="81">
        <v>28415524.991167624</v>
      </c>
      <c r="AK531" s="81">
        <v>28720500.189052232</v>
      </c>
      <c r="AL531" s="81">
        <v>29024451.903407369</v>
      </c>
      <c r="AM531" s="81">
        <v>29329110.94905797</v>
      </c>
      <c r="AN531" s="81">
        <v>29636418.273624036</v>
      </c>
      <c r="AO531" s="81">
        <v>29948482.074429054</v>
      </c>
      <c r="AP531" s="81">
        <v>30267649.720736004</v>
      </c>
      <c r="AQ531" s="81">
        <v>30596491.438886464</v>
      </c>
      <c r="AR531" s="81">
        <v>30937822.751689434</v>
      </c>
      <c r="AS531" s="81">
        <v>31294672.76029513</v>
      </c>
      <c r="AT531" s="81">
        <v>31670347.428179856</v>
      </c>
    </row>
    <row r="532" spans="1:46" ht="15.75">
      <c r="A532" s="81" t="s">
        <v>448</v>
      </c>
      <c r="B532" s="80">
        <v>411200</v>
      </c>
      <c r="C532" s="80" t="s">
        <v>426</v>
      </c>
      <c r="D532" s="84" t="s">
        <v>686</v>
      </c>
      <c r="E532" s="81">
        <v>15074630.465275619</v>
      </c>
      <c r="F532" s="81">
        <v>15630664.580007566</v>
      </c>
      <c r="G532" s="81">
        <v>16108182.131061107</v>
      </c>
      <c r="H532" s="81">
        <v>16582135.659773936</v>
      </c>
      <c r="I532" s="81">
        <v>17051997.351471778</v>
      </c>
      <c r="J532" s="81">
        <v>17517292.424527828</v>
      </c>
      <c r="K532" s="81">
        <v>17977545.164813947</v>
      </c>
      <c r="L532" s="81">
        <v>18432313.72001553</v>
      </c>
      <c r="M532" s="81">
        <v>18881175.679557297</v>
      </c>
      <c r="N532" s="81">
        <v>19323747.999649558</v>
      </c>
      <c r="O532" s="81">
        <v>19759662.649562847</v>
      </c>
      <c r="P532" s="81">
        <v>20188586.438327853</v>
      </c>
      <c r="Q532" s="81">
        <v>20547516.607012544</v>
      </c>
      <c r="R532" s="81">
        <v>20897293.337545343</v>
      </c>
      <c r="S532" s="81">
        <v>21237781.87980634</v>
      </c>
      <c r="T532" s="81">
        <v>21568931.330729563</v>
      </c>
      <c r="U532" s="81">
        <v>21890707.875402901</v>
      </c>
      <c r="V532" s="81">
        <v>22203136.585651167</v>
      </c>
      <c r="W532" s="81">
        <v>22506272.557290845</v>
      </c>
      <c r="X532" s="81">
        <v>22800234.100610044</v>
      </c>
      <c r="Y532" s="81">
        <v>23085183.935273569</v>
      </c>
      <c r="Z532" s="81">
        <v>23361353.132196471</v>
      </c>
      <c r="AA532" s="81">
        <v>23635073.562017448</v>
      </c>
      <c r="AB532" s="81">
        <v>23900277.074328963</v>
      </c>
      <c r="AC532" s="81">
        <v>24157368.169727094</v>
      </c>
      <c r="AD532" s="81">
        <v>24406795.880728085</v>
      </c>
      <c r="AE532" s="81">
        <v>24649102.85569565</v>
      </c>
      <c r="AF532" s="81">
        <v>24884856.033722881</v>
      </c>
      <c r="AG532" s="81">
        <v>25114745.259234335</v>
      </c>
      <c r="AH532" s="81">
        <v>25339475.700903393</v>
      </c>
      <c r="AI532" s="81">
        <v>25559881.368110418</v>
      </c>
      <c r="AJ532" s="81">
        <v>25776853.331652373</v>
      </c>
      <c r="AK532" s="81">
        <v>26028272.669302788</v>
      </c>
      <c r="AL532" s="81">
        <v>26278137.338860795</v>
      </c>
      <c r="AM532" s="81">
        <v>26527614.638435245</v>
      </c>
      <c r="AN532" s="81">
        <v>26777902.593161203</v>
      </c>
      <c r="AO532" s="81">
        <v>27030354.462142073</v>
      </c>
      <c r="AP532" s="81">
        <v>27286386.114747506</v>
      </c>
      <c r="AQ532" s="81">
        <v>27547519.522955772</v>
      </c>
      <c r="AR532" s="81">
        <v>27815400.684283234</v>
      </c>
      <c r="AS532" s="81">
        <v>28091774.07820259</v>
      </c>
      <c r="AT532" s="81">
        <v>28378469.711326122</v>
      </c>
    </row>
    <row r="533" spans="1:46" ht="15.75">
      <c r="A533" s="81" t="s">
        <v>448</v>
      </c>
      <c r="B533" s="80">
        <v>411300</v>
      </c>
      <c r="C533" s="80" t="s">
        <v>426</v>
      </c>
      <c r="D533" s="84" t="s">
        <v>685</v>
      </c>
      <c r="E533" s="81">
        <v>59706113.05672656</v>
      </c>
      <c r="F533" s="81">
        <v>61684892.984615527</v>
      </c>
      <c r="G533" s="81">
        <v>63488499.913576782</v>
      </c>
      <c r="H533" s="81">
        <v>65364405.797162876</v>
      </c>
      <c r="I533" s="81">
        <v>67307436.980296448</v>
      </c>
      <c r="J533" s="81">
        <v>69312084.630431607</v>
      </c>
      <c r="K533" s="81">
        <v>71372561.789387986</v>
      </c>
      <c r="L533" s="81">
        <v>73482821.518587545</v>
      </c>
      <c r="M533" s="81">
        <v>75636612.125837117</v>
      </c>
      <c r="N533" s="81">
        <v>77827513.573282406</v>
      </c>
      <c r="O533" s="81">
        <v>80048999.059343889</v>
      </c>
      <c r="P533" s="81">
        <v>82294452.200384215</v>
      </c>
      <c r="Q533" s="81">
        <v>84386389.362066045</v>
      </c>
      <c r="R533" s="81">
        <v>86479689.823899403</v>
      </c>
      <c r="S533" s="81">
        <v>88567960.441578567</v>
      </c>
      <c r="T533" s="81">
        <v>90644986.43278949</v>
      </c>
      <c r="U533" s="81">
        <v>92704841.134969816</v>
      </c>
      <c r="V533" s="81">
        <v>94741901.980044752</v>
      </c>
      <c r="W533" s="81">
        <v>96750900.228745893</v>
      </c>
      <c r="X533" s="81">
        <v>98727028.820233762</v>
      </c>
      <c r="Y533" s="81">
        <v>100665988.56373462</v>
      </c>
      <c r="Z533" s="81">
        <v>102564033.58399945</v>
      </c>
      <c r="AA533" s="81">
        <v>104551846.8642569</v>
      </c>
      <c r="AB533" s="81">
        <v>106491665.0359818</v>
      </c>
      <c r="AC533" s="81">
        <v>108381652.78339441</v>
      </c>
      <c r="AD533" s="81">
        <v>110220826.59732591</v>
      </c>
      <c r="AE533" s="81">
        <v>112009119.93830989</v>
      </c>
      <c r="AF533" s="81">
        <v>113747504.75860116</v>
      </c>
      <c r="AG533" s="81">
        <v>115438027.71098796</v>
      </c>
      <c r="AH533" s="81">
        <v>117083901.04685323</v>
      </c>
      <c r="AI533" s="81">
        <v>118689596.13244191</v>
      </c>
      <c r="AJ533" s="81">
        <v>120260927.50046115</v>
      </c>
      <c r="AK533" s="81">
        <v>122103207.63198456</v>
      </c>
      <c r="AL533" s="81">
        <v>123926669.37342538</v>
      </c>
      <c r="AM533" s="81">
        <v>125741604.7702238</v>
      </c>
      <c r="AN533" s="81">
        <v>127560110.64624037</v>
      </c>
      <c r="AO533" s="81">
        <v>129396166.2820743</v>
      </c>
      <c r="AP533" s="81">
        <v>131265791.38445839</v>
      </c>
      <c r="AQ533" s="81">
        <v>133187114.71752623</v>
      </c>
      <c r="AR533" s="81">
        <v>135180453.92512542</v>
      </c>
      <c r="AS533" s="81">
        <v>137268480.20747101</v>
      </c>
      <c r="AT533" s="81">
        <v>139476317.59934118</v>
      </c>
    </row>
    <row r="534" spans="1:46" ht="15.75">
      <c r="A534" s="81" t="s">
        <v>448</v>
      </c>
      <c r="B534" s="80">
        <v>411400</v>
      </c>
      <c r="C534" s="80" t="s">
        <v>426</v>
      </c>
      <c r="D534" s="84" t="s">
        <v>684</v>
      </c>
      <c r="E534" s="81">
        <v>43950906.2574073</v>
      </c>
      <c r="F534" s="81">
        <v>45595147.774535008</v>
      </c>
      <c r="G534" s="81">
        <v>47040846.437105432</v>
      </c>
      <c r="H534" s="81">
        <v>48504944.192921586</v>
      </c>
      <c r="I534" s="81">
        <v>49984320.672582403</v>
      </c>
      <c r="J534" s="81">
        <v>51475861.12484587</v>
      </c>
      <c r="K534" s="81">
        <v>52976432.172292903</v>
      </c>
      <c r="L534" s="81">
        <v>54482925.719702154</v>
      </c>
      <c r="M534" s="81">
        <v>55992259.450455934</v>
      </c>
      <c r="N534" s="81">
        <v>57501424.091856346</v>
      </c>
      <c r="O534" s="81">
        <v>59007485.358988956</v>
      </c>
      <c r="P534" s="81">
        <v>60507620.220135555</v>
      </c>
      <c r="Q534" s="81">
        <v>61810477.556912988</v>
      </c>
      <c r="R534" s="81">
        <v>63095843.785510518</v>
      </c>
      <c r="S534" s="81">
        <v>64361606.467549473</v>
      </c>
      <c r="T534" s="81">
        <v>65605866.262520887</v>
      </c>
      <c r="U534" s="81">
        <v>66826966.568275921</v>
      </c>
      <c r="V534" s="81">
        <v>68023516.421910509</v>
      </c>
      <c r="W534" s="81">
        <v>69194413.880605385</v>
      </c>
      <c r="X534" s="81">
        <v>70338869.882421717</v>
      </c>
      <c r="Y534" s="81">
        <v>71456415.847175062</v>
      </c>
      <c r="Z534" s="81">
        <v>72546969.685515702</v>
      </c>
      <c r="AA534" s="81">
        <v>73629664.485487401</v>
      </c>
      <c r="AB534" s="81">
        <v>74685416.299906641</v>
      </c>
      <c r="AC534" s="81">
        <v>75715356.492424503</v>
      </c>
      <c r="AD534" s="81">
        <v>76721069.180186212</v>
      </c>
      <c r="AE534" s="81">
        <v>77704635.463365555</v>
      </c>
      <c r="AF534" s="81">
        <v>78668670.400688857</v>
      </c>
      <c r="AG534" s="81">
        <v>79616323.384651721</v>
      </c>
      <c r="AH534" s="81">
        <v>80551353.274101198</v>
      </c>
      <c r="AI534" s="81">
        <v>81478100.940565959</v>
      </c>
      <c r="AJ534" s="81">
        <v>82401546.167280152</v>
      </c>
      <c r="AK534" s="81">
        <v>83445750.617638871</v>
      </c>
      <c r="AL534" s="81">
        <v>84498999.3621732</v>
      </c>
      <c r="AM534" s="81">
        <v>85568430.010122895</v>
      </c>
      <c r="AN534" s="81">
        <v>86661981.644422993</v>
      </c>
      <c r="AO534" s="81">
        <v>87788429.775610283</v>
      </c>
      <c r="AP534" s="81">
        <v>88957410.939481199</v>
      </c>
      <c r="AQ534" s="81">
        <v>90179479.848718509</v>
      </c>
      <c r="AR534" s="81">
        <v>91466135.46100606</v>
      </c>
      <c r="AS534" s="81">
        <v>92829846.565640166</v>
      </c>
      <c r="AT534" s="81">
        <v>94284099.883660272</v>
      </c>
    </row>
    <row r="535" spans="1:46" ht="15.75">
      <c r="A535" s="81" t="s">
        <v>448</v>
      </c>
      <c r="B535" s="80">
        <v>411500</v>
      </c>
      <c r="C535" s="80" t="s">
        <v>426</v>
      </c>
      <c r="D535" s="84" t="s">
        <v>683</v>
      </c>
      <c r="E535" s="81">
        <v>39036084.632848658</v>
      </c>
      <c r="F535" s="81">
        <v>40250627.004047334</v>
      </c>
      <c r="G535" s="81">
        <v>41316467.006980799</v>
      </c>
      <c r="H535" s="81">
        <v>42424560.043683857</v>
      </c>
      <c r="I535" s="81">
        <v>43570295.212317236</v>
      </c>
      <c r="J535" s="81">
        <v>44748954.231857531</v>
      </c>
      <c r="K535" s="81">
        <v>45955734.177000612</v>
      </c>
      <c r="L535" s="81">
        <v>47185770.726963475</v>
      </c>
      <c r="M535" s="81">
        <v>48434169.40748173</v>
      </c>
      <c r="N535" s="81">
        <v>49696053.565021835</v>
      </c>
      <c r="O535" s="81">
        <v>50966560.830450982</v>
      </c>
      <c r="P535" s="81">
        <v>52240940.079735614</v>
      </c>
      <c r="Q535" s="81">
        <v>53351707.68893671</v>
      </c>
      <c r="R535" s="81">
        <v>54451814.09835232</v>
      </c>
      <c r="S535" s="81">
        <v>55537146.682149984</v>
      </c>
      <c r="T535" s="81">
        <v>56603881.912415795</v>
      </c>
      <c r="U535" s="81">
        <v>57648514.942595646</v>
      </c>
      <c r="V535" s="81">
        <v>58667880.376106977</v>
      </c>
      <c r="W535" s="81">
        <v>59659217.040248774</v>
      </c>
      <c r="X535" s="81">
        <v>60620181.474676773</v>
      </c>
      <c r="Y535" s="81">
        <v>61548905.993035562</v>
      </c>
      <c r="Z535" s="81">
        <v>62444040.506898232</v>
      </c>
      <c r="AA535" s="81">
        <v>63321008.844788916</v>
      </c>
      <c r="AB535" s="81">
        <v>64162548.547439374</v>
      </c>
      <c r="AC535" s="81">
        <v>64969080.822489999</v>
      </c>
      <c r="AD535" s="81">
        <v>65741744.200756311</v>
      </c>
      <c r="AE535" s="81">
        <v>66482361.128868349</v>
      </c>
      <c r="AF535" s="81">
        <v>67193594.068921208</v>
      </c>
      <c r="AG535" s="81">
        <v>67878892.483809337</v>
      </c>
      <c r="AH535" s="81">
        <v>68542622.689059824</v>
      </c>
      <c r="AI535" s="81">
        <v>69190054.860225037</v>
      </c>
      <c r="AJ535" s="81">
        <v>69827454.637799919</v>
      </c>
      <c r="AK535" s="81">
        <v>70562235.059501588</v>
      </c>
      <c r="AL535" s="81">
        <v>71302497.423675284</v>
      </c>
      <c r="AM535" s="81">
        <v>72057828.791076452</v>
      </c>
      <c r="AN535" s="81">
        <v>72839018.708957374</v>
      </c>
      <c r="AO535" s="81">
        <v>73658221.921015471</v>
      </c>
      <c r="AP535" s="81">
        <v>74528879.399330512</v>
      </c>
      <c r="AQ535" s="81">
        <v>75465932.07235831</v>
      </c>
      <c r="AR535" s="81">
        <v>76485740.21324113</v>
      </c>
      <c r="AS535" s="81">
        <v>77606254.276637033</v>
      </c>
      <c r="AT535" s="81">
        <v>78847018.120946944</v>
      </c>
    </row>
    <row r="536" spans="1:46" ht="15.75">
      <c r="A536" s="81" t="s">
        <v>448</v>
      </c>
      <c r="B536" s="80">
        <v>411600</v>
      </c>
      <c r="C536" s="80" t="s">
        <v>426</v>
      </c>
      <c r="D536" s="84" t="s">
        <v>682</v>
      </c>
      <c r="E536" s="81">
        <v>50222085.778307818</v>
      </c>
      <c r="F536" s="81">
        <v>52019204.434176452</v>
      </c>
      <c r="G536" s="81">
        <v>53610804.080194362</v>
      </c>
      <c r="H536" s="81">
        <v>55243446.992577024</v>
      </c>
      <c r="I536" s="81">
        <v>56912180.4121539</v>
      </c>
      <c r="J536" s="81">
        <v>58611978.368534572</v>
      </c>
      <c r="K536" s="81">
        <v>60337735.546445526</v>
      </c>
      <c r="L536" s="81">
        <v>62084349.629484974</v>
      </c>
      <c r="M536" s="81">
        <v>63846717.771257006</v>
      </c>
      <c r="N536" s="81">
        <v>65619784.312154926</v>
      </c>
      <c r="O536" s="81">
        <v>67398563.635000661</v>
      </c>
      <c r="P536" s="81">
        <v>69178226.935133338</v>
      </c>
      <c r="Q536" s="81">
        <v>70738185.840348363</v>
      </c>
      <c r="R536" s="81">
        <v>72282200.997694194</v>
      </c>
      <c r="S536" s="81">
        <v>73806302.241972953</v>
      </c>
      <c r="T536" s="81">
        <v>75306862.779552698</v>
      </c>
      <c r="U536" s="81">
        <v>76780624.007329404</v>
      </c>
      <c r="V536" s="81">
        <v>78224727.584456369</v>
      </c>
      <c r="W536" s="81">
        <v>79636771.638497964</v>
      </c>
      <c r="X536" s="81">
        <v>81014836.814790934</v>
      </c>
      <c r="Y536" s="81">
        <v>82357528.190396249</v>
      </c>
      <c r="Z536" s="81">
        <v>83664051.646334872</v>
      </c>
      <c r="AA536" s="81">
        <v>84955962.302550912</v>
      </c>
      <c r="AB536" s="81">
        <v>86210925.692875952</v>
      </c>
      <c r="AC536" s="81">
        <v>87430111.650194153</v>
      </c>
      <c r="AD536" s="81">
        <v>88615428.581581607</v>
      </c>
      <c r="AE536" s="81">
        <v>89769623.871228009</v>
      </c>
      <c r="AF536" s="81">
        <v>90896297.825114608</v>
      </c>
      <c r="AG536" s="81">
        <v>91999952.509531498</v>
      </c>
      <c r="AH536" s="81">
        <v>93086050.838601828</v>
      </c>
      <c r="AI536" s="81">
        <v>94161086.890498087</v>
      </c>
      <c r="AJ536" s="81">
        <v>95232590.270591214</v>
      </c>
      <c r="AK536" s="81">
        <v>96446075.808939293</v>
      </c>
      <c r="AL536" s="81">
        <v>97674923.24700059</v>
      </c>
      <c r="AM536" s="81">
        <v>98930312.788215786</v>
      </c>
      <c r="AN536" s="81">
        <v>100224707.01020075</v>
      </c>
      <c r="AO536" s="81">
        <v>101572024.0506561</v>
      </c>
      <c r="AP536" s="81">
        <v>102987618.4930167</v>
      </c>
      <c r="AQ536" s="81">
        <v>104488396.9385068</v>
      </c>
      <c r="AR536" s="81">
        <v>106092828.85960618</v>
      </c>
      <c r="AS536" s="81">
        <v>107821076.75337812</v>
      </c>
      <c r="AT536" s="81">
        <v>109695019.34730959</v>
      </c>
    </row>
    <row r="537" spans="1:46" ht="15.75">
      <c r="A537" s="81" t="s">
        <v>448</v>
      </c>
      <c r="B537" s="80">
        <v>411700</v>
      </c>
      <c r="C537" s="80" t="s">
        <v>426</v>
      </c>
      <c r="D537" s="84" t="s">
        <v>681</v>
      </c>
      <c r="E537" s="81">
        <v>39422284.856840648</v>
      </c>
      <c r="F537" s="81">
        <v>40681180.717956252</v>
      </c>
      <c r="G537" s="81">
        <v>41784530.146981902</v>
      </c>
      <c r="H537" s="81">
        <v>42925611.382301033</v>
      </c>
      <c r="I537" s="81">
        <v>44100232.401607394</v>
      </c>
      <c r="J537" s="81">
        <v>45304099.630211622</v>
      </c>
      <c r="K537" s="81">
        <v>46532856.776030824</v>
      </c>
      <c r="L537" s="81">
        <v>47782067.041564018</v>
      </c>
      <c r="M537" s="81">
        <v>49047305.585629918</v>
      </c>
      <c r="N537" s="81">
        <v>50324123.682005934</v>
      </c>
      <c r="O537" s="81">
        <v>51608132.374518774</v>
      </c>
      <c r="P537" s="81">
        <v>52894993.626363605</v>
      </c>
      <c r="Q537" s="81">
        <v>54015642.594464459</v>
      </c>
      <c r="R537" s="81">
        <v>55125418.261331104</v>
      </c>
      <c r="S537" s="81">
        <v>56220599.44351767</v>
      </c>
      <c r="T537" s="81">
        <v>57297722.347877964</v>
      </c>
      <c r="U537" s="81">
        <v>58353614.469426654</v>
      </c>
      <c r="V537" s="81">
        <v>59385397.50000377</v>
      </c>
      <c r="W537" s="81">
        <v>60390560.529004395</v>
      </c>
      <c r="X537" s="81">
        <v>61366964.069648705</v>
      </c>
      <c r="Y537" s="81">
        <v>62312900.034957998</v>
      </c>
      <c r="Z537" s="81">
        <v>63227095.586653896</v>
      </c>
      <c r="AA537" s="81">
        <v>64125228.663788982</v>
      </c>
      <c r="AB537" s="81">
        <v>64989802.461306125</v>
      </c>
      <c r="AC537" s="81">
        <v>65821151.02260153</v>
      </c>
      <c r="AD537" s="81">
        <v>66620201.93172954</v>
      </c>
      <c r="AE537" s="81">
        <v>67388561.045173556</v>
      </c>
      <c r="AF537" s="81">
        <v>68128527.768812209</v>
      </c>
      <c r="AG537" s="81">
        <v>68843146.198448926</v>
      </c>
      <c r="AH537" s="81">
        <v>69536238.637332633</v>
      </c>
      <c r="AI537" s="81">
        <v>70212458.339027464</v>
      </c>
      <c r="AJ537" s="81">
        <v>70877324.071251094</v>
      </c>
      <c r="AK537" s="81">
        <v>71638934.647673845</v>
      </c>
      <c r="AL537" s="81">
        <v>72402924.42663905</v>
      </c>
      <c r="AM537" s="81">
        <v>73177771.680003881</v>
      </c>
      <c r="AN537" s="81">
        <v>73973033.259301901</v>
      </c>
      <c r="AO537" s="81">
        <v>74799437.691121206</v>
      </c>
      <c r="AP537" s="81">
        <v>75668928.894389316</v>
      </c>
      <c r="AQ537" s="81">
        <v>76594709.715900779</v>
      </c>
      <c r="AR537" s="81">
        <v>77591318.631747901</v>
      </c>
      <c r="AS537" s="81">
        <v>78674641.463137969</v>
      </c>
      <c r="AT537" s="81">
        <v>79862022.98617579</v>
      </c>
    </row>
    <row r="538" spans="1:46" ht="15.75">
      <c r="A538" s="81" t="s">
        <v>448</v>
      </c>
      <c r="B538" s="83">
        <v>419001</v>
      </c>
      <c r="C538" s="80" t="s">
        <v>426</v>
      </c>
      <c r="D538" s="82" t="s">
        <v>680</v>
      </c>
      <c r="E538" s="81">
        <v>6021339.4666567463</v>
      </c>
      <c r="F538" s="81">
        <v>6246256.0624587396</v>
      </c>
      <c r="G538" s="81">
        <v>6440678.7548264833</v>
      </c>
      <c r="H538" s="81">
        <v>6634735.5936735151</v>
      </c>
      <c r="I538" s="81">
        <v>6828163.9569966393</v>
      </c>
      <c r="J538" s="81">
        <v>7020712.2549141189</v>
      </c>
      <c r="K538" s="81">
        <v>7212151.4636408156</v>
      </c>
      <c r="L538" s="81">
        <v>7402229.2976389481</v>
      </c>
      <c r="M538" s="81">
        <v>7590738.0736091323</v>
      </c>
      <c r="N538" s="81">
        <v>7777438.4222500902</v>
      </c>
      <c r="O538" s="81">
        <v>7962149.8281159867</v>
      </c>
      <c r="P538" s="81">
        <v>8144672.1840957692</v>
      </c>
      <c r="Q538" s="81">
        <v>8299060.4133742312</v>
      </c>
      <c r="R538" s="81">
        <v>8450218.5823732857</v>
      </c>
      <c r="S538" s="81">
        <v>8598026.5908403564</v>
      </c>
      <c r="T538" s="81">
        <v>8742413.6845456772</v>
      </c>
      <c r="U538" s="81">
        <v>8883304.6957693473</v>
      </c>
      <c r="V538" s="81">
        <v>9020677.806997804</v>
      </c>
      <c r="W538" s="81">
        <v>9154520.9034336433</v>
      </c>
      <c r="X538" s="81">
        <v>9284831.7901596874</v>
      </c>
      <c r="Y538" s="81">
        <v>9411655.2170987725</v>
      </c>
      <c r="Z538" s="81">
        <v>9535061.0441199616</v>
      </c>
      <c r="AA538" s="81">
        <v>9657108.3212697227</v>
      </c>
      <c r="AB538" s="81">
        <v>9775843.0742277801</v>
      </c>
      <c r="AC538" s="81">
        <v>9891417.834542606</v>
      </c>
      <c r="AD538" s="81">
        <v>10004002.440455003</v>
      </c>
      <c r="AE538" s="81">
        <v>10113864.992040297</v>
      </c>
      <c r="AF538" s="81">
        <v>10221241.662235055</v>
      </c>
      <c r="AG538" s="81">
        <v>10326471.498161448</v>
      </c>
      <c r="AH538" s="81">
        <v>10429876.326302031</v>
      </c>
      <c r="AI538" s="81">
        <v>10531843.594514797</v>
      </c>
      <c r="AJ538" s="81">
        <v>10632844.240347451</v>
      </c>
      <c r="AK538" s="81">
        <v>10748017.688864594</v>
      </c>
      <c r="AL538" s="81">
        <v>10863216.454338415</v>
      </c>
      <c r="AM538" s="81">
        <v>10979017.468895148</v>
      </c>
      <c r="AN538" s="81">
        <v>11096032.110197427</v>
      </c>
      <c r="AO538" s="81">
        <v>11214984.725511378</v>
      </c>
      <c r="AP538" s="81">
        <v>11336623.894539297</v>
      </c>
      <c r="AQ538" s="81">
        <v>11461737.882319102</v>
      </c>
      <c r="AR538" s="81">
        <v>11591220.419492837</v>
      </c>
      <c r="AS538" s="81">
        <v>11725993.237289546</v>
      </c>
      <c r="AT538" s="81">
        <v>11867089.39587014</v>
      </c>
    </row>
    <row r="539" spans="1:46" ht="15.75">
      <c r="A539" s="81" t="s">
        <v>448</v>
      </c>
      <c r="B539" s="80">
        <v>420100</v>
      </c>
      <c r="C539" s="80" t="s">
        <v>425</v>
      </c>
      <c r="D539" s="84" t="s">
        <v>679</v>
      </c>
      <c r="E539" s="81">
        <v>140035644.45562476</v>
      </c>
      <c r="F539" s="81">
        <v>146261518.64438093</v>
      </c>
      <c r="G539" s="81">
        <v>151670034.13891891</v>
      </c>
      <c r="H539" s="81">
        <v>156907432.36987716</v>
      </c>
      <c r="I539" s="81">
        <v>161978372.42345649</v>
      </c>
      <c r="J539" s="81">
        <v>166888372.74868661</v>
      </c>
      <c r="K539" s="81">
        <v>171643781.22549573</v>
      </c>
      <c r="L539" s="81">
        <v>176251662.29789743</v>
      </c>
      <c r="M539" s="81">
        <v>180719784.34914649</v>
      </c>
      <c r="N539" s="81">
        <v>185056509.78251979</v>
      </c>
      <c r="O539" s="81">
        <v>189270748.29312155</v>
      </c>
      <c r="P539" s="81">
        <v>193371879.57362667</v>
      </c>
      <c r="Q539" s="81">
        <v>196877628.28067422</v>
      </c>
      <c r="R539" s="81">
        <v>200274536.28422901</v>
      </c>
      <c r="S539" s="81">
        <v>203573768.09788606</v>
      </c>
      <c r="T539" s="81">
        <v>206786482.54255638</v>
      </c>
      <c r="U539" s="81">
        <v>209923701.94554815</v>
      </c>
      <c r="V539" s="81">
        <v>212996259.09071827</v>
      </c>
      <c r="W539" s="81">
        <v>216014644.10182938</v>
      </c>
      <c r="X539" s="81">
        <v>218988930.2958135</v>
      </c>
      <c r="Y539" s="81">
        <v>221928629.93991348</v>
      </c>
      <c r="Z539" s="81">
        <v>224842652.014146</v>
      </c>
      <c r="AA539" s="81">
        <v>227923025.11463949</v>
      </c>
      <c r="AB539" s="81">
        <v>230988672.14003932</v>
      </c>
      <c r="AC539" s="81">
        <v>234045864.65408927</v>
      </c>
      <c r="AD539" s="81">
        <v>237099774.26803634</v>
      </c>
      <c r="AE539" s="81">
        <v>240154301.54415062</v>
      </c>
      <c r="AF539" s="81">
        <v>243211998.9265852</v>
      </c>
      <c r="AG539" s="81">
        <v>246273895.03586024</v>
      </c>
      <c r="AH539" s="81">
        <v>249339333.17280027</v>
      </c>
      <c r="AI539" s="81">
        <v>252405868.73611221</v>
      </c>
      <c r="AJ539" s="81">
        <v>255469125.30636376</v>
      </c>
      <c r="AK539" s="81">
        <v>259032711.95359877</v>
      </c>
      <c r="AL539" s="81">
        <v>262577765.22183368</v>
      </c>
      <c r="AM539" s="81">
        <v>266092980.28134462</v>
      </c>
      <c r="AN539" s="81">
        <v>269564485.98310018</v>
      </c>
      <c r="AO539" s="81">
        <v>272975486.50738496</v>
      </c>
      <c r="AP539" s="81">
        <v>276306239.66721898</v>
      </c>
      <c r="AQ539" s="81">
        <v>279533805.86704808</v>
      </c>
      <c r="AR539" s="81">
        <v>282631861.05405205</v>
      </c>
      <c r="AS539" s="81">
        <v>285570481.52186561</v>
      </c>
      <c r="AT539" s="81">
        <v>288316051.25947547</v>
      </c>
    </row>
    <row r="540" spans="1:46" ht="15.75">
      <c r="A540" s="81" t="s">
        <v>448</v>
      </c>
      <c r="B540" s="80">
        <v>420200</v>
      </c>
      <c r="C540" s="80" t="s">
        <v>425</v>
      </c>
      <c r="D540" s="84" t="s">
        <v>678</v>
      </c>
      <c r="E540" s="81">
        <v>22987415.065182202</v>
      </c>
      <c r="F540" s="81">
        <v>23785224.670919418</v>
      </c>
      <c r="G540" s="81">
        <v>24465098.197584081</v>
      </c>
      <c r="H540" s="81">
        <v>25146963.681835458</v>
      </c>
      <c r="I540" s="81">
        <v>25829730.525525387</v>
      </c>
      <c r="J540" s="81">
        <v>26512313.127243973</v>
      </c>
      <c r="K540" s="81">
        <v>27193625.363722738</v>
      </c>
      <c r="L540" s="81">
        <v>27872617.451755825</v>
      </c>
      <c r="M540" s="81">
        <v>28548250.325591415</v>
      </c>
      <c r="N540" s="81">
        <v>29219522.857167967</v>
      </c>
      <c r="O540" s="81">
        <v>29885455.798064888</v>
      </c>
      <c r="P540" s="81">
        <v>30545131.943640921</v>
      </c>
      <c r="Q540" s="81">
        <v>31091971.799561556</v>
      </c>
      <c r="R540" s="81">
        <v>31628255.826246299</v>
      </c>
      <c r="S540" s="81">
        <v>32153364.42960877</v>
      </c>
      <c r="T540" s="81">
        <v>32666748.106318437</v>
      </c>
      <c r="U540" s="81">
        <v>33167970.987704199</v>
      </c>
      <c r="V540" s="81">
        <v>33656655.253923438</v>
      </c>
      <c r="W540" s="81">
        <v>34132511.170517758</v>
      </c>
      <c r="X540" s="81">
        <v>34595369.460506685</v>
      </c>
      <c r="Y540" s="81">
        <v>35045135.728104226</v>
      </c>
      <c r="Z540" s="81">
        <v>35481849.087156735</v>
      </c>
      <c r="AA540" s="81">
        <v>35902400.61384888</v>
      </c>
      <c r="AB540" s="81">
        <v>36309913.51499211</v>
      </c>
      <c r="AC540" s="81">
        <v>36704795.320327431</v>
      </c>
      <c r="AD540" s="81">
        <v>37087587.799770132</v>
      </c>
      <c r="AE540" s="81">
        <v>37458988.107547924</v>
      </c>
      <c r="AF540" s="81">
        <v>37819841.715908565</v>
      </c>
      <c r="AG540" s="81">
        <v>38171134.276435927</v>
      </c>
      <c r="AH540" s="81">
        <v>38514027.798901469</v>
      </c>
      <c r="AI540" s="81">
        <v>38849868.629239261</v>
      </c>
      <c r="AJ540" s="81">
        <v>39180180.001651049</v>
      </c>
      <c r="AK540" s="81">
        <v>39549081.438030511</v>
      </c>
      <c r="AL540" s="81">
        <v>39916035.010804631</v>
      </c>
      <c r="AM540" s="81">
        <v>40283155.401478186</v>
      </c>
      <c r="AN540" s="81">
        <v>40652773.989387512</v>
      </c>
      <c r="AO540" s="81">
        <v>41027413.882977143</v>
      </c>
      <c r="AP540" s="81">
        <v>41409863.563802764</v>
      </c>
      <c r="AQ540" s="81">
        <v>41803187.653117821</v>
      </c>
      <c r="AR540" s="81">
        <v>42210651.229193762</v>
      </c>
      <c r="AS540" s="81">
        <v>42635812.916922666</v>
      </c>
      <c r="AT540" s="81">
        <v>43082500.477779634</v>
      </c>
    </row>
    <row r="541" spans="1:46" ht="15.75">
      <c r="A541" s="81" t="s">
        <v>448</v>
      </c>
      <c r="B541" s="80">
        <v>420300</v>
      </c>
      <c r="C541" s="80" t="s">
        <v>425</v>
      </c>
      <c r="D541" s="84" t="s">
        <v>677</v>
      </c>
      <c r="E541" s="81">
        <v>29905806.092768423</v>
      </c>
      <c r="F541" s="81">
        <v>30912662.976726513</v>
      </c>
      <c r="G541" s="81">
        <v>31755999.359097365</v>
      </c>
      <c r="H541" s="81">
        <v>32592415.891855802</v>
      </c>
      <c r="I541" s="81">
        <v>33421047.466991771</v>
      </c>
      <c r="J541" s="81">
        <v>34241102.54922612</v>
      </c>
      <c r="K541" s="81">
        <v>35051775.251632392</v>
      </c>
      <c r="L541" s="81">
        <v>35852330.968632139</v>
      </c>
      <c r="M541" s="81">
        <v>36642058.140815087</v>
      </c>
      <c r="N541" s="81">
        <v>37420281.520308271</v>
      </c>
      <c r="O541" s="81">
        <v>38186376.764979623</v>
      </c>
      <c r="P541" s="81">
        <v>38939774.679108024</v>
      </c>
      <c r="Q541" s="81">
        <v>39545530.786783092</v>
      </c>
      <c r="R541" s="81">
        <v>40134944.203250594</v>
      </c>
      <c r="S541" s="81">
        <v>40707818.856318846</v>
      </c>
      <c r="T541" s="81">
        <v>41264027.58982572</v>
      </c>
      <c r="U541" s="81">
        <v>41803503.031688392</v>
      </c>
      <c r="V541" s="81">
        <v>42326265.871334136</v>
      </c>
      <c r="W541" s="81">
        <v>42832403.377635397</v>
      </c>
      <c r="X541" s="81">
        <v>43322072.126768231</v>
      </c>
      <c r="Y541" s="81">
        <v>43795500.766706973</v>
      </c>
      <c r="Z541" s="81">
        <v>44253033.558851905</v>
      </c>
      <c r="AA541" s="81">
        <v>44691009.814692371</v>
      </c>
      <c r="AB541" s="81">
        <v>45113512.541020766</v>
      </c>
      <c r="AC541" s="81">
        <v>45521130.170014739</v>
      </c>
      <c r="AD541" s="81">
        <v>45914568.244468972</v>
      </c>
      <c r="AE541" s="81">
        <v>46294639.678346828</v>
      </c>
      <c r="AF541" s="81">
        <v>46662239.161812969</v>
      </c>
      <c r="AG541" s="81">
        <v>47018375.002471738</v>
      </c>
      <c r="AH541" s="81">
        <v>47364173.088161923</v>
      </c>
      <c r="AI541" s="81">
        <v>47700880.897521153</v>
      </c>
      <c r="AJ541" s="81">
        <v>48029856.020987518</v>
      </c>
      <c r="AK541" s="81">
        <v>48404497.225098722</v>
      </c>
      <c r="AL541" s="81">
        <v>48774301.166839838</v>
      </c>
      <c r="AM541" s="81">
        <v>49141003.691883981</v>
      </c>
      <c r="AN541" s="81">
        <v>49506472.889527</v>
      </c>
      <c r="AO541" s="81">
        <v>49872712.686125822</v>
      </c>
      <c r="AP541" s="81">
        <v>50241917.073865093</v>
      </c>
      <c r="AQ541" s="81">
        <v>50616391.703031145</v>
      </c>
      <c r="AR541" s="81">
        <v>50998624.62760675</v>
      </c>
      <c r="AS541" s="81">
        <v>51391222.149635479</v>
      </c>
      <c r="AT541" s="81">
        <v>51797034.773343675</v>
      </c>
    </row>
    <row r="542" spans="1:46" ht="15.75">
      <c r="A542" s="81" t="s">
        <v>448</v>
      </c>
      <c r="B542" s="80">
        <v>420500</v>
      </c>
      <c r="C542" s="80" t="s">
        <v>425</v>
      </c>
      <c r="D542" s="84" t="s">
        <v>676</v>
      </c>
      <c r="E542" s="81">
        <v>41477061.72921934</v>
      </c>
      <c r="F542" s="81">
        <v>42815018.240504339</v>
      </c>
      <c r="G542" s="81">
        <v>43897867.766317382</v>
      </c>
      <c r="H542" s="81">
        <v>44944031.23115135</v>
      </c>
      <c r="I542" s="81">
        <v>45953680.151359364</v>
      </c>
      <c r="J542" s="81">
        <v>46927061.017905056</v>
      </c>
      <c r="K542" s="81">
        <v>47864548.242253505</v>
      </c>
      <c r="L542" s="81">
        <v>48766607.54959704</v>
      </c>
      <c r="M542" s="81">
        <v>49633803.957412995</v>
      </c>
      <c r="N542" s="81">
        <v>50466785.887678936</v>
      </c>
      <c r="O542" s="81">
        <v>51266331.222697183</v>
      </c>
      <c r="P542" s="81">
        <v>52033243.188487768</v>
      </c>
      <c r="Q542" s="81">
        <v>52589680.774542876</v>
      </c>
      <c r="R542" s="81">
        <v>53113624.039886095</v>
      </c>
      <c r="S542" s="81">
        <v>53606452.495264083</v>
      </c>
      <c r="T542" s="81">
        <v>54069655.648938611</v>
      </c>
      <c r="U542" s="81">
        <v>54504692.951797925</v>
      </c>
      <c r="V542" s="81">
        <v>54913082.508124307</v>
      </c>
      <c r="W542" s="81">
        <v>55296383.072542541</v>
      </c>
      <c r="X542" s="81">
        <v>55656145.468527108</v>
      </c>
      <c r="Y542" s="81">
        <v>55993948.962446205</v>
      </c>
      <c r="Z542" s="81">
        <v>56311366.118184716</v>
      </c>
      <c r="AA542" s="81">
        <v>56604849.052205943</v>
      </c>
      <c r="AB542" s="81">
        <v>56880544.469087914</v>
      </c>
      <c r="AC542" s="81">
        <v>57140029.002274439</v>
      </c>
      <c r="AD542" s="81">
        <v>57384844.294439331</v>
      </c>
      <c r="AE542" s="81">
        <v>57616537.082612097</v>
      </c>
      <c r="AF542" s="81">
        <v>57836605.17898225</v>
      </c>
      <c r="AG542" s="81">
        <v>58046472.47136537</v>
      </c>
      <c r="AH542" s="81">
        <v>58247562.928614706</v>
      </c>
      <c r="AI542" s="81">
        <v>58441194.408134304</v>
      </c>
      <c r="AJ542" s="81">
        <v>58628670.660012946</v>
      </c>
      <c r="AK542" s="81">
        <v>58874332.142131262</v>
      </c>
      <c r="AL542" s="81">
        <v>59115474.771233097</v>
      </c>
      <c r="AM542" s="81">
        <v>59353134.498480856</v>
      </c>
      <c r="AN542" s="81">
        <v>59588253.332020275</v>
      </c>
      <c r="AO542" s="81">
        <v>59821670.113076635</v>
      </c>
      <c r="AP542" s="81">
        <v>60054092.471409991</v>
      </c>
      <c r="AQ542" s="81">
        <v>60286123.848505065</v>
      </c>
      <c r="AR542" s="81">
        <v>60518197.551250562</v>
      </c>
      <c r="AS542" s="81">
        <v>60750661.422098264</v>
      </c>
      <c r="AT542" s="81">
        <v>60983633.923626423</v>
      </c>
    </row>
    <row r="543" spans="1:46" ht="15.75">
      <c r="A543" s="81" t="s">
        <v>448</v>
      </c>
      <c r="B543" s="80">
        <v>420600</v>
      </c>
      <c r="C543" s="80" t="s">
        <v>425</v>
      </c>
      <c r="D543" s="84" t="s">
        <v>675</v>
      </c>
      <c r="E543" s="81">
        <v>54256111.844686598</v>
      </c>
      <c r="F543" s="81">
        <v>56067433.482253172</v>
      </c>
      <c r="G543" s="81">
        <v>57578853.047784679</v>
      </c>
      <c r="H543" s="81">
        <v>59074420.358779877</v>
      </c>
      <c r="I543" s="81">
        <v>60552567.90255063</v>
      </c>
      <c r="J543" s="81">
        <v>62011797.218147546</v>
      </c>
      <c r="K543" s="81">
        <v>63450662.646327741</v>
      </c>
      <c r="L543" s="81">
        <v>64867800.53640607</v>
      </c>
      <c r="M543" s="81">
        <v>66261936.864836276</v>
      </c>
      <c r="N543" s="81">
        <v>67631870.041927382</v>
      </c>
      <c r="O543" s="81">
        <v>68976527.39939037</v>
      </c>
      <c r="P543" s="81">
        <v>70294897.858308971</v>
      </c>
      <c r="Q543" s="81">
        <v>71343582.628959611</v>
      </c>
      <c r="R543" s="81">
        <v>72359836.186054274</v>
      </c>
      <c r="S543" s="81">
        <v>73343438.42347315</v>
      </c>
      <c r="T543" s="81">
        <v>74294265.888728231</v>
      </c>
      <c r="U543" s="81">
        <v>75212365.273717746</v>
      </c>
      <c r="V543" s="81">
        <v>76097891.252356693</v>
      </c>
      <c r="W543" s="81">
        <v>76951182.185324714</v>
      </c>
      <c r="X543" s="81">
        <v>77772681.492244348</v>
      </c>
      <c r="Y543" s="81">
        <v>78563029.36051181</v>
      </c>
      <c r="Z543" s="81">
        <v>79323041.888689145</v>
      </c>
      <c r="AA543" s="81">
        <v>80046429.969909459</v>
      </c>
      <c r="AB543" s="81">
        <v>80740745.025646269</v>
      </c>
      <c r="AC543" s="81">
        <v>81407329.721377611</v>
      </c>
      <c r="AD543" s="81">
        <v>82047760.760513753</v>
      </c>
      <c r="AE543" s="81">
        <v>82663777.814987883</v>
      </c>
      <c r="AF543" s="81">
        <v>83257320.228565902</v>
      </c>
      <c r="AG543" s="81">
        <v>83830582.902062222</v>
      </c>
      <c r="AH543" s="81">
        <v>84385958.972340599</v>
      </c>
      <c r="AI543" s="81">
        <v>84926062.156116307</v>
      </c>
      <c r="AJ543" s="81">
        <v>85453733.288307428</v>
      </c>
      <c r="AK543" s="81">
        <v>86064428.412801921</v>
      </c>
      <c r="AL543" s="81">
        <v>86668704.784835279</v>
      </c>
      <c r="AM543" s="81">
        <v>87270167.367221013</v>
      </c>
      <c r="AN543" s="81">
        <v>87872729.200089708</v>
      </c>
      <c r="AO543" s="81">
        <v>88480511.047347873</v>
      </c>
      <c r="AP543" s="81">
        <v>89098030.772067919</v>
      </c>
      <c r="AQ543" s="81">
        <v>89730048.422763854</v>
      </c>
      <c r="AR543" s="81">
        <v>90381608.725035086</v>
      </c>
      <c r="AS543" s="81">
        <v>91058164.273218483</v>
      </c>
      <c r="AT543" s="81">
        <v>91765412.921782002</v>
      </c>
    </row>
    <row r="544" spans="1:46" ht="15.75">
      <c r="A544" s="81" t="s">
        <v>448</v>
      </c>
      <c r="B544" s="80">
        <v>420700</v>
      </c>
      <c r="C544" s="80" t="s">
        <v>425</v>
      </c>
      <c r="D544" s="84" t="s">
        <v>674</v>
      </c>
      <c r="E544" s="81">
        <v>10042099.281774856</v>
      </c>
      <c r="F544" s="81">
        <v>10397650.676830638</v>
      </c>
      <c r="G544" s="81">
        <v>10697635.477725694</v>
      </c>
      <c r="H544" s="81">
        <v>10994604.075894464</v>
      </c>
      <c r="I544" s="81">
        <v>11288242.990961595</v>
      </c>
      <c r="J544" s="81">
        <v>11578283.04928009</v>
      </c>
      <c r="K544" s="81">
        <v>11864439.950750865</v>
      </c>
      <c r="L544" s="81">
        <v>12146456.034407476</v>
      </c>
      <c r="M544" s="81">
        <v>12424080.617349243</v>
      </c>
      <c r="N544" s="81">
        <v>12697092.986763146</v>
      </c>
      <c r="O544" s="81">
        <v>12965293.466789212</v>
      </c>
      <c r="P544" s="81">
        <v>13228516.687556492</v>
      </c>
      <c r="Q544" s="81">
        <v>13440882.345166886</v>
      </c>
      <c r="R544" s="81">
        <v>13647016.931848234</v>
      </c>
      <c r="S544" s="81">
        <v>13846897.227845121</v>
      </c>
      <c r="T544" s="81">
        <v>14040515.061508754</v>
      </c>
      <c r="U544" s="81">
        <v>14227890.276579684</v>
      </c>
      <c r="V544" s="81">
        <v>14409084.815948557</v>
      </c>
      <c r="W544" s="81">
        <v>14584178.914733468</v>
      </c>
      <c r="X544" s="81">
        <v>14753284.666101765</v>
      </c>
      <c r="Y544" s="81">
        <v>14916574.114752676</v>
      </c>
      <c r="Z544" s="81">
        <v>15074201.018968135</v>
      </c>
      <c r="AA544" s="81">
        <v>15225017.227481609</v>
      </c>
      <c r="AB544" s="81">
        <v>15370489.908894923</v>
      </c>
      <c r="AC544" s="81">
        <v>15510928.884870261</v>
      </c>
      <c r="AD544" s="81">
        <v>15646670.510076338</v>
      </c>
      <c r="AE544" s="81">
        <v>15778063.519480454</v>
      </c>
      <c r="AF544" s="81">
        <v>15905556.890245048</v>
      </c>
      <c r="AG544" s="81">
        <v>16029600.583356531</v>
      </c>
      <c r="AH544" s="81">
        <v>16150719.682186121</v>
      </c>
      <c r="AI544" s="81">
        <v>16269441.1137804</v>
      </c>
      <c r="AJ544" s="81">
        <v>16386385.313767513</v>
      </c>
      <c r="AK544" s="81">
        <v>16519930.178394563</v>
      </c>
      <c r="AL544" s="81">
        <v>16652997.846639482</v>
      </c>
      <c r="AM544" s="81">
        <v>16786333.853986081</v>
      </c>
      <c r="AN544" s="81">
        <v>16920773.399479013</v>
      </c>
      <c r="AO544" s="81">
        <v>17057178.674936567</v>
      </c>
      <c r="AP544" s="81">
        <v>17196488.924166717</v>
      </c>
      <c r="AQ544" s="81">
        <v>17339671.995121449</v>
      </c>
      <c r="AR544" s="81">
        <v>17487810.395230975</v>
      </c>
      <c r="AS544" s="81">
        <v>17642001.154805545</v>
      </c>
      <c r="AT544" s="81">
        <v>17803460.824095879</v>
      </c>
    </row>
    <row r="545" spans="1:46" ht="15.75">
      <c r="A545" s="81" t="s">
        <v>448</v>
      </c>
      <c r="B545" s="80">
        <v>420800</v>
      </c>
      <c r="C545" s="80" t="s">
        <v>425</v>
      </c>
      <c r="D545" s="84" t="s">
        <v>673</v>
      </c>
      <c r="E545" s="81">
        <v>24174747.664770611</v>
      </c>
      <c r="F545" s="81">
        <v>25016380.900275853</v>
      </c>
      <c r="G545" s="81">
        <v>25711959.220461782</v>
      </c>
      <c r="H545" s="81">
        <v>26388573.217115395</v>
      </c>
      <c r="I545" s="81">
        <v>27046088.969997067</v>
      </c>
      <c r="J545" s="81">
        <v>27684416.806146767</v>
      </c>
      <c r="K545" s="81">
        <v>28303541.425170936</v>
      </c>
      <c r="L545" s="81">
        <v>28903479.604340021</v>
      </c>
      <c r="M545" s="81">
        <v>29484343.512987148</v>
      </c>
      <c r="N545" s="81">
        <v>30046264.776899774</v>
      </c>
      <c r="O545" s="81">
        <v>30589447.541381299</v>
      </c>
      <c r="P545" s="81">
        <v>31114157.517731033</v>
      </c>
      <c r="Q545" s="81">
        <v>31513567.543649349</v>
      </c>
      <c r="R545" s="81">
        <v>31893642.254515734</v>
      </c>
      <c r="S545" s="81">
        <v>32255013.586604364</v>
      </c>
      <c r="T545" s="81">
        <v>32598332.991083838</v>
      </c>
      <c r="U545" s="81">
        <v>32924293.650819439</v>
      </c>
      <c r="V545" s="81">
        <v>33233629.191270966</v>
      </c>
      <c r="W545" s="81">
        <v>33527112.336435888</v>
      </c>
      <c r="X545" s="81">
        <v>33805513.911464818</v>
      </c>
      <c r="Y545" s="81">
        <v>34069665.488550961</v>
      </c>
      <c r="Z545" s="81">
        <v>34320391.850190543</v>
      </c>
      <c r="AA545" s="81">
        <v>34555435.038373627</v>
      </c>
      <c r="AB545" s="81">
        <v>34778467.918746702</v>
      </c>
      <c r="AC545" s="81">
        <v>34990384.121962197</v>
      </c>
      <c r="AD545" s="81">
        <v>35192129.259094276</v>
      </c>
      <c r="AE545" s="81">
        <v>35384628.17370189</v>
      </c>
      <c r="AF545" s="81">
        <v>35568853.70781552</v>
      </c>
      <c r="AG545" s="81">
        <v>35745766.840330541</v>
      </c>
      <c r="AH545" s="81">
        <v>35916312.59821064</v>
      </c>
      <c r="AI545" s="81">
        <v>36081477.235429972</v>
      </c>
      <c r="AJ545" s="81">
        <v>36242225.845488407</v>
      </c>
      <c r="AK545" s="81">
        <v>36438620.621159799</v>
      </c>
      <c r="AL545" s="81">
        <v>36632198.815325134</v>
      </c>
      <c r="AM545" s="81">
        <v>36823939.089538857</v>
      </c>
      <c r="AN545" s="81">
        <v>37014773.640213914</v>
      </c>
      <c r="AO545" s="81">
        <v>37205615.4749602</v>
      </c>
      <c r="AP545" s="81">
        <v>37397422.006576099</v>
      </c>
      <c r="AQ545" s="81">
        <v>37591075.979582258</v>
      </c>
      <c r="AR545" s="81">
        <v>37787447.373475045</v>
      </c>
      <c r="AS545" s="81">
        <v>37987390.465928309</v>
      </c>
      <c r="AT545" s="81">
        <v>38191740.841341011</v>
      </c>
    </row>
    <row r="546" spans="1:46" ht="15.75">
      <c r="A546" s="81" t="s">
        <v>448</v>
      </c>
      <c r="B546" s="80">
        <v>420900</v>
      </c>
      <c r="C546" s="80" t="s">
        <v>425</v>
      </c>
      <c r="D546" s="84" t="s">
        <v>672</v>
      </c>
      <c r="E546" s="81">
        <v>39750880.17717617</v>
      </c>
      <c r="F546" s="81">
        <v>41137192.243776292</v>
      </c>
      <c r="G546" s="81">
        <v>42299420.68808639</v>
      </c>
      <c r="H546" s="81">
        <v>43445876.427568749</v>
      </c>
      <c r="I546" s="81">
        <v>44575599.26404307</v>
      </c>
      <c r="J546" s="81">
        <v>45687735.855930336</v>
      </c>
      <c r="K546" s="81">
        <v>46781452.313277513</v>
      </c>
      <c r="L546" s="81">
        <v>47855998.590930194</v>
      </c>
      <c r="M546" s="81">
        <v>48910725.047539219</v>
      </c>
      <c r="N546" s="81">
        <v>49945032.638221651</v>
      </c>
      <c r="O546" s="81">
        <v>50958420.303897239</v>
      </c>
      <c r="P546" s="81">
        <v>51950455.492950939</v>
      </c>
      <c r="Q546" s="81">
        <v>52741518.055256039</v>
      </c>
      <c r="R546" s="81">
        <v>53507231.731511623</v>
      </c>
      <c r="S546" s="81">
        <v>54247781.025557004</v>
      </c>
      <c r="T546" s="81">
        <v>54963413.480104677</v>
      </c>
      <c r="U546" s="81">
        <v>55654516.140931845</v>
      </c>
      <c r="V546" s="81">
        <v>56321544.818004996</v>
      </c>
      <c r="W546" s="81">
        <v>56965050.782848611</v>
      </c>
      <c r="X546" s="81">
        <v>57585736.108776428</v>
      </c>
      <c r="Y546" s="81">
        <v>58184379.691269904</v>
      </c>
      <c r="Z546" s="81">
        <v>58761878.706714876</v>
      </c>
      <c r="AA546" s="81">
        <v>59313885.465176962</v>
      </c>
      <c r="AB546" s="81">
        <v>59846279.44920706</v>
      </c>
      <c r="AC546" s="81">
        <v>60360334.664274804</v>
      </c>
      <c r="AD546" s="81">
        <v>60857442.951320812</v>
      </c>
      <c r="AE546" s="81">
        <v>61339131.026175126</v>
      </c>
      <c r="AF546" s="81">
        <v>61807093.454110377</v>
      </c>
      <c r="AG546" s="81">
        <v>62263108.511661164</v>
      </c>
      <c r="AH546" s="81">
        <v>62709128.61967545</v>
      </c>
      <c r="AI546" s="81">
        <v>63147239.892526761</v>
      </c>
      <c r="AJ546" s="81">
        <v>63579649.216798395</v>
      </c>
      <c r="AK546" s="81">
        <v>64077506.417513102</v>
      </c>
      <c r="AL546" s="81">
        <v>64574369.070268758</v>
      </c>
      <c r="AM546" s="81">
        <v>65072931.524221331</v>
      </c>
      <c r="AN546" s="81">
        <v>65576080.957740299</v>
      </c>
      <c r="AO546" s="81">
        <v>66086852.733957253</v>
      </c>
      <c r="AP546" s="81">
        <v>66608449.234608941</v>
      </c>
      <c r="AQ546" s="81">
        <v>67144311.324478075</v>
      </c>
      <c r="AR546" s="81">
        <v>67698004.77205956</v>
      </c>
      <c r="AS546" s="81">
        <v>68273325.291294068</v>
      </c>
      <c r="AT546" s="81">
        <v>68874234.039208725</v>
      </c>
    </row>
    <row r="547" spans="1:46" ht="15.75">
      <c r="A547" s="81" t="s">
        <v>448</v>
      </c>
      <c r="B547" s="80">
        <v>421000</v>
      </c>
      <c r="C547" s="80" t="s">
        <v>425</v>
      </c>
      <c r="D547" s="84" t="s">
        <v>671</v>
      </c>
      <c r="E547" s="81">
        <v>53967608.524061665</v>
      </c>
      <c r="F547" s="81">
        <v>55749459.076126195</v>
      </c>
      <c r="G547" s="81">
        <v>57219868.95495744</v>
      </c>
      <c r="H547" s="81">
        <v>58662009.123914503</v>
      </c>
      <c r="I547" s="81">
        <v>60074926.306068704</v>
      </c>
      <c r="J547" s="81">
        <v>61457816.172088735</v>
      </c>
      <c r="K547" s="81">
        <v>62809937.830314502</v>
      </c>
      <c r="L547" s="81">
        <v>64130673.54167024</v>
      </c>
      <c r="M547" s="81">
        <v>65419497.310098909</v>
      </c>
      <c r="N547" s="81">
        <v>66675989.204177707</v>
      </c>
      <c r="O547" s="81">
        <v>67899851.046648562</v>
      </c>
      <c r="P547" s="81">
        <v>69090897.57546486</v>
      </c>
      <c r="Q547" s="81">
        <v>70011044.079217285</v>
      </c>
      <c r="R547" s="81">
        <v>70894708.93632929</v>
      </c>
      <c r="S547" s="81">
        <v>71742467.264689878</v>
      </c>
      <c r="T547" s="81">
        <v>72555014.130474061</v>
      </c>
      <c r="U547" s="81">
        <v>73333166.939491466</v>
      </c>
      <c r="V547" s="81">
        <v>74077853.641582265</v>
      </c>
      <c r="W547" s="81">
        <v>74790099.691733077</v>
      </c>
      <c r="X547" s="81">
        <v>75471057.5477314</v>
      </c>
      <c r="Y547" s="81">
        <v>76122009.020982921</v>
      </c>
      <c r="Z547" s="81">
        <v>76744322.555591837</v>
      </c>
      <c r="AA547" s="81">
        <v>77332516.277476847</v>
      </c>
      <c r="AB547" s="81">
        <v>77894407.618866399</v>
      </c>
      <c r="AC547" s="81">
        <v>78431789.006159618</v>
      </c>
      <c r="AD547" s="81">
        <v>78946527.768575698</v>
      </c>
      <c r="AE547" s="81">
        <v>79440660.378756091</v>
      </c>
      <c r="AF547" s="81">
        <v>79916315.04031074</v>
      </c>
      <c r="AG547" s="81">
        <v>80375793.034514785</v>
      </c>
      <c r="AH547" s="81">
        <v>80821472.384163886</v>
      </c>
      <c r="AI547" s="81">
        <v>81255890.250594169</v>
      </c>
      <c r="AJ547" s="81">
        <v>81681694.401289806</v>
      </c>
      <c r="AK547" s="81">
        <v>82189850.370617107</v>
      </c>
      <c r="AL547" s="81">
        <v>82694542.893236399</v>
      </c>
      <c r="AM547" s="81">
        <v>83198840.829673111</v>
      </c>
      <c r="AN547" s="81">
        <v>83705974.932137176</v>
      </c>
      <c r="AO547" s="81">
        <v>84219284.774803236</v>
      </c>
      <c r="AP547" s="81">
        <v>84742310.488091886</v>
      </c>
      <c r="AQ547" s="81">
        <v>85278683.924208745</v>
      </c>
      <c r="AR547" s="81">
        <v>85832221.586402804</v>
      </c>
      <c r="AS547" s="81">
        <v>86406908.574560732</v>
      </c>
      <c r="AT547" s="81">
        <v>87006861.361858889</v>
      </c>
    </row>
    <row r="548" spans="1:46" ht="15.75">
      <c r="A548" s="81" t="s">
        <v>448</v>
      </c>
      <c r="B548" s="80">
        <v>421100</v>
      </c>
      <c r="C548" s="80" t="s">
        <v>425</v>
      </c>
      <c r="D548" s="84" t="s">
        <v>670</v>
      </c>
      <c r="E548" s="81">
        <v>60696708.075511925</v>
      </c>
      <c r="F548" s="81">
        <v>62693641.103127584</v>
      </c>
      <c r="G548" s="81">
        <v>64369306.371763498</v>
      </c>
      <c r="H548" s="81">
        <v>66040167.690646663</v>
      </c>
      <c r="I548" s="81">
        <v>67703110.58173807</v>
      </c>
      <c r="J548" s="81">
        <v>69355105.645816132</v>
      </c>
      <c r="K548" s="81">
        <v>70993158.256407365</v>
      </c>
      <c r="L548" s="81">
        <v>72614370.756239474</v>
      </c>
      <c r="M548" s="81">
        <v>74215986.257711142</v>
      </c>
      <c r="N548" s="81">
        <v>75795310.990424663</v>
      </c>
      <c r="O548" s="81">
        <v>77349842.259010822</v>
      </c>
      <c r="P548" s="81">
        <v>78877228.248119131</v>
      </c>
      <c r="Q548" s="81">
        <v>80102964.613285959</v>
      </c>
      <c r="R548" s="81">
        <v>81292031.197777674</v>
      </c>
      <c r="S548" s="81">
        <v>82443126.167363316</v>
      </c>
      <c r="T548" s="81">
        <v>83555240.426294789</v>
      </c>
      <c r="U548" s="81">
        <v>84627622.887149364</v>
      </c>
      <c r="V548" s="81">
        <v>85659797.953099638</v>
      </c>
      <c r="W548" s="81">
        <v>86651626.506931841</v>
      </c>
      <c r="X548" s="81">
        <v>87603283.362092346</v>
      </c>
      <c r="Y548" s="81">
        <v>88515290.570886686</v>
      </c>
      <c r="Z548" s="81">
        <v>89388537.300615981</v>
      </c>
      <c r="AA548" s="81">
        <v>90216152.518715307</v>
      </c>
      <c r="AB548" s="81">
        <v>91007011.263730988</v>
      </c>
      <c r="AC548" s="81">
        <v>91763282.633183748</v>
      </c>
      <c r="AD548" s="81">
        <v>92487556.091111168</v>
      </c>
      <c r="AE548" s="81">
        <v>93182876.444548279</v>
      </c>
      <c r="AF548" s="81">
        <v>93852829.313803315</v>
      </c>
      <c r="AG548" s="81">
        <v>94501499.905454963</v>
      </c>
      <c r="AH548" s="81">
        <v>95133493.857465476</v>
      </c>
      <c r="AI548" s="81">
        <v>95753975.333492205</v>
      </c>
      <c r="AJ548" s="81">
        <v>96368723.919058785</v>
      </c>
      <c r="AK548" s="81">
        <v>97088245.530507907</v>
      </c>
      <c r="AL548" s="81">
        <v>97814989.864796698</v>
      </c>
      <c r="AM548" s="81">
        <v>98556663.54228498</v>
      </c>
      <c r="AN548" s="81">
        <v>99321699.251554921</v>
      </c>
      <c r="AO548" s="81">
        <v>100119209.68831491</v>
      </c>
      <c r="AP548" s="81">
        <v>100959122.48949026</v>
      </c>
      <c r="AQ548" s="81">
        <v>101852154.25796577</v>
      </c>
      <c r="AR548" s="81">
        <v>102809799.63107051</v>
      </c>
      <c r="AS548" s="81">
        <v>103844434.13851473</v>
      </c>
      <c r="AT548" s="81">
        <v>104969285.78816375</v>
      </c>
    </row>
    <row r="549" spans="1:46" ht="15.75">
      <c r="A549" s="81" t="s">
        <v>448</v>
      </c>
      <c r="B549" s="80">
        <v>421200</v>
      </c>
      <c r="C549" s="80" t="s">
        <v>425</v>
      </c>
      <c r="D549" s="84" t="s">
        <v>669</v>
      </c>
      <c r="E549" s="81">
        <v>24794048.829453312</v>
      </c>
      <c r="F549" s="81">
        <v>25607951.304705106</v>
      </c>
      <c r="G549" s="81">
        <v>26299629.002919577</v>
      </c>
      <c r="H549" s="81">
        <v>26998027.491016362</v>
      </c>
      <c r="I549" s="81">
        <v>27701519.878377136</v>
      </c>
      <c r="J549" s="81">
        <v>28408464.275551245</v>
      </c>
      <c r="K549" s="81">
        <v>29117243.350655258</v>
      </c>
      <c r="L549" s="81">
        <v>29826231.927440774</v>
      </c>
      <c r="M549" s="81">
        <v>30533837.425162289</v>
      </c>
      <c r="N549" s="81">
        <v>31238499.26977988</v>
      </c>
      <c r="O549" s="81">
        <v>31938675.869522262</v>
      </c>
      <c r="P549" s="81">
        <v>32632899.661274523</v>
      </c>
      <c r="Q549" s="81">
        <v>33206879.491057191</v>
      </c>
      <c r="R549" s="81">
        <v>33769428.870869294</v>
      </c>
      <c r="S549" s="81">
        <v>34319479.132895298</v>
      </c>
      <c r="T549" s="81">
        <v>34856019.341128893</v>
      </c>
      <c r="U549" s="81">
        <v>35378178.269233555</v>
      </c>
      <c r="V549" s="81">
        <v>35885223.440055445</v>
      </c>
      <c r="W549" s="81">
        <v>36376507.235725157</v>
      </c>
      <c r="X549" s="81">
        <v>36851579.164865389</v>
      </c>
      <c r="Y549" s="81">
        <v>37310106.527689554</v>
      </c>
      <c r="Z549" s="81">
        <v>37751950.297349893</v>
      </c>
      <c r="AA549" s="81">
        <v>38173669.00250797</v>
      </c>
      <c r="AB549" s="81">
        <v>38578513.393432535</v>
      </c>
      <c r="AC549" s="81">
        <v>38966908.709852144</v>
      </c>
      <c r="AD549" s="81">
        <v>39339478.934861004</v>
      </c>
      <c r="AE549" s="81">
        <v>39697071.959545106</v>
      </c>
      <c r="AF549" s="81">
        <v>40040786.084324509</v>
      </c>
      <c r="AG549" s="81">
        <v>40371953.062196694</v>
      </c>
      <c r="AH549" s="81">
        <v>40692149.227424473</v>
      </c>
      <c r="AI549" s="81">
        <v>41003252.793971665</v>
      </c>
      <c r="AJ549" s="81">
        <v>41307396.16072993</v>
      </c>
      <c r="AK549" s="81">
        <v>41651707.384490095</v>
      </c>
      <c r="AL549" s="81">
        <v>41994155.124547251</v>
      </c>
      <c r="AM549" s="81">
        <v>42337791.897872984</v>
      </c>
      <c r="AN549" s="81">
        <v>42686051.366596676</v>
      </c>
      <c r="AO549" s="81">
        <v>43042731.853335865</v>
      </c>
      <c r="AP549" s="81">
        <v>43411960.532697007</v>
      </c>
      <c r="AQ549" s="81">
        <v>43798307.588145673</v>
      </c>
      <c r="AR549" s="81">
        <v>44206718.1761434</v>
      </c>
      <c r="AS549" s="81">
        <v>44642578.17752257</v>
      </c>
      <c r="AT549" s="81">
        <v>45111730.912124664</v>
      </c>
    </row>
    <row r="550" spans="1:46" ht="15.75">
      <c r="A550" s="81" t="s">
        <v>448</v>
      </c>
      <c r="B550" s="80">
        <v>421300</v>
      </c>
      <c r="C550" s="80" t="s">
        <v>425</v>
      </c>
      <c r="D550" s="84" t="s">
        <v>668</v>
      </c>
      <c r="E550" s="81">
        <v>18071755.344193626</v>
      </c>
      <c r="F550" s="81">
        <v>18679255.35593779</v>
      </c>
      <c r="G550" s="81">
        <v>19184180.991885789</v>
      </c>
      <c r="H550" s="81">
        <v>19681285.410987798</v>
      </c>
      <c r="I550" s="81">
        <v>20170181.101897821</v>
      </c>
      <c r="J550" s="81">
        <v>20650514.535923708</v>
      </c>
      <c r="K550" s="81">
        <v>21121948.084794797</v>
      </c>
      <c r="L550" s="81">
        <v>21584201.299749352</v>
      </c>
      <c r="M550" s="81">
        <v>22037013.083010893</v>
      </c>
      <c r="N550" s="81">
        <v>22480141.839454014</v>
      </c>
      <c r="O550" s="81">
        <v>22913387.389928248</v>
      </c>
      <c r="P550" s="81">
        <v>23336615.336840633</v>
      </c>
      <c r="Q550" s="81">
        <v>23669218.818948582</v>
      </c>
      <c r="R550" s="81">
        <v>23990210.14187086</v>
      </c>
      <c r="S550" s="81">
        <v>24299689.515405044</v>
      </c>
      <c r="T550" s="81">
        <v>24597779.74337418</v>
      </c>
      <c r="U550" s="81">
        <v>24884661.951171048</v>
      </c>
      <c r="V550" s="81">
        <v>25160553.75746876</v>
      </c>
      <c r="W550" s="81">
        <v>25425722.310446113</v>
      </c>
      <c r="X550" s="81">
        <v>25680460.901554365</v>
      </c>
      <c r="Y550" s="81">
        <v>25925101.47317763</v>
      </c>
      <c r="Z550" s="81">
        <v>26160041.052122027</v>
      </c>
      <c r="AA550" s="81">
        <v>26383344.076725498</v>
      </c>
      <c r="AB550" s="81">
        <v>26597575.938021421</v>
      </c>
      <c r="AC550" s="81">
        <v>26803280.51307508</v>
      </c>
      <c r="AD550" s="81">
        <v>27001032.648414865</v>
      </c>
      <c r="AE550" s="81">
        <v>27191492.978479847</v>
      </c>
      <c r="AF550" s="81">
        <v>27375313.649365019</v>
      </c>
      <c r="AG550" s="81">
        <v>27553248.415273931</v>
      </c>
      <c r="AH550" s="81">
        <v>27726071.031725112</v>
      </c>
      <c r="AI550" s="81">
        <v>27894646.648604318</v>
      </c>
      <c r="AJ550" s="81">
        <v>28059847.042495061</v>
      </c>
      <c r="AK550" s="81">
        <v>28252947.392073467</v>
      </c>
      <c r="AL550" s="81">
        <v>28444500.094853219</v>
      </c>
      <c r="AM550" s="81">
        <v>28635548.509057503</v>
      </c>
      <c r="AN550" s="81">
        <v>28827239.003571793</v>
      </c>
      <c r="AO550" s="81">
        <v>29020777.617157433</v>
      </c>
      <c r="AP550" s="81">
        <v>29217414.88218867</v>
      </c>
      <c r="AQ550" s="81">
        <v>29418477.916388799</v>
      </c>
      <c r="AR550" s="81">
        <v>29625372.279288616</v>
      </c>
      <c r="AS550" s="81">
        <v>29839550.617073216</v>
      </c>
      <c r="AT550" s="81">
        <v>30062562.876465268</v>
      </c>
    </row>
    <row r="551" spans="1:46" ht="15.75">
      <c r="A551" s="81" t="s">
        <v>448</v>
      </c>
      <c r="B551" s="80">
        <v>422800</v>
      </c>
      <c r="C551" s="80" t="s">
        <v>425</v>
      </c>
      <c r="D551" s="84" t="s">
        <v>667</v>
      </c>
      <c r="E551" s="81">
        <v>32351612.500656307</v>
      </c>
      <c r="F551" s="81">
        <v>33292538.045150299</v>
      </c>
      <c r="G551" s="81">
        <v>34077619.516251788</v>
      </c>
      <c r="H551" s="81">
        <v>34874788.427315228</v>
      </c>
      <c r="I551" s="81">
        <v>35681591.888532571</v>
      </c>
      <c r="J551" s="81">
        <v>36495569.135908216</v>
      </c>
      <c r="K551" s="81">
        <v>37314266.130792469</v>
      </c>
      <c r="L551" s="81">
        <v>38135207.287564442</v>
      </c>
      <c r="M551" s="81">
        <v>38955984.53366942</v>
      </c>
      <c r="N551" s="81">
        <v>39774186.470496133</v>
      </c>
      <c r="O551" s="81">
        <v>40587501.940597378</v>
      </c>
      <c r="P551" s="81">
        <v>41393646.901260898</v>
      </c>
      <c r="Q551" s="81">
        <v>42047532.232465744</v>
      </c>
      <c r="R551" s="81">
        <v>42687087.295421861</v>
      </c>
      <c r="S551" s="81">
        <v>43310577.114018917</v>
      </c>
      <c r="T551" s="81">
        <v>43916439.51735644</v>
      </c>
      <c r="U551" s="81">
        <v>44503276.559124745</v>
      </c>
      <c r="V551" s="81">
        <v>45069869.699345343</v>
      </c>
      <c r="W551" s="81">
        <v>45615247.341263182</v>
      </c>
      <c r="X551" s="81">
        <v>46138625.209601618</v>
      </c>
      <c r="Y551" s="81">
        <v>46639487.563951768</v>
      </c>
      <c r="Z551" s="81">
        <v>47117565.774546124</v>
      </c>
      <c r="AA551" s="81">
        <v>47568564.883028321</v>
      </c>
      <c r="AB551" s="81">
        <v>47996614.774036981</v>
      </c>
      <c r="AC551" s="81">
        <v>48402321.156432346</v>
      </c>
      <c r="AD551" s="81">
        <v>48786693.422687754</v>
      </c>
      <c r="AE551" s="81">
        <v>49151037.321805179</v>
      </c>
      <c r="AF551" s="81">
        <v>49497043.785279855</v>
      </c>
      <c r="AG551" s="81">
        <v>49826824.139115162</v>
      </c>
      <c r="AH551" s="81">
        <v>50142871.121568173</v>
      </c>
      <c r="AI551" s="81">
        <v>50448107.454020567</v>
      </c>
      <c r="AJ551" s="81">
        <v>50745937.072543867</v>
      </c>
      <c r="AK551" s="81">
        <v>51095003.212279633</v>
      </c>
      <c r="AL551" s="81">
        <v>51444583.749302946</v>
      </c>
      <c r="AM551" s="81">
        <v>51799553.469593883</v>
      </c>
      <c r="AN551" s="81">
        <v>52165375.338065974</v>
      </c>
      <c r="AO551" s="81">
        <v>52548043.131335311</v>
      </c>
      <c r="AP551" s="81">
        <v>52954203.228205748</v>
      </c>
      <c r="AQ551" s="81">
        <v>53391096.787779324</v>
      </c>
      <c r="AR551" s="81">
        <v>53866651.372375727</v>
      </c>
      <c r="AS551" s="81">
        <v>54389437.960709445</v>
      </c>
      <c r="AT551" s="81">
        <v>54968747.256053343</v>
      </c>
    </row>
    <row r="552" spans="1:46" ht="15.75">
      <c r="A552" s="81" t="s">
        <v>448</v>
      </c>
      <c r="B552" s="83">
        <v>429004</v>
      </c>
      <c r="C552" s="80" t="s">
        <v>425</v>
      </c>
      <c r="D552" s="82" t="s">
        <v>666</v>
      </c>
      <c r="E552" s="81">
        <v>7122022.6905511832</v>
      </c>
      <c r="F552" s="81">
        <v>7359611.0089372871</v>
      </c>
      <c r="G552" s="81">
        <v>7556258.7741293954</v>
      </c>
      <c r="H552" s="81">
        <v>7749298.8964373078</v>
      </c>
      <c r="I552" s="81">
        <v>7938581.3760288367</v>
      </c>
      <c r="J552" s="81">
        <v>8123974.6602232009</v>
      </c>
      <c r="K552" s="81">
        <v>8305338.148529782</v>
      </c>
      <c r="L552" s="81">
        <v>8482579.0997497458</v>
      </c>
      <c r="M552" s="81">
        <v>8655597.0126683284</v>
      </c>
      <c r="N552" s="81">
        <v>8824304.806827886</v>
      </c>
      <c r="O552" s="81">
        <v>8988652.5630016755</v>
      </c>
      <c r="P552" s="81">
        <v>9148590.7529530283</v>
      </c>
      <c r="Q552" s="81">
        <v>9272571.3809567299</v>
      </c>
      <c r="R552" s="81">
        <v>9391609.0061719045</v>
      </c>
      <c r="S552" s="81">
        <v>9505776.447790781</v>
      </c>
      <c r="T552" s="81">
        <v>9615145.7736288756</v>
      </c>
      <c r="U552" s="81">
        <v>9719829.9200733267</v>
      </c>
      <c r="V552" s="81">
        <v>9819950.3393251523</v>
      </c>
      <c r="W552" s="81">
        <v>9915645.4579290133</v>
      </c>
      <c r="X552" s="81">
        <v>10007088.771662261</v>
      </c>
      <c r="Y552" s="81">
        <v>10094445.369427927</v>
      </c>
      <c r="Z552" s="81">
        <v>10177925.202364281</v>
      </c>
      <c r="AA552" s="81">
        <v>10256829.479165543</v>
      </c>
      <c r="AB552" s="81">
        <v>10332210.235492064</v>
      </c>
      <c r="AC552" s="81">
        <v>10404348.037453739</v>
      </c>
      <c r="AD552" s="81">
        <v>10473544.255631162</v>
      </c>
      <c r="AE552" s="81">
        <v>10540101.77850995</v>
      </c>
      <c r="AF552" s="81">
        <v>10604353.767872257</v>
      </c>
      <c r="AG552" s="81">
        <v>10666684.725634335</v>
      </c>
      <c r="AH552" s="81">
        <v>10727471.638808304</v>
      </c>
      <c r="AI552" s="81">
        <v>10787123.584612314</v>
      </c>
      <c r="AJ552" s="81">
        <v>10846082.698465632</v>
      </c>
      <c r="AK552" s="81">
        <v>10916536.327480545</v>
      </c>
      <c r="AL552" s="81">
        <v>10987174.185016397</v>
      </c>
      <c r="AM552" s="81">
        <v>11058535.389191406</v>
      </c>
      <c r="AN552" s="81">
        <v>11131175.661662051</v>
      </c>
      <c r="AO552" s="81">
        <v>11205655.73902623</v>
      </c>
      <c r="AP552" s="81">
        <v>11282597.000718091</v>
      </c>
      <c r="AQ552" s="81">
        <v>11362661.076427022</v>
      </c>
      <c r="AR552" s="81">
        <v>11446492.67427679</v>
      </c>
      <c r="AS552" s="81">
        <v>11534823.214014366</v>
      </c>
      <c r="AT552" s="81">
        <v>11628379.280846791</v>
      </c>
    </row>
    <row r="553" spans="1:46" ht="15.75">
      <c r="A553" s="81" t="s">
        <v>448</v>
      </c>
      <c r="B553" s="83">
        <v>429005</v>
      </c>
      <c r="C553" s="80" t="s">
        <v>425</v>
      </c>
      <c r="D553" s="82" t="s">
        <v>665</v>
      </c>
      <c r="E553" s="81">
        <v>7116532.4110578885</v>
      </c>
      <c r="F553" s="81">
        <v>7353941.4366407143</v>
      </c>
      <c r="G553" s="81">
        <v>7550436.7449226407</v>
      </c>
      <c r="H553" s="81">
        <v>7743327.8257968184</v>
      </c>
      <c r="I553" s="81">
        <v>7932463.7189821433</v>
      </c>
      <c r="J553" s="81">
        <v>8117704.7803372014</v>
      </c>
      <c r="K553" s="81">
        <v>8298932.3509904323</v>
      </c>
      <c r="L553" s="81">
        <v>8476040.8020111062</v>
      </c>
      <c r="M553" s="81">
        <v>8648918.9711057562</v>
      </c>
      <c r="N553" s="81">
        <v>8817507.164831074</v>
      </c>
      <c r="O553" s="81">
        <v>8981722.0915360637</v>
      </c>
      <c r="P553" s="81">
        <v>9141534.422737956</v>
      </c>
      <c r="Q553" s="81">
        <v>9265423.8889215235</v>
      </c>
      <c r="R553" s="81">
        <v>9384363.8764059637</v>
      </c>
      <c r="S553" s="81">
        <v>9498442.8366870135</v>
      </c>
      <c r="T553" s="81">
        <v>9607723.2951447815</v>
      </c>
      <c r="U553" s="81">
        <v>9712336.943885196</v>
      </c>
      <c r="V553" s="81">
        <v>9812378.5174972396</v>
      </c>
      <c r="W553" s="81">
        <v>9908002.941588562</v>
      </c>
      <c r="X553" s="81">
        <v>9999372.0435925368</v>
      </c>
      <c r="Y553" s="81">
        <v>10086654.072335424</v>
      </c>
      <c r="Z553" s="81">
        <v>10170069.977439284</v>
      </c>
      <c r="AA553" s="81">
        <v>10248909.587207099</v>
      </c>
      <c r="AB553" s="81">
        <v>10324242.336623441</v>
      </c>
      <c r="AC553" s="81">
        <v>10396327.040103851</v>
      </c>
      <c r="AD553" s="81">
        <v>10465466.807845425</v>
      </c>
      <c r="AE553" s="81">
        <v>10531960.909402639</v>
      </c>
      <c r="AF553" s="81">
        <v>10596179.550199021</v>
      </c>
      <c r="AG553" s="81">
        <v>10658451.77670767</v>
      </c>
      <c r="AH553" s="81">
        <v>10719191.874407418</v>
      </c>
      <c r="AI553" s="81">
        <v>10778798.282682873</v>
      </c>
      <c r="AJ553" s="81">
        <v>10837718.221187118</v>
      </c>
      <c r="AK553" s="81">
        <v>10908111.195964659</v>
      </c>
      <c r="AL553" s="81">
        <v>10978702.174226537</v>
      </c>
      <c r="AM553" s="81">
        <v>11050000.340744423</v>
      </c>
      <c r="AN553" s="81">
        <v>11122583.286135618</v>
      </c>
      <c r="AO553" s="81">
        <v>11196999.924690016</v>
      </c>
      <c r="AP553" s="81">
        <v>11273897.716362305</v>
      </c>
      <c r="AQ553" s="81">
        <v>11353880.681322932</v>
      </c>
      <c r="AR553" s="81">
        <v>11437654.035241785</v>
      </c>
      <c r="AS553" s="81">
        <v>11525923.666672191</v>
      </c>
      <c r="AT553" s="81">
        <v>11619409.856169889</v>
      </c>
    </row>
    <row r="554" spans="1:46" ht="15.75">
      <c r="A554" s="81" t="s">
        <v>448</v>
      </c>
      <c r="B554" s="83">
        <v>429006</v>
      </c>
      <c r="C554" s="80" t="s">
        <v>425</v>
      </c>
      <c r="D554" s="82" t="s">
        <v>664</v>
      </c>
      <c r="E554" s="81">
        <v>7154586.2148248442</v>
      </c>
      <c r="F554" s="81">
        <v>7393264.7318401858</v>
      </c>
      <c r="G554" s="81">
        <v>7590812.5271722907</v>
      </c>
      <c r="H554" s="81">
        <v>7784734.7568417648</v>
      </c>
      <c r="I554" s="81">
        <v>7974882.2809666274</v>
      </c>
      <c r="J554" s="81">
        <v>8161117.5556245521</v>
      </c>
      <c r="K554" s="81">
        <v>8343315.1359494105</v>
      </c>
      <c r="L554" s="81">
        <v>8521369.3757468443</v>
      </c>
      <c r="M554" s="81">
        <v>8695173.622205466</v>
      </c>
      <c r="N554" s="81">
        <v>8864656.7083870713</v>
      </c>
      <c r="O554" s="81">
        <v>9029755.1028824598</v>
      </c>
      <c r="P554" s="81">
        <v>9190428.2508187946</v>
      </c>
      <c r="Q554" s="81">
        <v>9314969.9054797832</v>
      </c>
      <c r="R554" s="81">
        <v>9434553.6127324402</v>
      </c>
      <c r="S554" s="81">
        <v>9549238.067832889</v>
      </c>
      <c r="T554" s="81">
        <v>9659105.4233538602</v>
      </c>
      <c r="U554" s="81">
        <v>9764270.580025563</v>
      </c>
      <c r="V554" s="81">
        <v>9864848.7570321504</v>
      </c>
      <c r="W554" s="81">
        <v>9960980.4385364167</v>
      </c>
      <c r="X554" s="81">
        <v>10052841.056951622</v>
      </c>
      <c r="Y554" s="81">
        <v>10140598.227976099</v>
      </c>
      <c r="Z554" s="81">
        <v>10224455.170799069</v>
      </c>
      <c r="AA554" s="81">
        <v>10303720.014385562</v>
      </c>
      <c r="AB554" s="81">
        <v>10379451.435575442</v>
      </c>
      <c r="AC554" s="81">
        <v>10451923.237164903</v>
      </c>
      <c r="AD554" s="81">
        <v>10521429.668896496</v>
      </c>
      <c r="AE554" s="81">
        <v>10588285.722791936</v>
      </c>
      <c r="AF554" s="81">
        <v>10652837.193488015</v>
      </c>
      <c r="AG554" s="81">
        <v>10715451.731360674</v>
      </c>
      <c r="AH554" s="81">
        <v>10776509.117786078</v>
      </c>
      <c r="AI554" s="81">
        <v>10836441.543814065</v>
      </c>
      <c r="AJ554" s="81">
        <v>10895674.145523569</v>
      </c>
      <c r="AK554" s="81">
        <v>10966440.156633735</v>
      </c>
      <c r="AL554" s="81">
        <v>11037410.186959082</v>
      </c>
      <c r="AM554" s="81">
        <v>11109094.978360955</v>
      </c>
      <c r="AN554" s="81">
        <v>11182063.957606286</v>
      </c>
      <c r="AO554" s="81">
        <v>11256881.659594001</v>
      </c>
      <c r="AP554" s="81">
        <v>11334184.072790928</v>
      </c>
      <c r="AQ554" s="81">
        <v>11414602.722811783</v>
      </c>
      <c r="AR554" s="81">
        <v>11498831.628678981</v>
      </c>
      <c r="AS554" s="81">
        <v>11587560.183875619</v>
      </c>
      <c r="AT554" s="81">
        <v>11681541.907022927</v>
      </c>
    </row>
    <row r="555" spans="1:46" ht="15.75">
      <c r="A555" s="81" t="s">
        <v>448</v>
      </c>
      <c r="B555" s="83">
        <v>429021</v>
      </c>
      <c r="C555" s="80" t="s">
        <v>425</v>
      </c>
      <c r="D555" s="82" t="s">
        <v>663</v>
      </c>
      <c r="E555" s="81">
        <v>566354.13424416236</v>
      </c>
      <c r="F555" s="81">
        <v>585116.71457687137</v>
      </c>
      <c r="G555" s="81">
        <v>600597.11440461513</v>
      </c>
      <c r="H555" s="81">
        <v>615791.48834583315</v>
      </c>
      <c r="I555" s="81">
        <v>630678.22092447546</v>
      </c>
      <c r="J555" s="81">
        <v>645254.82514228823</v>
      </c>
      <c r="K555" s="81">
        <v>659500.99872458458</v>
      </c>
      <c r="L555" s="81">
        <v>673426.27810401772</v>
      </c>
      <c r="M555" s="81">
        <v>687002.29678603262</v>
      </c>
      <c r="N555" s="81">
        <v>700241.25912374537</v>
      </c>
      <c r="O555" s="81">
        <v>713126.49526658107</v>
      </c>
      <c r="P555" s="81">
        <v>725662.95417207154</v>
      </c>
      <c r="Q555" s="81">
        <v>735314.4681003812</v>
      </c>
      <c r="R555" s="81">
        <v>744560.86278829922</v>
      </c>
      <c r="S555" s="81">
        <v>753426.79838782945</v>
      </c>
      <c r="T555" s="81">
        <v>761916.65523979533</v>
      </c>
      <c r="U555" s="81">
        <v>770035.90297220461</v>
      </c>
      <c r="V555" s="81">
        <v>777791.12217549118</v>
      </c>
      <c r="W555" s="81">
        <v>785190.02607775747</v>
      </c>
      <c r="X555" s="81">
        <v>792253.47497633309</v>
      </c>
      <c r="Y555" s="81">
        <v>799004.18418679852</v>
      </c>
      <c r="Z555" s="81">
        <v>805442.08984559565</v>
      </c>
      <c r="AA555" s="81">
        <v>811471.09078324831</v>
      </c>
      <c r="AB555" s="81">
        <v>817232.00588155282</v>
      </c>
      <c r="AC555" s="81">
        <v>822741.6357861904</v>
      </c>
      <c r="AD555" s="81">
        <v>828018.08106420888</v>
      </c>
      <c r="AE555" s="81">
        <v>833080.76100159984</v>
      </c>
      <c r="AF555" s="81">
        <v>837963.80131921219</v>
      </c>
      <c r="AG555" s="81">
        <v>842703.38758576917</v>
      </c>
      <c r="AH555" s="81">
        <v>847324.07178913103</v>
      </c>
      <c r="AI555" s="81">
        <v>851851.8111049541</v>
      </c>
      <c r="AJ555" s="81">
        <v>856328.06478565664</v>
      </c>
      <c r="AK555" s="81">
        <v>861668.75981364376</v>
      </c>
      <c r="AL555" s="81">
        <v>867027.49905287975</v>
      </c>
      <c r="AM555" s="81">
        <v>872452.1189586632</v>
      </c>
      <c r="AN555" s="81">
        <v>877963.16079588654</v>
      </c>
      <c r="AO555" s="81">
        <v>883627.21892558399</v>
      </c>
      <c r="AP555" s="81">
        <v>889498.90631071071</v>
      </c>
      <c r="AQ555" s="81">
        <v>895604.43269067584</v>
      </c>
      <c r="AR555" s="81">
        <v>902017.93215427932</v>
      </c>
      <c r="AS555" s="81">
        <v>908785.18920870835</v>
      </c>
      <c r="AT555" s="81">
        <v>915953.78115323675</v>
      </c>
    </row>
    <row r="556" spans="1:46" ht="15.75">
      <c r="A556" s="81" t="s">
        <v>448</v>
      </c>
      <c r="B556" s="80">
        <v>430100</v>
      </c>
      <c r="C556" s="80" t="s">
        <v>424</v>
      </c>
      <c r="D556" s="84" t="s">
        <v>662</v>
      </c>
      <c r="E556" s="81">
        <v>86605098.858461574</v>
      </c>
      <c r="F556" s="81">
        <v>89990123.696598783</v>
      </c>
      <c r="G556" s="81">
        <v>92928717.092380628</v>
      </c>
      <c r="H556" s="81">
        <v>95819195.645573705</v>
      </c>
      <c r="I556" s="81">
        <v>98662010.621501237</v>
      </c>
      <c r="J556" s="81">
        <v>101457869.70440023</v>
      </c>
      <c r="K556" s="81">
        <v>104207701.22129567</v>
      </c>
      <c r="L556" s="81">
        <v>106912686.63577266</v>
      </c>
      <c r="M556" s="81">
        <v>109574171.81375928</v>
      </c>
      <c r="N556" s="81">
        <v>112193729.36678456</v>
      </c>
      <c r="O556" s="81">
        <v>114773054.0732374</v>
      </c>
      <c r="P556" s="81">
        <v>117314003.80962853</v>
      </c>
      <c r="Q556" s="81">
        <v>119518441.12273574</v>
      </c>
      <c r="R556" s="81">
        <v>121678634.97563407</v>
      </c>
      <c r="S556" s="81">
        <v>123797139.41393925</v>
      </c>
      <c r="T556" s="81">
        <v>125876542.66800182</v>
      </c>
      <c r="U556" s="81">
        <v>127919391.07261454</v>
      </c>
      <c r="V556" s="81">
        <v>129928195.54430558</v>
      </c>
      <c r="W556" s="81">
        <v>131905389.68110126</v>
      </c>
      <c r="X556" s="81">
        <v>133853272.50265451</v>
      </c>
      <c r="Y556" s="81">
        <v>135774027.95496383</v>
      </c>
      <c r="Z556" s="81">
        <v>137669653.79416108</v>
      </c>
      <c r="AA556" s="81">
        <v>139652958.63247412</v>
      </c>
      <c r="AB556" s="81">
        <v>141611924.48432302</v>
      </c>
      <c r="AC556" s="81">
        <v>143547804.96297219</v>
      </c>
      <c r="AD556" s="81">
        <v>145461519.81231192</v>
      </c>
      <c r="AE556" s="81">
        <v>147353673.43733189</v>
      </c>
      <c r="AF556" s="81">
        <v>149224472.67107624</v>
      </c>
      <c r="AG556" s="81">
        <v>151073700.89763838</v>
      </c>
      <c r="AH556" s="81">
        <v>152900661.60593632</v>
      </c>
      <c r="AI556" s="81">
        <v>154704167.5046722</v>
      </c>
      <c r="AJ556" s="81">
        <v>156482467.17467088</v>
      </c>
      <c r="AK556" s="81">
        <v>158543550.42909962</v>
      </c>
      <c r="AL556" s="81">
        <v>160573566.16595271</v>
      </c>
      <c r="AM556" s="81">
        <v>162568688.61099932</v>
      </c>
      <c r="AN556" s="81">
        <v>164524340.92686918</v>
      </c>
      <c r="AO556" s="81">
        <v>166435125.8127875</v>
      </c>
      <c r="AP556" s="81">
        <v>168294807.51600286</v>
      </c>
      <c r="AQ556" s="81">
        <v>170096241.60761678</v>
      </c>
      <c r="AR556" s="81">
        <v>171831264.72107488</v>
      </c>
      <c r="AS556" s="81">
        <v>173490748.5749816</v>
      </c>
      <c r="AT556" s="81">
        <v>175064471.47005495</v>
      </c>
    </row>
    <row r="557" spans="1:46" ht="15.75">
      <c r="A557" s="81" t="s">
        <v>448</v>
      </c>
      <c r="B557" s="80">
        <v>430200</v>
      </c>
      <c r="C557" s="80" t="s">
        <v>424</v>
      </c>
      <c r="D557" s="84" t="s">
        <v>661</v>
      </c>
      <c r="E557" s="81">
        <v>30825191.049453381</v>
      </c>
      <c r="F557" s="81">
        <v>31899790.241605658</v>
      </c>
      <c r="G557" s="81">
        <v>32830499.13513653</v>
      </c>
      <c r="H557" s="81">
        <v>33758185.844266638</v>
      </c>
      <c r="I557" s="81">
        <v>34682017.404782712</v>
      </c>
      <c r="J557" s="81">
        <v>35601208.024433568</v>
      </c>
      <c r="K557" s="81">
        <v>36514950.868676879</v>
      </c>
      <c r="L557" s="81">
        <v>37422500.097151957</v>
      </c>
      <c r="M557" s="81">
        <v>38323110.009324402</v>
      </c>
      <c r="N557" s="81">
        <v>39216083.672699019</v>
      </c>
      <c r="O557" s="81">
        <v>40100737.215974227</v>
      </c>
      <c r="P557" s="81">
        <v>40976431.155215777</v>
      </c>
      <c r="Q557" s="81">
        <v>41737758.807283275</v>
      </c>
      <c r="R557" s="81">
        <v>42485526.600955069</v>
      </c>
      <c r="S557" s="81">
        <v>43219352.600041866</v>
      </c>
      <c r="T557" s="81">
        <v>43938912.778260939</v>
      </c>
      <c r="U557" s="81">
        <v>44643898.551825382</v>
      </c>
      <c r="V557" s="81">
        <v>45334096.746498033</v>
      </c>
      <c r="W557" s="81">
        <v>46009301.455112182</v>
      </c>
      <c r="X557" s="81">
        <v>46669383.925429277</v>
      </c>
      <c r="Y557" s="81">
        <v>47314260.075599156</v>
      </c>
      <c r="Z557" s="81">
        <v>47943903.957715914</v>
      </c>
      <c r="AA557" s="81">
        <v>48596999.760852396</v>
      </c>
      <c r="AB557" s="81">
        <v>49234043.180518158</v>
      </c>
      <c r="AC557" s="81">
        <v>49855162.82790596</v>
      </c>
      <c r="AD557" s="81">
        <v>50460583.47889635</v>
      </c>
      <c r="AE557" s="81">
        <v>51050562.505378194</v>
      </c>
      <c r="AF557" s="81">
        <v>51625443.897069946</v>
      </c>
      <c r="AG557" s="81">
        <v>52185675.693808004</v>
      </c>
      <c r="AH557" s="81">
        <v>52731728.633172534</v>
      </c>
      <c r="AI557" s="81">
        <v>53264180.965447165</v>
      </c>
      <c r="AJ557" s="81">
        <v>53783678.664943971</v>
      </c>
      <c r="AK557" s="81">
        <v>54397453.534952864</v>
      </c>
      <c r="AL557" s="81">
        <v>54999284.935082957</v>
      </c>
      <c r="AM557" s="81">
        <v>55590040.323399812</v>
      </c>
      <c r="AN557" s="81">
        <v>56170686.974894352</v>
      </c>
      <c r="AO557" s="81">
        <v>56742310.851229563</v>
      </c>
      <c r="AP557" s="81">
        <v>57306038.383287132</v>
      </c>
      <c r="AQ557" s="81">
        <v>57863184.309456438</v>
      </c>
      <c r="AR557" s="81">
        <v>58415108.192886852</v>
      </c>
      <c r="AS557" s="81">
        <v>58963298.115094922</v>
      </c>
      <c r="AT557" s="81">
        <v>59509357.282370977</v>
      </c>
    </row>
    <row r="558" spans="1:46" ht="15.75">
      <c r="A558" s="81" t="s">
        <v>448</v>
      </c>
      <c r="B558" s="80">
        <v>430300</v>
      </c>
      <c r="C558" s="80" t="s">
        <v>424</v>
      </c>
      <c r="D558" s="84" t="s">
        <v>660</v>
      </c>
      <c r="E558" s="81">
        <v>19450933.670690596</v>
      </c>
      <c r="F558" s="81">
        <v>20149733.346541952</v>
      </c>
      <c r="G558" s="81">
        <v>20752738.511442404</v>
      </c>
      <c r="H558" s="81">
        <v>21348995.138359763</v>
      </c>
      <c r="I558" s="81">
        <v>21938149.798709363</v>
      </c>
      <c r="J558" s="81">
        <v>22519909.752231054</v>
      </c>
      <c r="K558" s="81">
        <v>23093987.94159887</v>
      </c>
      <c r="L558" s="81">
        <v>23660159.314993672</v>
      </c>
      <c r="M558" s="81">
        <v>24218229.176461637</v>
      </c>
      <c r="N558" s="81">
        <v>24768041.440855969</v>
      </c>
      <c r="O558" s="81">
        <v>25309478.865040157</v>
      </c>
      <c r="P558" s="81">
        <v>25842453.860077087</v>
      </c>
      <c r="Q558" s="81">
        <v>26300903.446936302</v>
      </c>
      <c r="R558" s="81">
        <v>26748809.160802655</v>
      </c>
      <c r="S558" s="81">
        <v>27186324.655609477</v>
      </c>
      <c r="T558" s="81">
        <v>27613620.439224113</v>
      </c>
      <c r="U558" s="81">
        <v>28030922.47481329</v>
      </c>
      <c r="V558" s="81">
        <v>28438471.461163804</v>
      </c>
      <c r="W558" s="81">
        <v>28836562.858968828</v>
      </c>
      <c r="X558" s="81">
        <v>29225493.70292316</v>
      </c>
      <c r="Y558" s="81">
        <v>29605625.219617765</v>
      </c>
      <c r="Z558" s="81">
        <v>29977328.592744775</v>
      </c>
      <c r="AA558" s="81">
        <v>30365169.846257377</v>
      </c>
      <c r="AB558" s="81">
        <v>30744803.678488333</v>
      </c>
      <c r="AC558" s="81">
        <v>31116719.489298154</v>
      </c>
      <c r="AD558" s="81">
        <v>31481378.386482619</v>
      </c>
      <c r="AE558" s="81">
        <v>31839329.715661131</v>
      </c>
      <c r="AF558" s="81">
        <v>32191102.380399331</v>
      </c>
      <c r="AG558" s="81">
        <v>32537288.386751801</v>
      </c>
      <c r="AH558" s="81">
        <v>32878479.929977227</v>
      </c>
      <c r="AI558" s="81">
        <v>33215292.163282223</v>
      </c>
      <c r="AJ558" s="81">
        <v>33548388.515358403</v>
      </c>
      <c r="AK558" s="81">
        <v>33944853.479459085</v>
      </c>
      <c r="AL558" s="81">
        <v>34338663.37704166</v>
      </c>
      <c r="AM558" s="81">
        <v>34730527.785398737</v>
      </c>
      <c r="AN558" s="81">
        <v>35121163.421423331</v>
      </c>
      <c r="AO558" s="81">
        <v>35511320.356512494</v>
      </c>
      <c r="AP558" s="81">
        <v>35901751.652535103</v>
      </c>
      <c r="AQ558" s="81">
        <v>36293240.491549149</v>
      </c>
      <c r="AR558" s="81">
        <v>36686568.711827338</v>
      </c>
      <c r="AS558" s="81">
        <v>37082529.202932395</v>
      </c>
      <c r="AT558" s="81">
        <v>37481939.793943413</v>
      </c>
    </row>
    <row r="559" spans="1:46" ht="15.75">
      <c r="A559" s="81" t="s">
        <v>448</v>
      </c>
      <c r="B559" s="80">
        <v>430400</v>
      </c>
      <c r="C559" s="80" t="s">
        <v>424</v>
      </c>
      <c r="D559" s="84" t="s">
        <v>659</v>
      </c>
      <c r="E559" s="81">
        <v>52534367.150659367</v>
      </c>
      <c r="F559" s="81">
        <v>54316011.945340715</v>
      </c>
      <c r="G559" s="81">
        <v>55897488.967048943</v>
      </c>
      <c r="H559" s="81">
        <v>57516569.097588979</v>
      </c>
      <c r="I559" s="81">
        <v>59169394.418679863</v>
      </c>
      <c r="J559" s="81">
        <v>60851938.400463581</v>
      </c>
      <c r="K559" s="81">
        <v>62560081.066803023</v>
      </c>
      <c r="L559" s="81">
        <v>64289627.047734834</v>
      </c>
      <c r="M559" s="81">
        <v>66036314.023134083</v>
      </c>
      <c r="N559" s="81">
        <v>67795859.386035889</v>
      </c>
      <c r="O559" s="81">
        <v>69563980.537131354</v>
      </c>
      <c r="P559" s="81">
        <v>71336425.49523443</v>
      </c>
      <c r="Q559" s="81">
        <v>72925875.232028753</v>
      </c>
      <c r="R559" s="81">
        <v>74504039.168299764</v>
      </c>
      <c r="S559" s="81">
        <v>76067141.007839486</v>
      </c>
      <c r="T559" s="81">
        <v>77611626.761784732</v>
      </c>
      <c r="U559" s="81">
        <v>79134177.793784246</v>
      </c>
      <c r="V559" s="81">
        <v>80631768.53040956</v>
      </c>
      <c r="W559" s="81">
        <v>82101644.929067954</v>
      </c>
      <c r="X559" s="81">
        <v>83541429.53062582</v>
      </c>
      <c r="Y559" s="81">
        <v>84949100.482858911</v>
      </c>
      <c r="Z559" s="81">
        <v>86323076.953343511</v>
      </c>
      <c r="AA559" s="81">
        <v>87731973.513353825</v>
      </c>
      <c r="AB559" s="81">
        <v>89104035.703394338</v>
      </c>
      <c r="AC559" s="81">
        <v>90439090.710566297</v>
      </c>
      <c r="AD559" s="81">
        <v>91737552.893477663</v>
      </c>
      <c r="AE559" s="81">
        <v>93000480.648383945</v>
      </c>
      <c r="AF559" s="81">
        <v>94229580.036860272</v>
      </c>
      <c r="AG559" s="81">
        <v>95427331.640359104</v>
      </c>
      <c r="AH559" s="81">
        <v>96596926.186473683</v>
      </c>
      <c r="AI559" s="81">
        <v>97742407.897126794</v>
      </c>
      <c r="AJ559" s="81">
        <v>98868680.586897641</v>
      </c>
      <c r="AK559" s="81">
        <v>100177617.52226858</v>
      </c>
      <c r="AL559" s="81">
        <v>101479641.15813781</v>
      </c>
      <c r="AM559" s="81">
        <v>102782544.85774226</v>
      </c>
      <c r="AN559" s="81">
        <v>104095242.27800629</v>
      </c>
      <c r="AO559" s="81">
        <v>105427856.99309522</v>
      </c>
      <c r="AP559" s="81">
        <v>106791717.55865146</v>
      </c>
      <c r="AQ559" s="81">
        <v>108199447.20284113</v>
      </c>
      <c r="AR559" s="81">
        <v>109665057.74601313</v>
      </c>
      <c r="AS559" s="81">
        <v>111203978.54172224</v>
      </c>
      <c r="AT559" s="81">
        <v>112833100.48979764</v>
      </c>
    </row>
    <row r="560" spans="1:46" ht="15.75">
      <c r="A560" s="81" t="s">
        <v>448</v>
      </c>
      <c r="B560" s="80">
        <v>430500</v>
      </c>
      <c r="C560" s="80" t="s">
        <v>424</v>
      </c>
      <c r="D560" s="84" t="s">
        <v>658</v>
      </c>
      <c r="E560" s="81">
        <v>47020429.565036029</v>
      </c>
      <c r="F560" s="81">
        <v>48512598.897872373</v>
      </c>
      <c r="G560" s="81">
        <v>49835964.08125335</v>
      </c>
      <c r="H560" s="81">
        <v>51203313.89726387</v>
      </c>
      <c r="I560" s="81">
        <v>52611117.487893566</v>
      </c>
      <c r="J560" s="81">
        <v>54055648.738165177</v>
      </c>
      <c r="K560" s="81">
        <v>55533046.856195331</v>
      </c>
      <c r="L560" s="81">
        <v>57039332.800288804</v>
      </c>
      <c r="M560" s="81">
        <v>58570425.85823632</v>
      </c>
      <c r="N560" s="81">
        <v>60122178.215073891</v>
      </c>
      <c r="O560" s="81">
        <v>61690412.024502188</v>
      </c>
      <c r="P560" s="81">
        <v>63270921.624725774</v>
      </c>
      <c r="Q560" s="81">
        <v>64697055.391710408</v>
      </c>
      <c r="R560" s="81">
        <v>66120518.48474814</v>
      </c>
      <c r="S560" s="81">
        <v>67537366.617906958</v>
      </c>
      <c r="T560" s="81">
        <v>68943830.70321779</v>
      </c>
      <c r="U560" s="81">
        <v>70336310.537134916</v>
      </c>
      <c r="V560" s="81">
        <v>71711459.057848334</v>
      </c>
      <c r="W560" s="81">
        <v>73066134.427214727</v>
      </c>
      <c r="X560" s="81">
        <v>74397528.384243682</v>
      </c>
      <c r="Y560" s="81">
        <v>75703128.888331264</v>
      </c>
      <c r="Z560" s="81">
        <v>76980787.968130887</v>
      </c>
      <c r="AA560" s="81">
        <v>78291005.073729604</v>
      </c>
      <c r="AB560" s="81">
        <v>79569109.767906815</v>
      </c>
      <c r="AC560" s="81">
        <v>80814176.482996315</v>
      </c>
      <c r="AD560" s="81">
        <v>82025817.419115171</v>
      </c>
      <c r="AE560" s="81">
        <v>83204226.179032907</v>
      </c>
      <c r="AF560" s="81">
        <v>84350184.593567938</v>
      </c>
      <c r="AG560" s="81">
        <v>85465142.846753374</v>
      </c>
      <c r="AH560" s="81">
        <v>86551239.428823799</v>
      </c>
      <c r="AI560" s="81">
        <v>87611358.741610959</v>
      </c>
      <c r="AJ560" s="81">
        <v>88649150.567342162</v>
      </c>
      <c r="AK560" s="81">
        <v>89845009.775485367</v>
      </c>
      <c r="AL560" s="81">
        <v>91028251.414377481</v>
      </c>
      <c r="AM560" s="81">
        <v>92205202.160232499</v>
      </c>
      <c r="AN560" s="81">
        <v>93383172.9786295</v>
      </c>
      <c r="AO560" s="81">
        <v>94570583.719514266</v>
      </c>
      <c r="AP560" s="81">
        <v>95777006.777390346</v>
      </c>
      <c r="AQ560" s="81">
        <v>97013225.259598479</v>
      </c>
      <c r="AR560" s="81">
        <v>98291261.222311348</v>
      </c>
      <c r="AS560" s="81">
        <v>99624495.645559654</v>
      </c>
      <c r="AT560" s="81">
        <v>101027668.10655476</v>
      </c>
    </row>
    <row r="561" spans="1:46" ht="15.75">
      <c r="A561" s="81" t="s">
        <v>448</v>
      </c>
      <c r="B561" s="80">
        <v>430600</v>
      </c>
      <c r="C561" s="80" t="s">
        <v>424</v>
      </c>
      <c r="D561" s="84" t="s">
        <v>657</v>
      </c>
      <c r="E561" s="81">
        <v>39856222.209664933</v>
      </c>
      <c r="F561" s="81">
        <v>41293169.481910162</v>
      </c>
      <c r="G561" s="81">
        <v>42549451.879863866</v>
      </c>
      <c r="H561" s="81">
        <v>43806682.498789854</v>
      </c>
      <c r="I561" s="81">
        <v>45063247.643908821</v>
      </c>
      <c r="J561" s="81">
        <v>46317542.425816253</v>
      </c>
      <c r="K561" s="81">
        <v>47567977.854116604</v>
      </c>
      <c r="L561" s="81">
        <v>48812988.191956982</v>
      </c>
      <c r="M561" s="81">
        <v>50051038.571460642</v>
      </c>
      <c r="N561" s="81">
        <v>51280632.870060205</v>
      </c>
      <c r="O561" s="81">
        <v>52500311.734140679</v>
      </c>
      <c r="P561" s="81">
        <v>53708701.203653164</v>
      </c>
      <c r="Q561" s="81">
        <v>54766929.435231306</v>
      </c>
      <c r="R561" s="81">
        <v>55806472.252082497</v>
      </c>
      <c r="S561" s="81">
        <v>56826371.621834531</v>
      </c>
      <c r="T561" s="81">
        <v>57825746.698367864</v>
      </c>
      <c r="U561" s="81">
        <v>58803834.015649118</v>
      </c>
      <c r="V561" s="81">
        <v>59759973.665920511</v>
      </c>
      <c r="W561" s="81">
        <v>60693652.109623872</v>
      </c>
      <c r="X561" s="81">
        <v>61604452.862679102</v>
      </c>
      <c r="Y561" s="81">
        <v>62492147.686686426</v>
      </c>
      <c r="Z561" s="81">
        <v>63356610.273604043</v>
      </c>
      <c r="AA561" s="81">
        <v>64248978.409053415</v>
      </c>
      <c r="AB561" s="81">
        <v>65117164.858213559</v>
      </c>
      <c r="AC561" s="81">
        <v>65961549.660613008</v>
      </c>
      <c r="AD561" s="81">
        <v>66782680.899147063</v>
      </c>
      <c r="AE561" s="81">
        <v>67581309.499663502</v>
      </c>
      <c r="AF561" s="81">
        <v>68358413.123674914</v>
      </c>
      <c r="AG561" s="81">
        <v>69115193.465002939</v>
      </c>
      <c r="AH561" s="81">
        <v>69853057.955796614</v>
      </c>
      <c r="AI561" s="81">
        <v>70573700.676738918</v>
      </c>
      <c r="AJ561" s="81">
        <v>71279027.768875062</v>
      </c>
      <c r="AK561" s="81">
        <v>72112400.191818804</v>
      </c>
      <c r="AL561" s="81">
        <v>72934484.173133269</v>
      </c>
      <c r="AM561" s="81">
        <v>73748026.733967185</v>
      </c>
      <c r="AN561" s="81">
        <v>74556098.343950078</v>
      </c>
      <c r="AO561" s="81">
        <v>75362057.31159699</v>
      </c>
      <c r="AP561" s="81">
        <v>76169690.419821903</v>
      </c>
      <c r="AQ561" s="81">
        <v>76983082.49482353</v>
      </c>
      <c r="AR561" s="81">
        <v>77806709.386028439</v>
      </c>
      <c r="AS561" s="81">
        <v>78645453.002537146</v>
      </c>
      <c r="AT561" s="81">
        <v>79504581.334229842</v>
      </c>
    </row>
    <row r="562" spans="1:46" ht="15.75">
      <c r="A562" s="81" t="s">
        <v>448</v>
      </c>
      <c r="B562" s="80">
        <v>430700</v>
      </c>
      <c r="C562" s="80" t="s">
        <v>424</v>
      </c>
      <c r="D562" s="84" t="s">
        <v>656</v>
      </c>
      <c r="E562" s="81">
        <v>37741650.410034724</v>
      </c>
      <c r="F562" s="81">
        <v>39018932.881264083</v>
      </c>
      <c r="G562" s="81">
        <v>40111984.055298381</v>
      </c>
      <c r="H562" s="81">
        <v>41193080.564405233</v>
      </c>
      <c r="I562" s="81">
        <v>42261061.030591011</v>
      </c>
      <c r="J562" s="81">
        <v>43314808.272226587</v>
      </c>
      <c r="K562" s="81">
        <v>44353252.817227386</v>
      </c>
      <c r="L562" s="81">
        <v>45375393.531586349</v>
      </c>
      <c r="M562" s="81">
        <v>46380303.193212859</v>
      </c>
      <c r="N562" s="81">
        <v>47367098.399996631</v>
      </c>
      <c r="O562" s="81">
        <v>48335005.28827478</v>
      </c>
      <c r="P562" s="81">
        <v>49283312.301477827</v>
      </c>
      <c r="Q562" s="81">
        <v>50085616.132275745</v>
      </c>
      <c r="R562" s="81">
        <v>50863641.590251274</v>
      </c>
      <c r="S562" s="81">
        <v>51617188.51882001</v>
      </c>
      <c r="T562" s="81">
        <v>52346145.717797965</v>
      </c>
      <c r="U562" s="81">
        <v>53050504.028356537</v>
      </c>
      <c r="V562" s="81">
        <v>53730381.065364279</v>
      </c>
      <c r="W562" s="81">
        <v>54385984.275711559</v>
      </c>
      <c r="X562" s="81">
        <v>55017634.614466824</v>
      </c>
      <c r="Y562" s="81">
        <v>55625792.566833861</v>
      </c>
      <c r="Z562" s="81">
        <v>56211030.285220556</v>
      </c>
      <c r="AA562" s="81">
        <v>56819208.930899218</v>
      </c>
      <c r="AB562" s="81">
        <v>57404622.420913547</v>
      </c>
      <c r="AC562" s="81">
        <v>57968245.109501414</v>
      </c>
      <c r="AD562" s="81">
        <v>58511149.370466299</v>
      </c>
      <c r="AE562" s="81">
        <v>59034603.877095103</v>
      </c>
      <c r="AF562" s="81">
        <v>59539994.286237203</v>
      </c>
      <c r="AG562" s="81">
        <v>60028900.57476785</v>
      </c>
      <c r="AH562" s="81">
        <v>60503026.715386041</v>
      </c>
      <c r="AI562" s="81">
        <v>60964280.652260982</v>
      </c>
      <c r="AJ562" s="81">
        <v>61414701.473231569</v>
      </c>
      <c r="AK562" s="81">
        <v>61977851.055039443</v>
      </c>
      <c r="AL562" s="81">
        <v>62533710.444461219</v>
      </c>
      <c r="AM562" s="81">
        <v>63084890.60509982</v>
      </c>
      <c r="AN562" s="81">
        <v>63634238.013563856</v>
      </c>
      <c r="AO562" s="81">
        <v>64184783.749704391</v>
      </c>
      <c r="AP562" s="81">
        <v>64739805.699934818</v>
      </c>
      <c r="AQ562" s="81">
        <v>65302775.728262156</v>
      </c>
      <c r="AR562" s="81">
        <v>65877439.392749347</v>
      </c>
      <c r="AS562" s="81">
        <v>66467731.143468924</v>
      </c>
      <c r="AT562" s="81">
        <v>67077839.484972641</v>
      </c>
    </row>
    <row r="563" spans="1:46" ht="15.75">
      <c r="A563" s="81" t="s">
        <v>448</v>
      </c>
      <c r="B563" s="80">
        <v>430800</v>
      </c>
      <c r="C563" s="80" t="s">
        <v>424</v>
      </c>
      <c r="D563" s="84" t="s">
        <v>655</v>
      </c>
      <c r="E563" s="81">
        <v>10289270.741710417</v>
      </c>
      <c r="F563" s="81">
        <v>10619191.704660477</v>
      </c>
      <c r="G563" s="81">
        <v>10906084.275868744</v>
      </c>
      <c r="H563" s="81">
        <v>11196700.574862234</v>
      </c>
      <c r="I563" s="81">
        <v>11490449.405655762</v>
      </c>
      <c r="J563" s="81">
        <v>11786752.728402285</v>
      </c>
      <c r="K563" s="81">
        <v>12085004.932564588</v>
      </c>
      <c r="L563" s="81">
        <v>12384582.299674066</v>
      </c>
      <c r="M563" s="81">
        <v>12684895.0824064</v>
      </c>
      <c r="N563" s="81">
        <v>12985319.556615883</v>
      </c>
      <c r="O563" s="81">
        <v>13285241.230072351</v>
      </c>
      <c r="P563" s="81">
        <v>13584077.367887804</v>
      </c>
      <c r="Q563" s="81">
        <v>13846460.776694695</v>
      </c>
      <c r="R563" s="81">
        <v>14105412.144804873</v>
      </c>
      <c r="S563" s="81">
        <v>14360420.089591613</v>
      </c>
      <c r="T563" s="81">
        <v>14611019.963841844</v>
      </c>
      <c r="U563" s="81">
        <v>14856790.118949758</v>
      </c>
      <c r="V563" s="81">
        <v>15097327.370993298</v>
      </c>
      <c r="W563" s="81">
        <v>15332290.046210406</v>
      </c>
      <c r="X563" s="81">
        <v>15561383.754993631</v>
      </c>
      <c r="Y563" s="81">
        <v>15784355.557947099</v>
      </c>
      <c r="Z563" s="81">
        <v>16001051.083879897</v>
      </c>
      <c r="AA563" s="81">
        <v>16224235.451180689</v>
      </c>
      <c r="AB563" s="81">
        <v>16440662.461267114</v>
      </c>
      <c r="AC563" s="81">
        <v>16650348.52205039</v>
      </c>
      <c r="AD563" s="81">
        <v>16853411.989803281</v>
      </c>
      <c r="AE563" s="81">
        <v>17050045.622484632</v>
      </c>
      <c r="AF563" s="81">
        <v>17240532.948626116</v>
      </c>
      <c r="AG563" s="81">
        <v>17425277.990553465</v>
      </c>
      <c r="AH563" s="81">
        <v>17604776.200962711</v>
      </c>
      <c r="AI563" s="81">
        <v>17779631.707556419</v>
      </c>
      <c r="AJ563" s="81">
        <v>17950588.55115838</v>
      </c>
      <c r="AK563" s="81">
        <v>18154019.97640178</v>
      </c>
      <c r="AL563" s="81">
        <v>18355230.220149074</v>
      </c>
      <c r="AM563" s="81">
        <v>18555323.766914286</v>
      </c>
      <c r="AN563" s="81">
        <v>18755594.246114843</v>
      </c>
      <c r="AO563" s="81">
        <v>18957507.465711951</v>
      </c>
      <c r="AP563" s="81">
        <v>19162653.523622807</v>
      </c>
      <c r="AQ563" s="81">
        <v>19372836.678998172</v>
      </c>
      <c r="AR563" s="81">
        <v>19590057.329467218</v>
      </c>
      <c r="AS563" s="81">
        <v>19816491.219515201</v>
      </c>
      <c r="AT563" s="81">
        <v>20054495.978243422</v>
      </c>
    </row>
    <row r="564" spans="1:46" ht="15.75">
      <c r="A564" s="81" t="s">
        <v>448</v>
      </c>
      <c r="B564" s="80">
        <v>430900</v>
      </c>
      <c r="C564" s="80" t="s">
        <v>424</v>
      </c>
      <c r="D564" s="84" t="s">
        <v>654</v>
      </c>
      <c r="E564" s="81">
        <v>27527217.994638007</v>
      </c>
      <c r="F564" s="81">
        <v>28467396.660848599</v>
      </c>
      <c r="G564" s="81">
        <v>29279470.518565826</v>
      </c>
      <c r="H564" s="81">
        <v>30089208.992045771</v>
      </c>
      <c r="I564" s="81">
        <v>30895816.556095567</v>
      </c>
      <c r="J564" s="81">
        <v>31698538.010893736</v>
      </c>
      <c r="K564" s="81">
        <v>32496630.764209889</v>
      </c>
      <c r="L564" s="81">
        <v>33289358.174740613</v>
      </c>
      <c r="M564" s="81">
        <v>34076025.433946677</v>
      </c>
      <c r="N564" s="81">
        <v>34855957.693567522</v>
      </c>
      <c r="O564" s="81">
        <v>35628511.241372287</v>
      </c>
      <c r="P564" s="81">
        <v>36393076.595403574</v>
      </c>
      <c r="Q564" s="81">
        <v>37056013.809904821</v>
      </c>
      <c r="R564" s="81">
        <v>37706872.549095079</v>
      </c>
      <c r="S564" s="81">
        <v>38345286.878877625</v>
      </c>
      <c r="T564" s="81">
        <v>38970929.26838769</v>
      </c>
      <c r="U564" s="81">
        <v>39583532.878504865</v>
      </c>
      <c r="V564" s="81">
        <v>40182884.731023796</v>
      </c>
      <c r="W564" s="81">
        <v>40768828.455482997</v>
      </c>
      <c r="X564" s="81">
        <v>41341245.346771419</v>
      </c>
      <c r="Y564" s="81">
        <v>41900099.484236993</v>
      </c>
      <c r="Z564" s="81">
        <v>42445408.771078579</v>
      </c>
      <c r="AA564" s="81">
        <v>43011443.263282992</v>
      </c>
      <c r="AB564" s="81">
        <v>43563300.490591407</v>
      </c>
      <c r="AC564" s="81">
        <v>44101180.766906105</v>
      </c>
      <c r="AD564" s="81">
        <v>44625375.211477332</v>
      </c>
      <c r="AE564" s="81">
        <v>45136232.9295903</v>
      </c>
      <c r="AF564" s="81">
        <v>45634212.050309457</v>
      </c>
      <c r="AG564" s="81">
        <v>46119821.299711332</v>
      </c>
      <c r="AH564" s="81">
        <v>46593697.636287257</v>
      </c>
      <c r="AI564" s="81">
        <v>47056546.831226721</v>
      </c>
      <c r="AJ564" s="81">
        <v>47509171.299127482</v>
      </c>
      <c r="AK564" s="81">
        <v>48046514.602953404</v>
      </c>
      <c r="AL564" s="81">
        <v>48575028.913202159</v>
      </c>
      <c r="AM564" s="81">
        <v>49095818.731449187</v>
      </c>
      <c r="AN564" s="81">
        <v>49610066.401772417</v>
      </c>
      <c r="AO564" s="81">
        <v>50119105.416790999</v>
      </c>
      <c r="AP564" s="81">
        <v>50624382.202308476</v>
      </c>
      <c r="AQ564" s="81">
        <v>51127473.974217154</v>
      </c>
      <c r="AR564" s="81">
        <v>51630077.354542971</v>
      </c>
      <c r="AS564" s="81">
        <v>52134042.465100951</v>
      </c>
      <c r="AT564" s="81">
        <v>52641362.399849042</v>
      </c>
    </row>
    <row r="565" spans="1:46" ht="15.75">
      <c r="A565" s="81" t="s">
        <v>448</v>
      </c>
      <c r="B565" s="80">
        <v>431000</v>
      </c>
      <c r="C565" s="80" t="s">
        <v>424</v>
      </c>
      <c r="D565" s="84" t="s">
        <v>653</v>
      </c>
      <c r="E565" s="81">
        <v>33453952.397089425</v>
      </c>
      <c r="F565" s="81">
        <v>34496670.632252939</v>
      </c>
      <c r="G565" s="81">
        <v>35425831.698841274</v>
      </c>
      <c r="H565" s="81">
        <v>36392632.76821766</v>
      </c>
      <c r="I565" s="81">
        <v>37394276.9663826</v>
      </c>
      <c r="J565" s="81">
        <v>38427846.871613085</v>
      </c>
      <c r="K565" s="81">
        <v>39490267.14908348</v>
      </c>
      <c r="L565" s="81">
        <v>40578371.118555896</v>
      </c>
      <c r="M565" s="81">
        <v>41688879.299836844</v>
      </c>
      <c r="N565" s="81">
        <v>42818435.649055414</v>
      </c>
      <c r="O565" s="81">
        <v>43963647.218180664</v>
      </c>
      <c r="P565" s="81">
        <v>45121080.574116834</v>
      </c>
      <c r="Q565" s="81">
        <v>46171346.656541348</v>
      </c>
      <c r="R565" s="81">
        <v>47222046.289643437</v>
      </c>
      <c r="S565" s="81">
        <v>48269890.26163251</v>
      </c>
      <c r="T565" s="81">
        <v>49311650.642380238</v>
      </c>
      <c r="U565" s="81">
        <v>50344275.313452065</v>
      </c>
      <c r="V565" s="81">
        <v>51364814.297444247</v>
      </c>
      <c r="W565" s="81">
        <v>52370538.031186499</v>
      </c>
      <c r="X565" s="81">
        <v>53358903.680112399</v>
      </c>
      <c r="Y565" s="81">
        <v>54327614.693124391</v>
      </c>
      <c r="Z565" s="81">
        <v>55274650.732159309</v>
      </c>
      <c r="AA565" s="81">
        <v>56242968.624158412</v>
      </c>
      <c r="AB565" s="81">
        <v>57185668.246297702</v>
      </c>
      <c r="AC565" s="81">
        <v>58101639.742657229</v>
      </c>
      <c r="AD565" s="81">
        <v>58990153.928358175</v>
      </c>
      <c r="AE565" s="81">
        <v>59850894.701861091</v>
      </c>
      <c r="AF565" s="81">
        <v>60684029.584922791</v>
      </c>
      <c r="AG565" s="81">
        <v>61490233.752604537</v>
      </c>
      <c r="AH565" s="81">
        <v>62270674.531766452</v>
      </c>
      <c r="AI565" s="81">
        <v>63027109.808693901</v>
      </c>
      <c r="AJ565" s="81">
        <v>63761913.195808098</v>
      </c>
      <c r="AK565" s="81">
        <v>64604507.821245953</v>
      </c>
      <c r="AL565" s="81">
        <v>65431927.918475956</v>
      </c>
      <c r="AM565" s="81">
        <v>66248502.807949394</v>
      </c>
      <c r="AN565" s="81">
        <v>67059384.432463109</v>
      </c>
      <c r="AO565" s="81">
        <v>67870535.760434851</v>
      </c>
      <c r="AP565" s="81">
        <v>68688847.841894239</v>
      </c>
      <c r="AQ565" s="81">
        <v>69522098.577789217</v>
      </c>
      <c r="AR565" s="81">
        <v>70379087.830232233</v>
      </c>
      <c r="AS565" s="81">
        <v>71269610.192663088</v>
      </c>
      <c r="AT565" s="81">
        <v>72204532.169939533</v>
      </c>
    </row>
    <row r="566" spans="1:46" ht="15.75">
      <c r="A566" s="81" t="s">
        <v>448</v>
      </c>
      <c r="B566" s="80">
        <v>431100</v>
      </c>
      <c r="C566" s="80" t="s">
        <v>424</v>
      </c>
      <c r="D566" s="84" t="s">
        <v>652</v>
      </c>
      <c r="E566" s="81">
        <v>37857706.545450188</v>
      </c>
      <c r="F566" s="81">
        <v>39099011.058861881</v>
      </c>
      <c r="G566" s="81">
        <v>40200493.9599768</v>
      </c>
      <c r="H566" s="81">
        <v>41333621.745029606</v>
      </c>
      <c r="I566" s="81">
        <v>42495693.2232868</v>
      </c>
      <c r="J566" s="81">
        <v>43683905.23070696</v>
      </c>
      <c r="K566" s="81">
        <v>44895346.015688874</v>
      </c>
      <c r="L566" s="81">
        <v>46127020.251825936</v>
      </c>
      <c r="M566" s="81">
        <v>47375867.416465744</v>
      </c>
      <c r="N566" s="81">
        <v>48638798.996420883</v>
      </c>
      <c r="O566" s="81">
        <v>49912693.355512045</v>
      </c>
      <c r="P566" s="81">
        <v>51194425.310467064</v>
      </c>
      <c r="Q566" s="81">
        <v>52349437.336543001</v>
      </c>
      <c r="R566" s="81">
        <v>53500777.884299546</v>
      </c>
      <c r="S566" s="81">
        <v>54645559.628912613</v>
      </c>
      <c r="T566" s="81">
        <v>55781023.456483148</v>
      </c>
      <c r="U566" s="81">
        <v>56904583.8128879</v>
      </c>
      <c r="V566" s="81">
        <v>58013793.123589978</v>
      </c>
      <c r="W566" s="81">
        <v>59106406.63578058</v>
      </c>
      <c r="X566" s="81">
        <v>60180408.97801204</v>
      </c>
      <c r="Y566" s="81">
        <v>61234041.324247941</v>
      </c>
      <c r="Z566" s="81">
        <v>62265795.388902172</v>
      </c>
      <c r="AA566" s="81">
        <v>63324831.290869243</v>
      </c>
      <c r="AB566" s="81">
        <v>64359032.400726691</v>
      </c>
      <c r="AC566" s="81">
        <v>65367826.637216754</v>
      </c>
      <c r="AD566" s="81">
        <v>66351045.174679808</v>
      </c>
      <c r="AE566" s="81">
        <v>67308978.910026252</v>
      </c>
      <c r="AF566" s="81">
        <v>68242312.830599248</v>
      </c>
      <c r="AG566" s="81">
        <v>69152292.630645856</v>
      </c>
      <c r="AH566" s="81">
        <v>70040646.988176733</v>
      </c>
      <c r="AI566" s="81">
        <v>70909643.604795486</v>
      </c>
      <c r="AJ566" s="81">
        <v>71762201.892750308</v>
      </c>
      <c r="AK566" s="81">
        <v>72744178.249253437</v>
      </c>
      <c r="AL566" s="81">
        <v>73717301.161013141</v>
      </c>
      <c r="AM566" s="81">
        <v>74686389.557055548</v>
      </c>
      <c r="AN566" s="81">
        <v>75657072.969444394</v>
      </c>
      <c r="AO566" s="81">
        <v>76635806.876944885</v>
      </c>
      <c r="AP566" s="81">
        <v>77629855.913532957</v>
      </c>
      <c r="AQ566" s="81">
        <v>78647423.050169051</v>
      </c>
      <c r="AR566" s="81">
        <v>79697649.965422273</v>
      </c>
      <c r="AS566" s="81">
        <v>80790629.117594644</v>
      </c>
      <c r="AT566" s="81">
        <v>81937540.694866151</v>
      </c>
    </row>
    <row r="567" spans="1:46" ht="15.75">
      <c r="A567" s="81" t="s">
        <v>448</v>
      </c>
      <c r="B567" s="80">
        <v>431200</v>
      </c>
      <c r="C567" s="80" t="s">
        <v>424</v>
      </c>
      <c r="D567" s="84" t="s">
        <v>651</v>
      </c>
      <c r="E567" s="81">
        <v>32812665.830108393</v>
      </c>
      <c r="F567" s="81">
        <v>33908166.621074736</v>
      </c>
      <c r="G567" s="81">
        <v>34861141.538154095</v>
      </c>
      <c r="H567" s="81">
        <v>35821086.725822173</v>
      </c>
      <c r="I567" s="81">
        <v>36786636.077248573</v>
      </c>
      <c r="J567" s="81">
        <v>37756376.271118931</v>
      </c>
      <c r="K567" s="81">
        <v>38728891.953565404</v>
      </c>
      <c r="L567" s="81">
        <v>39702757.248894468</v>
      </c>
      <c r="M567" s="81">
        <v>40676560.209754214</v>
      </c>
      <c r="N567" s="81">
        <v>41648885.280892469</v>
      </c>
      <c r="O567" s="81">
        <v>42618319.901537843</v>
      </c>
      <c r="P567" s="81">
        <v>43583508.135444321</v>
      </c>
      <c r="Q567" s="81">
        <v>44431527.234826967</v>
      </c>
      <c r="R567" s="81">
        <v>45268804.632062539</v>
      </c>
      <c r="S567" s="81">
        <v>46094217.738382176</v>
      </c>
      <c r="T567" s="81">
        <v>46906729.335113578</v>
      </c>
      <c r="U567" s="81">
        <v>47705387.523827225</v>
      </c>
      <c r="V567" s="81">
        <v>48489303.800544821</v>
      </c>
      <c r="W567" s="81">
        <v>49257713.240559787</v>
      </c>
      <c r="X567" s="81">
        <v>50009931.997439101</v>
      </c>
      <c r="Y567" s="81">
        <v>50745419.796991348</v>
      </c>
      <c r="Z567" s="81">
        <v>51463747.163030386</v>
      </c>
      <c r="AA567" s="81">
        <v>52206110.620129034</v>
      </c>
      <c r="AB567" s="81">
        <v>52929918.666052409</v>
      </c>
      <c r="AC567" s="81">
        <v>53635135.843659475</v>
      </c>
      <c r="AD567" s="81">
        <v>54321915.613921016</v>
      </c>
      <c r="AE567" s="81">
        <v>54990600.722413987</v>
      </c>
      <c r="AF567" s="81">
        <v>55641697.449215531</v>
      </c>
      <c r="AG567" s="81">
        <v>56275948.065264963</v>
      </c>
      <c r="AH567" s="81">
        <v>56894280.385682203</v>
      </c>
      <c r="AI567" s="81">
        <v>57497895.889875814</v>
      </c>
      <c r="AJ567" s="81">
        <v>58088191.800772808</v>
      </c>
      <c r="AK567" s="81">
        <v>58781877.393647708</v>
      </c>
      <c r="AL567" s="81">
        <v>59465386.875453092</v>
      </c>
      <c r="AM567" s="81">
        <v>60140867.897271037</v>
      </c>
      <c r="AN567" s="81">
        <v>60810825.943275236</v>
      </c>
      <c r="AO567" s="81">
        <v>61478070.136525348</v>
      </c>
      <c r="AP567" s="81">
        <v>62145755.944702074</v>
      </c>
      <c r="AQ567" s="81">
        <v>62817385.694621339</v>
      </c>
      <c r="AR567" s="81">
        <v>63496838.573948331</v>
      </c>
      <c r="AS567" s="81">
        <v>64188355.401641399</v>
      </c>
      <c r="AT567" s="81">
        <v>64896584.187492989</v>
      </c>
    </row>
    <row r="568" spans="1:46" ht="15.75">
      <c r="A568" s="81" t="s">
        <v>448</v>
      </c>
      <c r="B568" s="80">
        <v>431300</v>
      </c>
      <c r="C568" s="80" t="s">
        <v>424</v>
      </c>
      <c r="D568" s="84" t="s">
        <v>650</v>
      </c>
      <c r="E568" s="81">
        <v>27348663.470483284</v>
      </c>
      <c r="F568" s="81">
        <v>28286187.720976692</v>
      </c>
      <c r="G568" s="81">
        <v>29113794.829697315</v>
      </c>
      <c r="H568" s="81">
        <v>29955688.269358326</v>
      </c>
      <c r="I568" s="81">
        <v>30810278.044611257</v>
      </c>
      <c r="J568" s="81">
        <v>31675949.218362551</v>
      </c>
      <c r="K568" s="81">
        <v>32551031.990221418</v>
      </c>
      <c r="L568" s="81">
        <v>33433843.302988116</v>
      </c>
      <c r="M568" s="81">
        <v>34322663.716194242</v>
      </c>
      <c r="N568" s="81">
        <v>35215781.514949091</v>
      </c>
      <c r="O568" s="81">
        <v>36111478.096102953</v>
      </c>
      <c r="P568" s="81">
        <v>37008075.645731762</v>
      </c>
      <c r="Q568" s="81">
        <v>37808945.725191936</v>
      </c>
      <c r="R568" s="81">
        <v>38603721.711154416</v>
      </c>
      <c r="S568" s="81">
        <v>39390921.229128987</v>
      </c>
      <c r="T568" s="81">
        <v>40169149.008105643</v>
      </c>
      <c r="U568" s="81">
        <v>40937099.878901236</v>
      </c>
      <c r="V568" s="81">
        <v>41693581.894554682</v>
      </c>
      <c r="W568" s="81">
        <v>42437508.884659313</v>
      </c>
      <c r="X568" s="81">
        <v>43167945.32046257</v>
      </c>
      <c r="Y568" s="81">
        <v>43884066.482120931</v>
      </c>
      <c r="Z568" s="81">
        <v>44585259.404761642</v>
      </c>
      <c r="AA568" s="81">
        <v>45307060.362709522</v>
      </c>
      <c r="AB568" s="81">
        <v>46012456.327669159</v>
      </c>
      <c r="AC568" s="81">
        <v>46701336.288910069</v>
      </c>
      <c r="AD568" s="81">
        <v>47373821.700213514</v>
      </c>
      <c r="AE568" s="81">
        <v>48030258.724332497</v>
      </c>
      <c r="AF568" s="81">
        <v>48671258.279690884</v>
      </c>
      <c r="AG568" s="81">
        <v>49297700.703359023</v>
      </c>
      <c r="AH568" s="81">
        <v>49910765.303470038</v>
      </c>
      <c r="AI568" s="81">
        <v>50511921.971586727</v>
      </c>
      <c r="AJ568" s="81">
        <v>51102960.61766126</v>
      </c>
      <c r="AK568" s="81">
        <v>51787412.681372367</v>
      </c>
      <c r="AL568" s="81">
        <v>52466270.044181034</v>
      </c>
      <c r="AM568" s="81">
        <v>53142424.347150996</v>
      </c>
      <c r="AN568" s="81">
        <v>53819157.536874019</v>
      </c>
      <c r="AO568" s="81">
        <v>54500204.183923863</v>
      </c>
      <c r="AP568" s="81">
        <v>55189773.972986631</v>
      </c>
      <c r="AQ568" s="81">
        <v>55892544.237376183</v>
      </c>
      <c r="AR568" s="81">
        <v>56613711.355976284</v>
      </c>
      <c r="AS568" s="81">
        <v>57358982.898468576</v>
      </c>
      <c r="AT568" s="81">
        <v>58134646.593085721</v>
      </c>
    </row>
    <row r="569" spans="1:46" ht="15.75">
      <c r="A569" s="81" t="s">
        <v>448</v>
      </c>
      <c r="B569" s="80">
        <v>433100</v>
      </c>
      <c r="C569" s="80" t="s">
        <v>424</v>
      </c>
      <c r="D569" s="84" t="s">
        <v>649</v>
      </c>
      <c r="E569" s="81">
        <v>16793490.963941108</v>
      </c>
      <c r="F569" s="81">
        <v>17417053.504452452</v>
      </c>
      <c r="G569" s="81">
        <v>17973008.65313093</v>
      </c>
      <c r="H569" s="81">
        <v>18537530.397427656</v>
      </c>
      <c r="I569" s="81">
        <v>19109538.756254885</v>
      </c>
      <c r="J569" s="81">
        <v>19687953.280537091</v>
      </c>
      <c r="K569" s="81">
        <v>20271678.531566489</v>
      </c>
      <c r="L569" s="81">
        <v>20859586.614657573</v>
      </c>
      <c r="M569" s="81">
        <v>21450579.4098389</v>
      </c>
      <c r="N569" s="81">
        <v>22043532.016687162</v>
      </c>
      <c r="O569" s="81">
        <v>22637365.964767929</v>
      </c>
      <c r="P569" s="81">
        <v>23230990.276457094</v>
      </c>
      <c r="Q569" s="81">
        <v>23763707.006018635</v>
      </c>
      <c r="R569" s="81">
        <v>24291700.791419573</v>
      </c>
      <c r="S569" s="81">
        <v>24814091.945547875</v>
      </c>
      <c r="T569" s="81">
        <v>25330066.19243674</v>
      </c>
      <c r="U569" s="81">
        <v>25838854.050678909</v>
      </c>
      <c r="V569" s="81">
        <v>26339796.469494373</v>
      </c>
      <c r="W569" s="81">
        <v>26832316.107362676</v>
      </c>
      <c r="X569" s="81">
        <v>27315925.617153931</v>
      </c>
      <c r="Y569" s="81">
        <v>27790278.011071142</v>
      </c>
      <c r="Z569" s="81">
        <v>28255104.396194439</v>
      </c>
      <c r="AA569" s="81">
        <v>28733151.224674217</v>
      </c>
      <c r="AB569" s="81">
        <v>29201151.536468785</v>
      </c>
      <c r="AC569" s="81">
        <v>29659250.682414699</v>
      </c>
      <c r="AD569" s="81">
        <v>30107779.942537278</v>
      </c>
      <c r="AE569" s="81">
        <v>30547199.492455281</v>
      </c>
      <c r="AF569" s="81">
        <v>30978188.456454013</v>
      </c>
      <c r="AG569" s="81">
        <v>31401598.874740802</v>
      </c>
      <c r="AH569" s="81">
        <v>31818526.425834898</v>
      </c>
      <c r="AI569" s="81">
        <v>32230225.327622201</v>
      </c>
      <c r="AJ569" s="81">
        <v>32638254.440214578</v>
      </c>
      <c r="AK569" s="81">
        <v>33109158.096238576</v>
      </c>
      <c r="AL569" s="81">
        <v>33580220.769592285</v>
      </c>
      <c r="AM569" s="81">
        <v>34053756.476305366</v>
      </c>
      <c r="AN569" s="81">
        <v>34532365.308458902</v>
      </c>
      <c r="AO569" s="81">
        <v>35018946.617071912</v>
      </c>
      <c r="AP569" s="81">
        <v>35516740.590135477</v>
      </c>
      <c r="AQ569" s="81">
        <v>36029344.237773471</v>
      </c>
      <c r="AR569" s="81">
        <v>36560698.435412385</v>
      </c>
      <c r="AS569" s="81">
        <v>37115087.094237521</v>
      </c>
      <c r="AT569" s="81">
        <v>37697240.596503302</v>
      </c>
    </row>
    <row r="570" spans="1:46" ht="15.75">
      <c r="A570" s="81" t="s">
        <v>448</v>
      </c>
      <c r="B570" s="80">
        <v>440100</v>
      </c>
      <c r="C570" s="80" t="s">
        <v>423</v>
      </c>
      <c r="D570" s="84" t="s">
        <v>648</v>
      </c>
      <c r="E570" s="81">
        <v>230857816.95225304</v>
      </c>
      <c r="F570" s="81">
        <v>240181696.47136196</v>
      </c>
      <c r="G570" s="81">
        <v>245822645.83337346</v>
      </c>
      <c r="H570" s="81">
        <v>251088632.37155381</v>
      </c>
      <c r="I570" s="81">
        <v>256003915.75516957</v>
      </c>
      <c r="J570" s="81">
        <v>260592521.44714114</v>
      </c>
      <c r="K570" s="81">
        <v>264878160.83384943</v>
      </c>
      <c r="L570" s="81">
        <v>268884164.24108177</v>
      </c>
      <c r="M570" s="81">
        <v>272633372.46714562</v>
      </c>
      <c r="N570" s="81">
        <v>276148109.69549733</v>
      </c>
      <c r="O570" s="81">
        <v>279450003.65007299</v>
      </c>
      <c r="P570" s="81">
        <v>282560041.47620177</v>
      </c>
      <c r="Q570" s="81">
        <v>286124213.56832093</v>
      </c>
      <c r="R570" s="81">
        <v>289543856.88397157</v>
      </c>
      <c r="S570" s="81">
        <v>292836304.43272436</v>
      </c>
      <c r="T570" s="81">
        <v>296018012.49864078</v>
      </c>
      <c r="U570" s="81">
        <v>299104443.98033762</v>
      </c>
      <c r="V570" s="81">
        <v>302109933.74552625</v>
      </c>
      <c r="W570" s="81">
        <v>305047612.23131502</v>
      </c>
      <c r="X570" s="81">
        <v>307929282.53082383</v>
      </c>
      <c r="Y570" s="81">
        <v>310765326.51067674</v>
      </c>
      <c r="Z570" s="81">
        <v>313564578.31327933</v>
      </c>
      <c r="AA570" s="81">
        <v>315907656.48894966</v>
      </c>
      <c r="AB570" s="81">
        <v>318218546.64364213</v>
      </c>
      <c r="AC570" s="81">
        <v>320500909.57490051</v>
      </c>
      <c r="AD570" s="81">
        <v>322756438.21043527</v>
      </c>
      <c r="AE570" s="81">
        <v>324984670.66148919</v>
      </c>
      <c r="AF570" s="81">
        <v>327182933.92337644</v>
      </c>
      <c r="AG570" s="81">
        <v>329346272.72796994</v>
      </c>
      <c r="AH570" s="81">
        <v>331467223.74725002</v>
      </c>
      <c r="AI570" s="81">
        <v>333535827.35337287</v>
      </c>
      <c r="AJ570" s="81">
        <v>335539486.67572814</v>
      </c>
      <c r="AK570" s="81">
        <v>337361352.48609829</v>
      </c>
      <c r="AL570" s="81">
        <v>339079779.89491838</v>
      </c>
      <c r="AM570" s="81">
        <v>340673695.66227686</v>
      </c>
      <c r="AN570" s="81">
        <v>342119044.06485248</v>
      </c>
      <c r="AO570" s="81">
        <v>343388520.40384001</v>
      </c>
      <c r="AP570" s="81">
        <v>344451668.176642</v>
      </c>
      <c r="AQ570" s="81">
        <v>345274592.55127937</v>
      </c>
      <c r="AR570" s="81">
        <v>345819986.10213983</v>
      </c>
      <c r="AS570" s="81">
        <v>346046951.25700015</v>
      </c>
      <c r="AT570" s="81">
        <v>345910953.64794689</v>
      </c>
    </row>
    <row r="571" spans="1:46" ht="15.75">
      <c r="A571" s="81" t="s">
        <v>448</v>
      </c>
      <c r="B571" s="80">
        <v>440200</v>
      </c>
      <c r="C571" s="80" t="s">
        <v>423</v>
      </c>
      <c r="D571" s="84" t="s">
        <v>647</v>
      </c>
      <c r="E571" s="81">
        <v>26695926.154769372</v>
      </c>
      <c r="F571" s="81">
        <v>27359002.64060545</v>
      </c>
      <c r="G571" s="81">
        <v>27877165.682744261</v>
      </c>
      <c r="H571" s="81">
        <v>28402730.63365962</v>
      </c>
      <c r="I571" s="81">
        <v>28933454.833985645</v>
      </c>
      <c r="J571" s="81">
        <v>29467109.389013536</v>
      </c>
      <c r="K571" s="81">
        <v>30001498.528943148</v>
      </c>
      <c r="L571" s="81">
        <v>30534490.569314446</v>
      </c>
      <c r="M571" s="81">
        <v>31063987.152986445</v>
      </c>
      <c r="N571" s="81">
        <v>31587975.333023787</v>
      </c>
      <c r="O571" s="81">
        <v>32104528.873722393</v>
      </c>
      <c r="P571" s="81">
        <v>32611808.879427627</v>
      </c>
      <c r="Q571" s="81">
        <v>32972297.294035155</v>
      </c>
      <c r="R571" s="81">
        <v>33318754.786248676</v>
      </c>
      <c r="S571" s="81">
        <v>33649905.427367166</v>
      </c>
      <c r="T571" s="81">
        <v>33964587.297756694</v>
      </c>
      <c r="U571" s="81">
        <v>34261864.218108684</v>
      </c>
      <c r="V571" s="81">
        <v>34540931.99769149</v>
      </c>
      <c r="W571" s="81">
        <v>34801161.221710637</v>
      </c>
      <c r="X571" s="81">
        <v>35042154.178361475</v>
      </c>
      <c r="Y571" s="81">
        <v>35263647.347945519</v>
      </c>
      <c r="Z571" s="81">
        <v>35465664.382690273</v>
      </c>
      <c r="AA571" s="81">
        <v>35619664.608835161</v>
      </c>
      <c r="AB571" s="81">
        <v>35754803.092639118</v>
      </c>
      <c r="AC571" s="81">
        <v>35871790.936097972</v>
      </c>
      <c r="AD571" s="81">
        <v>35971590.481171854</v>
      </c>
      <c r="AE571" s="81">
        <v>36055424.845522813</v>
      </c>
      <c r="AF571" s="81">
        <v>36124736.152252451</v>
      </c>
      <c r="AG571" s="81">
        <v>36181309.800005548</v>
      </c>
      <c r="AH571" s="81">
        <v>36227143.248497806</v>
      </c>
      <c r="AI571" s="81">
        <v>36264571.371719085</v>
      </c>
      <c r="AJ571" s="81">
        <v>36296225.023293167</v>
      </c>
      <c r="AK571" s="81">
        <v>36338032.494287379</v>
      </c>
      <c r="AL571" s="81">
        <v>36380167.935867995</v>
      </c>
      <c r="AM571" s="81">
        <v>36426227.493667558</v>
      </c>
      <c r="AN571" s="81">
        <v>36480148.49953758</v>
      </c>
      <c r="AO571" s="81">
        <v>36546233.935319968</v>
      </c>
      <c r="AP571" s="81">
        <v>36629149.744739085</v>
      </c>
      <c r="AQ571" s="81">
        <v>36733963.874181412</v>
      </c>
      <c r="AR571" s="81">
        <v>36866101.518157966</v>
      </c>
      <c r="AS571" s="81">
        <v>37031426.711735688</v>
      </c>
      <c r="AT571" s="81">
        <v>37236197.464227885</v>
      </c>
    </row>
    <row r="572" spans="1:46" ht="15.75">
      <c r="A572" s="81" t="s">
        <v>448</v>
      </c>
      <c r="B572" s="80">
        <v>440300</v>
      </c>
      <c r="C572" s="80" t="s">
        <v>423</v>
      </c>
      <c r="D572" s="84" t="s">
        <v>646</v>
      </c>
      <c r="E572" s="81">
        <v>215543324.74450564</v>
      </c>
      <c r="F572" s="81">
        <v>225838405.48885316</v>
      </c>
      <c r="G572" s="81">
        <v>233053904.92701074</v>
      </c>
      <c r="H572" s="81">
        <v>239812189.56139833</v>
      </c>
      <c r="I572" s="81">
        <v>246149167.19803515</v>
      </c>
      <c r="J572" s="81">
        <v>252100410.63903233</v>
      </c>
      <c r="K572" s="81">
        <v>257701131.14221299</v>
      </c>
      <c r="L572" s="81">
        <v>262985894.44058734</v>
      </c>
      <c r="M572" s="81">
        <v>267988590.4073343</v>
      </c>
      <c r="N572" s="81">
        <v>272742181.46388924</v>
      </c>
      <c r="O572" s="81">
        <v>277278599.08070916</v>
      </c>
      <c r="P572" s="81">
        <v>281628568.58531272</v>
      </c>
      <c r="Q572" s="81">
        <v>284938702.09948564</v>
      </c>
      <c r="R572" s="81">
        <v>288097868.8159731</v>
      </c>
      <c r="S572" s="81">
        <v>291133300.66256452</v>
      </c>
      <c r="T572" s="81">
        <v>294070071.26027989</v>
      </c>
      <c r="U572" s="81">
        <v>296930878.89529675</v>
      </c>
      <c r="V572" s="81">
        <v>299735979.11345714</v>
      </c>
      <c r="W572" s="81">
        <v>302502997.3557632</v>
      </c>
      <c r="X572" s="81">
        <v>305246817.31848019</v>
      </c>
      <c r="Y572" s="81">
        <v>307979407.89851922</v>
      </c>
      <c r="Z572" s="81">
        <v>310709696.19986027</v>
      </c>
      <c r="AA572" s="81">
        <v>314332562.96744227</v>
      </c>
      <c r="AB572" s="81">
        <v>317974053.84362459</v>
      </c>
      <c r="AC572" s="81">
        <v>321633153.24354053</v>
      </c>
      <c r="AD572" s="81">
        <v>325305165.5863685</v>
      </c>
      <c r="AE572" s="81">
        <v>328981553.19513881</v>
      </c>
      <c r="AF572" s="81">
        <v>332649723.55725271</v>
      </c>
      <c r="AG572" s="81">
        <v>336292813.55987656</v>
      </c>
      <c r="AH572" s="81">
        <v>339889505.28637558</v>
      </c>
      <c r="AI572" s="81">
        <v>343413840.93049097</v>
      </c>
      <c r="AJ572" s="81">
        <v>346835001.51822811</v>
      </c>
      <c r="AK572" s="81">
        <v>349651675.8589192</v>
      </c>
      <c r="AL572" s="81">
        <v>352277618.86929536</v>
      </c>
      <c r="AM572" s="81">
        <v>354667126.97793531</v>
      </c>
      <c r="AN572" s="81">
        <v>356769048.6289137</v>
      </c>
      <c r="AO572" s="81">
        <v>358526721.03168559</v>
      </c>
      <c r="AP572" s="81">
        <v>359877652.06166619</v>
      </c>
      <c r="AQ572" s="81">
        <v>360753476.09474438</v>
      </c>
      <c r="AR572" s="81">
        <v>361079708.29269218</v>
      </c>
      <c r="AS572" s="81">
        <v>360775533.26229107</v>
      </c>
      <c r="AT572" s="81">
        <v>359753784.24445987</v>
      </c>
    </row>
    <row r="573" spans="1:46" ht="15.75">
      <c r="A573" s="81" t="s">
        <v>448</v>
      </c>
      <c r="B573" s="80">
        <v>440400</v>
      </c>
      <c r="C573" s="80" t="s">
        <v>423</v>
      </c>
      <c r="D573" s="84" t="s">
        <v>645</v>
      </c>
      <c r="E573" s="81">
        <v>26168883.520414677</v>
      </c>
      <c r="F573" s="81">
        <v>27132781.049060807</v>
      </c>
      <c r="G573" s="81">
        <v>27914225.10328145</v>
      </c>
      <c r="H573" s="81">
        <v>28666035.123790085</v>
      </c>
      <c r="I573" s="81">
        <v>29389502.001391556</v>
      </c>
      <c r="J573" s="81">
        <v>30085948.682657696</v>
      </c>
      <c r="K573" s="81">
        <v>30756711.590414785</v>
      </c>
      <c r="L573" s="81">
        <v>31403132.966696803</v>
      </c>
      <c r="M573" s="81">
        <v>32026590.023877319</v>
      </c>
      <c r="N573" s="81">
        <v>32628452.013076123</v>
      </c>
      <c r="O573" s="81">
        <v>33210059.307529803</v>
      </c>
      <c r="P573" s="81">
        <v>33772765.569929257</v>
      </c>
      <c r="Q573" s="81">
        <v>34177165.082782246</v>
      </c>
      <c r="R573" s="81">
        <v>34563607.375401169</v>
      </c>
      <c r="S573" s="81">
        <v>34933579.42397783</v>
      </c>
      <c r="T573" s="81">
        <v>35288483.376791343</v>
      </c>
      <c r="U573" s="81">
        <v>35629629.739744142</v>
      </c>
      <c r="V573" s="81">
        <v>35958285.040598206</v>
      </c>
      <c r="W573" s="81">
        <v>36275584.739803255</v>
      </c>
      <c r="X573" s="81">
        <v>36582580.426997781</v>
      </c>
      <c r="Y573" s="81">
        <v>36880191.760850519</v>
      </c>
      <c r="Z573" s="81">
        <v>37169269.33398933</v>
      </c>
      <c r="AA573" s="81">
        <v>37420335.361663334</v>
      </c>
      <c r="AB573" s="81">
        <v>37663978.411601014</v>
      </c>
      <c r="AC573" s="81">
        <v>37900650.699344613</v>
      </c>
      <c r="AD573" s="81">
        <v>38130693.079136766</v>
      </c>
      <c r="AE573" s="81">
        <v>38354240.911248364</v>
      </c>
      <c r="AF573" s="81">
        <v>38571334.23076877</v>
      </c>
      <c r="AG573" s="81">
        <v>38781808.150747418</v>
      </c>
      <c r="AH573" s="81">
        <v>38985329.626617923</v>
      </c>
      <c r="AI573" s="81">
        <v>39181405.794323906</v>
      </c>
      <c r="AJ573" s="81">
        <v>39369346.711750157</v>
      </c>
      <c r="AK573" s="81">
        <v>39420763.821004413</v>
      </c>
      <c r="AL573" s="81">
        <v>39461884.153637648</v>
      </c>
      <c r="AM573" s="81">
        <v>39491493.136208996</v>
      </c>
      <c r="AN573" s="81">
        <v>39508260.263548285</v>
      </c>
      <c r="AO573" s="81">
        <v>39510578.627041623</v>
      </c>
      <c r="AP573" s="81">
        <v>39496669.905455135</v>
      </c>
      <c r="AQ573" s="81">
        <v>39464564.870711684</v>
      </c>
      <c r="AR573" s="81">
        <v>39412051.332879968</v>
      </c>
      <c r="AS573" s="81">
        <v>39336701.293908961</v>
      </c>
      <c r="AT573" s="81">
        <v>39235866.626681499</v>
      </c>
    </row>
    <row r="574" spans="1:46" ht="15.75">
      <c r="A574" s="81" t="s">
        <v>448</v>
      </c>
      <c r="B574" s="80">
        <v>440500</v>
      </c>
      <c r="C574" s="80" t="s">
        <v>423</v>
      </c>
      <c r="D574" s="84" t="s">
        <v>644</v>
      </c>
      <c r="E574" s="81">
        <v>56431203.517103158</v>
      </c>
      <c r="F574" s="81">
        <v>58367885.025419876</v>
      </c>
      <c r="G574" s="81">
        <v>59983686.217176266</v>
      </c>
      <c r="H574" s="81">
        <v>61601355.808755256</v>
      </c>
      <c r="I574" s="81">
        <v>63216854.544309035</v>
      </c>
      <c r="J574" s="81">
        <v>64826293.417985246</v>
      </c>
      <c r="K574" s="81">
        <v>66425865.075142249</v>
      </c>
      <c r="L574" s="81">
        <v>68011895.251173571</v>
      </c>
      <c r="M574" s="81">
        <v>69580897.609978199</v>
      </c>
      <c r="N574" s="81">
        <v>71129548.491742805</v>
      </c>
      <c r="O574" s="81">
        <v>72654718.562752694</v>
      </c>
      <c r="P574" s="81">
        <v>74153505.893116966</v>
      </c>
      <c r="Q574" s="81">
        <v>75313124.479839519</v>
      </c>
      <c r="R574" s="81">
        <v>76435410.793233052</v>
      </c>
      <c r="S574" s="81">
        <v>77518796.71891889</v>
      </c>
      <c r="T574" s="81">
        <v>78562076.140817508</v>
      </c>
      <c r="U574" s="81">
        <v>79564333.220029205</v>
      </c>
      <c r="V574" s="81">
        <v>80525047.964114621</v>
      </c>
      <c r="W574" s="81">
        <v>81444010.109505355</v>
      </c>
      <c r="X574" s="81">
        <v>82321466.0850126</v>
      </c>
      <c r="Y574" s="81">
        <v>83157992.442758977</v>
      </c>
      <c r="Z574" s="81">
        <v>83954631.654961526</v>
      </c>
      <c r="AA574" s="81">
        <v>84644588.917803645</v>
      </c>
      <c r="AB574" s="81">
        <v>85297515.781568184</v>
      </c>
      <c r="AC574" s="81">
        <v>85915876.82169196</v>
      </c>
      <c r="AD574" s="81">
        <v>86502610.587732717</v>
      </c>
      <c r="AE574" s="81">
        <v>87061202.728421554</v>
      </c>
      <c r="AF574" s="81">
        <v>87595605.627459109</v>
      </c>
      <c r="AG574" s="81">
        <v>88110325.446083248</v>
      </c>
      <c r="AH574" s="81">
        <v>88610397.17353946</v>
      </c>
      <c r="AI574" s="81">
        <v>89101430.672409505</v>
      </c>
      <c r="AJ574" s="81">
        <v>89589643.6511053</v>
      </c>
      <c r="AK574" s="81">
        <v>90114072.758710951</v>
      </c>
      <c r="AL574" s="81">
        <v>90649975.995193556</v>
      </c>
      <c r="AM574" s="81">
        <v>91205450.736946851</v>
      </c>
      <c r="AN574" s="81">
        <v>91789228.416943148</v>
      </c>
      <c r="AO574" s="81">
        <v>92410769.578804359</v>
      </c>
      <c r="AP574" s="81">
        <v>93080192.701685771</v>
      </c>
      <c r="AQ574" s="81">
        <v>93808401.544789091</v>
      </c>
      <c r="AR574" s="81">
        <v>94607013.496918559</v>
      </c>
      <c r="AS574" s="81">
        <v>95488442.195763871</v>
      </c>
      <c r="AT574" s="81">
        <v>96465855.447536796</v>
      </c>
    </row>
    <row r="575" spans="1:46" ht="15.75">
      <c r="A575" s="81" t="s">
        <v>448</v>
      </c>
      <c r="B575" s="80">
        <v>440600</v>
      </c>
      <c r="C575" s="80" t="s">
        <v>423</v>
      </c>
      <c r="D575" s="84" t="s">
        <v>643</v>
      </c>
      <c r="E575" s="81">
        <v>106607778.33730356</v>
      </c>
      <c r="F575" s="81">
        <v>110516515.53067636</v>
      </c>
      <c r="G575" s="81">
        <v>113663463.18751241</v>
      </c>
      <c r="H575" s="81">
        <v>116672792.33491033</v>
      </c>
      <c r="I575" s="81">
        <v>119551395.29280366</v>
      </c>
      <c r="J575" s="81">
        <v>122306238.87241712</v>
      </c>
      <c r="K575" s="81">
        <v>124944401.13693352</v>
      </c>
      <c r="L575" s="81">
        <v>127472973.84156695</v>
      </c>
      <c r="M575" s="81">
        <v>129899061.66150743</v>
      </c>
      <c r="N575" s="81">
        <v>132229718.3189076</v>
      </c>
      <c r="O575" s="81">
        <v>134471959.19135371</v>
      </c>
      <c r="P575" s="81">
        <v>136632629.33182052</v>
      </c>
      <c r="Q575" s="81">
        <v>138149610.20576596</v>
      </c>
      <c r="R575" s="81">
        <v>139592471.11003044</v>
      </c>
      <c r="S575" s="81">
        <v>140968387.10341328</v>
      </c>
      <c r="T575" s="81">
        <v>142284142.94797528</v>
      </c>
      <c r="U575" s="81">
        <v>143546016.75468302</v>
      </c>
      <c r="V575" s="81">
        <v>144759858.06569514</v>
      </c>
      <c r="W575" s="81">
        <v>145930984.55871418</v>
      </c>
      <c r="X575" s="81">
        <v>147064146.86992508</v>
      </c>
      <c r="Y575" s="81">
        <v>148163522.24794209</v>
      </c>
      <c r="Z575" s="81">
        <v>149232650.00368273</v>
      </c>
      <c r="AA575" s="81">
        <v>149504843.01621574</v>
      </c>
      <c r="AB575" s="81">
        <v>149748640.05889434</v>
      </c>
      <c r="AC575" s="81">
        <v>149965882.51475275</v>
      </c>
      <c r="AD575" s="81">
        <v>150157664.22214496</v>
      </c>
      <c r="AE575" s="81">
        <v>150324269.51907447</v>
      </c>
      <c r="AF575" s="81">
        <v>150465140.62860292</v>
      </c>
      <c r="AG575" s="81">
        <v>150578875.27154842</v>
      </c>
      <c r="AH575" s="81">
        <v>150663224.71585801</v>
      </c>
      <c r="AI575" s="81">
        <v>150715046.06331998</v>
      </c>
      <c r="AJ575" s="81">
        <v>150730331.1503714</v>
      </c>
      <c r="AK575" s="81">
        <v>150812182.70001969</v>
      </c>
      <c r="AL575" s="81">
        <v>150846386.768345</v>
      </c>
      <c r="AM575" s="81">
        <v>150826017.12399817</v>
      </c>
      <c r="AN575" s="81">
        <v>150743161.56482789</v>
      </c>
      <c r="AO575" s="81">
        <v>150588901.61376336</v>
      </c>
      <c r="AP575" s="81">
        <v>150353308.11975265</v>
      </c>
      <c r="AQ575" s="81">
        <v>150025389.36503279</v>
      </c>
      <c r="AR575" s="81">
        <v>149593070.39184666</v>
      </c>
      <c r="AS575" s="81">
        <v>149043252.96193659</v>
      </c>
      <c r="AT575" s="81">
        <v>148361650.92559335</v>
      </c>
    </row>
    <row r="576" spans="1:46" ht="15.75">
      <c r="A576" s="81" t="s">
        <v>448</v>
      </c>
      <c r="B576" s="80">
        <v>440700</v>
      </c>
      <c r="C576" s="80" t="s">
        <v>423</v>
      </c>
      <c r="D576" s="84" t="s">
        <v>642</v>
      </c>
      <c r="E576" s="81">
        <v>49391342.76275707</v>
      </c>
      <c r="F576" s="81">
        <v>50898176.422989815</v>
      </c>
      <c r="G576" s="81">
        <v>52085542.823734768</v>
      </c>
      <c r="H576" s="81">
        <v>53239344.886035286</v>
      </c>
      <c r="I576" s="81">
        <v>54359521.899420626</v>
      </c>
      <c r="J576" s="81">
        <v>55446042.212287955</v>
      </c>
      <c r="K576" s="81">
        <v>56498991.712317199</v>
      </c>
      <c r="L576" s="81">
        <v>57518496.27252765</v>
      </c>
      <c r="M576" s="81">
        <v>58504790.122542143</v>
      </c>
      <c r="N576" s="81">
        <v>59458135.068848424</v>
      </c>
      <c r="O576" s="81">
        <v>60378926.281204052</v>
      </c>
      <c r="P576" s="81">
        <v>61267573.953587852</v>
      </c>
      <c r="Q576" s="81">
        <v>61869844.062410794</v>
      </c>
      <c r="R576" s="81">
        <v>62439139.256598793</v>
      </c>
      <c r="S576" s="81">
        <v>62976527.13532947</v>
      </c>
      <c r="T576" s="81">
        <v>63483148.003773794</v>
      </c>
      <c r="U576" s="81">
        <v>63960177.199273698</v>
      </c>
      <c r="V576" s="81">
        <v>64408850.264952026</v>
      </c>
      <c r="W576" s="81">
        <v>64830450.168762244</v>
      </c>
      <c r="X576" s="81">
        <v>65226307.027740054</v>
      </c>
      <c r="Y576" s="81">
        <v>65597771.021679565</v>
      </c>
      <c r="Z576" s="81">
        <v>65946291.950645834</v>
      </c>
      <c r="AA576" s="81">
        <v>66219925.074513949</v>
      </c>
      <c r="AB576" s="81">
        <v>66473574.203955434</v>
      </c>
      <c r="AC576" s="81">
        <v>66708843.741012834</v>
      </c>
      <c r="AD576" s="81">
        <v>66927391.280136898</v>
      </c>
      <c r="AE576" s="81">
        <v>67130871.310089469</v>
      </c>
      <c r="AF576" s="81">
        <v>67321018.359760836</v>
      </c>
      <c r="AG576" s="81">
        <v>67499590.906764135</v>
      </c>
      <c r="AH576" s="81">
        <v>67668370.293223962</v>
      </c>
      <c r="AI576" s="81">
        <v>67829217.986603335</v>
      </c>
      <c r="AJ576" s="81">
        <v>67983973.883513287</v>
      </c>
      <c r="AK576" s="81">
        <v>68158950.935505107</v>
      </c>
      <c r="AL576" s="81">
        <v>68331601.269026726</v>
      </c>
      <c r="AM576" s="81">
        <v>68503900.43441385</v>
      </c>
      <c r="AN576" s="81">
        <v>68677876.126932263</v>
      </c>
      <c r="AO576" s="81">
        <v>68855562.181879684</v>
      </c>
      <c r="AP576" s="81">
        <v>69039058.608847752</v>
      </c>
      <c r="AQ576" s="81">
        <v>69230485.425847575</v>
      </c>
      <c r="AR576" s="81">
        <v>69432012.86009331</v>
      </c>
      <c r="AS576" s="81">
        <v>69645813.723122224</v>
      </c>
      <c r="AT576" s="81">
        <v>69874125.455459446</v>
      </c>
    </row>
    <row r="577" spans="1:46" ht="15.75">
      <c r="A577" s="81" t="s">
        <v>448</v>
      </c>
      <c r="B577" s="80">
        <v>440800</v>
      </c>
      <c r="C577" s="80" t="s">
        <v>423</v>
      </c>
      <c r="D577" s="84" t="s">
        <v>641</v>
      </c>
      <c r="E577" s="81">
        <v>71749055.940475166</v>
      </c>
      <c r="F577" s="81">
        <v>74058329.110985398</v>
      </c>
      <c r="G577" s="81">
        <v>75976782.979021519</v>
      </c>
      <c r="H577" s="81">
        <v>77913818.403689891</v>
      </c>
      <c r="I577" s="81">
        <v>79863392.179359451</v>
      </c>
      <c r="J577" s="81">
        <v>81819519.265811652</v>
      </c>
      <c r="K577" s="81">
        <v>83776411.60786739</v>
      </c>
      <c r="L577" s="81">
        <v>85728418.802686647</v>
      </c>
      <c r="M577" s="81">
        <v>87670079.079253286</v>
      </c>
      <c r="N577" s="81">
        <v>89596184.854165137</v>
      </c>
      <c r="O577" s="81">
        <v>91501791.458536789</v>
      </c>
      <c r="P577" s="81">
        <v>93382212.208734691</v>
      </c>
      <c r="Q577" s="81">
        <v>94842600.042840466</v>
      </c>
      <c r="R577" s="81">
        <v>96262005.271971926</v>
      </c>
      <c r="S577" s="81">
        <v>97637500.526914641</v>
      </c>
      <c r="T577" s="81">
        <v>98966600.237420753</v>
      </c>
      <c r="U577" s="81">
        <v>100247297.71003257</v>
      </c>
      <c r="V577" s="81">
        <v>101478077.27708751</v>
      </c>
      <c r="W577" s="81">
        <v>102657991.78176162</v>
      </c>
      <c r="X577" s="81">
        <v>103786597.47779857</v>
      </c>
      <c r="Y577" s="81">
        <v>104864071.5589826</v>
      </c>
      <c r="Z577" s="81">
        <v>105891146.03292575</v>
      </c>
      <c r="AA577" s="81">
        <v>106783165.39141615</v>
      </c>
      <c r="AB577" s="81">
        <v>107627551.98815873</v>
      </c>
      <c r="AC577" s="81">
        <v>108427180.99036931</v>
      </c>
      <c r="AD577" s="81">
        <v>109185619.04882169</v>
      </c>
      <c r="AE577" s="81">
        <v>109907135.42549099</v>
      </c>
      <c r="AF577" s="81">
        <v>110596812.32202695</v>
      </c>
      <c r="AG577" s="81">
        <v>111260458.89441639</v>
      </c>
      <c r="AH577" s="81">
        <v>111904693.48633462</v>
      </c>
      <c r="AI577" s="81">
        <v>112537029.03432132</v>
      </c>
      <c r="AJ577" s="81">
        <v>113165755.70402843</v>
      </c>
      <c r="AK577" s="81">
        <v>113840856.31347676</v>
      </c>
      <c r="AL577" s="81">
        <v>114531862.49636336</v>
      </c>
      <c r="AM577" s="81">
        <v>115249894.21310049</v>
      </c>
      <c r="AN577" s="81">
        <v>116007018.87974736</v>
      </c>
      <c r="AO577" s="81">
        <v>116816387.21071029</v>
      </c>
      <c r="AP577" s="81">
        <v>117692173.53563695</v>
      </c>
      <c r="AQ577" s="81">
        <v>118649621.08531822</v>
      </c>
      <c r="AR577" s="81">
        <v>119705104.12185466</v>
      </c>
      <c r="AS577" s="81">
        <v>120876160.21731421</v>
      </c>
      <c r="AT577" s="81">
        <v>122181442.83575186</v>
      </c>
    </row>
    <row r="578" spans="1:46" ht="15.75">
      <c r="A578" s="81" t="s">
        <v>448</v>
      </c>
      <c r="B578" s="80">
        <v>440900</v>
      </c>
      <c r="C578" s="80" t="s">
        <v>423</v>
      </c>
      <c r="D578" s="84" t="s">
        <v>640</v>
      </c>
      <c r="E578" s="81">
        <v>57507920.412410744</v>
      </c>
      <c r="F578" s="81">
        <v>59161806.104888462</v>
      </c>
      <c r="G578" s="81">
        <v>60546768.544059388</v>
      </c>
      <c r="H578" s="81">
        <v>61987510.154425696</v>
      </c>
      <c r="I578" s="81">
        <v>63475688.104579791</v>
      </c>
      <c r="J578" s="81">
        <v>65003020.637986563</v>
      </c>
      <c r="K578" s="81">
        <v>66561345.456991397</v>
      </c>
      <c r="L578" s="81">
        <v>68142680.827252656</v>
      </c>
      <c r="M578" s="81">
        <v>69739215.038310751</v>
      </c>
      <c r="N578" s="81">
        <v>71343356.924762756</v>
      </c>
      <c r="O578" s="81">
        <v>72947831.9493341</v>
      </c>
      <c r="P578" s="81">
        <v>74545661.835701793</v>
      </c>
      <c r="Q578" s="81">
        <v>75818053.050823018</v>
      </c>
      <c r="R578" s="81">
        <v>77064099.319743782</v>
      </c>
      <c r="S578" s="81">
        <v>78278561.323492765</v>
      </c>
      <c r="T578" s="81">
        <v>79456765.204376057</v>
      </c>
      <c r="U578" s="81">
        <v>80594659.784276918</v>
      </c>
      <c r="V578" s="81">
        <v>81688793.337866291</v>
      </c>
      <c r="W578" s="81">
        <v>82736418.106663212</v>
      </c>
      <c r="X578" s="81">
        <v>83735503.511374027</v>
      </c>
      <c r="Y578" s="81">
        <v>84684724.335469484</v>
      </c>
      <c r="Z578" s="81">
        <v>85583593.269048691</v>
      </c>
      <c r="AA578" s="81">
        <v>86362763.337275758</v>
      </c>
      <c r="AB578" s="81">
        <v>87092404.0654293</v>
      </c>
      <c r="AC578" s="81">
        <v>87774671.891017571</v>
      </c>
      <c r="AD578" s="81">
        <v>88412691.270713016</v>
      </c>
      <c r="AE578" s="81">
        <v>89010515.913720682</v>
      </c>
      <c r="AF578" s="81">
        <v>89573189.435735315</v>
      </c>
      <c r="AG578" s="81">
        <v>90106820.690055102</v>
      </c>
      <c r="AH578" s="81">
        <v>90618556.908932254</v>
      </c>
      <c r="AI578" s="81">
        <v>91116659.47041893</v>
      </c>
      <c r="AJ578" s="81">
        <v>91610542.181404144</v>
      </c>
      <c r="AK578" s="81">
        <v>92143774.381918818</v>
      </c>
      <c r="AL578" s="81">
        <v>92695299.172666833</v>
      </c>
      <c r="AM578" s="81">
        <v>93278198.660694465</v>
      </c>
      <c r="AN578" s="81">
        <v>93906924.139830247</v>
      </c>
      <c r="AO578" s="81">
        <v>94597257.051265642</v>
      </c>
      <c r="AP578" s="81">
        <v>95366392.096272156</v>
      </c>
      <c r="AQ578" s="81">
        <v>96232966.505513191</v>
      </c>
      <c r="AR578" s="81">
        <v>97217131.739466652</v>
      </c>
      <c r="AS578" s="81">
        <v>98340541.038450271</v>
      </c>
      <c r="AT578" s="81">
        <v>99626464.730604574</v>
      </c>
    </row>
    <row r="579" spans="1:46" ht="15.75">
      <c r="A579" s="81" t="s">
        <v>448</v>
      </c>
      <c r="B579" s="80">
        <v>441200</v>
      </c>
      <c r="C579" s="80" t="s">
        <v>423</v>
      </c>
      <c r="D579" s="84" t="s">
        <v>639</v>
      </c>
      <c r="E579" s="81">
        <v>42441766.066769205</v>
      </c>
      <c r="F579" s="81">
        <v>43638218.080936477</v>
      </c>
      <c r="G579" s="81">
        <v>44605137.24645061</v>
      </c>
      <c r="H579" s="81">
        <v>45584760.542271934</v>
      </c>
      <c r="I579" s="81">
        <v>46573546.798357315</v>
      </c>
      <c r="J579" s="81">
        <v>47568021.707441121</v>
      </c>
      <c r="K579" s="81">
        <v>48564749.469995663</v>
      </c>
      <c r="L579" s="81">
        <v>49560382.006908827</v>
      </c>
      <c r="M579" s="81">
        <v>50551664.471526057</v>
      </c>
      <c r="N579" s="81">
        <v>51535487.872573368</v>
      </c>
      <c r="O579" s="81">
        <v>52508824.060863182</v>
      </c>
      <c r="P579" s="81">
        <v>53468825.82458137</v>
      </c>
      <c r="Q579" s="81">
        <v>54189666.684955239</v>
      </c>
      <c r="R579" s="81">
        <v>54888630.476029053</v>
      </c>
      <c r="S579" s="81">
        <v>55563762.093407221</v>
      </c>
      <c r="T579" s="81">
        <v>56213359.822066627</v>
      </c>
      <c r="U579" s="81">
        <v>56835963.8984989</v>
      </c>
      <c r="V579" s="81">
        <v>57430408.884552158</v>
      </c>
      <c r="W579" s="81">
        <v>57995799.632063448</v>
      </c>
      <c r="X579" s="81">
        <v>58531538.28474126</v>
      </c>
      <c r="Y579" s="81">
        <v>59037379.029702939</v>
      </c>
      <c r="Z579" s="81">
        <v>59513363.633429311</v>
      </c>
      <c r="AA579" s="81">
        <v>59911615.085516244</v>
      </c>
      <c r="AB579" s="81">
        <v>60280953.069193259</v>
      </c>
      <c r="AC579" s="81">
        <v>60622615.71459233</v>
      </c>
      <c r="AD579" s="81">
        <v>60938196.810970291</v>
      </c>
      <c r="AE579" s="81">
        <v>61229701.321490601</v>
      </c>
      <c r="AF579" s="81">
        <v>61499546.274969384</v>
      </c>
      <c r="AG579" s="81">
        <v>61750589.819734283</v>
      </c>
      <c r="AH579" s="81">
        <v>61986117.75628496</v>
      </c>
      <c r="AI579" s="81">
        <v>62209901.759244077</v>
      </c>
      <c r="AJ579" s="81">
        <v>62426186.379203498</v>
      </c>
      <c r="AK579" s="81">
        <v>62662101.215258352</v>
      </c>
      <c r="AL579" s="81">
        <v>62900440.923428975</v>
      </c>
      <c r="AM579" s="81">
        <v>63146970.512201838</v>
      </c>
      <c r="AN579" s="81">
        <v>63408014.452180721</v>
      </c>
      <c r="AO579" s="81">
        <v>63690458.843834445</v>
      </c>
      <c r="AP579" s="81">
        <v>64001768.484339543</v>
      </c>
      <c r="AQ579" s="81">
        <v>64350004.120489858</v>
      </c>
      <c r="AR579" s="81">
        <v>64743871.375907421</v>
      </c>
      <c r="AS579" s="81">
        <v>65192676.187496237</v>
      </c>
      <c r="AT579" s="81">
        <v>65706421.345228128</v>
      </c>
    </row>
    <row r="580" spans="1:46" ht="15.75">
      <c r="A580" s="81" t="s">
        <v>448</v>
      </c>
      <c r="B580" s="80">
        <v>441300</v>
      </c>
      <c r="C580" s="80" t="s">
        <v>423</v>
      </c>
      <c r="D580" s="84" t="s">
        <v>638</v>
      </c>
      <c r="E580" s="81">
        <v>64961257.252377689</v>
      </c>
      <c r="F580" s="81">
        <v>67206206.113735601</v>
      </c>
      <c r="G580" s="81">
        <v>69052801.334593773</v>
      </c>
      <c r="H580" s="81">
        <v>70876145.811945677</v>
      </c>
      <c r="I580" s="81">
        <v>72675139.942698002</v>
      </c>
      <c r="J580" s="81">
        <v>74448766.754590392</v>
      </c>
      <c r="K580" s="81">
        <v>76196060.522397831</v>
      </c>
      <c r="L580" s="81">
        <v>77916108.768314376</v>
      </c>
      <c r="M580" s="81">
        <v>79608066.615079314</v>
      </c>
      <c r="N580" s="81">
        <v>81271172.222645953</v>
      </c>
      <c r="O580" s="81">
        <v>82904725.253307596</v>
      </c>
      <c r="P580" s="81">
        <v>84508114.717786014</v>
      </c>
      <c r="Q580" s="81">
        <v>85727817.752673686</v>
      </c>
      <c r="R580" s="81">
        <v>86910397.030187383</v>
      </c>
      <c r="S580" s="81">
        <v>88056048.936221451</v>
      </c>
      <c r="T580" s="81">
        <v>89165004.094692051</v>
      </c>
      <c r="U580" s="81">
        <v>90237581.533881545</v>
      </c>
      <c r="V580" s="81">
        <v>91274191.389703587</v>
      </c>
      <c r="W580" s="81">
        <v>92275282.519840762</v>
      </c>
      <c r="X580" s="81">
        <v>93241426.091490924</v>
      </c>
      <c r="Y580" s="81">
        <v>94173249.450728908</v>
      </c>
      <c r="Z580" s="81">
        <v>95071479.459127709</v>
      </c>
      <c r="AA580" s="81">
        <v>95859647.991481349</v>
      </c>
      <c r="AB580" s="81">
        <v>96615292.901125729</v>
      </c>
      <c r="AC580" s="81">
        <v>97339493.395785511</v>
      </c>
      <c r="AD580" s="81">
        <v>98033418.274066404</v>
      </c>
      <c r="AE580" s="81">
        <v>98698298.293237686</v>
      </c>
      <c r="AF580" s="81">
        <v>99335471.64958933</v>
      </c>
      <c r="AG580" s="81">
        <v>99946401.628003493</v>
      </c>
      <c r="AH580" s="81">
        <v>100532588.83513744</v>
      </c>
      <c r="AI580" s="81">
        <v>101095662.4770503</v>
      </c>
      <c r="AJ580" s="81">
        <v>101637368.22416003</v>
      </c>
      <c r="AK580" s="81">
        <v>101830187.26790482</v>
      </c>
      <c r="AL580" s="81">
        <v>102004366.45722544</v>
      </c>
      <c r="AM580" s="81">
        <v>102162127.32487394</v>
      </c>
      <c r="AN580" s="81">
        <v>102305739.88327333</v>
      </c>
      <c r="AO580" s="81">
        <v>102437538.49290673</v>
      </c>
      <c r="AP580" s="81">
        <v>102559985.86510333</v>
      </c>
      <c r="AQ580" s="81">
        <v>102675595.22400664</v>
      </c>
      <c r="AR580" s="81">
        <v>102786962.45498003</v>
      </c>
      <c r="AS580" s="81">
        <v>102896750.81779727</v>
      </c>
      <c r="AT580" s="81">
        <v>103007756.19630091</v>
      </c>
    </row>
    <row r="581" spans="1:46" ht="15.75">
      <c r="A581" s="81" t="s">
        <v>448</v>
      </c>
      <c r="B581" s="80">
        <v>441400</v>
      </c>
      <c r="C581" s="80" t="s">
        <v>423</v>
      </c>
      <c r="D581" s="84" t="s">
        <v>637</v>
      </c>
      <c r="E581" s="81">
        <v>36131432.511069871</v>
      </c>
      <c r="F581" s="81">
        <v>37113590.604928397</v>
      </c>
      <c r="G581" s="81">
        <v>37903366.661957413</v>
      </c>
      <c r="H581" s="81">
        <v>38706634.736298226</v>
      </c>
      <c r="I581" s="81">
        <v>39520058.471971095</v>
      </c>
      <c r="J581" s="81">
        <v>40340316.216256626</v>
      </c>
      <c r="K581" s="81">
        <v>41164165.804919779</v>
      </c>
      <c r="L581" s="81">
        <v>41988451.340482622</v>
      </c>
      <c r="M581" s="81">
        <v>42810088.186365567</v>
      </c>
      <c r="N581" s="81">
        <v>43626131.836100355</v>
      </c>
      <c r="O581" s="81">
        <v>44433742.371996701</v>
      </c>
      <c r="P581" s="81">
        <v>45230222.314257182</v>
      </c>
      <c r="Q581" s="81">
        <v>45824393.057245605</v>
      </c>
      <c r="R581" s="81">
        <v>46399859.437346891</v>
      </c>
      <c r="S581" s="81">
        <v>46954776.873955734</v>
      </c>
      <c r="T581" s="81">
        <v>47487559.864589028</v>
      </c>
      <c r="U581" s="81">
        <v>47996826.687680885</v>
      </c>
      <c r="V581" s="81">
        <v>48481493.143461332</v>
      </c>
      <c r="W581" s="81">
        <v>48940764.365033597</v>
      </c>
      <c r="X581" s="81">
        <v>49374101.518867813</v>
      </c>
      <c r="Y581" s="81">
        <v>49781319.082828775</v>
      </c>
      <c r="Z581" s="81">
        <v>50162516.106515422</v>
      </c>
      <c r="AA581" s="81">
        <v>50477455.406063378</v>
      </c>
      <c r="AB581" s="81">
        <v>50767499.520614564</v>
      </c>
      <c r="AC581" s="81">
        <v>51033868.850433916</v>
      </c>
      <c r="AD581" s="81">
        <v>51278183.382333703</v>
      </c>
      <c r="AE581" s="81">
        <v>51502439.59125644</v>
      </c>
      <c r="AF581" s="81">
        <v>51709049.860181294</v>
      </c>
      <c r="AG581" s="81">
        <v>51900857.432427406</v>
      </c>
      <c r="AH581" s="81">
        <v>52081112.323337622</v>
      </c>
      <c r="AI581" s="81">
        <v>52253550.890364461</v>
      </c>
      <c r="AJ581" s="81">
        <v>52422345.93932575</v>
      </c>
      <c r="AK581" s="81">
        <v>52610990.12634217</v>
      </c>
      <c r="AL581" s="81">
        <v>52805781.844551228</v>
      </c>
      <c r="AM581" s="81">
        <v>53012426.120043471</v>
      </c>
      <c r="AN581" s="81">
        <v>53237120.163163774</v>
      </c>
      <c r="AO581" s="81">
        <v>53486651.382199548</v>
      </c>
      <c r="AP581" s="81">
        <v>53768373.902613036</v>
      </c>
      <c r="AQ581" s="81">
        <v>54090197.276857033</v>
      </c>
      <c r="AR581" s="81">
        <v>54460673.510746457</v>
      </c>
      <c r="AS581" s="81">
        <v>54888944.4139167</v>
      </c>
      <c r="AT581" s="81">
        <v>55384815.715940431</v>
      </c>
    </row>
    <row r="582" spans="1:46" ht="15.75">
      <c r="A582" s="81" t="s">
        <v>448</v>
      </c>
      <c r="B582" s="80">
        <v>441500</v>
      </c>
      <c r="C582" s="80" t="s">
        <v>423</v>
      </c>
      <c r="D582" s="84" t="s">
        <v>636</v>
      </c>
      <c r="E582" s="81">
        <v>24722467.045566872</v>
      </c>
      <c r="F582" s="81">
        <v>25612628.880344354</v>
      </c>
      <c r="G582" s="81">
        <v>26365629.056447767</v>
      </c>
      <c r="H582" s="81">
        <v>27122582.910756297</v>
      </c>
      <c r="I582" s="81">
        <v>27881471.754472744</v>
      </c>
      <c r="J582" s="81">
        <v>28640312.811532442</v>
      </c>
      <c r="K582" s="81">
        <v>29397178.449582327</v>
      </c>
      <c r="L582" s="81">
        <v>30150206.042850576</v>
      </c>
      <c r="M582" s="81">
        <v>30897608.050466459</v>
      </c>
      <c r="N582" s="81">
        <v>31637682.310230494</v>
      </c>
      <c r="O582" s="81">
        <v>32368822.547834899</v>
      </c>
      <c r="P582" s="81">
        <v>33089540.193250626</v>
      </c>
      <c r="Q582" s="81">
        <v>33659856.082730949</v>
      </c>
      <c r="R582" s="81">
        <v>34214034.224736452</v>
      </c>
      <c r="S582" s="81">
        <v>34751240.566489205</v>
      </c>
      <c r="T582" s="81">
        <v>35270764.964164592</v>
      </c>
      <c r="U582" s="81">
        <v>35772086.047517881</v>
      </c>
      <c r="V582" s="81">
        <v>36254833.725700065</v>
      </c>
      <c r="W582" s="81">
        <v>36718855.969410345</v>
      </c>
      <c r="X582" s="81">
        <v>37164157.259134263</v>
      </c>
      <c r="Y582" s="81">
        <v>37590966.174404681</v>
      </c>
      <c r="Z582" s="81">
        <v>37999708.800171688</v>
      </c>
      <c r="AA582" s="81">
        <v>38360115.542036392</v>
      </c>
      <c r="AB582" s="81">
        <v>38703657.700550921</v>
      </c>
      <c r="AC582" s="81">
        <v>39031497.691452429</v>
      </c>
      <c r="AD582" s="81">
        <v>39345039.420381397</v>
      </c>
      <c r="AE582" s="81">
        <v>39645911.417235903</v>
      </c>
      <c r="AF582" s="81">
        <v>39936038.764426939</v>
      </c>
      <c r="AG582" s="81">
        <v>40217588.724566303</v>
      </c>
      <c r="AH582" s="81">
        <v>40493004.73401808</v>
      </c>
      <c r="AI582" s="81">
        <v>40765028.611283883</v>
      </c>
      <c r="AJ582" s="81">
        <v>41036683.652227968</v>
      </c>
      <c r="AK582" s="81">
        <v>41326087.109119751</v>
      </c>
      <c r="AL582" s="81">
        <v>41622194.707734868</v>
      </c>
      <c r="AM582" s="81">
        <v>41928979.507184871</v>
      </c>
      <c r="AN582" s="81">
        <v>42250738.580666162</v>
      </c>
      <c r="AO582" s="81">
        <v>42592171.889703467</v>
      </c>
      <c r="AP582" s="81">
        <v>42958282.95911593</v>
      </c>
      <c r="AQ582" s="81">
        <v>43354457.389592424</v>
      </c>
      <c r="AR582" s="81">
        <v>43786502.32959494</v>
      </c>
      <c r="AS582" s="81">
        <v>44260544.085128732</v>
      </c>
      <c r="AT582" s="81">
        <v>44783180.412366353</v>
      </c>
    </row>
    <row r="583" spans="1:46" ht="15.75">
      <c r="A583" s="81" t="s">
        <v>448</v>
      </c>
      <c r="B583" s="80">
        <v>441600</v>
      </c>
      <c r="C583" s="80" t="s">
        <v>423</v>
      </c>
      <c r="D583" s="84" t="s">
        <v>635</v>
      </c>
      <c r="E583" s="81">
        <v>26541396.015115403</v>
      </c>
      <c r="F583" s="81">
        <v>27191903.692684118</v>
      </c>
      <c r="G583" s="81">
        <v>27720433.773042854</v>
      </c>
      <c r="H583" s="81">
        <v>28277127.954345729</v>
      </c>
      <c r="I583" s="81">
        <v>28858450.684224516</v>
      </c>
      <c r="J583" s="81">
        <v>29460821.034021433</v>
      </c>
      <c r="K583" s="81">
        <v>30080727.383963749</v>
      </c>
      <c r="L583" s="81">
        <v>30714673.379263617</v>
      </c>
      <c r="M583" s="81">
        <v>31359245.487478253</v>
      </c>
      <c r="N583" s="81">
        <v>32011066.890206903</v>
      </c>
      <c r="O583" s="81">
        <v>32666888.417000759</v>
      </c>
      <c r="P583" s="81">
        <v>33323542.13255373</v>
      </c>
      <c r="Q583" s="81">
        <v>33838679.616499916</v>
      </c>
      <c r="R583" s="81">
        <v>34346058.615100615</v>
      </c>
      <c r="S583" s="81">
        <v>34843151.765607327</v>
      </c>
      <c r="T583" s="81">
        <v>35327608.457868636</v>
      </c>
      <c r="U583" s="81">
        <v>35797324.934083693</v>
      </c>
      <c r="V583" s="81">
        <v>36250447.39790462</v>
      </c>
      <c r="W583" s="81">
        <v>36685386.544609919</v>
      </c>
      <c r="X583" s="81">
        <v>37100820.324123628</v>
      </c>
      <c r="Y583" s="81">
        <v>37495696.237678617</v>
      </c>
      <c r="Z583" s="81">
        <v>37869282.019454911</v>
      </c>
      <c r="AA583" s="81">
        <v>38190392.12989603</v>
      </c>
      <c r="AB583" s="81">
        <v>38489490.632219009</v>
      </c>
      <c r="AC583" s="81">
        <v>38766893.682713799</v>
      </c>
      <c r="AD583" s="81">
        <v>39023297.505172402</v>
      </c>
      <c r="AE583" s="81">
        <v>39259768.235689268</v>
      </c>
      <c r="AF583" s="81">
        <v>39477756.373449989</v>
      </c>
      <c r="AG583" s="81">
        <v>39679124.369329192</v>
      </c>
      <c r="AH583" s="81">
        <v>39866175.0405825</v>
      </c>
      <c r="AI583" s="81">
        <v>40041614.9171573</v>
      </c>
      <c r="AJ583" s="81">
        <v>40208621.470723145</v>
      </c>
      <c r="AK583" s="81">
        <v>40385286.42911604</v>
      </c>
      <c r="AL583" s="81">
        <v>40561307.532465979</v>
      </c>
      <c r="AM583" s="81">
        <v>40741295.947830752</v>
      </c>
      <c r="AN583" s="81">
        <v>40930405.14877671</v>
      </c>
      <c r="AO583" s="81">
        <v>41134348.895277672</v>
      </c>
      <c r="AP583" s="81">
        <v>41359363.474784404</v>
      </c>
      <c r="AQ583" s="81">
        <v>41612308.359541297</v>
      </c>
      <c r="AR583" s="81">
        <v>41900572.189082995</v>
      </c>
      <c r="AS583" s="81">
        <v>42232217.062580593</v>
      </c>
      <c r="AT583" s="81">
        <v>42615883.614593551</v>
      </c>
    </row>
    <row r="584" spans="1:46" ht="15.75">
      <c r="A584" s="81" t="s">
        <v>448</v>
      </c>
      <c r="B584" s="80">
        <v>441700</v>
      </c>
      <c r="C584" s="80" t="s">
        <v>423</v>
      </c>
      <c r="D584" s="84" t="s">
        <v>634</v>
      </c>
      <c r="E584" s="81">
        <v>24268842.075251583</v>
      </c>
      <c r="F584" s="81">
        <v>24941865.94939908</v>
      </c>
      <c r="G584" s="81">
        <v>25479288.117136247</v>
      </c>
      <c r="H584" s="81">
        <v>26020062.820921682</v>
      </c>
      <c r="I584" s="81">
        <v>26562607.848534044</v>
      </c>
      <c r="J584" s="81">
        <v>27105353.848888904</v>
      </c>
      <c r="K584" s="81">
        <v>27646771.111762449</v>
      </c>
      <c r="L584" s="81">
        <v>28185377.352755945</v>
      </c>
      <c r="M584" s="81">
        <v>28719713.782975338</v>
      </c>
      <c r="N584" s="81">
        <v>29248404.852695715</v>
      </c>
      <c r="O584" s="81">
        <v>29770091.510209076</v>
      </c>
      <c r="P584" s="81">
        <v>30283535.613984503</v>
      </c>
      <c r="Q584" s="81">
        <v>30661279.801434506</v>
      </c>
      <c r="R584" s="81">
        <v>31026817.704344627</v>
      </c>
      <c r="S584" s="81">
        <v>31379335.550868295</v>
      </c>
      <c r="T584" s="81">
        <v>31718127.351261087</v>
      </c>
      <c r="U584" s="81">
        <v>32042565.945223033</v>
      </c>
      <c r="V584" s="81">
        <v>32352177.9469481</v>
      </c>
      <c r="W584" s="81">
        <v>32646627.848285865</v>
      </c>
      <c r="X584" s="81">
        <v>32925688.884109303</v>
      </c>
      <c r="Y584" s="81">
        <v>33189284.542992968</v>
      </c>
      <c r="Z584" s="81">
        <v>33437483.355324276</v>
      </c>
      <c r="AA584" s="81">
        <v>33643369.466628127</v>
      </c>
      <c r="AB584" s="81">
        <v>33834382.872624047</v>
      </c>
      <c r="AC584" s="81">
        <v>34011077.799429461</v>
      </c>
      <c r="AD584" s="81">
        <v>34174214.297662012</v>
      </c>
      <c r="AE584" s="81">
        <v>34324740.589870371</v>
      </c>
      <c r="AF584" s="81">
        <v>34463774.21982722</v>
      </c>
      <c r="AG584" s="81">
        <v>34592594.948052153</v>
      </c>
      <c r="AH584" s="81">
        <v>34712728.565302067</v>
      </c>
      <c r="AI584" s="81">
        <v>34825876.522079654</v>
      </c>
      <c r="AJ584" s="81">
        <v>34933948.039878927</v>
      </c>
      <c r="AK584" s="81">
        <v>35051624.998789109</v>
      </c>
      <c r="AL584" s="81">
        <v>35168693.107724071</v>
      </c>
      <c r="AM584" s="81">
        <v>35287728.48768416</v>
      </c>
      <c r="AN584" s="81">
        <v>35411587.429600336</v>
      </c>
      <c r="AO584" s="81">
        <v>35543318.395897783</v>
      </c>
      <c r="AP584" s="81">
        <v>35686265.005968764</v>
      </c>
      <c r="AQ584" s="81">
        <v>35844032.978691995</v>
      </c>
      <c r="AR584" s="81">
        <v>36020497.715845168</v>
      </c>
      <c r="AS584" s="81">
        <v>36219797.625657335</v>
      </c>
      <c r="AT584" s="81">
        <v>36446370.190168142</v>
      </c>
    </row>
    <row r="585" spans="1:46" ht="15.75">
      <c r="A585" s="81" t="s">
        <v>448</v>
      </c>
      <c r="B585" s="80">
        <v>441800</v>
      </c>
      <c r="C585" s="80" t="s">
        <v>423</v>
      </c>
      <c r="D585" s="84" t="s">
        <v>633</v>
      </c>
      <c r="E585" s="81">
        <v>40964176.191185519</v>
      </c>
      <c r="F585" s="81">
        <v>42108781.141881101</v>
      </c>
      <c r="G585" s="81">
        <v>43027781.399283133</v>
      </c>
      <c r="H585" s="81">
        <v>43955341.515309215</v>
      </c>
      <c r="I585" s="81">
        <v>44888399.333024569</v>
      </c>
      <c r="J585" s="81">
        <v>45823916.521305494</v>
      </c>
      <c r="K585" s="81">
        <v>46758947.878645994</v>
      </c>
      <c r="L585" s="81">
        <v>47690576.7650951</v>
      </c>
      <c r="M585" s="81">
        <v>48616020.327562667</v>
      </c>
      <c r="N585" s="81">
        <v>49532552.13318602</v>
      </c>
      <c r="O585" s="81">
        <v>50437610.710535012</v>
      </c>
      <c r="P585" s="81">
        <v>51328707.843065359</v>
      </c>
      <c r="Q585" s="81">
        <v>51989493.027647875</v>
      </c>
      <c r="R585" s="81">
        <v>52628920.421687752</v>
      </c>
      <c r="S585" s="81">
        <v>53245335.789899796</v>
      </c>
      <c r="T585" s="81">
        <v>53837336.292562276</v>
      </c>
      <c r="U585" s="81">
        <v>54403719.871614881</v>
      </c>
      <c r="V585" s="81">
        <v>54943522.231366493</v>
      </c>
      <c r="W585" s="81">
        <v>55456016.053552546</v>
      </c>
      <c r="X585" s="81">
        <v>55940775.985562444</v>
      </c>
      <c r="Y585" s="81">
        <v>56397612.873324916</v>
      </c>
      <c r="Z585" s="81">
        <v>56826638.858707145</v>
      </c>
      <c r="AA585" s="81">
        <v>57182152.966319159</v>
      </c>
      <c r="AB585" s="81">
        <v>57510822.993257195</v>
      </c>
      <c r="AC585" s="81">
        <v>57813754.963184483</v>
      </c>
      <c r="AD585" s="81">
        <v>58092390.486730464</v>
      </c>
      <c r="AE585" s="81">
        <v>58348519.277225181</v>
      </c>
      <c r="AF585" s="81">
        <v>58584320.277621128</v>
      </c>
      <c r="AG585" s="81">
        <v>58802303.916000672</v>
      </c>
      <c r="AH585" s="81">
        <v>59005395.630071551</v>
      </c>
      <c r="AI585" s="81">
        <v>59196891.812418573</v>
      </c>
      <c r="AJ585" s="81">
        <v>59380516.001940347</v>
      </c>
      <c r="AK585" s="81">
        <v>59581756.900945678</v>
      </c>
      <c r="AL585" s="81">
        <v>59783819.830666184</v>
      </c>
      <c r="AM585" s="81">
        <v>59991755.000737958</v>
      </c>
      <c r="AN585" s="81">
        <v>60211087.743684098</v>
      </c>
      <c r="AO585" s="81">
        <v>60447802.503436923</v>
      </c>
      <c r="AP585" s="81">
        <v>60708433.811078191</v>
      </c>
      <c r="AQ585" s="81">
        <v>60999989.566453643</v>
      </c>
      <c r="AR585" s="81">
        <v>61330058.727403998</v>
      </c>
      <c r="AS585" s="81">
        <v>61706733.358632974</v>
      </c>
      <c r="AT585" s="81">
        <v>62138686.192781061</v>
      </c>
    </row>
    <row r="586" spans="1:46" ht="15.75">
      <c r="A586" s="81" t="s">
        <v>448</v>
      </c>
      <c r="B586" s="80">
        <v>441900</v>
      </c>
      <c r="C586" s="80" t="s">
        <v>423</v>
      </c>
      <c r="D586" s="84" t="s">
        <v>632</v>
      </c>
      <c r="E586" s="81">
        <v>116470206.60822572</v>
      </c>
      <c r="F586" s="81">
        <v>121780642.68078741</v>
      </c>
      <c r="G586" s="81">
        <v>126137497.50692232</v>
      </c>
      <c r="H586" s="81">
        <v>130233987.80220632</v>
      </c>
      <c r="I586" s="81">
        <v>134088970.99062054</v>
      </c>
      <c r="J586" s="81">
        <v>137721375.37888047</v>
      </c>
      <c r="K586" s="81">
        <v>141150178.99140978</v>
      </c>
      <c r="L586" s="81">
        <v>144394278.07765862</v>
      </c>
      <c r="M586" s="81">
        <v>147472401.55799106</v>
      </c>
      <c r="N586" s="81">
        <v>150403011.08807608</v>
      </c>
      <c r="O586" s="81">
        <v>153204185.45596668</v>
      </c>
      <c r="P586" s="81">
        <v>155893501.46005151</v>
      </c>
      <c r="Q586" s="81">
        <v>157755971.4368771</v>
      </c>
      <c r="R586" s="81">
        <v>159530504.3190788</v>
      </c>
      <c r="S586" s="81">
        <v>161233741.73983338</v>
      </c>
      <c r="T586" s="81">
        <v>162881062.27662808</v>
      </c>
      <c r="U586" s="81">
        <v>164486570.11312714</v>
      </c>
      <c r="V586" s="81">
        <v>166062958.23677897</v>
      </c>
      <c r="W586" s="81">
        <v>167621467.86902687</v>
      </c>
      <c r="X586" s="81">
        <v>169171776.54205081</v>
      </c>
      <c r="Y586" s="81">
        <v>170721898.02284023</v>
      </c>
      <c r="Z586" s="81">
        <v>172278168.76884788</v>
      </c>
      <c r="AA586" s="81">
        <v>173122792.30684003</v>
      </c>
      <c r="AB586" s="81">
        <v>173973524.44385731</v>
      </c>
      <c r="AC586" s="81">
        <v>174830882.99074087</v>
      </c>
      <c r="AD586" s="81">
        <v>175693318.51647052</v>
      </c>
      <c r="AE586" s="81">
        <v>176557195.94452894</v>
      </c>
      <c r="AF586" s="81">
        <v>177416716.2741482</v>
      </c>
      <c r="AG586" s="81">
        <v>178263867.95724252</v>
      </c>
      <c r="AH586" s="81">
        <v>179088424.23870203</v>
      </c>
      <c r="AI586" s="81">
        <v>179877803.24081665</v>
      </c>
      <c r="AJ586" s="81">
        <v>180617126.51758355</v>
      </c>
      <c r="AK586" s="81">
        <v>181328368.3498615</v>
      </c>
      <c r="AL586" s="81">
        <v>181952412.97886544</v>
      </c>
      <c r="AM586" s="81">
        <v>182466949.10320795</v>
      </c>
      <c r="AN586" s="81">
        <v>182847125.19415361</v>
      </c>
      <c r="AO586" s="81">
        <v>183065467.62662888</v>
      </c>
      <c r="AP586" s="81">
        <v>183091813.82928962</v>
      </c>
      <c r="AQ586" s="81">
        <v>182893340.86492357</v>
      </c>
      <c r="AR586" s="81">
        <v>182434419.64590424</v>
      </c>
      <c r="AS586" s="81">
        <v>181676611.63064867</v>
      </c>
      <c r="AT586" s="81">
        <v>180578618.24790674</v>
      </c>
    </row>
    <row r="587" spans="1:46" ht="15.75">
      <c r="A587" s="81" t="s">
        <v>448</v>
      </c>
      <c r="B587" s="80">
        <v>442000</v>
      </c>
      <c r="C587" s="80" t="s">
        <v>423</v>
      </c>
      <c r="D587" s="84" t="s">
        <v>631</v>
      </c>
      <c r="E587" s="81">
        <v>47292217.482859969</v>
      </c>
      <c r="F587" s="81">
        <v>49136997.788656719</v>
      </c>
      <c r="G587" s="81">
        <v>50635373.870779984</v>
      </c>
      <c r="H587" s="81">
        <v>52065093.426218286</v>
      </c>
      <c r="I587" s="81">
        <v>53430080.265972868</v>
      </c>
      <c r="J587" s="81">
        <v>54734279.906848952</v>
      </c>
      <c r="K587" s="81">
        <v>55981697.508307375</v>
      </c>
      <c r="L587" s="81">
        <v>57176306.757142842</v>
      </c>
      <c r="M587" s="81">
        <v>58322112.276444681</v>
      </c>
      <c r="N587" s="81">
        <v>59423056.238727331</v>
      </c>
      <c r="O587" s="81">
        <v>60483019.61352241</v>
      </c>
      <c r="P587" s="81">
        <v>61505825.008614093</v>
      </c>
      <c r="Q587" s="81">
        <v>62238914.536735632</v>
      </c>
      <c r="R587" s="81">
        <v>62939118.892434344</v>
      </c>
      <c r="S587" s="81">
        <v>63610272.506076761</v>
      </c>
      <c r="T587" s="81">
        <v>64255977.013971224</v>
      </c>
      <c r="U587" s="81">
        <v>64879569.916031659</v>
      </c>
      <c r="V587" s="81">
        <v>65484105.80450315</v>
      </c>
      <c r="W587" s="81">
        <v>66072337.290906794</v>
      </c>
      <c r="X587" s="81">
        <v>66646723.453946367</v>
      </c>
      <c r="Y587" s="81">
        <v>67209341.269260719</v>
      </c>
      <c r="Z587" s="81">
        <v>67761962.885525078</v>
      </c>
      <c r="AA587" s="81">
        <v>68250941.869960487</v>
      </c>
      <c r="AB587" s="81">
        <v>68731914.98201248</v>
      </c>
      <c r="AC587" s="81">
        <v>69205473.926438078</v>
      </c>
      <c r="AD587" s="81">
        <v>69671752.646482125</v>
      </c>
      <c r="AE587" s="81">
        <v>70130466.262802079</v>
      </c>
      <c r="AF587" s="81">
        <v>70580788.64184995</v>
      </c>
      <c r="AG587" s="81">
        <v>71021450.139863342</v>
      </c>
      <c r="AH587" s="81">
        <v>71450628.723107457</v>
      </c>
      <c r="AI587" s="81">
        <v>71866004.58574456</v>
      </c>
      <c r="AJ587" s="81">
        <v>72264648.645603582</v>
      </c>
      <c r="AK587" s="81">
        <v>72408909.529715627</v>
      </c>
      <c r="AL587" s="81">
        <v>72528206.254418373</v>
      </c>
      <c r="AM587" s="81">
        <v>72618077.048600987</v>
      </c>
      <c r="AN587" s="81">
        <v>72673569.154364869</v>
      </c>
      <c r="AO587" s="81">
        <v>72689054.715715125</v>
      </c>
      <c r="AP587" s="81">
        <v>72658359.322023004</v>
      </c>
      <c r="AQ587" s="81">
        <v>72574671.18361029</v>
      </c>
      <c r="AR587" s="81">
        <v>72430528.186163902</v>
      </c>
      <c r="AS587" s="81">
        <v>72217853.295246333</v>
      </c>
      <c r="AT587" s="81">
        <v>71927926.541117072</v>
      </c>
    </row>
    <row r="588" spans="1:46" ht="15.75">
      <c r="A588" s="81" t="s">
        <v>448</v>
      </c>
      <c r="B588" s="80">
        <v>445100</v>
      </c>
      <c r="C588" s="80" t="s">
        <v>423</v>
      </c>
      <c r="D588" s="84" t="s">
        <v>630</v>
      </c>
      <c r="E588" s="81">
        <v>26444565.31979876</v>
      </c>
      <c r="F588" s="81">
        <v>27245954.080149949</v>
      </c>
      <c r="G588" s="81">
        <v>27891886.815617558</v>
      </c>
      <c r="H588" s="81">
        <v>28534012.899190091</v>
      </c>
      <c r="I588" s="81">
        <v>29170926.533051874</v>
      </c>
      <c r="J588" s="81">
        <v>29801196.275181051</v>
      </c>
      <c r="K588" s="81">
        <v>30423492.450814992</v>
      </c>
      <c r="L588" s="81">
        <v>31036505.293233532</v>
      </c>
      <c r="M588" s="81">
        <v>31639008.18925428</v>
      </c>
      <c r="N588" s="81">
        <v>32229842.55135547</v>
      </c>
      <c r="O588" s="81">
        <v>32807925.031458382</v>
      </c>
      <c r="P588" s="81">
        <v>33372254.877818882</v>
      </c>
      <c r="Q588" s="81">
        <v>33782817.606822759</v>
      </c>
      <c r="R588" s="81">
        <v>34176170.346144676</v>
      </c>
      <c r="S588" s="81">
        <v>34551862.645739347</v>
      </c>
      <c r="T588" s="81">
        <v>34909558.552503593</v>
      </c>
      <c r="U588" s="81">
        <v>35249055.15581575</v>
      </c>
      <c r="V588" s="81">
        <v>35570262.906880975</v>
      </c>
      <c r="W588" s="81">
        <v>35873250.243279904</v>
      </c>
      <c r="X588" s="81">
        <v>36158184.394067109</v>
      </c>
      <c r="Y588" s="81">
        <v>36425429.243501648</v>
      </c>
      <c r="Z588" s="81">
        <v>36675472.78364443</v>
      </c>
      <c r="AA588" s="81">
        <v>36879240.534471259</v>
      </c>
      <c r="AB588" s="81">
        <v>37067211.855412677</v>
      </c>
      <c r="AC588" s="81">
        <v>37240413.335670836</v>
      </c>
      <c r="AD588" s="81">
        <v>37400056.916505069</v>
      </c>
      <c r="AE588" s="81">
        <v>37547532.225444667</v>
      </c>
      <c r="AF588" s="81">
        <v>37684398.269606993</v>
      </c>
      <c r="AG588" s="81">
        <v>37812417.530532084</v>
      </c>
      <c r="AH588" s="81">
        <v>37933577.089764841</v>
      </c>
      <c r="AI588" s="81">
        <v>38050037.593787782</v>
      </c>
      <c r="AJ588" s="81">
        <v>38164182.383345395</v>
      </c>
      <c r="AK588" s="81">
        <v>38292314.149412632</v>
      </c>
      <c r="AL588" s="81">
        <v>38423533.867946796</v>
      </c>
      <c r="AM588" s="81">
        <v>38560880.322813094</v>
      </c>
      <c r="AN588" s="81">
        <v>38707675.908512689</v>
      </c>
      <c r="AO588" s="81">
        <v>38867489.365578234</v>
      </c>
      <c r="AP588" s="81">
        <v>39044111.761644647</v>
      </c>
      <c r="AQ588" s="81">
        <v>39241624.662575379</v>
      </c>
      <c r="AR588" s="81">
        <v>39464377.034085572</v>
      </c>
      <c r="AS588" s="81">
        <v>39716992.407457083</v>
      </c>
      <c r="AT588" s="81">
        <v>40004376.11806228</v>
      </c>
    </row>
    <row r="589" spans="1:46" ht="15.75">
      <c r="A589" s="81" t="s">
        <v>448</v>
      </c>
      <c r="B589" s="80">
        <v>445200</v>
      </c>
      <c r="C589" s="80" t="s">
        <v>423</v>
      </c>
      <c r="D589" s="84" t="s">
        <v>629</v>
      </c>
      <c r="E589" s="81">
        <v>57168497.356467567</v>
      </c>
      <c r="F589" s="81">
        <v>59171535.137863703</v>
      </c>
      <c r="G589" s="81">
        <v>60863789.057978109</v>
      </c>
      <c r="H589" s="81">
        <v>62570915.351367675</v>
      </c>
      <c r="I589" s="81">
        <v>64287535.032343663</v>
      </c>
      <c r="J589" s="81">
        <v>66008382.871080257</v>
      </c>
      <c r="K589" s="81">
        <v>67728333.466069639</v>
      </c>
      <c r="L589" s="81">
        <v>69442416.306345925</v>
      </c>
      <c r="M589" s="81">
        <v>71145865.712098688</v>
      </c>
      <c r="N589" s="81">
        <v>72834113.699402779</v>
      </c>
      <c r="O589" s="81">
        <v>74502840.914114669</v>
      </c>
      <c r="P589" s="81">
        <v>76148030.183081374</v>
      </c>
      <c r="Q589" s="81">
        <v>77447027.92096813</v>
      </c>
      <c r="R589" s="81">
        <v>78708395.432524651</v>
      </c>
      <c r="S589" s="81">
        <v>79929678.824799865</v>
      </c>
      <c r="T589" s="81">
        <v>81108855.45120053</v>
      </c>
      <c r="U589" s="81">
        <v>82244357.022167444</v>
      </c>
      <c r="V589" s="81">
        <v>83335027.965145156</v>
      </c>
      <c r="W589" s="81">
        <v>84380264.380259708</v>
      </c>
      <c r="X589" s="81">
        <v>85379894.697665006</v>
      </c>
      <c r="Y589" s="81">
        <v>86334333.684026092</v>
      </c>
      <c r="Z589" s="81">
        <v>87244527.980793864</v>
      </c>
      <c r="AA589" s="81">
        <v>88041013.427957371</v>
      </c>
      <c r="AB589" s="81">
        <v>88796236.457345203</v>
      </c>
      <c r="AC589" s="81">
        <v>89513051.206299126</v>
      </c>
      <c r="AD589" s="81">
        <v>90194956.450403735</v>
      </c>
      <c r="AE589" s="81">
        <v>90846104.885990962</v>
      </c>
      <c r="AF589" s="81">
        <v>91471354.666223764</v>
      </c>
      <c r="AG589" s="81">
        <v>92076250.886618748</v>
      </c>
      <c r="AH589" s="81">
        <v>92667106.487509131</v>
      </c>
      <c r="AI589" s="81">
        <v>93250954.986932576</v>
      </c>
      <c r="AJ589" s="81">
        <v>93835646.998046771</v>
      </c>
      <c r="AK589" s="81">
        <v>94463625.185110658</v>
      </c>
      <c r="AL589" s="81">
        <v>95110729.271860167</v>
      </c>
      <c r="AM589" s="81">
        <v>95787310.041162059</v>
      </c>
      <c r="AN589" s="81">
        <v>96504637.840401798</v>
      </c>
      <c r="AO589" s="81">
        <v>97274930.653658926</v>
      </c>
      <c r="AP589" s="81">
        <v>98111320.548861742</v>
      </c>
      <c r="AQ589" s="81">
        <v>99027926.600133494</v>
      </c>
      <c r="AR589" s="81">
        <v>100039914.69500518</v>
      </c>
      <c r="AS589" s="81">
        <v>101163448.08869897</v>
      </c>
      <c r="AT589" s="81">
        <v>102415794.39117013</v>
      </c>
    </row>
    <row r="590" spans="1:46" ht="15.75">
      <c r="A590" s="81" t="s">
        <v>448</v>
      </c>
      <c r="B590" s="80">
        <v>445300</v>
      </c>
      <c r="C590" s="80" t="s">
        <v>423</v>
      </c>
      <c r="D590" s="84" t="s">
        <v>628</v>
      </c>
      <c r="E590" s="81">
        <v>21049128.712472018</v>
      </c>
      <c r="F590" s="81">
        <v>21615551.082178291</v>
      </c>
      <c r="G590" s="81">
        <v>22076176.124452144</v>
      </c>
      <c r="H590" s="81">
        <v>22550498.103392426</v>
      </c>
      <c r="I590" s="81">
        <v>23036117.293543585</v>
      </c>
      <c r="J590" s="81">
        <v>23530655.666348528</v>
      </c>
      <c r="K590" s="81">
        <v>24031748.206284467</v>
      </c>
      <c r="L590" s="81">
        <v>24537112.096223768</v>
      </c>
      <c r="M590" s="81">
        <v>25044500.598435633</v>
      </c>
      <c r="N590" s="81">
        <v>25551723.464848649</v>
      </c>
      <c r="O590" s="81">
        <v>26056699.507468674</v>
      </c>
      <c r="P590" s="81">
        <v>26557418.45514109</v>
      </c>
      <c r="Q590" s="81">
        <v>26941062.211914778</v>
      </c>
      <c r="R590" s="81">
        <v>27314876.642073222</v>
      </c>
      <c r="S590" s="81">
        <v>27677400.446439222</v>
      </c>
      <c r="T590" s="81">
        <v>28027311.797646765</v>
      </c>
      <c r="U590" s="81">
        <v>28363458.89490458</v>
      </c>
      <c r="V590" s="81">
        <v>28684880.799004402</v>
      </c>
      <c r="W590" s="81">
        <v>28990817.819066107</v>
      </c>
      <c r="X590" s="81">
        <v>29280688.01826752</v>
      </c>
      <c r="Y590" s="81">
        <v>29554130.644963779</v>
      </c>
      <c r="Z590" s="81">
        <v>29811016.965501476</v>
      </c>
      <c r="AA590" s="81">
        <v>30027241.318383858</v>
      </c>
      <c r="AB590" s="81">
        <v>30227209.084818125</v>
      </c>
      <c r="AC590" s="81">
        <v>30411568.028150663</v>
      </c>
      <c r="AD590" s="81">
        <v>30581202.4830507</v>
      </c>
      <c r="AE590" s="81">
        <v>30737290.628247552</v>
      </c>
      <c r="AF590" s="81">
        <v>30881279.144694008</v>
      </c>
      <c r="AG590" s="81">
        <v>31014905.242261533</v>
      </c>
      <c r="AH590" s="81">
        <v>31140244.161566976</v>
      </c>
      <c r="AI590" s="81">
        <v>31259633.901526824</v>
      </c>
      <c r="AJ590" s="81">
        <v>31375784.417915121</v>
      </c>
      <c r="AK590" s="81">
        <v>31502963.734062202</v>
      </c>
      <c r="AL590" s="81">
        <v>31633277.2837888</v>
      </c>
      <c r="AM590" s="81">
        <v>31770463.206766017</v>
      </c>
      <c r="AN590" s="81">
        <v>31918605.91143148</v>
      </c>
      <c r="AO590" s="81">
        <v>32082225.519208584</v>
      </c>
      <c r="AP590" s="81">
        <v>32266212.571241442</v>
      </c>
      <c r="AQ590" s="81">
        <v>32475852.325896304</v>
      </c>
      <c r="AR590" s="81">
        <v>32716890.225821678</v>
      </c>
      <c r="AS590" s="81">
        <v>32995464.457383435</v>
      </c>
      <c r="AT590" s="81">
        <v>33318212.513991084</v>
      </c>
    </row>
    <row r="591" spans="1:46" ht="15.75">
      <c r="A591" s="81" t="s">
        <v>448</v>
      </c>
      <c r="B591" s="80">
        <v>450100</v>
      </c>
      <c r="C591" s="80" t="s">
        <v>422</v>
      </c>
      <c r="D591" s="84" t="s">
        <v>627</v>
      </c>
      <c r="E591" s="81">
        <v>73265274.772244945</v>
      </c>
      <c r="F591" s="81">
        <v>75809121.765034184</v>
      </c>
      <c r="G591" s="81">
        <v>78000843.70246017</v>
      </c>
      <c r="H591" s="81">
        <v>80204909.100394413</v>
      </c>
      <c r="I591" s="81">
        <v>82418475.122327104</v>
      </c>
      <c r="J591" s="81">
        <v>84638683.966388136</v>
      </c>
      <c r="K591" s="81">
        <v>86862675.069533542</v>
      </c>
      <c r="L591" s="81">
        <v>89087578.040203467</v>
      </c>
      <c r="M591" s="81">
        <v>91310594.378255129</v>
      </c>
      <c r="N591" s="81">
        <v>93528913.375944257</v>
      </c>
      <c r="O591" s="81">
        <v>95739815.637121379</v>
      </c>
      <c r="P591" s="81">
        <v>97940627.619055584</v>
      </c>
      <c r="Q591" s="81">
        <v>99823131.972501069</v>
      </c>
      <c r="R591" s="81">
        <v>101681613.31817806</v>
      </c>
      <c r="S591" s="81">
        <v>103514092.55943796</v>
      </c>
      <c r="T591" s="81">
        <v>105318682.36084892</v>
      </c>
      <c r="U591" s="81">
        <v>107093690.05040292</v>
      </c>
      <c r="V591" s="81">
        <v>108837623.19237705</v>
      </c>
      <c r="W591" s="81">
        <v>110549134.13629073</v>
      </c>
      <c r="X591" s="81">
        <v>112227104.80594161</v>
      </c>
      <c r="Y591" s="81">
        <v>113870664.11258371</v>
      </c>
      <c r="Z591" s="81">
        <v>115479142.55685799</v>
      </c>
      <c r="AA591" s="81">
        <v>117080966.54600653</v>
      </c>
      <c r="AB591" s="81">
        <v>118645671.40991405</v>
      </c>
      <c r="AC591" s="81">
        <v>120173421.95066968</v>
      </c>
      <c r="AD591" s="81">
        <v>121664679.94922137</v>
      </c>
      <c r="AE591" s="81">
        <v>123120234.02362143</v>
      </c>
      <c r="AF591" s="81">
        <v>124541230.96877702</v>
      </c>
      <c r="AG591" s="81">
        <v>125929180.48855191</v>
      </c>
      <c r="AH591" s="81">
        <v>127285987.48604286</v>
      </c>
      <c r="AI591" s="81">
        <v>128613913.49831419</v>
      </c>
      <c r="AJ591" s="81">
        <v>129915694.89428136</v>
      </c>
      <c r="AK591" s="81">
        <v>131379577.2623287</v>
      </c>
      <c r="AL591" s="81">
        <v>132824029.43679571</v>
      </c>
      <c r="AM591" s="81">
        <v>134253056.42225417</v>
      </c>
      <c r="AN591" s="81">
        <v>135671246.47815523</v>
      </c>
      <c r="AO591" s="81">
        <v>137083686.89594734</v>
      </c>
      <c r="AP591" s="81">
        <v>138496079.44938412</v>
      </c>
      <c r="AQ591" s="81">
        <v>139914668.62015477</v>
      </c>
      <c r="AR591" s="81">
        <v>141346360.51803979</v>
      </c>
      <c r="AS591" s="81">
        <v>142798682.50123718</v>
      </c>
      <c r="AT591" s="81">
        <v>144279822.66351241</v>
      </c>
    </row>
    <row r="592" spans="1:46" ht="15.75">
      <c r="A592" s="81" t="s">
        <v>448</v>
      </c>
      <c r="B592" s="80">
        <v>450200</v>
      </c>
      <c r="C592" s="80" t="s">
        <v>422</v>
      </c>
      <c r="D592" s="84" t="s">
        <v>626</v>
      </c>
      <c r="E592" s="81">
        <v>36162242.658931367</v>
      </c>
      <c r="F592" s="81">
        <v>37354540.643865414</v>
      </c>
      <c r="G592" s="81">
        <v>38371665.720355123</v>
      </c>
      <c r="H592" s="81">
        <v>39393542.49264773</v>
      </c>
      <c r="I592" s="81">
        <v>40418759.116195783</v>
      </c>
      <c r="J592" s="81">
        <v>41445921.147592455</v>
      </c>
      <c r="K592" s="81">
        <v>42473600.317279071</v>
      </c>
      <c r="L592" s="81">
        <v>43500388.524623908</v>
      </c>
      <c r="M592" s="81">
        <v>44524885.294913888</v>
      </c>
      <c r="N592" s="81">
        <v>45545693.587934092</v>
      </c>
      <c r="O592" s="81">
        <v>46561458.083636753</v>
      </c>
      <c r="P592" s="81">
        <v>47570829.885003276</v>
      </c>
      <c r="Q592" s="81">
        <v>48424236.293339804</v>
      </c>
      <c r="R592" s="81">
        <v>49264761.725583732</v>
      </c>
      <c r="S592" s="81">
        <v>50091376.330146894</v>
      </c>
      <c r="T592" s="81">
        <v>50903128.80166363</v>
      </c>
      <c r="U592" s="81">
        <v>51699105.860481001</v>
      </c>
      <c r="V592" s="81">
        <v>52478534.507087223</v>
      </c>
      <c r="W592" s="81">
        <v>53240669.296698526</v>
      </c>
      <c r="X592" s="81">
        <v>53984896.056993164</v>
      </c>
      <c r="Y592" s="81">
        <v>54710703.642973602</v>
      </c>
      <c r="Z592" s="81">
        <v>55417691.491845511</v>
      </c>
      <c r="AA592" s="81">
        <v>56119357.204179019</v>
      </c>
      <c r="AB592" s="81">
        <v>56800971.920052588</v>
      </c>
      <c r="AC592" s="81">
        <v>57462506.507011525</v>
      </c>
      <c r="AD592" s="81">
        <v>58104090.194767624</v>
      </c>
      <c r="AE592" s="81">
        <v>58725949.224570438</v>
      </c>
      <c r="AF592" s="81">
        <v>59328540.093222298</v>
      </c>
      <c r="AG592" s="81">
        <v>59912461.461816162</v>
      </c>
      <c r="AH592" s="81">
        <v>60478475.430925287</v>
      </c>
      <c r="AI592" s="81">
        <v>61027545.205030598</v>
      </c>
      <c r="AJ592" s="81">
        <v>61560845.059357099</v>
      </c>
      <c r="AK592" s="81">
        <v>62167327.160865813</v>
      </c>
      <c r="AL592" s="81">
        <v>62760702.465603411</v>
      </c>
      <c r="AM592" s="81">
        <v>63342737.667319775</v>
      </c>
      <c r="AN592" s="81">
        <v>63915460.750313982</v>
      </c>
      <c r="AO592" s="81">
        <v>64481139.933182292</v>
      </c>
      <c r="AP592" s="81">
        <v>65042326.533202708</v>
      </c>
      <c r="AQ592" s="81">
        <v>65601833.221449144</v>
      </c>
      <c r="AR592" s="81">
        <v>66162778.169354707</v>
      </c>
      <c r="AS592" s="81">
        <v>66728562.603993155</v>
      </c>
      <c r="AT592" s="81">
        <v>67302951.630662158</v>
      </c>
    </row>
    <row r="593" spans="1:46" ht="15.75">
      <c r="A593" s="81" t="s">
        <v>448</v>
      </c>
      <c r="B593" s="80">
        <v>450300</v>
      </c>
      <c r="C593" s="80" t="s">
        <v>422</v>
      </c>
      <c r="D593" s="84" t="s">
        <v>625</v>
      </c>
      <c r="E593" s="81">
        <v>30369539.209770609</v>
      </c>
      <c r="F593" s="81">
        <v>31306778.166714646</v>
      </c>
      <c r="G593" s="81">
        <v>32096312.908332631</v>
      </c>
      <c r="H593" s="81">
        <v>32889252.050887305</v>
      </c>
      <c r="I593" s="81">
        <v>33684431.96541094</v>
      </c>
      <c r="J593" s="81">
        <v>34480686.786080964</v>
      </c>
      <c r="K593" s="81">
        <v>35276847.204844505</v>
      </c>
      <c r="L593" s="81">
        <v>36071731.363618284</v>
      </c>
      <c r="M593" s="81">
        <v>36864185.831620499</v>
      </c>
      <c r="N593" s="81">
        <v>37653063.516428776</v>
      </c>
      <c r="O593" s="81">
        <v>38437213.509798296</v>
      </c>
      <c r="P593" s="81">
        <v>39215547.778884418</v>
      </c>
      <c r="Q593" s="81">
        <v>39864917.813281916</v>
      </c>
      <c r="R593" s="81">
        <v>40503447.643406294</v>
      </c>
      <c r="S593" s="81">
        <v>41130296.719528958</v>
      </c>
      <c r="T593" s="81">
        <v>41744667.22580412</v>
      </c>
      <c r="U593" s="81">
        <v>42345842.989740573</v>
      </c>
      <c r="V593" s="81">
        <v>42933171.09843196</v>
      </c>
      <c r="W593" s="81">
        <v>43506094.053959846</v>
      </c>
      <c r="X593" s="81">
        <v>44064103.95222009</v>
      </c>
      <c r="Y593" s="81">
        <v>44606819.125332408</v>
      </c>
      <c r="Z593" s="81">
        <v>45133929.053363033</v>
      </c>
      <c r="AA593" s="81">
        <v>45656487.860880241</v>
      </c>
      <c r="AB593" s="81">
        <v>46162514.310169719</v>
      </c>
      <c r="AC593" s="81">
        <v>46652059.202081762</v>
      </c>
      <c r="AD593" s="81">
        <v>47125282.763870962</v>
      </c>
      <c r="AE593" s="81">
        <v>47582470.581406213</v>
      </c>
      <c r="AF593" s="81">
        <v>48024080.944085985</v>
      </c>
      <c r="AG593" s="81">
        <v>48450693.026238218</v>
      </c>
      <c r="AH593" s="81">
        <v>48863054.161454462</v>
      </c>
      <c r="AI593" s="81">
        <v>49262088.489672057</v>
      </c>
      <c r="AJ593" s="81">
        <v>49648873.477015741</v>
      </c>
      <c r="AK593" s="81">
        <v>50095269.365589976</v>
      </c>
      <c r="AL593" s="81">
        <v>50531816.401595779</v>
      </c>
      <c r="AM593" s="81">
        <v>50960153.887835875</v>
      </c>
      <c r="AN593" s="81">
        <v>51382128.032335125</v>
      </c>
      <c r="AO593" s="81">
        <v>51799847.062635295</v>
      </c>
      <c r="AP593" s="81">
        <v>52215610.979846716</v>
      </c>
      <c r="AQ593" s="81">
        <v>52632013.577330738</v>
      </c>
      <c r="AR593" s="81">
        <v>53051858.746142261</v>
      </c>
      <c r="AS593" s="81">
        <v>53478253.247172669</v>
      </c>
      <c r="AT593" s="81">
        <v>53914569.570807584</v>
      </c>
    </row>
    <row r="594" spans="1:46" ht="15.75">
      <c r="A594" s="81" t="s">
        <v>448</v>
      </c>
      <c r="B594" s="80">
        <v>450400</v>
      </c>
      <c r="C594" s="80" t="s">
        <v>422</v>
      </c>
      <c r="D594" s="84" t="s">
        <v>624</v>
      </c>
      <c r="E594" s="81">
        <v>27470074.83816183</v>
      </c>
      <c r="F594" s="81">
        <v>28383390.701442499</v>
      </c>
      <c r="G594" s="81">
        <v>29191800.05881295</v>
      </c>
      <c r="H594" s="81">
        <v>30030256.665652491</v>
      </c>
      <c r="I594" s="81">
        <v>30895896.109049048</v>
      </c>
      <c r="J594" s="81">
        <v>31785789.668969899</v>
      </c>
      <c r="K594" s="81">
        <v>32696929.703274008</v>
      </c>
      <c r="L594" s="81">
        <v>33626268.943126217</v>
      </c>
      <c r="M594" s="81">
        <v>34570716.667576402</v>
      </c>
      <c r="N594" s="81">
        <v>35527204.515051</v>
      </c>
      <c r="O594" s="81">
        <v>36492661.441961758</v>
      </c>
      <c r="P594" s="81">
        <v>37464033.422435157</v>
      </c>
      <c r="Q594" s="81">
        <v>38321033.038603924</v>
      </c>
      <c r="R594" s="81">
        <v>39173830.249195665</v>
      </c>
      <c r="S594" s="81">
        <v>40019753.393443033</v>
      </c>
      <c r="T594" s="81">
        <v>40856283.060636491</v>
      </c>
      <c r="U594" s="81">
        <v>41681087.533183388</v>
      </c>
      <c r="V594" s="81">
        <v>42492046.308264524</v>
      </c>
      <c r="W594" s="81">
        <v>43287218.244677834</v>
      </c>
      <c r="X594" s="81">
        <v>44064989.448024578</v>
      </c>
      <c r="Y594" s="81">
        <v>44823945.27650205</v>
      </c>
      <c r="Z594" s="81">
        <v>45563006.385615081</v>
      </c>
      <c r="AA594" s="81">
        <v>46292816.268789873</v>
      </c>
      <c r="AB594" s="81">
        <v>47001023.898311928</v>
      </c>
      <c r="AC594" s="81">
        <v>47687568.816885248</v>
      </c>
      <c r="AD594" s="81">
        <v>48352821.818145879</v>
      </c>
      <c r="AE594" s="81">
        <v>48997582.852772176</v>
      </c>
      <c r="AF594" s="81">
        <v>49623108.685180195</v>
      </c>
      <c r="AG594" s="81">
        <v>50231157.304129153</v>
      </c>
      <c r="AH594" s="81">
        <v>50824001.128223792</v>
      </c>
      <c r="AI594" s="81">
        <v>51404489.599479519</v>
      </c>
      <c r="AJ594" s="81">
        <v>51975995.885067865</v>
      </c>
      <c r="AK594" s="81">
        <v>52616678.481963031</v>
      </c>
      <c r="AL594" s="81">
        <v>53257233.661585175</v>
      </c>
      <c r="AM594" s="81">
        <v>53902991.033596143</v>
      </c>
      <c r="AN594" s="81">
        <v>54560062.975942381</v>
      </c>
      <c r="AO594" s="81">
        <v>55235291.875039153</v>
      </c>
      <c r="AP594" s="81">
        <v>55936376.456362873</v>
      </c>
      <c r="AQ594" s="81">
        <v>56671817.331686176</v>
      </c>
      <c r="AR594" s="81">
        <v>57451027.908602163</v>
      </c>
      <c r="AS594" s="81">
        <v>58284315.857051022</v>
      </c>
      <c r="AT594" s="81">
        <v>59182998.714849368</v>
      </c>
    </row>
    <row r="595" spans="1:46" ht="15.75">
      <c r="A595" s="81" t="s">
        <v>448</v>
      </c>
      <c r="B595" s="80">
        <v>450500</v>
      </c>
      <c r="C595" s="80" t="s">
        <v>422</v>
      </c>
      <c r="D595" s="84" t="s">
        <v>623</v>
      </c>
      <c r="E595" s="81">
        <v>11812847.71325871</v>
      </c>
      <c r="F595" s="81">
        <v>12212469.630395286</v>
      </c>
      <c r="G595" s="81">
        <v>12560555.278604843</v>
      </c>
      <c r="H595" s="81">
        <v>12915528.58750242</v>
      </c>
      <c r="I595" s="81">
        <v>13276566.610760767</v>
      </c>
      <c r="J595" s="81">
        <v>13642824.877609761</v>
      </c>
      <c r="K595" s="81">
        <v>14013448.810655348</v>
      </c>
      <c r="L595" s="81">
        <v>14387578.776158659</v>
      </c>
      <c r="M595" s="81">
        <v>14764355.357468937</v>
      </c>
      <c r="N595" s="81">
        <v>15142909.197209135</v>
      </c>
      <c r="O595" s="81">
        <v>15522389.064605346</v>
      </c>
      <c r="P595" s="81">
        <v>15901952.277880965</v>
      </c>
      <c r="Q595" s="81">
        <v>16231080.723426903</v>
      </c>
      <c r="R595" s="81">
        <v>16557094.848696681</v>
      </c>
      <c r="S595" s="81">
        <v>16879276.989545744</v>
      </c>
      <c r="T595" s="81">
        <v>17196974.701296628</v>
      </c>
      <c r="U595" s="81">
        <v>17509572.774513748</v>
      </c>
      <c r="V595" s="81">
        <v>17816515.98185125</v>
      </c>
      <c r="W595" s="81">
        <v>18117306.221026599</v>
      </c>
      <c r="X595" s="81">
        <v>18411526.811773054</v>
      </c>
      <c r="Y595" s="81">
        <v>18698830.895336293</v>
      </c>
      <c r="Z595" s="81">
        <v>18978937.793953013</v>
      </c>
      <c r="AA595" s="81">
        <v>19256424.528965272</v>
      </c>
      <c r="AB595" s="81">
        <v>19526227.644623861</v>
      </c>
      <c r="AC595" s="81">
        <v>19788337.584538478</v>
      </c>
      <c r="AD595" s="81">
        <v>20042907.900679767</v>
      </c>
      <c r="AE595" s="81">
        <v>20290152.474384017</v>
      </c>
      <c r="AF595" s="81">
        <v>20530453.585117877</v>
      </c>
      <c r="AG595" s="81">
        <v>20764308.568080239</v>
      </c>
      <c r="AH595" s="81">
        <v>20992335.979532924</v>
      </c>
      <c r="AI595" s="81">
        <v>21215336.8527411</v>
      </c>
      <c r="AJ595" s="81">
        <v>21434238.096167874</v>
      </c>
      <c r="AK595" s="81">
        <v>21680678.055918816</v>
      </c>
      <c r="AL595" s="81">
        <v>21925396.044328414</v>
      </c>
      <c r="AM595" s="81">
        <v>22169816.824248862</v>
      </c>
      <c r="AN595" s="81">
        <v>22415610.664265107</v>
      </c>
      <c r="AO595" s="81">
        <v>22664585.865435854</v>
      </c>
      <c r="AP595" s="81">
        <v>22918827.549678367</v>
      </c>
      <c r="AQ595" s="81">
        <v>23180600.166642684</v>
      </c>
      <c r="AR595" s="81">
        <v>23452416.740853887</v>
      </c>
      <c r="AS595" s="81">
        <v>23737037.01078669</v>
      </c>
      <c r="AT595" s="81">
        <v>24037451.626664791</v>
      </c>
    </row>
    <row r="596" spans="1:46" ht="15.75">
      <c r="A596" s="81" t="s">
        <v>448</v>
      </c>
      <c r="B596" s="80">
        <v>450600</v>
      </c>
      <c r="C596" s="80" t="s">
        <v>422</v>
      </c>
      <c r="D596" s="84" t="s">
        <v>622</v>
      </c>
      <c r="E596" s="81">
        <v>7318538.6013121372</v>
      </c>
      <c r="F596" s="81">
        <v>7554421.8486156315</v>
      </c>
      <c r="G596" s="81">
        <v>7759771.460359239</v>
      </c>
      <c r="H596" s="81">
        <v>7971036.1814957429</v>
      </c>
      <c r="I596" s="81">
        <v>8187669.5248100134</v>
      </c>
      <c r="J596" s="81">
        <v>8409112.4488609191</v>
      </c>
      <c r="K596" s="81">
        <v>8634788.6754512805</v>
      </c>
      <c r="L596" s="81">
        <v>8864099.1465663575</v>
      </c>
      <c r="M596" s="81">
        <v>9096449.1344153341</v>
      </c>
      <c r="N596" s="81">
        <v>9331244.3366394937</v>
      </c>
      <c r="O596" s="81">
        <v>9567877.3690895811</v>
      </c>
      <c r="P596" s="81">
        <v>9805747.9476836659</v>
      </c>
      <c r="Q596" s="81">
        <v>10013083.950299678</v>
      </c>
      <c r="R596" s="81">
        <v>10219459.341945373</v>
      </c>
      <c r="S596" s="81">
        <v>10424338.546299534</v>
      </c>
      <c r="T596" s="81">
        <v>10627197.004537303</v>
      </c>
      <c r="U596" s="81">
        <v>10827543.201312097</v>
      </c>
      <c r="V596" s="81">
        <v>11024932.793188039</v>
      </c>
      <c r="W596" s="81">
        <v>11218923.831785597</v>
      </c>
      <c r="X596" s="81">
        <v>11409149.140590202</v>
      </c>
      <c r="Y596" s="81">
        <v>11595271.71449862</v>
      </c>
      <c r="Z596" s="81">
        <v>11776987.796870174</v>
      </c>
      <c r="AA596" s="81">
        <v>11956390.215954641</v>
      </c>
      <c r="AB596" s="81">
        <v>12130831.898208383</v>
      </c>
      <c r="AC596" s="81">
        <v>12300194.871592589</v>
      </c>
      <c r="AD596" s="81">
        <v>12464411.90178654</v>
      </c>
      <c r="AE596" s="81">
        <v>12623503.851715649</v>
      </c>
      <c r="AF596" s="81">
        <v>12777562.809684912</v>
      </c>
      <c r="AG596" s="81">
        <v>12926756.551476985</v>
      </c>
      <c r="AH596" s="81">
        <v>13071356.676877553</v>
      </c>
      <c r="AI596" s="81">
        <v>13211685.058469517</v>
      </c>
      <c r="AJ596" s="81">
        <v>13348213.113960646</v>
      </c>
      <c r="AK596" s="81">
        <v>13499800.647908073</v>
      </c>
      <c r="AL596" s="81">
        <v>13648780.375742031</v>
      </c>
      <c r="AM596" s="81">
        <v>13795907.590422289</v>
      </c>
      <c r="AN596" s="81">
        <v>13942053.513732655</v>
      </c>
      <c r="AO596" s="81">
        <v>14088210.888410935</v>
      </c>
      <c r="AP596" s="81">
        <v>14235552.846523395</v>
      </c>
      <c r="AQ596" s="81">
        <v>14385321.136006251</v>
      </c>
      <c r="AR596" s="81">
        <v>14538963.991058217</v>
      </c>
      <c r="AS596" s="81">
        <v>14698049.767619038</v>
      </c>
      <c r="AT596" s="81">
        <v>14864313.264037367</v>
      </c>
    </row>
    <row r="597" spans="1:46" ht="15.75">
      <c r="A597" s="81" t="s">
        <v>448</v>
      </c>
      <c r="B597" s="80">
        <v>450700</v>
      </c>
      <c r="C597" s="80" t="s">
        <v>422</v>
      </c>
      <c r="D597" s="84" t="s">
        <v>621</v>
      </c>
      <c r="E597" s="81">
        <v>11665410.29065942</v>
      </c>
      <c r="F597" s="81">
        <v>12013729.71591159</v>
      </c>
      <c r="G597" s="81">
        <v>12325451.864938186</v>
      </c>
      <c r="H597" s="81">
        <v>12657530.420922974</v>
      </c>
      <c r="I597" s="81">
        <v>13008372.519337846</v>
      </c>
      <c r="J597" s="81">
        <v>13376331.052014841</v>
      </c>
      <c r="K597" s="81">
        <v>13759694.880188398</v>
      </c>
      <c r="L597" s="81">
        <v>14156726.720239187</v>
      </c>
      <c r="M597" s="81">
        <v>14565650.150770301</v>
      </c>
      <c r="N597" s="81">
        <v>14984677.205237634</v>
      </c>
      <c r="O597" s="81">
        <v>15412012.126817474</v>
      </c>
      <c r="P597" s="81">
        <v>15845868.075640447</v>
      </c>
      <c r="Q597" s="81">
        <v>16234766.797448851</v>
      </c>
      <c r="R597" s="81">
        <v>16624703.579777591</v>
      </c>
      <c r="S597" s="81">
        <v>17014030.43565435</v>
      </c>
      <c r="T597" s="81">
        <v>17401158.487644382</v>
      </c>
      <c r="U597" s="81">
        <v>17784618.320422094</v>
      </c>
      <c r="V597" s="81">
        <v>18163025.953943059</v>
      </c>
      <c r="W597" s="81">
        <v>18535130.243466824</v>
      </c>
      <c r="X597" s="81">
        <v>18899812.616231881</v>
      </c>
      <c r="Y597" s="81">
        <v>19256096.10127512</v>
      </c>
      <c r="Z597" s="81">
        <v>19603185.961184978</v>
      </c>
      <c r="AA597" s="81">
        <v>19945355.480812266</v>
      </c>
      <c r="AB597" s="81">
        <v>20277042.22479577</v>
      </c>
      <c r="AC597" s="81">
        <v>20598007.541814446</v>
      </c>
      <c r="AD597" s="81">
        <v>20908259.745456181</v>
      </c>
      <c r="AE597" s="81">
        <v>21208032.013791744</v>
      </c>
      <c r="AF597" s="81">
        <v>21497826.674564615</v>
      </c>
      <c r="AG597" s="81">
        <v>21778426.967371207</v>
      </c>
      <c r="AH597" s="81">
        <v>22050914.550530139</v>
      </c>
      <c r="AI597" s="81">
        <v>22316669.068415184</v>
      </c>
      <c r="AJ597" s="81">
        <v>22577421.852646403</v>
      </c>
      <c r="AK597" s="81">
        <v>22867449.793877553</v>
      </c>
      <c r="AL597" s="81">
        <v>23157072.15329285</v>
      </c>
      <c r="AM597" s="81">
        <v>23449121.101697095</v>
      </c>
      <c r="AN597" s="81">
        <v>23746847.85513176</v>
      </c>
      <c r="AO597" s="81">
        <v>24053943.700237371</v>
      </c>
      <c r="AP597" s="81">
        <v>24374581.602576442</v>
      </c>
      <c r="AQ597" s="81">
        <v>24713405.092468735</v>
      </c>
      <c r="AR597" s="81">
        <v>25075577.069919311</v>
      </c>
      <c r="AS597" s="81">
        <v>25466781.933217287</v>
      </c>
      <c r="AT597" s="81">
        <v>25893262.008480005</v>
      </c>
    </row>
    <row r="598" spans="1:46" ht="15.75">
      <c r="A598" s="81" t="s">
        <v>448</v>
      </c>
      <c r="B598" s="80">
        <v>450800</v>
      </c>
      <c r="C598" s="80" t="s">
        <v>422</v>
      </c>
      <c r="D598" s="84" t="s">
        <v>620</v>
      </c>
      <c r="E598" s="81">
        <v>21183639.57942291</v>
      </c>
      <c r="F598" s="81">
        <v>21862246.166675314</v>
      </c>
      <c r="G598" s="81">
        <v>22466755.929776274</v>
      </c>
      <c r="H598" s="81">
        <v>23100863.534082852</v>
      </c>
      <c r="I598" s="81">
        <v>23761995.305578794</v>
      </c>
      <c r="J598" s="81">
        <v>24447472.642050929</v>
      </c>
      <c r="K598" s="81">
        <v>25154559.395435855</v>
      </c>
      <c r="L598" s="81">
        <v>25880473.927684437</v>
      </c>
      <c r="M598" s="81">
        <v>26622395.380467772</v>
      </c>
      <c r="N598" s="81">
        <v>27377481.317582961</v>
      </c>
      <c r="O598" s="81">
        <v>28142904.570535179</v>
      </c>
      <c r="P598" s="81">
        <v>28915855.531305205</v>
      </c>
      <c r="Q598" s="81">
        <v>29602940.704261728</v>
      </c>
      <c r="R598" s="81">
        <v>30288660.877964828</v>
      </c>
      <c r="S598" s="81">
        <v>30970486.245137237</v>
      </c>
      <c r="T598" s="81">
        <v>31646038.855331074</v>
      </c>
      <c r="U598" s="81">
        <v>32313094.156274684</v>
      </c>
      <c r="V598" s="81">
        <v>32969615.653186984</v>
      </c>
      <c r="W598" s="81">
        <v>33613763.245109402</v>
      </c>
      <c r="X598" s="81">
        <v>34243936.442890629</v>
      </c>
      <c r="Y598" s="81">
        <v>34858769.272560686</v>
      </c>
      <c r="Z598" s="81">
        <v>35457189.326199122</v>
      </c>
      <c r="AA598" s="81">
        <v>36047259.161366478</v>
      </c>
      <c r="AB598" s="81">
        <v>36619226.158646822</v>
      </c>
      <c r="AC598" s="81">
        <v>37172949.252122</v>
      </c>
      <c r="AD598" s="81">
        <v>37708675.615912639</v>
      </c>
      <c r="AE598" s="81">
        <v>38227043.891311593</v>
      </c>
      <c r="AF598" s="81">
        <v>38729109.960463338</v>
      </c>
      <c r="AG598" s="81">
        <v>39216397.767764337</v>
      </c>
      <c r="AH598" s="81">
        <v>39690911.091808401</v>
      </c>
      <c r="AI598" s="81">
        <v>40155161.204158887</v>
      </c>
      <c r="AJ598" s="81">
        <v>40612186.378122926</v>
      </c>
      <c r="AK598" s="81">
        <v>41123536.155894414</v>
      </c>
      <c r="AL598" s="81">
        <v>41635631.96088542</v>
      </c>
      <c r="AM598" s="81">
        <v>42153311.133057304</v>
      </c>
      <c r="AN598" s="81">
        <v>42682128.42918402</v>
      </c>
      <c r="AO598" s="81">
        <v>43228308.894286245</v>
      </c>
      <c r="AP598" s="81">
        <v>43798872.431649342</v>
      </c>
      <c r="AQ598" s="81">
        <v>44401595.415312558</v>
      </c>
      <c r="AR598" s="81">
        <v>45045082.324410588</v>
      </c>
      <c r="AS598" s="81">
        <v>45738801.933159925</v>
      </c>
      <c r="AT598" s="81">
        <v>46493114.035488613</v>
      </c>
    </row>
    <row r="599" spans="1:46" ht="15.75">
      <c r="A599" s="81" t="s">
        <v>448</v>
      </c>
      <c r="B599" s="80">
        <v>450900</v>
      </c>
      <c r="C599" s="80" t="s">
        <v>422</v>
      </c>
      <c r="D599" s="84" t="s">
        <v>619</v>
      </c>
      <c r="E599" s="81">
        <v>44134721.733798109</v>
      </c>
      <c r="F599" s="81">
        <v>45510922.399645939</v>
      </c>
      <c r="G599" s="81">
        <v>46735592.00595475</v>
      </c>
      <c r="H599" s="81">
        <v>48024940.941812575</v>
      </c>
      <c r="I599" s="81">
        <v>49373727.469721347</v>
      </c>
      <c r="J599" s="81">
        <v>50776474.985041521</v>
      </c>
      <c r="K599" s="81">
        <v>52227603.836588137</v>
      </c>
      <c r="L599" s="81">
        <v>53721372.361009501</v>
      </c>
      <c r="M599" s="81">
        <v>55251971.682800218</v>
      </c>
      <c r="N599" s="81">
        <v>56813546.118744537</v>
      </c>
      <c r="O599" s="81">
        <v>58400212.979624324</v>
      </c>
      <c r="P599" s="81">
        <v>60006149.677725904</v>
      </c>
      <c r="Q599" s="81">
        <v>61437455.300394244</v>
      </c>
      <c r="R599" s="81">
        <v>62869396.095822081</v>
      </c>
      <c r="S599" s="81">
        <v>64296614.200519323</v>
      </c>
      <c r="T599" s="81">
        <v>65714031.022297069</v>
      </c>
      <c r="U599" s="81">
        <v>67116859.21401377</v>
      </c>
      <c r="V599" s="81">
        <v>68500676.944098815</v>
      </c>
      <c r="W599" s="81">
        <v>69861462.641133621</v>
      </c>
      <c r="X599" s="81">
        <v>71195651.866208777</v>
      </c>
      <c r="Y599" s="81">
        <v>72500128.7060837</v>
      </c>
      <c r="Z599" s="81">
        <v>73772350.064635351</v>
      </c>
      <c r="AA599" s="81">
        <v>75028820.818922073</v>
      </c>
      <c r="AB599" s="81">
        <v>76248867.527080223</v>
      </c>
      <c r="AC599" s="81">
        <v>77431808.485980362</v>
      </c>
      <c r="AD599" s="81">
        <v>78577731.655069113</v>
      </c>
      <c r="AE599" s="81">
        <v>79687475.653623983</v>
      </c>
      <c r="AF599" s="81">
        <v>80762780.484268248</v>
      </c>
      <c r="AG599" s="81">
        <v>81806257.202592954</v>
      </c>
      <c r="AH599" s="81">
        <v>82821492.664246827</v>
      </c>
      <c r="AI599" s="81">
        <v>83813081.038226053</v>
      </c>
      <c r="AJ599" s="81">
        <v>84786707.110335529</v>
      </c>
      <c r="AK599" s="81">
        <v>85870147.813091278</v>
      </c>
      <c r="AL599" s="81">
        <v>86950777.488169864</v>
      </c>
      <c r="AM599" s="81">
        <v>88037846.169352829</v>
      </c>
      <c r="AN599" s="81">
        <v>89142032.773367062</v>
      </c>
      <c r="AO599" s="81">
        <v>90275388.887565568</v>
      </c>
      <c r="AP599" s="81">
        <v>91451519.791168392</v>
      </c>
      <c r="AQ599" s="81">
        <v>92685614.113009796</v>
      </c>
      <c r="AR599" s="81">
        <v>93994470.619695663</v>
      </c>
      <c r="AS599" s="81">
        <v>95396659.204004511</v>
      </c>
      <c r="AT599" s="81">
        <v>96912505.311717093</v>
      </c>
    </row>
    <row r="600" spans="1:46" ht="15.75">
      <c r="A600" s="81" t="s">
        <v>448</v>
      </c>
      <c r="B600" s="80">
        <v>451000</v>
      </c>
      <c r="C600" s="80" t="s">
        <v>422</v>
      </c>
      <c r="D600" s="84" t="s">
        <v>618</v>
      </c>
      <c r="E600" s="81">
        <v>18869858.060696378</v>
      </c>
      <c r="F600" s="81">
        <v>19450285.457990371</v>
      </c>
      <c r="G600" s="81">
        <v>19952401.082233515</v>
      </c>
      <c r="H600" s="81">
        <v>20469434.843151778</v>
      </c>
      <c r="I600" s="81">
        <v>20999950.446091849</v>
      </c>
      <c r="J600" s="81">
        <v>21542487.507243108</v>
      </c>
      <c r="K600" s="81">
        <v>22095523.118430074</v>
      </c>
      <c r="L600" s="81">
        <v>22657526.928681605</v>
      </c>
      <c r="M600" s="81">
        <v>23226934.126554471</v>
      </c>
      <c r="N600" s="81">
        <v>23802172.338367183</v>
      </c>
      <c r="O600" s="81">
        <v>24381664.875700328</v>
      </c>
      <c r="P600" s="81">
        <v>24963853.793614447</v>
      </c>
      <c r="Q600" s="81">
        <v>25469206.950954724</v>
      </c>
      <c r="R600" s="81">
        <v>25971746.26848875</v>
      </c>
      <c r="S600" s="81">
        <v>26470078.877361078</v>
      </c>
      <c r="T600" s="81">
        <v>26962847.808052864</v>
      </c>
      <c r="U600" s="81">
        <v>27448791.020643793</v>
      </c>
      <c r="V600" s="81">
        <v>27926738.658250749</v>
      </c>
      <c r="W600" s="81">
        <v>28395601.561879631</v>
      </c>
      <c r="X600" s="81">
        <v>28854403.961277954</v>
      </c>
      <c r="Y600" s="81">
        <v>29302310.768796097</v>
      </c>
      <c r="Z600" s="81">
        <v>29738577.288923685</v>
      </c>
      <c r="AA600" s="81">
        <v>30170068.720935654</v>
      </c>
      <c r="AB600" s="81">
        <v>30588548.096874382</v>
      </c>
      <c r="AC600" s="81">
        <v>30993752.536855623</v>
      </c>
      <c r="AD600" s="81">
        <v>31385597.875030518</v>
      </c>
      <c r="AE600" s="81">
        <v>31764208.401534628</v>
      </c>
      <c r="AF600" s="81">
        <v>32129896.184394091</v>
      </c>
      <c r="AG600" s="81">
        <v>32483208.113652803</v>
      </c>
      <c r="AH600" s="81">
        <v>32824922.525456656</v>
      </c>
      <c r="AI600" s="81">
        <v>33156062.655467667</v>
      </c>
      <c r="AJ600" s="81">
        <v>33477910.300255422</v>
      </c>
      <c r="AK600" s="81">
        <v>33839705.819778621</v>
      </c>
      <c r="AL600" s="81">
        <v>34195571.703397773</v>
      </c>
      <c r="AM600" s="81">
        <v>34547638.350102812</v>
      </c>
      <c r="AN600" s="81">
        <v>34898394.81449566</v>
      </c>
      <c r="AO600" s="81">
        <v>35250667.491515502</v>
      </c>
      <c r="AP600" s="81">
        <v>35607646.033197403</v>
      </c>
      <c r="AQ600" s="81">
        <v>35972910.403286144</v>
      </c>
      <c r="AR600" s="81">
        <v>36350438.253367826</v>
      </c>
      <c r="AS600" s="81">
        <v>36744643.345351972</v>
      </c>
      <c r="AT600" s="81">
        <v>37160330.26994919</v>
      </c>
    </row>
    <row r="601" spans="1:46" ht="15.75">
      <c r="A601" s="81" t="s">
        <v>448</v>
      </c>
      <c r="B601" s="80">
        <v>451100</v>
      </c>
      <c r="C601" s="80" t="s">
        <v>422</v>
      </c>
      <c r="D601" s="84" t="s">
        <v>617</v>
      </c>
      <c r="E601" s="81">
        <v>6506071.0222120732</v>
      </c>
      <c r="F601" s="81">
        <v>6720848.7685803706</v>
      </c>
      <c r="G601" s="81">
        <v>6909217.3697880572</v>
      </c>
      <c r="H601" s="81">
        <v>7103263.1034174263</v>
      </c>
      <c r="I601" s="81">
        <v>7302421.3339302354</v>
      </c>
      <c r="J601" s="81">
        <v>7506127.6686081477</v>
      </c>
      <c r="K601" s="81">
        <v>7713800.5081965514</v>
      </c>
      <c r="L601" s="81">
        <v>7924843.8220838662</v>
      </c>
      <c r="M601" s="81">
        <v>8138661.7448831219</v>
      </c>
      <c r="N601" s="81">
        <v>8354662.8503950583</v>
      </c>
      <c r="O601" s="81">
        <v>8572244.3117773142</v>
      </c>
      <c r="P601" s="81">
        <v>8790827.5791771282</v>
      </c>
      <c r="Q601" s="81">
        <v>8982327.7891381625</v>
      </c>
      <c r="R601" s="81">
        <v>9172748.3067095708</v>
      </c>
      <c r="S601" s="81">
        <v>9361576.7298384029</v>
      </c>
      <c r="T601" s="81">
        <v>9548328.0525884349</v>
      </c>
      <c r="U601" s="81">
        <v>9732553.1465369668</v>
      </c>
      <c r="V601" s="81">
        <v>9913834.0496660937</v>
      </c>
      <c r="W601" s="81">
        <v>10091811.009923754</v>
      </c>
      <c r="X601" s="81">
        <v>10266155.164247302</v>
      </c>
      <c r="Y601" s="81">
        <v>10436600.571554331</v>
      </c>
      <c r="Z601" s="81">
        <v>10602930.29040163</v>
      </c>
      <c r="AA601" s="81">
        <v>10767649.402167104</v>
      </c>
      <c r="AB601" s="81">
        <v>10927880.611990161</v>
      </c>
      <c r="AC601" s="81">
        <v>11083608.117753541</v>
      </c>
      <c r="AD601" s="81">
        <v>11234895.165285537</v>
      </c>
      <c r="AE601" s="81">
        <v>11381878.867990499</v>
      </c>
      <c r="AF601" s="81">
        <v>11524790.886645673</v>
      </c>
      <c r="AG601" s="81">
        <v>11663952.495941993</v>
      </c>
      <c r="AH601" s="81">
        <v>11799774.285327101</v>
      </c>
      <c r="AI601" s="81">
        <v>11932788.977518914</v>
      </c>
      <c r="AJ601" s="81">
        <v>12063630.077964606</v>
      </c>
      <c r="AK601" s="81">
        <v>12210234.182618387</v>
      </c>
      <c r="AL601" s="81">
        <v>12356310.628848957</v>
      </c>
      <c r="AM601" s="81">
        <v>12502840.434755949</v>
      </c>
      <c r="AN601" s="81">
        <v>12650968.90413199</v>
      </c>
      <c r="AO601" s="81">
        <v>12801965.34378103</v>
      </c>
      <c r="AP601" s="81">
        <v>12957271.712076332</v>
      </c>
      <c r="AQ601" s="81">
        <v>13118479.537397197</v>
      </c>
      <c r="AR601" s="81">
        <v>13287336.167403989</v>
      </c>
      <c r="AS601" s="81">
        <v>13465783.589116495</v>
      </c>
      <c r="AT601" s="81">
        <v>13655921.075490465</v>
      </c>
    </row>
    <row r="602" spans="1:46" ht="15.75">
      <c r="A602" s="81" t="s">
        <v>448</v>
      </c>
      <c r="B602" s="80">
        <v>451200</v>
      </c>
      <c r="C602" s="80" t="s">
        <v>422</v>
      </c>
      <c r="D602" s="84" t="s">
        <v>616</v>
      </c>
      <c r="E602" s="81">
        <v>17345273.320898861</v>
      </c>
      <c r="F602" s="81">
        <v>17856277.574228492</v>
      </c>
      <c r="G602" s="81">
        <v>18298906.223239847</v>
      </c>
      <c r="H602" s="81">
        <v>18758648.106184527</v>
      </c>
      <c r="I602" s="81">
        <v>19233968.802570865</v>
      </c>
      <c r="J602" s="81">
        <v>19723287.055794783</v>
      </c>
      <c r="K602" s="81">
        <v>20224978.368278295</v>
      </c>
      <c r="L602" s="81">
        <v>20737378.321375631</v>
      </c>
      <c r="M602" s="81">
        <v>21258803.826560907</v>
      </c>
      <c r="N602" s="81">
        <v>21787545.308836292</v>
      </c>
      <c r="O602" s="81">
        <v>22321907.71864203</v>
      </c>
      <c r="P602" s="81">
        <v>22860184.752456795</v>
      </c>
      <c r="Q602" s="81">
        <v>23329269.978579707</v>
      </c>
      <c r="R602" s="81">
        <v>23796679.640507624</v>
      </c>
      <c r="S602" s="81">
        <v>24260853.211116642</v>
      </c>
      <c r="T602" s="81">
        <v>24720329.712975938</v>
      </c>
      <c r="U602" s="81">
        <v>25173705.47971759</v>
      </c>
      <c r="V602" s="81">
        <v>25619700.97530099</v>
      </c>
      <c r="W602" s="81">
        <v>26057124.545741014</v>
      </c>
      <c r="X602" s="81">
        <v>26484905.328635391</v>
      </c>
      <c r="Y602" s="81">
        <v>26902121.020969644</v>
      </c>
      <c r="Z602" s="81">
        <v>27307981.687936183</v>
      </c>
      <c r="AA602" s="81">
        <v>27708681.982877184</v>
      </c>
      <c r="AB602" s="81">
        <v>28096603.441114191</v>
      </c>
      <c r="AC602" s="81">
        <v>28471462.01323716</v>
      </c>
      <c r="AD602" s="81">
        <v>28833200.574769333</v>
      </c>
      <c r="AE602" s="81">
        <v>29181956.016832899</v>
      </c>
      <c r="AF602" s="81">
        <v>29518122.254653759</v>
      </c>
      <c r="AG602" s="81">
        <v>29842316.327108737</v>
      </c>
      <c r="AH602" s="81">
        <v>30155426.183353819</v>
      </c>
      <c r="AI602" s="81">
        <v>30458626.831463918</v>
      </c>
      <c r="AJ602" s="81">
        <v>30753379.044839162</v>
      </c>
      <c r="AK602" s="81">
        <v>31085249.73535515</v>
      </c>
      <c r="AL602" s="81">
        <v>31412485.173736658</v>
      </c>
      <c r="AM602" s="81">
        <v>31737519.426749069</v>
      </c>
      <c r="AN602" s="81">
        <v>32063152.28711063</v>
      </c>
      <c r="AO602" s="81">
        <v>32392596.027949549</v>
      </c>
      <c r="AP602" s="81">
        <v>32729457.113989625</v>
      </c>
      <c r="AQ602" s="81">
        <v>33077783.660554279</v>
      </c>
      <c r="AR602" s="81">
        <v>33442075.806163773</v>
      </c>
      <c r="AS602" s="81">
        <v>33827295.496662252</v>
      </c>
      <c r="AT602" s="81">
        <v>34238896.239476837</v>
      </c>
    </row>
    <row r="603" spans="1:46" ht="15.75">
      <c r="A603" s="81" t="s">
        <v>448</v>
      </c>
      <c r="B603" s="80">
        <v>451300</v>
      </c>
      <c r="C603" s="80" t="s">
        <v>422</v>
      </c>
      <c r="D603" s="84" t="s">
        <v>615</v>
      </c>
      <c r="E603" s="81">
        <v>10813031.437167289</v>
      </c>
      <c r="F603" s="81">
        <v>11149210.21269392</v>
      </c>
      <c r="G603" s="81">
        <v>11440365.088219328</v>
      </c>
      <c r="H603" s="81">
        <v>11739921.696025589</v>
      </c>
      <c r="I603" s="81">
        <v>12047078.185083507</v>
      </c>
      <c r="J603" s="81">
        <v>12360990.399143105</v>
      </c>
      <c r="K603" s="81">
        <v>12680804.372599058</v>
      </c>
      <c r="L603" s="81">
        <v>13005643.84608773</v>
      </c>
      <c r="M603" s="81">
        <v>13334626.977606218</v>
      </c>
      <c r="N603" s="81">
        <v>13666872.058629371</v>
      </c>
      <c r="O603" s="81">
        <v>14001483.926910434</v>
      </c>
      <c r="P603" s="81">
        <v>14337578.112299103</v>
      </c>
      <c r="Q603" s="81">
        <v>14629493.486366758</v>
      </c>
      <c r="R603" s="81">
        <v>14919759.351752022</v>
      </c>
      <c r="S603" s="81">
        <v>15207582.126733221</v>
      </c>
      <c r="T603" s="81">
        <v>15492219.833896866</v>
      </c>
      <c r="U603" s="81">
        <v>15772960.16691184</v>
      </c>
      <c r="V603" s="81">
        <v>16049139.953751586</v>
      </c>
      <c r="W603" s="81">
        <v>16320166.157893332</v>
      </c>
      <c r="X603" s="81">
        <v>16585508.11397141</v>
      </c>
      <c r="Y603" s="81">
        <v>16844680.769814976</v>
      </c>
      <c r="Z603" s="81">
        <v>17097304.142103493</v>
      </c>
      <c r="AA603" s="81">
        <v>17347332.453427847</v>
      </c>
      <c r="AB603" s="81">
        <v>17590051.126611013</v>
      </c>
      <c r="AC603" s="81">
        <v>17825341.64977457</v>
      </c>
      <c r="AD603" s="81">
        <v>18053172.746820997</v>
      </c>
      <c r="AE603" s="81">
        <v>18273631.698494341</v>
      </c>
      <c r="AF603" s="81">
        <v>18486923.730979368</v>
      </c>
      <c r="AG603" s="81">
        <v>18693388.185145363</v>
      </c>
      <c r="AH603" s="81">
        <v>18893480.218694754</v>
      </c>
      <c r="AI603" s="81">
        <v>19087822.061076999</v>
      </c>
      <c r="AJ603" s="81">
        <v>19277158.17514614</v>
      </c>
      <c r="AK603" s="81">
        <v>19489875.923832059</v>
      </c>
      <c r="AL603" s="81">
        <v>19699569.032871403</v>
      </c>
      <c r="AM603" s="81">
        <v>19907488.711281143</v>
      </c>
      <c r="AN603" s="81">
        <v>20115075.745862573</v>
      </c>
      <c r="AO603" s="81">
        <v>20323969.827053118</v>
      </c>
      <c r="AP603" s="81">
        <v>20536028.993166372</v>
      </c>
      <c r="AQ603" s="81">
        <v>20753329.850227423</v>
      </c>
      <c r="AR603" s="81">
        <v>20978146.480783116</v>
      </c>
      <c r="AS603" s="81">
        <v>21213041.512683857</v>
      </c>
      <c r="AT603" s="81">
        <v>21460795.253702205</v>
      </c>
    </row>
    <row r="604" spans="1:46" ht="15.75">
      <c r="A604" s="81" t="s">
        <v>448</v>
      </c>
      <c r="B604" s="80">
        <v>451400</v>
      </c>
      <c r="C604" s="80" t="s">
        <v>422</v>
      </c>
      <c r="D604" s="84" t="s">
        <v>614</v>
      </c>
      <c r="E604" s="81">
        <v>10716751.155726047</v>
      </c>
      <c r="F604" s="81">
        <v>11030944.325996671</v>
      </c>
      <c r="G604" s="81">
        <v>11298465.754486725</v>
      </c>
      <c r="H604" s="81">
        <v>11572379.604930149</v>
      </c>
      <c r="I604" s="81">
        <v>11851998.842610633</v>
      </c>
      <c r="J604" s="81">
        <v>12136603.455983337</v>
      </c>
      <c r="K604" s="81">
        <v>12425478.083176693</v>
      </c>
      <c r="L604" s="81">
        <v>12717876.085558454</v>
      </c>
      <c r="M604" s="81">
        <v>13013039.981261129</v>
      </c>
      <c r="N604" s="81">
        <v>13310224.31103831</v>
      </c>
      <c r="O604" s="81">
        <v>13608663.395963015</v>
      </c>
      <c r="P604" s="81">
        <v>13907606.483963469</v>
      </c>
      <c r="Q604" s="81">
        <v>14162938.441201225</v>
      </c>
      <c r="R604" s="81">
        <v>14416100.852382487</v>
      </c>
      <c r="S604" s="81">
        <v>14666428.85209783</v>
      </c>
      <c r="T604" s="81">
        <v>14913273.548487416</v>
      </c>
      <c r="U604" s="81">
        <v>15156026.846745636</v>
      </c>
      <c r="V604" s="81">
        <v>15394126.791330855</v>
      </c>
      <c r="W604" s="81">
        <v>15627041.021666078</v>
      </c>
      <c r="X604" s="81">
        <v>15854315.308337359</v>
      </c>
      <c r="Y604" s="81">
        <v>16075520.43516884</v>
      </c>
      <c r="Z604" s="81">
        <v>16290308.876742838</v>
      </c>
      <c r="AA604" s="81">
        <v>16502442.769551633</v>
      </c>
      <c r="AB604" s="81">
        <v>16707427.288701426</v>
      </c>
      <c r="AC604" s="81">
        <v>16905107.637687385</v>
      </c>
      <c r="AD604" s="81">
        <v>17095435.298960142</v>
      </c>
      <c r="AE604" s="81">
        <v>17278434.154592514</v>
      </c>
      <c r="AF604" s="81">
        <v>17454230.439612366</v>
      </c>
      <c r="AG604" s="81">
        <v>17623042.240830939</v>
      </c>
      <c r="AH604" s="81">
        <v>17785211.015087057</v>
      </c>
      <c r="AI604" s="81">
        <v>17941182.600149959</v>
      </c>
      <c r="AJ604" s="81">
        <v>18091530.748860586</v>
      </c>
      <c r="AK604" s="81">
        <v>18262658.128812164</v>
      </c>
      <c r="AL604" s="81">
        <v>18429590.028604612</v>
      </c>
      <c r="AM604" s="81">
        <v>18593259.948044345</v>
      </c>
      <c r="AN604" s="81">
        <v>18754789.76534754</v>
      </c>
      <c r="AO604" s="81">
        <v>18915451.807482317</v>
      </c>
      <c r="AP604" s="81">
        <v>19076685.54516007</v>
      </c>
      <c r="AQ604" s="81">
        <v>19240115.267850168</v>
      </c>
      <c r="AR604" s="81">
        <v>19407528.347215507</v>
      </c>
      <c r="AS604" s="81">
        <v>19580932.95651203</v>
      </c>
      <c r="AT604" s="81">
        <v>19762516.355888899</v>
      </c>
    </row>
    <row r="605" spans="1:46" ht="15.75">
      <c r="A605" s="81" t="s">
        <v>448</v>
      </c>
      <c r="B605" s="80">
        <v>460100</v>
      </c>
      <c r="C605" s="80" t="s">
        <v>421</v>
      </c>
      <c r="D605" s="84" t="s">
        <v>613</v>
      </c>
      <c r="E605" s="81">
        <v>37802440.012501583</v>
      </c>
      <c r="F605" s="81">
        <v>38880520.082452945</v>
      </c>
      <c r="G605" s="81">
        <v>39712344.333258338</v>
      </c>
      <c r="H605" s="81">
        <v>40522388.606555492</v>
      </c>
      <c r="I605" s="81">
        <v>41310455.22504729</v>
      </c>
      <c r="J605" s="81">
        <v>42076392.632274292</v>
      </c>
      <c r="K605" s="81">
        <v>42820067.673393868</v>
      </c>
      <c r="L605" s="81">
        <v>43541379.370754421</v>
      </c>
      <c r="M605" s="81">
        <v>44240317.347546972</v>
      </c>
      <c r="N605" s="81">
        <v>44916832.335517764</v>
      </c>
      <c r="O605" s="81">
        <v>45570996.228745684</v>
      </c>
      <c r="P605" s="81">
        <v>46202856.35495998</v>
      </c>
      <c r="Q605" s="81">
        <v>46610617.007561304</v>
      </c>
      <c r="R605" s="81">
        <v>46995109.131269038</v>
      </c>
      <c r="S605" s="81">
        <v>47356795.876738019</v>
      </c>
      <c r="T605" s="81">
        <v>47696251.708923064</v>
      </c>
      <c r="U605" s="81">
        <v>48014041.326040119</v>
      </c>
      <c r="V605" s="81">
        <v>48310718.855700679</v>
      </c>
      <c r="W605" s="81">
        <v>48586952.139085487</v>
      </c>
      <c r="X605" s="81">
        <v>48843352.423679911</v>
      </c>
      <c r="Y605" s="81">
        <v>49080614.543827042</v>
      </c>
      <c r="Z605" s="81">
        <v>49299439.226909652</v>
      </c>
      <c r="AA605" s="81">
        <v>49282792.515407279</v>
      </c>
      <c r="AB605" s="81">
        <v>49249676.504725136</v>
      </c>
      <c r="AC605" s="81">
        <v>49201093.375053547</v>
      </c>
      <c r="AD605" s="81">
        <v>49138065.505658351</v>
      </c>
      <c r="AE605" s="81">
        <v>49061603.608336166</v>
      </c>
      <c r="AF605" s="81">
        <v>48972722.644394957</v>
      </c>
      <c r="AG605" s="81">
        <v>48872473.848249041</v>
      </c>
      <c r="AH605" s="81">
        <v>48761912.844766892</v>
      </c>
      <c r="AI605" s="81">
        <v>48642099.654793441</v>
      </c>
      <c r="AJ605" s="81">
        <v>48514098.700672403</v>
      </c>
      <c r="AK605" s="81">
        <v>48408308.999364376</v>
      </c>
      <c r="AL605" s="81">
        <v>48296341.686659217</v>
      </c>
      <c r="AM605" s="81">
        <v>48179282.110651202</v>
      </c>
      <c r="AN605" s="81">
        <v>48058238.94316572</v>
      </c>
      <c r="AO605" s="81">
        <v>47934360.512052082</v>
      </c>
      <c r="AP605" s="81">
        <v>47808802.647108965</v>
      </c>
      <c r="AQ605" s="81">
        <v>47682679.972115934</v>
      </c>
      <c r="AR605" s="81">
        <v>47557211.92750477</v>
      </c>
      <c r="AS605" s="81">
        <v>47433560.639444254</v>
      </c>
      <c r="AT605" s="81">
        <v>47312944.644652076</v>
      </c>
    </row>
    <row r="606" spans="1:46" ht="15.75">
      <c r="A606" s="81" t="s">
        <v>448</v>
      </c>
      <c r="B606" s="80">
        <v>460200</v>
      </c>
      <c r="C606" s="80" t="s">
        <v>421</v>
      </c>
      <c r="D606" s="84" t="s">
        <v>612</v>
      </c>
      <c r="E606" s="81">
        <v>13057243.763630847</v>
      </c>
      <c r="F606" s="81">
        <v>13471566.125831449</v>
      </c>
      <c r="G606" s="81">
        <v>13798800.33801101</v>
      </c>
      <c r="H606" s="81">
        <v>14116701.153511267</v>
      </c>
      <c r="I606" s="81">
        <v>14425388.52776308</v>
      </c>
      <c r="J606" s="81">
        <v>14724990.863648014</v>
      </c>
      <c r="K606" s="81">
        <v>15015630.572175689</v>
      </c>
      <c r="L606" s="81">
        <v>15297478.335676026</v>
      </c>
      <c r="M606" s="81">
        <v>15570642.139785361</v>
      </c>
      <c r="N606" s="81">
        <v>15835319.193215964</v>
      </c>
      <c r="O606" s="81">
        <v>16091656.143688552</v>
      </c>
      <c r="P606" s="81">
        <v>16339817.95474688</v>
      </c>
      <c r="Q606" s="81">
        <v>16508441.586238181</v>
      </c>
      <c r="R606" s="81">
        <v>16668574.534241719</v>
      </c>
      <c r="S606" s="81">
        <v>16820550.52776989</v>
      </c>
      <c r="T606" s="81">
        <v>16964624.785608586</v>
      </c>
      <c r="U606" s="81">
        <v>17101105.524700619</v>
      </c>
      <c r="V606" s="81">
        <v>17230280.395122711</v>
      </c>
      <c r="W606" s="81">
        <v>17352415.701620162</v>
      </c>
      <c r="X606" s="81">
        <v>17467770.73618615</v>
      </c>
      <c r="Y606" s="81">
        <v>17576642.97014739</v>
      </c>
      <c r="Z606" s="81">
        <v>17679277.232715294</v>
      </c>
      <c r="AA606" s="81">
        <v>17757780.093730994</v>
      </c>
      <c r="AB606" s="81">
        <v>17830531.087768994</v>
      </c>
      <c r="AC606" s="81">
        <v>17897782.217507537</v>
      </c>
      <c r="AD606" s="81">
        <v>17959790.772705998</v>
      </c>
      <c r="AE606" s="81">
        <v>18016803.747123893</v>
      </c>
      <c r="AF606" s="81">
        <v>18069010.559293244</v>
      </c>
      <c r="AG606" s="81">
        <v>18116667.536409553</v>
      </c>
      <c r="AH606" s="81">
        <v>18159957.148161955</v>
      </c>
      <c r="AI606" s="81">
        <v>18199097.347018559</v>
      </c>
      <c r="AJ606" s="81">
        <v>18234246.741535846</v>
      </c>
      <c r="AK606" s="81">
        <v>18219526.785087772</v>
      </c>
      <c r="AL606" s="81">
        <v>18201358.401765037</v>
      </c>
      <c r="AM606" s="81">
        <v>18179918.236061919</v>
      </c>
      <c r="AN606" s="81">
        <v>18155384.070709031</v>
      </c>
      <c r="AO606" s="81">
        <v>18127902.762664296</v>
      </c>
      <c r="AP606" s="81">
        <v>18097606.060762577</v>
      </c>
      <c r="AQ606" s="81">
        <v>18064610.486565664</v>
      </c>
      <c r="AR606" s="81">
        <v>18029017.215020306</v>
      </c>
      <c r="AS606" s="81">
        <v>17990928.084065698</v>
      </c>
      <c r="AT606" s="81">
        <v>17950413.288997918</v>
      </c>
    </row>
    <row r="607" spans="1:46" ht="15.75">
      <c r="A607" s="81" t="s">
        <v>448</v>
      </c>
      <c r="B607" s="80">
        <v>460300</v>
      </c>
      <c r="C607" s="80" t="s">
        <v>421</v>
      </c>
      <c r="D607" s="84" t="s">
        <v>611</v>
      </c>
      <c r="E607" s="81">
        <v>36922.53429244789</v>
      </c>
      <c r="F607" s="81">
        <v>37351.537288461979</v>
      </c>
      <c r="G607" s="81">
        <v>37748.827733702237</v>
      </c>
      <c r="H607" s="81">
        <v>38114.341584509995</v>
      </c>
      <c r="I607" s="81">
        <v>38448.045624984974</v>
      </c>
      <c r="J607" s="81">
        <v>38749.90663922688</v>
      </c>
      <c r="K607" s="81">
        <v>39035.929180102954</v>
      </c>
      <c r="L607" s="81">
        <v>39306.096639663039</v>
      </c>
      <c r="M607" s="81">
        <v>39528.294728488501</v>
      </c>
      <c r="N607" s="81">
        <v>39734.582376164188</v>
      </c>
      <c r="O607" s="81">
        <v>39924.942974739955</v>
      </c>
      <c r="P607" s="81">
        <v>40083.294467581283</v>
      </c>
      <c r="Q607" s="81">
        <v>40225.722536819536</v>
      </c>
      <c r="R607" s="81">
        <v>40336.086370198034</v>
      </c>
      <c r="S607" s="81">
        <v>40430.434751023931</v>
      </c>
      <c r="T607" s="81">
        <v>40508.751013919929</v>
      </c>
      <c r="U607" s="81">
        <v>40571.018493508818</v>
      </c>
      <c r="V607" s="81">
        <v>40601.121744974364</v>
      </c>
      <c r="W607" s="81">
        <v>40631.236106691409</v>
      </c>
      <c r="X607" s="81">
        <v>40629.14179927911</v>
      </c>
      <c r="Y607" s="81">
        <v>40610.920936799099</v>
      </c>
      <c r="Z607" s="81">
        <v>40592.67785381608</v>
      </c>
      <c r="AA607" s="81">
        <v>40542.207730528018</v>
      </c>
      <c r="AB607" s="81">
        <v>40491.693012565389</v>
      </c>
      <c r="AC607" s="81">
        <v>40424.995976983308</v>
      </c>
      <c r="AD607" s="81">
        <v>40342.099900778805</v>
      </c>
      <c r="AE607" s="81">
        <v>40259.136932562462</v>
      </c>
      <c r="AF607" s="81">
        <v>40159.952626386425</v>
      </c>
      <c r="AG607" s="81">
        <v>40044.530259247724</v>
      </c>
      <c r="AH607" s="81">
        <v>39929.018702759917</v>
      </c>
      <c r="AI607" s="81">
        <v>39813.417956922982</v>
      </c>
      <c r="AJ607" s="81">
        <v>39681.551278451807</v>
      </c>
      <c r="AK607" s="81">
        <v>39533.449033131583</v>
      </c>
      <c r="AL607" s="81">
        <v>39401.422846129019</v>
      </c>
      <c r="AM607" s="81">
        <v>39253.102450045924</v>
      </c>
      <c r="AN607" s="81">
        <v>39104.670181776732</v>
      </c>
      <c r="AO607" s="81">
        <v>38956.12604132144</v>
      </c>
      <c r="AP607" s="81">
        <v>38807.470028680065</v>
      </c>
      <c r="AQ607" s="81">
        <v>38658.702143852584</v>
      </c>
      <c r="AR607" s="81">
        <v>38493.600894679454</v>
      </c>
      <c r="AS607" s="81">
        <v>38344.603671870493</v>
      </c>
      <c r="AT607" s="81">
        <v>38211.727256253624</v>
      </c>
    </row>
    <row r="608" spans="1:46" ht="15.75">
      <c r="A608" s="81" t="s">
        <v>448</v>
      </c>
      <c r="B608" s="80">
        <v>460400</v>
      </c>
      <c r="C608" s="80" t="s">
        <v>421</v>
      </c>
      <c r="D608" s="84" t="s">
        <v>610</v>
      </c>
      <c r="E608" s="81">
        <v>8908625.1025574617</v>
      </c>
      <c r="F608" s="81">
        <v>9135917.0577704683</v>
      </c>
      <c r="G608" s="81">
        <v>9314440.1968358662</v>
      </c>
      <c r="H608" s="81">
        <v>9496252.7596001327</v>
      </c>
      <c r="I608" s="81">
        <v>9680445.7617350984</v>
      </c>
      <c r="J608" s="81">
        <v>9866129.9730272684</v>
      </c>
      <c r="K608" s="81">
        <v>10052449.057119668</v>
      </c>
      <c r="L608" s="81">
        <v>10238562.749893304</v>
      </c>
      <c r="M608" s="81">
        <v>10423690.603088263</v>
      </c>
      <c r="N608" s="81">
        <v>10607064.585407946</v>
      </c>
      <c r="O608" s="81">
        <v>10787952.133364853</v>
      </c>
      <c r="P608" s="81">
        <v>10965691.069071956</v>
      </c>
      <c r="Q608" s="81">
        <v>11091559.95344389</v>
      </c>
      <c r="R608" s="81">
        <v>11212509.20063273</v>
      </c>
      <c r="S608" s="81">
        <v>11328059.063731866</v>
      </c>
      <c r="T608" s="81">
        <v>11437829.765299425</v>
      </c>
      <c r="U608" s="81">
        <v>11541478.969888644</v>
      </c>
      <c r="V608" s="81">
        <v>11638746.783038961</v>
      </c>
      <c r="W608" s="81">
        <v>11729436.031350441</v>
      </c>
      <c r="X608" s="81">
        <v>11813391.848341392</v>
      </c>
      <c r="Y608" s="81">
        <v>11890580.78949696</v>
      </c>
      <c r="Z608" s="81">
        <v>11960982.093256051</v>
      </c>
      <c r="AA608" s="81">
        <v>12012425.837862521</v>
      </c>
      <c r="AB608" s="81">
        <v>12057331.875379762</v>
      </c>
      <c r="AC608" s="81">
        <v>12095946.884169819</v>
      </c>
      <c r="AD608" s="81">
        <v>12128613.939908655</v>
      </c>
      <c r="AE608" s="81">
        <v>12155740.116149826</v>
      </c>
      <c r="AF608" s="81">
        <v>12177809.14632342</v>
      </c>
      <c r="AG608" s="81">
        <v>12195405.893153453</v>
      </c>
      <c r="AH608" s="81">
        <v>12209160.395024767</v>
      </c>
      <c r="AI608" s="81">
        <v>12219841.526220212</v>
      </c>
      <c r="AJ608" s="81">
        <v>12228254.627581418</v>
      </c>
      <c r="AK608" s="81">
        <v>12237068.066892587</v>
      </c>
      <c r="AL608" s="81">
        <v>12245525.296567794</v>
      </c>
      <c r="AM608" s="81">
        <v>12254723.94751844</v>
      </c>
      <c r="AN608" s="81">
        <v>12265851.003838047</v>
      </c>
      <c r="AO608" s="81">
        <v>12280196.208570266</v>
      </c>
      <c r="AP608" s="81">
        <v>12299129.893142309</v>
      </c>
      <c r="AQ608" s="81">
        <v>12324140.255289944</v>
      </c>
      <c r="AR608" s="81">
        <v>12356787.132079307</v>
      </c>
      <c r="AS608" s="81">
        <v>12398763.541905114</v>
      </c>
      <c r="AT608" s="81">
        <v>12451849.316534936</v>
      </c>
    </row>
    <row r="609" spans="1:46" ht="15.75">
      <c r="A609" s="81" t="s">
        <v>448</v>
      </c>
      <c r="B609" s="83">
        <v>469001</v>
      </c>
      <c r="C609" s="80" t="s">
        <v>421</v>
      </c>
      <c r="D609" s="82" t="s">
        <v>609</v>
      </c>
      <c r="E609" s="81">
        <v>1100324.7351343052</v>
      </c>
      <c r="F609" s="81">
        <v>1131445.1026136947</v>
      </c>
      <c r="G609" s="81">
        <v>1155383.6866346868</v>
      </c>
      <c r="H609" s="81">
        <v>1178674.9086900183</v>
      </c>
      <c r="I609" s="81">
        <v>1201311.0258556562</v>
      </c>
      <c r="J609" s="81">
        <v>1223306.1605943325</v>
      </c>
      <c r="K609" s="81">
        <v>1244633.6480906855</v>
      </c>
      <c r="L609" s="81">
        <v>1265309.7228050642</v>
      </c>
      <c r="M609" s="81">
        <v>1285319.8042382584</v>
      </c>
      <c r="N609" s="81">
        <v>1304671.6210293167</v>
      </c>
      <c r="O609" s="81">
        <v>1323363.1205279033</v>
      </c>
      <c r="P609" s="81">
        <v>1341404.2665596884</v>
      </c>
      <c r="Q609" s="81">
        <v>1352931.5222813836</v>
      </c>
      <c r="R609" s="81">
        <v>1363775.0864410547</v>
      </c>
      <c r="S609" s="81">
        <v>1373945.7999217405</v>
      </c>
      <c r="T609" s="81">
        <v>1383477.8095758101</v>
      </c>
      <c r="U609" s="81">
        <v>1392371.7941236943</v>
      </c>
      <c r="V609" s="81">
        <v>1400640.2016914589</v>
      </c>
      <c r="W609" s="81">
        <v>1408330.7560542414</v>
      </c>
      <c r="X609" s="81">
        <v>1415434.088136262</v>
      </c>
      <c r="Y609" s="81">
        <v>1421975.9840202045</v>
      </c>
      <c r="Z609" s="81">
        <v>1427982.9541547822</v>
      </c>
      <c r="AA609" s="81">
        <v>1432018.9536726854</v>
      </c>
      <c r="AB609" s="81">
        <v>1435555.3758086243</v>
      </c>
      <c r="AC609" s="81">
        <v>1438633.8585462887</v>
      </c>
      <c r="AD609" s="81">
        <v>1441272.8602811014</v>
      </c>
      <c r="AE609" s="81">
        <v>1443503.2587187442</v>
      </c>
      <c r="AF609" s="81">
        <v>1445344.4385329278</v>
      </c>
      <c r="AG609" s="81">
        <v>1446816.1744487856</v>
      </c>
      <c r="AH609" s="81">
        <v>1447975.1695254941</v>
      </c>
      <c r="AI609" s="81">
        <v>1448817.9690174565</v>
      </c>
      <c r="AJ609" s="81">
        <v>1449390.2274211908</v>
      </c>
      <c r="AK609" s="81">
        <v>1449932.7126685237</v>
      </c>
      <c r="AL609" s="81">
        <v>1450272.0153223043</v>
      </c>
      <c r="AM609" s="81">
        <v>1450418.5175013458</v>
      </c>
      <c r="AN609" s="81">
        <v>1450420.2571615658</v>
      </c>
      <c r="AO609" s="81">
        <v>1450301.0229042377</v>
      </c>
      <c r="AP609" s="81">
        <v>1450110.1886176509</v>
      </c>
      <c r="AQ609" s="81">
        <v>1449872.6747765241</v>
      </c>
      <c r="AR609" s="81">
        <v>1449626.5048243883</v>
      </c>
      <c r="AS609" s="81">
        <v>1449410.3220079977</v>
      </c>
      <c r="AT609" s="81">
        <v>1449263.3903550804</v>
      </c>
    </row>
    <row r="610" spans="1:46" ht="15.75">
      <c r="A610" s="81" t="s">
        <v>448</v>
      </c>
      <c r="B610" s="83">
        <v>469002</v>
      </c>
      <c r="C610" s="80" t="s">
        <v>421</v>
      </c>
      <c r="D610" s="82" t="s">
        <v>608</v>
      </c>
      <c r="E610" s="81">
        <v>4610870.4977804851</v>
      </c>
      <c r="F610" s="81">
        <v>4741264.4455409497</v>
      </c>
      <c r="G610" s="81">
        <v>4841567.2578025656</v>
      </c>
      <c r="H610" s="81">
        <v>4939175.9014742533</v>
      </c>
      <c r="I610" s="81">
        <v>5034054.725731357</v>
      </c>
      <c r="J610" s="81">
        <v>5126199.5150242737</v>
      </c>
      <c r="K610" s="81">
        <v>5215591.6429756805</v>
      </c>
      <c r="L610" s="81">
        <v>5302216.2258150671</v>
      </c>
      <c r="M610" s="81">
        <v>5386081.4431358147</v>
      </c>
      <c r="N610" s="81">
        <v>5467170.7462548362</v>
      </c>
      <c r="O610" s="81">
        <v>5545510.3679008381</v>
      </c>
      <c r="P610" s="81">
        <v>5621101.6318709161</v>
      </c>
      <c r="Q610" s="81">
        <v>5669388.9784780703</v>
      </c>
      <c r="R610" s="81">
        <v>5714819.5340813985</v>
      </c>
      <c r="S610" s="81">
        <v>5757465.0528790345</v>
      </c>
      <c r="T610" s="81">
        <v>5797389.6707236981</v>
      </c>
      <c r="U610" s="81">
        <v>5834659.8588321153</v>
      </c>
      <c r="V610" s="81">
        <v>5869344.4276558347</v>
      </c>
      <c r="W610" s="81">
        <v>5901535.1926905401</v>
      </c>
      <c r="X610" s="81">
        <v>5931305.9819977777</v>
      </c>
      <c r="Y610" s="81">
        <v>5958732.9749086099</v>
      </c>
      <c r="Z610" s="81">
        <v>5983915.6955719916</v>
      </c>
      <c r="AA610" s="81">
        <v>6000814.099354147</v>
      </c>
      <c r="AB610" s="81">
        <v>6015649.7200415442</v>
      </c>
      <c r="AC610" s="81">
        <v>6028546.1979335882</v>
      </c>
      <c r="AD610" s="81">
        <v>6039608.2646272136</v>
      </c>
      <c r="AE610" s="81">
        <v>6048932.0212963773</v>
      </c>
      <c r="AF610" s="81">
        <v>6056636.9981298679</v>
      </c>
      <c r="AG610" s="81">
        <v>6062844.9925205885</v>
      </c>
      <c r="AH610" s="81">
        <v>6067658.3786538281</v>
      </c>
      <c r="AI610" s="81">
        <v>6071214.1254737796</v>
      </c>
      <c r="AJ610" s="81">
        <v>6073629.7856813762</v>
      </c>
      <c r="AK610" s="81">
        <v>6075901.9641493699</v>
      </c>
      <c r="AL610" s="81">
        <v>6077280.4336844664</v>
      </c>
      <c r="AM610" s="81">
        <v>6077911.0928130206</v>
      </c>
      <c r="AN610" s="81">
        <v>6077920.1594722169</v>
      </c>
      <c r="AO610" s="81">
        <v>6077447.2096443158</v>
      </c>
      <c r="AP610" s="81">
        <v>6076645.4104074268</v>
      </c>
      <c r="AQ610" s="81">
        <v>6075659.2407659777</v>
      </c>
      <c r="AR610" s="81">
        <v>6074624.2658566078</v>
      </c>
      <c r="AS610" s="81">
        <v>6073712.3039187249</v>
      </c>
      <c r="AT610" s="81">
        <v>6073075.1485738475</v>
      </c>
    </row>
    <row r="611" spans="1:46" ht="15.75">
      <c r="A611" s="81" t="s">
        <v>448</v>
      </c>
      <c r="B611" s="83">
        <v>469005</v>
      </c>
      <c r="C611" s="80" t="s">
        <v>421</v>
      </c>
      <c r="D611" s="82" t="s">
        <v>607</v>
      </c>
      <c r="E611" s="81">
        <v>5081736.9341751058</v>
      </c>
      <c r="F611" s="81">
        <v>5225453.5280953078</v>
      </c>
      <c r="G611" s="81">
        <v>5335998.18599902</v>
      </c>
      <c r="H611" s="81">
        <v>5443577.9863292919</v>
      </c>
      <c r="I611" s="81">
        <v>5548148.4275672119</v>
      </c>
      <c r="J611" s="81">
        <v>5649707.346960119</v>
      </c>
      <c r="K611" s="81">
        <v>5748228.1963924123</v>
      </c>
      <c r="L611" s="81">
        <v>5843698.2252351884</v>
      </c>
      <c r="M611" s="81">
        <v>5936129.0164477723</v>
      </c>
      <c r="N611" s="81">
        <v>6025506.8816564223</v>
      </c>
      <c r="O611" s="81">
        <v>6111842.4815803515</v>
      </c>
      <c r="P611" s="81">
        <v>6195151.1911920775</v>
      </c>
      <c r="Q611" s="81">
        <v>6248373.1261684773</v>
      </c>
      <c r="R611" s="81">
        <v>6298445.0526352683</v>
      </c>
      <c r="S611" s="81">
        <v>6345438.2409949116</v>
      </c>
      <c r="T611" s="81">
        <v>6389437.156633947</v>
      </c>
      <c r="U611" s="81">
        <v>6430518.5273056142</v>
      </c>
      <c r="V611" s="81">
        <v>6468751.0649437997</v>
      </c>
      <c r="W611" s="81">
        <v>6504227.356187826</v>
      </c>
      <c r="X611" s="81">
        <v>6537032.0937608005</v>
      </c>
      <c r="Y611" s="81">
        <v>6567263.4706208128</v>
      </c>
      <c r="Z611" s="81">
        <v>6595022.5748331789</v>
      </c>
      <c r="AA611" s="81">
        <v>6613633.480987696</v>
      </c>
      <c r="AB611" s="81">
        <v>6629990.0146296043</v>
      </c>
      <c r="AC611" s="81">
        <v>6644208.1051056199</v>
      </c>
      <c r="AD611" s="81">
        <v>6656394.946638098</v>
      </c>
      <c r="AE611" s="81">
        <v>6666671.0163945463</v>
      </c>
      <c r="AF611" s="81">
        <v>6675170.306639798</v>
      </c>
      <c r="AG611" s="81">
        <v>6682006.9185436498</v>
      </c>
      <c r="AH611" s="81">
        <v>6687319.6431674268</v>
      </c>
      <c r="AI611" s="81">
        <v>6691238.5095351115</v>
      </c>
      <c r="AJ611" s="81">
        <v>6693895.9098164942</v>
      </c>
      <c r="AK611" s="81">
        <v>6696403.8005824201</v>
      </c>
      <c r="AL611" s="81">
        <v>6697926.9547527228</v>
      </c>
      <c r="AM611" s="81">
        <v>6698616.2259639008</v>
      </c>
      <c r="AN611" s="81">
        <v>6698625.1207512617</v>
      </c>
      <c r="AO611" s="81">
        <v>6698109.8027669108</v>
      </c>
      <c r="AP611" s="81">
        <v>6697229.0969977183</v>
      </c>
      <c r="AQ611" s="81">
        <v>6696132.810416026</v>
      </c>
      <c r="AR611" s="81">
        <v>6694996.6914665569</v>
      </c>
      <c r="AS611" s="81">
        <v>6693987.5743579492</v>
      </c>
      <c r="AT611" s="81">
        <v>6693286.7983124983</v>
      </c>
    </row>
    <row r="612" spans="1:46" ht="15.75">
      <c r="A612" s="81" t="s">
        <v>448</v>
      </c>
      <c r="B612" s="83">
        <v>469006</v>
      </c>
      <c r="C612" s="80" t="s">
        <v>421</v>
      </c>
      <c r="D612" s="82" t="s">
        <v>606</v>
      </c>
      <c r="E612" s="81">
        <v>4701652.5907834554</v>
      </c>
      <c r="F612" s="81">
        <v>4834614.9593032021</v>
      </c>
      <c r="G612" s="81">
        <v>4936895.6993551077</v>
      </c>
      <c r="H612" s="81">
        <v>5036427.9063711641</v>
      </c>
      <c r="I612" s="81">
        <v>5133181.5610179426</v>
      </c>
      <c r="J612" s="81">
        <v>5227139.5564697124</v>
      </c>
      <c r="K612" s="81">
        <v>5318288.8499257481</v>
      </c>
      <c r="L612" s="81">
        <v>5406620.4696582602</v>
      </c>
      <c r="M612" s="81">
        <v>5492129.5220603356</v>
      </c>
      <c r="N612" s="81">
        <v>5574824.8219589433</v>
      </c>
      <c r="O612" s="81">
        <v>5654709.9418981047</v>
      </c>
      <c r="P612" s="81">
        <v>5731782.7382315435</v>
      </c>
      <c r="Q612" s="81">
        <v>5781020.0169157162</v>
      </c>
      <c r="R612" s="81">
        <v>5827346.7366515808</v>
      </c>
      <c r="S612" s="81">
        <v>5870832.0810564077</v>
      </c>
      <c r="T612" s="81">
        <v>5911537.7159190057</v>
      </c>
      <c r="U612" s="81">
        <v>5949547.7773291608</v>
      </c>
      <c r="V612" s="81">
        <v>5984918.7232349562</v>
      </c>
      <c r="W612" s="81">
        <v>6017739.6817071233</v>
      </c>
      <c r="X612" s="81">
        <v>6048102.52513297</v>
      </c>
      <c r="Y612" s="81">
        <v>6076070.9759967411</v>
      </c>
      <c r="Z612" s="81">
        <v>6101752.277057332</v>
      </c>
      <c r="AA612" s="81">
        <v>6118972.8677000748</v>
      </c>
      <c r="AB612" s="81">
        <v>6134104.4399841484</v>
      </c>
      <c r="AC612" s="81">
        <v>6147257.8324563382</v>
      </c>
      <c r="AD612" s="81">
        <v>6158535.5821239017</v>
      </c>
      <c r="AE612" s="81">
        <v>6168042.2812522342</v>
      </c>
      <c r="AF612" s="81">
        <v>6175905.8084848281</v>
      </c>
      <c r="AG612" s="81">
        <v>6182235.1374853384</v>
      </c>
      <c r="AH612" s="81">
        <v>6187152.0083336066</v>
      </c>
      <c r="AI612" s="81">
        <v>6190769.659613301</v>
      </c>
      <c r="AJ612" s="81">
        <v>6193235.7663548375</v>
      </c>
      <c r="AK612" s="81">
        <v>6195551.1283122459</v>
      </c>
      <c r="AL612" s="81">
        <v>6196957.179489987</v>
      </c>
      <c r="AM612" s="81">
        <v>6197597.5761744631</v>
      </c>
      <c r="AN612" s="81">
        <v>6197607.5276151346</v>
      </c>
      <c r="AO612" s="81">
        <v>6197135.6019299207</v>
      </c>
      <c r="AP612" s="81">
        <v>6196310.7780745681</v>
      </c>
      <c r="AQ612" s="81">
        <v>6195308.625014713</v>
      </c>
      <c r="AR612" s="81">
        <v>6194251.8614373468</v>
      </c>
      <c r="AS612" s="81">
        <v>6193321.1804760275</v>
      </c>
      <c r="AT612" s="81">
        <v>6192666.461089585</v>
      </c>
    </row>
    <row r="613" spans="1:46" ht="15.75">
      <c r="A613" s="81" t="s">
        <v>448</v>
      </c>
      <c r="B613" s="83">
        <v>469007</v>
      </c>
      <c r="C613" s="80" t="s">
        <v>421</v>
      </c>
      <c r="D613" s="82" t="s">
        <v>605</v>
      </c>
      <c r="E613" s="81">
        <v>3611048.9051406938</v>
      </c>
      <c r="F613" s="81">
        <v>3713171.1050332491</v>
      </c>
      <c r="G613" s="81">
        <v>3791726.439778436</v>
      </c>
      <c r="H613" s="81">
        <v>3868168.9115089029</v>
      </c>
      <c r="I613" s="81">
        <v>3942482.8198941355</v>
      </c>
      <c r="J613" s="81">
        <v>4014646.8804153614</v>
      </c>
      <c r="K613" s="81">
        <v>4084651.3917326266</v>
      </c>
      <c r="L613" s="81">
        <v>4152498.6936944076</v>
      </c>
      <c r="M613" s="81">
        <v>4218176.660067982</v>
      </c>
      <c r="N613" s="81">
        <v>4281685.0354814045</v>
      </c>
      <c r="O613" s="81">
        <v>4343035.8943399014</v>
      </c>
      <c r="P613" s="81">
        <v>4402235.5782953687</v>
      </c>
      <c r="Q613" s="81">
        <v>4440050.7519570449</v>
      </c>
      <c r="R613" s="81">
        <v>4475634.4419376906</v>
      </c>
      <c r="S613" s="81">
        <v>4509032.6145840036</v>
      </c>
      <c r="T613" s="81">
        <v>4540302.4740637131</v>
      </c>
      <c r="U613" s="81">
        <v>4569484.1756504346</v>
      </c>
      <c r="V613" s="81">
        <v>4596657.7124630306</v>
      </c>
      <c r="W613" s="81">
        <v>4621867.0062012449</v>
      </c>
      <c r="X613" s="81">
        <v>4645176.8953081006</v>
      </c>
      <c r="Y613" s="81">
        <v>4666663.9284350015</v>
      </c>
      <c r="Z613" s="81">
        <v>4686387.3167263968</v>
      </c>
      <c r="AA613" s="81">
        <v>4699615.6750635458</v>
      </c>
      <c r="AB613" s="81">
        <v>4711237.0176027231</v>
      </c>
      <c r="AC613" s="81">
        <v>4721340.570096869</v>
      </c>
      <c r="AD613" s="81">
        <v>4729997.4716061763</v>
      </c>
      <c r="AE613" s="81">
        <v>4737300.2600185927</v>
      </c>
      <c r="AF613" s="81">
        <v>4743343.2562215384</v>
      </c>
      <c r="AG613" s="81">
        <v>4748202.4565700516</v>
      </c>
      <c r="AH613" s="81">
        <v>4751975.5101108747</v>
      </c>
      <c r="AI613" s="81">
        <v>4754761.8571357448</v>
      </c>
      <c r="AJ613" s="81">
        <v>4756652.5535656372</v>
      </c>
      <c r="AK613" s="81">
        <v>4758428.7023518458</v>
      </c>
      <c r="AL613" s="81">
        <v>4759511.9947816217</v>
      </c>
      <c r="AM613" s="81">
        <v>4759998.4405248603</v>
      </c>
      <c r="AN613" s="81">
        <v>4760006.4458287554</v>
      </c>
      <c r="AO613" s="81">
        <v>4759646.0680827796</v>
      </c>
      <c r="AP613" s="81">
        <v>4759018.8053823691</v>
      </c>
      <c r="AQ613" s="81">
        <v>4758238.3401664356</v>
      </c>
      <c r="AR613" s="81">
        <v>4757430.7558677448</v>
      </c>
      <c r="AS613" s="81">
        <v>4756724.1911225338</v>
      </c>
      <c r="AT613" s="81">
        <v>4756217.0259433473</v>
      </c>
    </row>
    <row r="614" spans="1:46" ht="15.75">
      <c r="A614" s="81" t="s">
        <v>448</v>
      </c>
      <c r="B614" s="83">
        <v>469021</v>
      </c>
      <c r="C614" s="80" t="s">
        <v>421</v>
      </c>
      <c r="D614" s="82" t="s">
        <v>604</v>
      </c>
      <c r="E614" s="81">
        <v>2231033.7065815064</v>
      </c>
      <c r="F614" s="81">
        <v>2294135.0909089111</v>
      </c>
      <c r="G614" s="81">
        <v>2342668.2716569644</v>
      </c>
      <c r="H614" s="81">
        <v>2389898.2062505987</v>
      </c>
      <c r="I614" s="81">
        <v>2435808.9001871143</v>
      </c>
      <c r="J614" s="81">
        <v>2480394.4353703838</v>
      </c>
      <c r="K614" s="81">
        <v>2523642.4192291796</v>
      </c>
      <c r="L614" s="81">
        <v>2565559.2993010543</v>
      </c>
      <c r="M614" s="81">
        <v>2606136.5601018844</v>
      </c>
      <c r="N614" s="81">
        <v>2645376.1250745067</v>
      </c>
      <c r="O614" s="81">
        <v>2683281.9521415764</v>
      </c>
      <c r="P614" s="81">
        <v>2719860.0372041389</v>
      </c>
      <c r="Q614" s="81">
        <v>2743220.4845785722</v>
      </c>
      <c r="R614" s="81">
        <v>2765201.9946498335</v>
      </c>
      <c r="S614" s="81">
        <v>2785835.0991081782</v>
      </c>
      <c r="T614" s="81">
        <v>2805151.4717475339</v>
      </c>
      <c r="U614" s="81">
        <v>2823193.1076269029</v>
      </c>
      <c r="V614" s="81">
        <v>2839975.6648488017</v>
      </c>
      <c r="W614" s="81">
        <v>2855552.6584326294</v>
      </c>
      <c r="X614" s="81">
        <v>2869951.1723717516</v>
      </c>
      <c r="Y614" s="81">
        <v>2883227.3659868906</v>
      </c>
      <c r="Z614" s="81">
        <v>2895410.6777185788</v>
      </c>
      <c r="AA614" s="81">
        <v>2903583.4775652308</v>
      </c>
      <c r="AB614" s="81">
        <v>2910761.929307546</v>
      </c>
      <c r="AC614" s="81">
        <v>2917010.2445523608</v>
      </c>
      <c r="AD614" s="81">
        <v>2922355.5631237887</v>
      </c>
      <c r="AE614" s="81">
        <v>2926864.1222803695</v>
      </c>
      <c r="AF614" s="81">
        <v>2930593.7524200855</v>
      </c>
      <c r="AG614" s="81">
        <v>2933603.3800402442</v>
      </c>
      <c r="AH614" s="81">
        <v>2935933.552489622</v>
      </c>
      <c r="AI614" s="81">
        <v>2937654.9340361971</v>
      </c>
      <c r="AJ614" s="81">
        <v>2938819.8130507842</v>
      </c>
      <c r="AK614" s="81">
        <v>2939920.1491920748</v>
      </c>
      <c r="AL614" s="81">
        <v>2940588.3678775677</v>
      </c>
      <c r="AM614" s="81">
        <v>2940889.6482925476</v>
      </c>
      <c r="AN614" s="81">
        <v>2940890.3168882336</v>
      </c>
      <c r="AO614" s="81">
        <v>2940667.8727179794</v>
      </c>
      <c r="AP614" s="81">
        <v>2940281.0011682753</v>
      </c>
      <c r="AQ614" s="81">
        <v>2939799.4815116487</v>
      </c>
      <c r="AR614" s="81">
        <v>2939304.3948376654</v>
      </c>
      <c r="AS614" s="81">
        <v>2938857.7667135498</v>
      </c>
      <c r="AT614" s="81">
        <v>2938553.3054098282</v>
      </c>
    </row>
    <row r="615" spans="1:46" ht="15.75">
      <c r="A615" s="81" t="s">
        <v>448</v>
      </c>
      <c r="B615" s="83">
        <v>469022</v>
      </c>
      <c r="C615" s="80" t="s">
        <v>421</v>
      </c>
      <c r="D615" s="82" t="s">
        <v>603</v>
      </c>
      <c r="E615" s="81">
        <v>2038072.6895454938</v>
      </c>
      <c r="F615" s="81">
        <v>2095708.0395229941</v>
      </c>
      <c r="G615" s="81">
        <v>2140046.5143233133</v>
      </c>
      <c r="H615" s="81">
        <v>2183187.0560539071</v>
      </c>
      <c r="I615" s="81">
        <v>2225127.6602803525</v>
      </c>
      <c r="J615" s="81">
        <v>2265859.8217250081</v>
      </c>
      <c r="K615" s="81">
        <v>2305368.0929114115</v>
      </c>
      <c r="L615" s="81">
        <v>2343655.8672816963</v>
      </c>
      <c r="M615" s="81">
        <v>2380728.610816936</v>
      </c>
      <c r="N615" s="81">
        <v>2416576.0254955338</v>
      </c>
      <c r="O615" s="81">
        <v>2451198.1884646239</v>
      </c>
      <c r="P615" s="81">
        <v>2484615.0993740545</v>
      </c>
      <c r="Q615" s="81">
        <v>2505951.8415874625</v>
      </c>
      <c r="R615" s="81">
        <v>2526038.899404983</v>
      </c>
      <c r="S615" s="81">
        <v>2544882.3045431464</v>
      </c>
      <c r="T615" s="81">
        <v>2562535.1455814228</v>
      </c>
      <c r="U615" s="81">
        <v>2579005.3410732392</v>
      </c>
      <c r="V615" s="81">
        <v>2594338.9705110518</v>
      </c>
      <c r="W615" s="81">
        <v>2608564.5905397562</v>
      </c>
      <c r="X615" s="81">
        <v>2621721.2290160898</v>
      </c>
      <c r="Y615" s="81">
        <v>2633849.0894223461</v>
      </c>
      <c r="Z615" s="81">
        <v>2644979.9558711867</v>
      </c>
      <c r="AA615" s="81">
        <v>2652445.8883227305</v>
      </c>
      <c r="AB615" s="81">
        <v>2659008.1449895082</v>
      </c>
      <c r="AC615" s="81">
        <v>2664704.3054013262</v>
      </c>
      <c r="AD615" s="81">
        <v>2669592.2555308142</v>
      </c>
      <c r="AE615" s="81">
        <v>2673711.3996972167</v>
      </c>
      <c r="AF615" s="81">
        <v>2677121.6126407548</v>
      </c>
      <c r="AG615" s="81">
        <v>2679864.1294819731</v>
      </c>
      <c r="AH615" s="81">
        <v>2681990.9009721079</v>
      </c>
      <c r="AI615" s="81">
        <v>2683564.7966189045</v>
      </c>
      <c r="AJ615" s="81">
        <v>2684639.8087174515</v>
      </c>
      <c r="AK615" s="81">
        <v>2685633.5817892002</v>
      </c>
      <c r="AL615" s="81">
        <v>2686246.5434901053</v>
      </c>
      <c r="AM615" s="81">
        <v>2686525.4679697691</v>
      </c>
      <c r="AN615" s="81">
        <v>2686528.1305516222</v>
      </c>
      <c r="AO615" s="81">
        <v>2686323.5188537007</v>
      </c>
      <c r="AP615" s="81">
        <v>2685971.54180357</v>
      </c>
      <c r="AQ615" s="81">
        <v>2685533.1147011081</v>
      </c>
      <c r="AR615" s="81">
        <v>2685070.1608111048</v>
      </c>
      <c r="AS615" s="81">
        <v>2684666.3676899695</v>
      </c>
      <c r="AT615" s="81">
        <v>2684385.9318587244</v>
      </c>
    </row>
    <row r="616" spans="1:46" ht="15.75">
      <c r="A616" s="81" t="s">
        <v>448</v>
      </c>
      <c r="B616" s="83">
        <v>469023</v>
      </c>
      <c r="C616" s="80" t="s">
        <v>421</v>
      </c>
      <c r="D616" s="82" t="s">
        <v>602</v>
      </c>
      <c r="E616" s="81">
        <v>4824164.8198468033</v>
      </c>
      <c r="F616" s="81">
        <v>4960592.0654534688</v>
      </c>
      <c r="G616" s="81">
        <v>5065543.7508964771</v>
      </c>
      <c r="H616" s="81">
        <v>5167660.325698751</v>
      </c>
      <c r="I616" s="81">
        <v>5266940.1317970054</v>
      </c>
      <c r="J616" s="81">
        <v>5363344.9464955525</v>
      </c>
      <c r="K616" s="81">
        <v>5456871.3461968889</v>
      </c>
      <c r="L616" s="81">
        <v>5547499.282104617</v>
      </c>
      <c r="M616" s="81">
        <v>5635244.5986069003</v>
      </c>
      <c r="N616" s="81">
        <v>5720095.7034262195</v>
      </c>
      <c r="O616" s="81">
        <v>5802055.6914824853</v>
      </c>
      <c r="P616" s="81">
        <v>5881142.893197692</v>
      </c>
      <c r="Q616" s="81">
        <v>5931661.7422961071</v>
      </c>
      <c r="R616" s="81">
        <v>5979197.3526671259</v>
      </c>
      <c r="S616" s="81">
        <v>6023810.1644911207</v>
      </c>
      <c r="T616" s="81">
        <v>6065585.5374130253</v>
      </c>
      <c r="U616" s="81">
        <v>6104577.6330597606</v>
      </c>
      <c r="V616" s="81">
        <v>6140865.5407246193</v>
      </c>
      <c r="W616" s="81">
        <v>6174553.8863602011</v>
      </c>
      <c r="X616" s="81">
        <v>6205692.7547205584</v>
      </c>
      <c r="Y616" s="81">
        <v>6234392.0536535354</v>
      </c>
      <c r="Z616" s="81">
        <v>6260741.4967907108</v>
      </c>
      <c r="AA616" s="81">
        <v>6278417.9393709889</v>
      </c>
      <c r="AB616" s="81">
        <v>6293949.1432242841</v>
      </c>
      <c r="AC616" s="81">
        <v>6307438.7137629632</v>
      </c>
      <c r="AD616" s="81">
        <v>6319004.2158805309</v>
      </c>
      <c r="AE616" s="81">
        <v>6328765.5295106834</v>
      </c>
      <c r="AF616" s="81">
        <v>6336832.9122120151</v>
      </c>
      <c r="AG616" s="81">
        <v>6343318.7482547248</v>
      </c>
      <c r="AH616" s="81">
        <v>6348361.6300836792</v>
      </c>
      <c r="AI616" s="81">
        <v>6352078.499590124</v>
      </c>
      <c r="AJ616" s="81">
        <v>6354612.7100713979</v>
      </c>
      <c r="AK616" s="81">
        <v>6356979.6181475772</v>
      </c>
      <c r="AL616" s="81">
        <v>6358426.9715314917</v>
      </c>
      <c r="AM616" s="81">
        <v>6359080.6079015881</v>
      </c>
      <c r="AN616" s="81">
        <v>6359093.2735948423</v>
      </c>
      <c r="AO616" s="81">
        <v>6358607.9623022545</v>
      </c>
      <c r="AP616" s="81">
        <v>6357770.1067929743</v>
      </c>
      <c r="AQ616" s="81">
        <v>6356727.5827802839</v>
      </c>
      <c r="AR616" s="81">
        <v>6355655.8014802877</v>
      </c>
      <c r="AS616" s="81">
        <v>6354695.2470248863</v>
      </c>
      <c r="AT616" s="81">
        <v>6354026.5935929995</v>
      </c>
    </row>
    <row r="617" spans="1:46" ht="15.75">
      <c r="A617" s="81" t="s">
        <v>448</v>
      </c>
      <c r="B617" s="83">
        <v>469024</v>
      </c>
      <c r="C617" s="80" t="s">
        <v>421</v>
      </c>
      <c r="D617" s="82" t="s">
        <v>601</v>
      </c>
      <c r="E617" s="81">
        <v>3286432.6270219008</v>
      </c>
      <c r="F617" s="81">
        <v>3379368.9077603547</v>
      </c>
      <c r="G617" s="81">
        <v>3450863.9481382766</v>
      </c>
      <c r="H617" s="81">
        <v>3520439.1251507159</v>
      </c>
      <c r="I617" s="81">
        <v>3588067.6625985745</v>
      </c>
      <c r="J617" s="81">
        <v>3653741.8739579231</v>
      </c>
      <c r="K617" s="81">
        <v>3717457.0966544873</v>
      </c>
      <c r="L617" s="81">
        <v>3779203.1396862175</v>
      </c>
      <c r="M617" s="81">
        <v>3838972.4975644806</v>
      </c>
      <c r="N617" s="81">
        <v>3896777.8192025372</v>
      </c>
      <c r="O617" s="81">
        <v>3952608.6886811554</v>
      </c>
      <c r="P617" s="81">
        <v>4006492.66808658</v>
      </c>
      <c r="Q617" s="81">
        <v>4040903.130043285</v>
      </c>
      <c r="R617" s="81">
        <v>4073293.9515590314</v>
      </c>
      <c r="S617" s="81">
        <v>4103684.3660312872</v>
      </c>
      <c r="T617" s="81">
        <v>4132140.2392171682</v>
      </c>
      <c r="U617" s="81">
        <v>4158702.0871929778</v>
      </c>
      <c r="V617" s="81">
        <v>4183430.3437997922</v>
      </c>
      <c r="W617" s="81">
        <v>4206368.8593508285</v>
      </c>
      <c r="X617" s="81">
        <v>4227590.8996476531</v>
      </c>
      <c r="Y617" s="81">
        <v>4247143.8071467075</v>
      </c>
      <c r="Z617" s="81">
        <v>4265095.2441473966</v>
      </c>
      <c r="AA617" s="81">
        <v>4277134.8463335903</v>
      </c>
      <c r="AB617" s="81">
        <v>4287706.8133943938</v>
      </c>
      <c r="AC617" s="81">
        <v>4296907.4177290834</v>
      </c>
      <c r="AD617" s="81">
        <v>4304787.0393008851</v>
      </c>
      <c r="AE617" s="81">
        <v>4311435.5073686922</v>
      </c>
      <c r="AF617" s="81">
        <v>4316925.1049686437</v>
      </c>
      <c r="AG617" s="81">
        <v>4321348.8589473935</v>
      </c>
      <c r="AH617" s="81">
        <v>4324782.0971859377</v>
      </c>
      <c r="AI617" s="81">
        <v>4327321.0541933663</v>
      </c>
      <c r="AJ617" s="81">
        <v>4329044.1125707021</v>
      </c>
      <c r="AK617" s="81">
        <v>4330658.1229803897</v>
      </c>
      <c r="AL617" s="81">
        <v>4331642.535004165</v>
      </c>
      <c r="AM617" s="81">
        <v>4332090.061755701</v>
      </c>
      <c r="AN617" s="81">
        <v>4332095.050346517</v>
      </c>
      <c r="AO617" s="81">
        <v>4331763.4786552303</v>
      </c>
      <c r="AP617" s="81">
        <v>4331193.0928863296</v>
      </c>
      <c r="AQ617" s="81">
        <v>4330483.2811932489</v>
      </c>
      <c r="AR617" s="81">
        <v>4329755.3113785302</v>
      </c>
      <c r="AS617" s="81">
        <v>4329101.9516310412</v>
      </c>
      <c r="AT617" s="81">
        <v>4328648.0551795475</v>
      </c>
    </row>
    <row r="618" spans="1:46" ht="15.75">
      <c r="A618" s="81" t="s">
        <v>448</v>
      </c>
      <c r="B618" s="83">
        <v>469025</v>
      </c>
      <c r="C618" s="80" t="s">
        <v>421</v>
      </c>
      <c r="D618" s="82" t="s">
        <v>600</v>
      </c>
      <c r="E618" s="81">
        <v>1061544.3185755436</v>
      </c>
      <c r="F618" s="81">
        <v>1091563.7517294085</v>
      </c>
      <c r="G618" s="81">
        <v>1114661.3354940712</v>
      </c>
      <c r="H618" s="81">
        <v>1137128.3140639316</v>
      </c>
      <c r="I618" s="81">
        <v>1158971.161278469</v>
      </c>
      <c r="J618" s="81">
        <v>1180183.919351096</v>
      </c>
      <c r="K618" s="81">
        <v>1200768.4437926449</v>
      </c>
      <c r="L618" s="81">
        <v>1220713.5875908046</v>
      </c>
      <c r="M618" s="81">
        <v>1240015.8762486726</v>
      </c>
      <c r="N618" s="81">
        <v>1258687.0716014092</v>
      </c>
      <c r="O618" s="81">
        <v>1276725.7940493443</v>
      </c>
      <c r="P618" s="81">
        <v>1294124.1510297204</v>
      </c>
      <c r="Q618" s="81">
        <v>1305240.2408004787</v>
      </c>
      <c r="R618" s="81">
        <v>1315699.3219174445</v>
      </c>
      <c r="S618" s="81">
        <v>1325519.8561957334</v>
      </c>
      <c r="T618" s="81">
        <v>1334713.426236066</v>
      </c>
      <c r="U618" s="81">
        <v>1343292.0832129698</v>
      </c>
      <c r="V618" s="81">
        <v>1351275.935809619</v>
      </c>
      <c r="W618" s="81">
        <v>1358685.7239702255</v>
      </c>
      <c r="X618" s="81">
        <v>1365542.8199393926</v>
      </c>
      <c r="Y618" s="81">
        <v>1371853.8111426148</v>
      </c>
      <c r="Z618" s="81">
        <v>1377656.5942621864</v>
      </c>
      <c r="AA618" s="81">
        <v>1381539.3757607117</v>
      </c>
      <c r="AB618" s="81">
        <v>1384956.8749267056</v>
      </c>
      <c r="AC618" s="81">
        <v>1387926.9665236927</v>
      </c>
      <c r="AD618" s="81">
        <v>1390475.7874078429</v>
      </c>
      <c r="AE618" s="81">
        <v>1392622.0760950763</v>
      </c>
      <c r="AF618" s="81">
        <v>1394392.8996051669</v>
      </c>
      <c r="AG618" s="81">
        <v>1395823.8168670877</v>
      </c>
      <c r="AH618" s="81">
        <v>1396935.0139652616</v>
      </c>
      <c r="AI618" s="81">
        <v>1397755.1054441859</v>
      </c>
      <c r="AJ618" s="81">
        <v>1398305.1486076054</v>
      </c>
      <c r="AK618" s="81">
        <v>1398830.278814439</v>
      </c>
      <c r="AL618" s="81">
        <v>1399151.838698332</v>
      </c>
      <c r="AM618" s="81">
        <v>1399292.2841817103</v>
      </c>
      <c r="AN618" s="81">
        <v>1399290.8949703781</v>
      </c>
      <c r="AO618" s="81">
        <v>1399187.6262104658</v>
      </c>
      <c r="AP618" s="81">
        <v>1398998.276152835</v>
      </c>
      <c r="AQ618" s="81">
        <v>1398772.1604481561</v>
      </c>
      <c r="AR618" s="81">
        <v>1398534.3717824183</v>
      </c>
      <c r="AS618" s="81">
        <v>1398327.1698535446</v>
      </c>
      <c r="AT618" s="81">
        <v>1398176.6673881465</v>
      </c>
    </row>
    <row r="619" spans="1:46" ht="15.75">
      <c r="A619" s="81" t="s">
        <v>448</v>
      </c>
      <c r="B619" s="83">
        <v>469026</v>
      </c>
      <c r="C619" s="80" t="s">
        <v>421</v>
      </c>
      <c r="D619" s="82" t="s">
        <v>599</v>
      </c>
      <c r="E619" s="81">
        <v>2177947.2769293375</v>
      </c>
      <c r="F619" s="81">
        <v>2239538.9476197981</v>
      </c>
      <c r="G619" s="81">
        <v>2286925.6260747248</v>
      </c>
      <c r="H619" s="81">
        <v>2333030.4840918556</v>
      </c>
      <c r="I619" s="81">
        <v>2377846.7946029305</v>
      </c>
      <c r="J619" s="81">
        <v>2421369.8448966928</v>
      </c>
      <c r="K619" s="81">
        <v>2463596.9401095076</v>
      </c>
      <c r="L619" s="81">
        <v>2504506.8549769018</v>
      </c>
      <c r="M619" s="81">
        <v>2544121.0735852434</v>
      </c>
      <c r="N619" s="81">
        <v>2582432.4897211636</v>
      </c>
      <c r="O619" s="81">
        <v>2619435.6094667166</v>
      </c>
      <c r="P619" s="81">
        <v>2655137.2492364654</v>
      </c>
      <c r="Q619" s="81">
        <v>2677951.0242809989</v>
      </c>
      <c r="R619" s="81">
        <v>2699404.9196508145</v>
      </c>
      <c r="S619" s="81">
        <v>2719551.429436292</v>
      </c>
      <c r="T619" s="81">
        <v>2738400.9393333662</v>
      </c>
      <c r="U619" s="81">
        <v>2756008.4595029228</v>
      </c>
      <c r="V619" s="81">
        <v>2772397.4737239126</v>
      </c>
      <c r="W619" s="81">
        <v>2787603.4821582227</v>
      </c>
      <c r="X619" s="81">
        <v>2801663.132645647</v>
      </c>
      <c r="Y619" s="81">
        <v>2814614.2225951534</v>
      </c>
      <c r="Z619" s="81">
        <v>2826518.2630245429</v>
      </c>
      <c r="AA619" s="81">
        <v>2834496.6535945083</v>
      </c>
      <c r="AB619" s="81">
        <v>2841506.2506113602</v>
      </c>
      <c r="AC619" s="81">
        <v>2847592.3660344528</v>
      </c>
      <c r="AD619" s="81">
        <v>2852812.7131311148</v>
      </c>
      <c r="AE619" s="81">
        <v>2857226.1271991273</v>
      </c>
      <c r="AF619" s="81">
        <v>2860857.8729159907</v>
      </c>
      <c r="AG619" s="81">
        <v>2863791.8328964594</v>
      </c>
      <c r="AH619" s="81">
        <v>2866066.7574933153</v>
      </c>
      <c r="AI619" s="81">
        <v>2867745.5606387835</v>
      </c>
      <c r="AJ619" s="81">
        <v>2868892.2867398583</v>
      </c>
      <c r="AK619" s="81">
        <v>2869957.5489895595</v>
      </c>
      <c r="AL619" s="81">
        <v>2870619.125942097</v>
      </c>
      <c r="AM619" s="81">
        <v>2870908.6475830767</v>
      </c>
      <c r="AN619" s="81">
        <v>2870918.0880914372</v>
      </c>
      <c r="AO619" s="81">
        <v>2870692.9919620208</v>
      </c>
      <c r="AP619" s="81">
        <v>2870315.8410260128</v>
      </c>
      <c r="AQ619" s="81">
        <v>2869846.2984085199</v>
      </c>
      <c r="AR619" s="81">
        <v>2869357.163637314</v>
      </c>
      <c r="AS619" s="81">
        <v>2868934.621436859</v>
      </c>
      <c r="AT619" s="81">
        <v>2868629.4991837731</v>
      </c>
    </row>
    <row r="620" spans="1:46" ht="15.75">
      <c r="A620" s="81" t="s">
        <v>448</v>
      </c>
      <c r="B620" s="83">
        <v>469027</v>
      </c>
      <c r="C620" s="80" t="s">
        <v>421</v>
      </c>
      <c r="D620" s="82" t="s">
        <v>598</v>
      </c>
      <c r="E620" s="81">
        <v>3099112.1700570751</v>
      </c>
      <c r="F620" s="81">
        <v>3186753.6575485566</v>
      </c>
      <c r="G620" s="81">
        <v>3254176.226029221</v>
      </c>
      <c r="H620" s="81">
        <v>3319782.7299964959</v>
      </c>
      <c r="I620" s="81">
        <v>3383556.739124475</v>
      </c>
      <c r="J620" s="81">
        <v>3445484.3912006076</v>
      </c>
      <c r="K620" s="81">
        <v>3505568.863883453</v>
      </c>
      <c r="L620" s="81">
        <v>3563794.5831459449</v>
      </c>
      <c r="M620" s="81">
        <v>3620163.0242655859</v>
      </c>
      <c r="N620" s="81">
        <v>3674671.0898482623</v>
      </c>
      <c r="O620" s="81">
        <v>3727318.2735514175</v>
      </c>
      <c r="P620" s="81">
        <v>3778129.4835698446</v>
      </c>
      <c r="Q620" s="81">
        <v>3810579.9507992384</v>
      </c>
      <c r="R620" s="81">
        <v>3841119.1459955745</v>
      </c>
      <c r="S620" s="81">
        <v>3869783.4546358851</v>
      </c>
      <c r="T620" s="81">
        <v>3896610.7175369537</v>
      </c>
      <c r="U620" s="81">
        <v>3921663.6762381936</v>
      </c>
      <c r="V620" s="81">
        <v>3944983.4645921774</v>
      </c>
      <c r="W620" s="81">
        <v>3966612.6795387231</v>
      </c>
      <c r="X620" s="81">
        <v>3986627.1412551883</v>
      </c>
      <c r="Y620" s="81">
        <v>4005064.9000215945</v>
      </c>
      <c r="Z620" s="81">
        <v>4021989.3788995156</v>
      </c>
      <c r="AA620" s="81">
        <v>4033344.4137287033</v>
      </c>
      <c r="AB620" s="81">
        <v>4043321.4624188552</v>
      </c>
      <c r="AC620" s="81">
        <v>4051984.9756939462</v>
      </c>
      <c r="AD620" s="81">
        <v>4059417.0436228099</v>
      </c>
      <c r="AE620" s="81">
        <v>4065684.9700595913</v>
      </c>
      <c r="AF620" s="81">
        <v>4070865.6126492033</v>
      </c>
      <c r="AG620" s="81">
        <v>4075037.2950158557</v>
      </c>
      <c r="AH620" s="81">
        <v>4078279.8091056249</v>
      </c>
      <c r="AI620" s="81">
        <v>4080666.0915761003</v>
      </c>
      <c r="AJ620" s="81">
        <v>4082295.4961799202</v>
      </c>
      <c r="AK620" s="81">
        <v>4083817.594262151</v>
      </c>
      <c r="AL620" s="81">
        <v>4084748.6442749295</v>
      </c>
      <c r="AM620" s="81">
        <v>4085167.2848324263</v>
      </c>
      <c r="AN620" s="81">
        <v>4085170.5489169089</v>
      </c>
      <c r="AO620" s="81">
        <v>4084857.147094212</v>
      </c>
      <c r="AP620" s="81">
        <v>4084318.9001890873</v>
      </c>
      <c r="AQ620" s="81">
        <v>4083657.7765580141</v>
      </c>
      <c r="AR620" s="81">
        <v>4082960.1494904864</v>
      </c>
      <c r="AS620" s="81">
        <v>4082348.5007251902</v>
      </c>
      <c r="AT620" s="81">
        <v>4081912.4415760995</v>
      </c>
    </row>
    <row r="621" spans="1:46" ht="15.75">
      <c r="A621" s="81" t="s">
        <v>448</v>
      </c>
      <c r="B621" s="83">
        <v>469028</v>
      </c>
      <c r="C621" s="80" t="s">
        <v>421</v>
      </c>
      <c r="D621" s="82" t="s">
        <v>597</v>
      </c>
      <c r="E621" s="81">
        <v>2950264.8802109445</v>
      </c>
      <c r="F621" s="81">
        <v>3033698.4163114782</v>
      </c>
      <c r="G621" s="81">
        <v>3097880.6152439909</v>
      </c>
      <c r="H621" s="81">
        <v>3160326.8804732081</v>
      </c>
      <c r="I621" s="81">
        <v>3221044.7348785163</v>
      </c>
      <c r="J621" s="81">
        <v>3280002.6413438185</v>
      </c>
      <c r="K621" s="81">
        <v>3337196.4854244641</v>
      </c>
      <c r="L621" s="81">
        <v>3392624.8819780219</v>
      </c>
      <c r="M621" s="81">
        <v>3446280.4176066234</v>
      </c>
      <c r="N621" s="81">
        <v>3498175.7652487825</v>
      </c>
      <c r="O621" s="81">
        <v>3548299.8772393032</v>
      </c>
      <c r="P621" s="81">
        <v>3596661.8010886693</v>
      </c>
      <c r="Q621" s="81">
        <v>3627560.8755480703</v>
      </c>
      <c r="R621" s="81">
        <v>3656632.8311093766</v>
      </c>
      <c r="S621" s="81">
        <v>3683919.3498240537</v>
      </c>
      <c r="T621" s="81">
        <v>3709463.6534194406</v>
      </c>
      <c r="U621" s="81">
        <v>3733310.5058530294</v>
      </c>
      <c r="V621" s="81">
        <v>3755506.2158667366</v>
      </c>
      <c r="W621" s="81">
        <v>3776108.0132112848</v>
      </c>
      <c r="X621" s="81">
        <v>3795156.0292495564</v>
      </c>
      <c r="Y621" s="81">
        <v>3812701.2224981729</v>
      </c>
      <c r="Z621" s="81">
        <v>3828815.1511852597</v>
      </c>
      <c r="AA621" s="81">
        <v>3839628.7337883529</v>
      </c>
      <c r="AB621" s="81">
        <v>3849122.3306135107</v>
      </c>
      <c r="AC621" s="81">
        <v>3857376.2784369485</v>
      </c>
      <c r="AD621" s="81">
        <v>3864453.1270775902</v>
      </c>
      <c r="AE621" s="81">
        <v>3870416.686129143</v>
      </c>
      <c r="AF621" s="81">
        <v>3875351.5507047502</v>
      </c>
      <c r="AG621" s="81">
        <v>3879314.4941835501</v>
      </c>
      <c r="AH621" s="81">
        <v>3882402.7635589116</v>
      </c>
      <c r="AI621" s="81">
        <v>3884675.8266971353</v>
      </c>
      <c r="AJ621" s="81">
        <v>3886224.027741333</v>
      </c>
      <c r="AK621" s="81">
        <v>3887673.4704213873</v>
      </c>
      <c r="AL621" s="81">
        <v>3888559.4176744637</v>
      </c>
      <c r="AM621" s="81">
        <v>3888966.5589973792</v>
      </c>
      <c r="AN621" s="81">
        <v>3888970.9862996652</v>
      </c>
      <c r="AO621" s="81">
        <v>3888670.3779237168</v>
      </c>
      <c r="AP621" s="81">
        <v>3888153.902551671</v>
      </c>
      <c r="AQ621" s="81">
        <v>3887522.4399765856</v>
      </c>
      <c r="AR621" s="81">
        <v>3886858.0270497049</v>
      </c>
      <c r="AS621" s="81">
        <v>3886274.9265932501</v>
      </c>
      <c r="AT621" s="81">
        <v>3885868.563491656</v>
      </c>
    </row>
    <row r="622" spans="1:46" ht="15.75">
      <c r="A622" s="81" t="s">
        <v>448</v>
      </c>
      <c r="B622" s="83">
        <v>469029</v>
      </c>
      <c r="C622" s="80" t="s">
        <v>421</v>
      </c>
      <c r="D622" s="82" t="s">
        <v>596</v>
      </c>
      <c r="E622" s="81">
        <v>1074854.0112158428</v>
      </c>
      <c r="F622" s="81">
        <v>1105248.2230311236</v>
      </c>
      <c r="G622" s="81">
        <v>1128627.8033989645</v>
      </c>
      <c r="H622" s="81">
        <v>1151384.7637525555</v>
      </c>
      <c r="I622" s="81">
        <v>1173498.8339600679</v>
      </c>
      <c r="J622" s="81">
        <v>1194979.56223889</v>
      </c>
      <c r="K622" s="81">
        <v>1215823.0672116007</v>
      </c>
      <c r="L622" s="81">
        <v>1236011.2723727678</v>
      </c>
      <c r="M622" s="81">
        <v>1255564.4622680938</v>
      </c>
      <c r="N622" s="81">
        <v>1274466.2606153467</v>
      </c>
      <c r="O622" s="81">
        <v>1292731.6526383031</v>
      </c>
      <c r="P622" s="81">
        <v>1310353.5863912366</v>
      </c>
      <c r="Q622" s="81">
        <v>1321605.7810096187</v>
      </c>
      <c r="R622" s="81">
        <v>1332200.9839957093</v>
      </c>
      <c r="S622" s="81">
        <v>1342135.7559509086</v>
      </c>
      <c r="T622" s="81">
        <v>1351446.9150638944</v>
      </c>
      <c r="U622" s="81">
        <v>1360131.9807965667</v>
      </c>
      <c r="V622" s="81">
        <v>1368221.0553823861</v>
      </c>
      <c r="W622" s="81">
        <v>1375728.7899270465</v>
      </c>
      <c r="X622" s="81">
        <v>1382662.1473969561</v>
      </c>
      <c r="Y622" s="81">
        <v>1389061.3644228021</v>
      </c>
      <c r="Z622" s="81">
        <v>1394926.3085867413</v>
      </c>
      <c r="AA622" s="81">
        <v>1398869.2094674476</v>
      </c>
      <c r="AB622" s="81">
        <v>1402324.1837556839</v>
      </c>
      <c r="AC622" s="81">
        <v>1405335.5785184216</v>
      </c>
      <c r="AD622" s="81">
        <v>1407914.8979624701</v>
      </c>
      <c r="AE622" s="81">
        <v>1410090.8211714118</v>
      </c>
      <c r="AF622" s="81">
        <v>1411884.0902816541</v>
      </c>
      <c r="AG622" s="81">
        <v>1413332.9016446767</v>
      </c>
      <c r="AH622" s="81">
        <v>1414450.4735241574</v>
      </c>
      <c r="AI622" s="81">
        <v>1415284.6619773633</v>
      </c>
      <c r="AJ622" s="81">
        <v>1415849.6512837762</v>
      </c>
      <c r="AK622" s="81">
        <v>1416379.0917380634</v>
      </c>
      <c r="AL622" s="81">
        <v>1416702.0145205774</v>
      </c>
      <c r="AM622" s="81">
        <v>1416842.519117018</v>
      </c>
      <c r="AN622" s="81">
        <v>1416842.6772818542</v>
      </c>
      <c r="AO622" s="81">
        <v>1416736.4758441071</v>
      </c>
      <c r="AP622" s="81">
        <v>1416549.636767793</v>
      </c>
      <c r="AQ622" s="81">
        <v>1416317.1949961511</v>
      </c>
      <c r="AR622" s="81">
        <v>1416074.7651255934</v>
      </c>
      <c r="AS622" s="81">
        <v>1415867.4939334074</v>
      </c>
      <c r="AT622" s="81">
        <v>1415714.291154694</v>
      </c>
    </row>
    <row r="623" spans="1:46" ht="15.75">
      <c r="A623" s="81" t="s">
        <v>448</v>
      </c>
      <c r="B623" s="83">
        <v>469030</v>
      </c>
      <c r="C623" s="80" t="s">
        <v>421</v>
      </c>
      <c r="D623" s="82" t="s">
        <v>595</v>
      </c>
      <c r="E623" s="81">
        <v>1285603.6582414706</v>
      </c>
      <c r="F623" s="81">
        <v>1321964.9200718142</v>
      </c>
      <c r="G623" s="81">
        <v>1349934.8380525231</v>
      </c>
      <c r="H623" s="81">
        <v>1377146.6298874253</v>
      </c>
      <c r="I623" s="81">
        <v>1403604.8801263191</v>
      </c>
      <c r="J623" s="81">
        <v>1429292.6817320464</v>
      </c>
      <c r="K623" s="81">
        <v>1454217.0036603659</v>
      </c>
      <c r="L623" s="81">
        <v>1478370.6888447835</v>
      </c>
      <c r="M623" s="81">
        <v>1501755.4180544883</v>
      </c>
      <c r="N623" s="81">
        <v>1524366.1111750021</v>
      </c>
      <c r="O623" s="81">
        <v>1546206.6894286021</v>
      </c>
      <c r="P623" s="81">
        <v>1567290.4773357334</v>
      </c>
      <c r="Q623" s="81">
        <v>1580748.558032556</v>
      </c>
      <c r="R623" s="81">
        <v>1593415.7485170604</v>
      </c>
      <c r="S623" s="81">
        <v>1605311.4871773028</v>
      </c>
      <c r="T623" s="81">
        <v>1616439.2318106899</v>
      </c>
      <c r="U623" s="81">
        <v>1626827.9304067222</v>
      </c>
      <c r="V623" s="81">
        <v>1636507.4083896673</v>
      </c>
      <c r="W623" s="81">
        <v>1645482.9518324435</v>
      </c>
      <c r="X623" s="81">
        <v>1653777.2249220244</v>
      </c>
      <c r="Y623" s="81">
        <v>1661430.7185179794</v>
      </c>
      <c r="Z623" s="81">
        <v>1668450.5567521807</v>
      </c>
      <c r="AA623" s="81">
        <v>1673160.4789259292</v>
      </c>
      <c r="AB623" s="81">
        <v>1677300.3998447375</v>
      </c>
      <c r="AC623" s="81">
        <v>1680898.237212067</v>
      </c>
      <c r="AD623" s="81">
        <v>1683982.4774389961</v>
      </c>
      <c r="AE623" s="81">
        <v>1686582.1765580864</v>
      </c>
      <c r="AF623" s="81">
        <v>1688726.9611372529</v>
      </c>
      <c r="AG623" s="81">
        <v>1690455.8889789006</v>
      </c>
      <c r="AH623" s="81">
        <v>1691799.8390150585</v>
      </c>
      <c r="AI623" s="81">
        <v>1692799.1957677766</v>
      </c>
      <c r="AJ623" s="81">
        <v>1693468.157788692</v>
      </c>
      <c r="AK623" s="81">
        <v>1694098.6790327947</v>
      </c>
      <c r="AL623" s="81">
        <v>1694489.9210457865</v>
      </c>
      <c r="AM623" s="81">
        <v>1694666.7081067786</v>
      </c>
      <c r="AN623" s="81">
        <v>1694663.4314775509</v>
      </c>
      <c r="AO623" s="81">
        <v>1694533.3945969637</v>
      </c>
      <c r="AP623" s="81">
        <v>1694312.4146680429</v>
      </c>
      <c r="AQ623" s="81">
        <v>1694036.9106132195</v>
      </c>
      <c r="AR623" s="81">
        <v>1693753.1733870953</v>
      </c>
      <c r="AS623" s="81">
        <v>1693489.6343000408</v>
      </c>
      <c r="AT623" s="81">
        <v>1693312.5577294573</v>
      </c>
    </row>
    <row r="624" spans="1:46" ht="15.75">
      <c r="A624" s="81" t="s">
        <v>448</v>
      </c>
      <c r="B624" s="80">
        <v>500000</v>
      </c>
      <c r="C624" s="80" t="s">
        <v>420</v>
      </c>
      <c r="D624" s="85" t="s">
        <v>420</v>
      </c>
      <c r="E624" s="81">
        <v>295720583.85582322</v>
      </c>
      <c r="F624" s="81">
        <v>305464587.24119616</v>
      </c>
      <c r="G624" s="81">
        <v>313794139.50347173</v>
      </c>
      <c r="H624" s="81">
        <v>322146194.86684936</v>
      </c>
      <c r="I624" s="81">
        <v>330505800.48245126</v>
      </c>
      <c r="J624" s="81">
        <v>338858052.3979792</v>
      </c>
      <c r="K624" s="81">
        <v>347188223.66249728</v>
      </c>
      <c r="L624" s="81">
        <v>355481781.61602634</v>
      </c>
      <c r="M624" s="81">
        <v>363724565.86241865</v>
      </c>
      <c r="N624" s="81">
        <v>371902821.81693375</v>
      </c>
      <c r="O624" s="81">
        <v>380003310.4991321</v>
      </c>
      <c r="P624" s="81">
        <v>388013458.78354359</v>
      </c>
      <c r="Q624" s="81">
        <v>394767165.0946281</v>
      </c>
      <c r="R624" s="81">
        <v>401377408.45313781</v>
      </c>
      <c r="S624" s="81">
        <v>407835932.10596997</v>
      </c>
      <c r="T624" s="81">
        <v>414135546.23272437</v>
      </c>
      <c r="U624" s="81">
        <v>420270352.94588798</v>
      </c>
      <c r="V624" s="81">
        <v>426235789.12578136</v>
      </c>
      <c r="W624" s="81">
        <v>432028745.08913869</v>
      </c>
      <c r="X624" s="81">
        <v>437647673.09169734</v>
      </c>
      <c r="Y624" s="81">
        <v>443092684.12983859</v>
      </c>
      <c r="Z624" s="81">
        <v>448365715.7395705</v>
      </c>
      <c r="AA624" s="81">
        <v>453644560.53790522</v>
      </c>
      <c r="AB624" s="81">
        <v>458753915.46863365</v>
      </c>
      <c r="AC624" s="81">
        <v>463701671.91732562</v>
      </c>
      <c r="AD624" s="81">
        <v>468498070.58164144</v>
      </c>
      <c r="AE624" s="81">
        <v>473155692.97236258</v>
      </c>
      <c r="AF624" s="81">
        <v>477689720.26064205</v>
      </c>
      <c r="AG624" s="81">
        <v>482117971.37423605</v>
      </c>
      <c r="AH624" s="81">
        <v>486461077.84171957</v>
      </c>
      <c r="AI624" s="81">
        <v>490742616.298814</v>
      </c>
      <c r="AJ624" s="81">
        <v>494989160.73997319</v>
      </c>
      <c r="AK624" s="81">
        <v>500003721.30992949</v>
      </c>
      <c r="AL624" s="81">
        <v>505043598.52987349</v>
      </c>
      <c r="AM624" s="81">
        <v>510145852.14599705</v>
      </c>
      <c r="AN624" s="81">
        <v>515351312.99046308</v>
      </c>
      <c r="AO624" s="81">
        <v>520704861.5820477</v>
      </c>
      <c r="AP624" s="81">
        <v>526255539.71786201</v>
      </c>
      <c r="AQ624" s="81">
        <v>532056696.01152927</v>
      </c>
      <c r="AR624" s="81">
        <v>538166169.2405529</v>
      </c>
      <c r="AS624" s="81">
        <v>544646475.58186984</v>
      </c>
      <c r="AT624" s="81">
        <v>551564961.32337725</v>
      </c>
    </row>
    <row r="625" spans="1:46" ht="15.75">
      <c r="A625" s="81" t="s">
        <v>448</v>
      </c>
      <c r="B625" s="80">
        <v>510100</v>
      </c>
      <c r="C625" s="80" t="s">
        <v>419</v>
      </c>
      <c r="D625" s="84" t="s">
        <v>594</v>
      </c>
      <c r="E625" s="81">
        <v>199843494.99839371</v>
      </c>
      <c r="F625" s="81">
        <v>208395977.09904778</v>
      </c>
      <c r="G625" s="81">
        <v>216002411.26694396</v>
      </c>
      <c r="H625" s="81">
        <v>223452432.82265991</v>
      </c>
      <c r="I625" s="81">
        <v>230746719.18895844</v>
      </c>
      <c r="J625" s="81">
        <v>237887037.34491852</v>
      </c>
      <c r="K625" s="81">
        <v>244876145.94278932</v>
      </c>
      <c r="L625" s="81">
        <v>251717766.85828108</v>
      </c>
      <c r="M625" s="81">
        <v>258416484.62780634</v>
      </c>
      <c r="N625" s="81">
        <v>264977708.92341223</v>
      </c>
      <c r="O625" s="81">
        <v>271407611.87041861</v>
      </c>
      <c r="P625" s="81">
        <v>277712971.22100914</v>
      </c>
      <c r="Q625" s="81">
        <v>283427411.41806722</v>
      </c>
      <c r="R625" s="81">
        <v>289006492.38568836</v>
      </c>
      <c r="S625" s="81">
        <v>294459406.16523689</v>
      </c>
      <c r="T625" s="81">
        <v>299795526.54434514</v>
      </c>
      <c r="U625" s="81">
        <v>305024361.46674496</v>
      </c>
      <c r="V625" s="81">
        <v>310155378.15780896</v>
      </c>
      <c r="W625" s="81">
        <v>315197923.04885745</v>
      </c>
      <c r="X625" s="81">
        <v>320161097.62980258</v>
      </c>
      <c r="Y625" s="81">
        <v>325053567.9844842</v>
      </c>
      <c r="Z625" s="81">
        <v>329883491.63348871</v>
      </c>
      <c r="AA625" s="81">
        <v>335205397.52887517</v>
      </c>
      <c r="AB625" s="81">
        <v>340469475.98587531</v>
      </c>
      <c r="AC625" s="81">
        <v>345681483.74330109</v>
      </c>
      <c r="AD625" s="81">
        <v>350846096.10492498</v>
      </c>
      <c r="AE625" s="81">
        <v>355966793.60228294</v>
      </c>
      <c r="AF625" s="81">
        <v>361045660.99932599</v>
      </c>
      <c r="AG625" s="81">
        <v>366083252.93520242</v>
      </c>
      <c r="AH625" s="81">
        <v>371078385.10428602</v>
      </c>
      <c r="AI625" s="81">
        <v>376027975.67716217</v>
      </c>
      <c r="AJ625" s="81">
        <v>380926885.703906</v>
      </c>
      <c r="AK625" s="81">
        <v>386848183.62377614</v>
      </c>
      <c r="AL625" s="81">
        <v>392697602.40669864</v>
      </c>
      <c r="AM625" s="81">
        <v>398462195.53794229</v>
      </c>
      <c r="AN625" s="81">
        <v>404126006.85269469</v>
      </c>
      <c r="AO625" s="81">
        <v>409669949.32327324</v>
      </c>
      <c r="AP625" s="81">
        <v>415071448.44496661</v>
      </c>
      <c r="AQ625" s="81">
        <v>420304315.37489504</v>
      </c>
      <c r="AR625" s="81">
        <v>425338421.26762992</v>
      </c>
      <c r="AS625" s="81">
        <v>430139522.04541504</v>
      </c>
      <c r="AT625" s="81">
        <v>434668991.19006515</v>
      </c>
    </row>
    <row r="626" spans="1:46" ht="15.75">
      <c r="A626" s="81" t="s">
        <v>448</v>
      </c>
      <c r="B626" s="80">
        <v>510300</v>
      </c>
      <c r="C626" s="80" t="s">
        <v>419</v>
      </c>
      <c r="D626" s="84" t="s">
        <v>593</v>
      </c>
      <c r="E626" s="81">
        <v>16609045.954597432</v>
      </c>
      <c r="F626" s="81">
        <v>17111866.155821942</v>
      </c>
      <c r="G626" s="81">
        <v>17538898.348710317</v>
      </c>
      <c r="H626" s="81">
        <v>17969023.22019925</v>
      </c>
      <c r="I626" s="81">
        <v>18401326.928711254</v>
      </c>
      <c r="J626" s="81">
        <v>18834859.91090399</v>
      </c>
      <c r="K626" s="81">
        <v>19268700.962876394</v>
      </c>
      <c r="L626" s="81">
        <v>19701911.458633397</v>
      </c>
      <c r="M626" s="81">
        <v>20133579.35142054</v>
      </c>
      <c r="N626" s="81">
        <v>20562794.483451895</v>
      </c>
      <c r="O626" s="81">
        <v>20988670.442236513</v>
      </c>
      <c r="P626" s="81">
        <v>21410351.58652309</v>
      </c>
      <c r="Q626" s="81">
        <v>21766431.292408578</v>
      </c>
      <c r="R626" s="81">
        <v>22115164.637400053</v>
      </c>
      <c r="S626" s="81">
        <v>22455912.410496671</v>
      </c>
      <c r="T626" s="81">
        <v>22788119.799545098</v>
      </c>
      <c r="U626" s="81">
        <v>23111287.562912039</v>
      </c>
      <c r="V626" s="81">
        <v>23424996.904301882</v>
      </c>
      <c r="W626" s="81">
        <v>23728916.975849867</v>
      </c>
      <c r="X626" s="81">
        <v>24022822.45149979</v>
      </c>
      <c r="Y626" s="81">
        <v>24306571.947455909</v>
      </c>
      <c r="Z626" s="81">
        <v>24580145.065411683</v>
      </c>
      <c r="AA626" s="81">
        <v>24856620.02428082</v>
      </c>
      <c r="AB626" s="81">
        <v>25122767.681478474</v>
      </c>
      <c r="AC626" s="81">
        <v>25378945.122554854</v>
      </c>
      <c r="AD626" s="81">
        <v>25625645.601606283</v>
      </c>
      <c r="AE626" s="81">
        <v>25863517.680861339</v>
      </c>
      <c r="AF626" s="81">
        <v>26093351.612999119</v>
      </c>
      <c r="AG626" s="81">
        <v>26316144.220966384</v>
      </c>
      <c r="AH626" s="81">
        <v>26533052.493357681</v>
      </c>
      <c r="AI626" s="81">
        <v>26745424.953030337</v>
      </c>
      <c r="AJ626" s="81">
        <v>26954811.243070111</v>
      </c>
      <c r="AK626" s="81">
        <v>27208810.156026009</v>
      </c>
      <c r="AL626" s="81">
        <v>27463280.774986453</v>
      </c>
      <c r="AM626" s="81">
        <v>27720434.860552836</v>
      </c>
      <c r="AN626" s="81">
        <v>27982777.000332601</v>
      </c>
      <c r="AO626" s="81">
        <v>28253027.551447377</v>
      </c>
      <c r="AP626" s="81">
        <v>28534236.698774874</v>
      </c>
      <c r="AQ626" s="81">
        <v>28829692.290081754</v>
      </c>
      <c r="AR626" s="81">
        <v>29143023.870506462</v>
      </c>
      <c r="AS626" s="81">
        <v>29478134.290893279</v>
      </c>
      <c r="AT626" s="81">
        <v>29839293.966700964</v>
      </c>
    </row>
    <row r="627" spans="1:46" ht="15.75">
      <c r="A627" s="81" t="s">
        <v>448</v>
      </c>
      <c r="B627" s="80">
        <v>510400</v>
      </c>
      <c r="C627" s="80" t="s">
        <v>419</v>
      </c>
      <c r="D627" s="84" t="s">
        <v>592</v>
      </c>
      <c r="E627" s="81">
        <v>10622657.156337587</v>
      </c>
      <c r="F627" s="81">
        <v>11007140.055420062</v>
      </c>
      <c r="G627" s="81">
        <v>11339969.726033036</v>
      </c>
      <c r="H627" s="81">
        <v>11671806.636956383</v>
      </c>
      <c r="I627" s="81">
        <v>12002300.012316465</v>
      </c>
      <c r="J627" s="81">
        <v>12331097.247235276</v>
      </c>
      <c r="K627" s="81">
        <v>12657844.186130045</v>
      </c>
      <c r="L627" s="81">
        <v>12982195.822845753</v>
      </c>
      <c r="M627" s="81">
        <v>13303839.049149875</v>
      </c>
      <c r="N627" s="81">
        <v>13622452.925359845</v>
      </c>
      <c r="O627" s="81">
        <v>13937730.125749646</v>
      </c>
      <c r="P627" s="81">
        <v>14249378.492505968</v>
      </c>
      <c r="Q627" s="81">
        <v>14516725.364767836</v>
      </c>
      <c r="R627" s="81">
        <v>14778700.569575308</v>
      </c>
      <c r="S627" s="81">
        <v>15035153.161249023</v>
      </c>
      <c r="T627" s="81">
        <v>15285932.158352802</v>
      </c>
      <c r="U627" s="81">
        <v>15530910.652916864</v>
      </c>
      <c r="V627" s="81">
        <v>15769974.558803989</v>
      </c>
      <c r="W627" s="81">
        <v>16003061.548865383</v>
      </c>
      <c r="X627" s="81">
        <v>16230125.420921059</v>
      </c>
      <c r="Y627" s="81">
        <v>16451149.78367836</v>
      </c>
      <c r="Z627" s="81">
        <v>16666136.010548662</v>
      </c>
      <c r="AA627" s="81">
        <v>16883954.319804091</v>
      </c>
      <c r="AB627" s="81">
        <v>17095598.882389456</v>
      </c>
      <c r="AC627" s="81">
        <v>17301154.151316304</v>
      </c>
      <c r="AD627" s="81">
        <v>17500770.339768209</v>
      </c>
      <c r="AE627" s="81">
        <v>17694652.654569682</v>
      </c>
      <c r="AF627" s="81">
        <v>17882989.325335186</v>
      </c>
      <c r="AG627" s="81">
        <v>18066085.211893022</v>
      </c>
      <c r="AH627" s="81">
        <v>18244230.517409869</v>
      </c>
      <c r="AI627" s="81">
        <v>18417776.036392279</v>
      </c>
      <c r="AJ627" s="81">
        <v>18587136.051286459</v>
      </c>
      <c r="AK627" s="81">
        <v>18784413.21069644</v>
      </c>
      <c r="AL627" s="81">
        <v>18978334.024383377</v>
      </c>
      <c r="AM627" s="81">
        <v>19169426.668785624</v>
      </c>
      <c r="AN627" s="81">
        <v>19358294.032791238</v>
      </c>
      <c r="AO627" s="81">
        <v>19545617.126003657</v>
      </c>
      <c r="AP627" s="81">
        <v>19732105.739087217</v>
      </c>
      <c r="AQ627" s="81">
        <v>19918551.340448823</v>
      </c>
      <c r="AR627" s="81">
        <v>20105812.413973823</v>
      </c>
      <c r="AS627" s="81">
        <v>20294835.033685721</v>
      </c>
      <c r="AT627" s="81">
        <v>20486581.4749543</v>
      </c>
    </row>
    <row r="628" spans="1:46" ht="15.75">
      <c r="A628" s="81" t="s">
        <v>448</v>
      </c>
      <c r="B628" s="80">
        <v>510500</v>
      </c>
      <c r="C628" s="80" t="s">
        <v>419</v>
      </c>
      <c r="D628" s="84" t="s">
        <v>591</v>
      </c>
      <c r="E628" s="81">
        <v>27485827.875038326</v>
      </c>
      <c r="F628" s="81">
        <v>28295204.160882365</v>
      </c>
      <c r="G628" s="81">
        <v>29002864.013362829</v>
      </c>
      <c r="H628" s="81">
        <v>29738121.981508773</v>
      </c>
      <c r="I628" s="81">
        <v>30498129.475145191</v>
      </c>
      <c r="J628" s="81">
        <v>31279961.084809132</v>
      </c>
      <c r="K628" s="81">
        <v>32080590.635710806</v>
      </c>
      <c r="L628" s="81">
        <v>32896946.214934278</v>
      </c>
      <c r="M628" s="81">
        <v>33725916.562704697</v>
      </c>
      <c r="N628" s="81">
        <v>34564388.333941467</v>
      </c>
      <c r="O628" s="81">
        <v>35409237.516577907</v>
      </c>
      <c r="P628" s="81">
        <v>36257392.596754625</v>
      </c>
      <c r="Q628" s="81">
        <v>37002796.565937601</v>
      </c>
      <c r="R628" s="81">
        <v>37742047.843273953</v>
      </c>
      <c r="S628" s="81">
        <v>38472438.858248174</v>
      </c>
      <c r="T628" s="81">
        <v>39191413.116531827</v>
      </c>
      <c r="U628" s="81">
        <v>39896616.913747787</v>
      </c>
      <c r="V628" s="81">
        <v>40585908.164821729</v>
      </c>
      <c r="W628" s="81">
        <v>41257363.932866208</v>
      </c>
      <c r="X628" s="81">
        <v>41909372.921490595</v>
      </c>
      <c r="Y628" s="81">
        <v>42540579.325905658</v>
      </c>
      <c r="Z628" s="81">
        <v>43149997.011081569</v>
      </c>
      <c r="AA628" s="81">
        <v>43759809.438197821</v>
      </c>
      <c r="AB628" s="81">
        <v>44346221.860487744</v>
      </c>
      <c r="AC628" s="81">
        <v>44909342.955762453</v>
      </c>
      <c r="AD628" s="81">
        <v>45449748.235056832</v>
      </c>
      <c r="AE628" s="81">
        <v>45968481.303444549</v>
      </c>
      <c r="AF628" s="81">
        <v>46467118.259519741</v>
      </c>
      <c r="AG628" s="81">
        <v>46947768.993805915</v>
      </c>
      <c r="AH628" s="81">
        <v>47413143.715897121</v>
      </c>
      <c r="AI628" s="81">
        <v>47866577.257461429</v>
      </c>
      <c r="AJ628" s="81">
        <v>48312017.851370722</v>
      </c>
      <c r="AK628" s="81">
        <v>48836438.519085146</v>
      </c>
      <c r="AL628" s="81">
        <v>49362662.567284442</v>
      </c>
      <c r="AM628" s="81">
        <v>49896870.609881043</v>
      </c>
      <c r="AN628" s="81">
        <v>50446114.967388809</v>
      </c>
      <c r="AO628" s="81">
        <v>51018326.40049158</v>
      </c>
      <c r="AP628" s="81">
        <v>51622343.585995249</v>
      </c>
      <c r="AQ628" s="81">
        <v>52268007.470080182</v>
      </c>
      <c r="AR628" s="81">
        <v>52966154.777871318</v>
      </c>
      <c r="AS628" s="81">
        <v>53728661.232114486</v>
      </c>
      <c r="AT628" s="81">
        <v>54568554.033373252</v>
      </c>
    </row>
    <row r="629" spans="1:46" ht="15.75">
      <c r="A629" s="81" t="s">
        <v>448</v>
      </c>
      <c r="B629" s="80">
        <v>510600</v>
      </c>
      <c r="C629" s="80" t="s">
        <v>419</v>
      </c>
      <c r="D629" s="84" t="s">
        <v>590</v>
      </c>
      <c r="E629" s="81">
        <v>23180230.135426462</v>
      </c>
      <c r="F629" s="81">
        <v>23966143.292075187</v>
      </c>
      <c r="G629" s="81">
        <v>24630302.3080731</v>
      </c>
      <c r="H629" s="81">
        <v>25283464.155538905</v>
      </c>
      <c r="I629" s="81">
        <v>25925078.758642357</v>
      </c>
      <c r="J629" s="81">
        <v>26554637.842694741</v>
      </c>
      <c r="K629" s="81">
        <v>27171676.442789249</v>
      </c>
      <c r="L629" s="81">
        <v>27775782.342801183</v>
      </c>
      <c r="M629" s="81">
        <v>28366590.276553638</v>
      </c>
      <c r="N629" s="81">
        <v>28943800.001215164</v>
      </c>
      <c r="O629" s="81">
        <v>29507162.527529441</v>
      </c>
      <c r="P629" s="81">
        <v>30056464.179965761</v>
      </c>
      <c r="Q629" s="81">
        <v>30506645.263677299</v>
      </c>
      <c r="R629" s="81">
        <v>30940681.619895265</v>
      </c>
      <c r="S629" s="81">
        <v>31358696.26834058</v>
      </c>
      <c r="T629" s="81">
        <v>31760930.807506394</v>
      </c>
      <c r="U629" s="81">
        <v>32147637.787864234</v>
      </c>
      <c r="V629" s="81">
        <v>32519164.105199598</v>
      </c>
      <c r="W629" s="81">
        <v>32875895.897589315</v>
      </c>
      <c r="X629" s="81">
        <v>33218307.399869286</v>
      </c>
      <c r="Y629" s="81">
        <v>33546933.498075582</v>
      </c>
      <c r="Z629" s="81">
        <v>33862359.916912533</v>
      </c>
      <c r="AA629" s="81">
        <v>34183117.711112179</v>
      </c>
      <c r="AB629" s="81">
        <v>34491399.788382001</v>
      </c>
      <c r="AC629" s="81">
        <v>34788001.482542902</v>
      </c>
      <c r="AD629" s="81">
        <v>35073795.799677052</v>
      </c>
      <c r="AE629" s="81">
        <v>35349745.852039069</v>
      </c>
      <c r="AF629" s="81">
        <v>35616884.122467801</v>
      </c>
      <c r="AG629" s="81">
        <v>35876301.140977129</v>
      </c>
      <c r="AH629" s="81">
        <v>36129191.995572031</v>
      </c>
      <c r="AI629" s="81">
        <v>36376799.47527153</v>
      </c>
      <c r="AJ629" s="81">
        <v>36620473.283859044</v>
      </c>
      <c r="AK629" s="81">
        <v>36923857.750907362</v>
      </c>
      <c r="AL629" s="81">
        <v>37225672.291166537</v>
      </c>
      <c r="AM629" s="81">
        <v>37527544.700810812</v>
      </c>
      <c r="AN629" s="81">
        <v>37831149.614837565</v>
      </c>
      <c r="AO629" s="81">
        <v>38138284.964663133</v>
      </c>
      <c r="AP629" s="81">
        <v>38450808.273339503</v>
      </c>
      <c r="AQ629" s="81">
        <v>38770689.401419595</v>
      </c>
      <c r="AR629" s="81">
        <v>39100012.967615701</v>
      </c>
      <c r="AS629" s="81">
        <v>39440938.504123941</v>
      </c>
      <c r="AT629" s="81">
        <v>39795713.92221839</v>
      </c>
    </row>
    <row r="630" spans="1:46" ht="15.75">
      <c r="A630" s="81" t="s">
        <v>448</v>
      </c>
      <c r="B630" s="80">
        <v>510700</v>
      </c>
      <c r="C630" s="80" t="s">
        <v>419</v>
      </c>
      <c r="D630" s="84" t="s">
        <v>589</v>
      </c>
      <c r="E630" s="81">
        <v>32583407.600416981</v>
      </c>
      <c r="F630" s="81">
        <v>33705354.514735892</v>
      </c>
      <c r="G630" s="81">
        <v>34660294.309929475</v>
      </c>
      <c r="H630" s="81">
        <v>35603666.303987831</v>
      </c>
      <c r="I630" s="81">
        <v>36534396.092296429</v>
      </c>
      <c r="J630" s="81">
        <v>37451488.426944599</v>
      </c>
      <c r="K630" s="81">
        <v>38353988.640471198</v>
      </c>
      <c r="L630" s="81">
        <v>39241017.431576483</v>
      </c>
      <c r="M630" s="81">
        <v>40111761.187951922</v>
      </c>
      <c r="N630" s="81">
        <v>40965476.91075293</v>
      </c>
      <c r="O630" s="81">
        <v>41801505.710054144</v>
      </c>
      <c r="P630" s="81">
        <v>42619270.150646903</v>
      </c>
      <c r="Q630" s="81">
        <v>43297720.952026881</v>
      </c>
      <c r="R630" s="81">
        <v>43954125.567917913</v>
      </c>
      <c r="S630" s="81">
        <v>44588399.914470121</v>
      </c>
      <c r="T630" s="81">
        <v>45200614.767004631</v>
      </c>
      <c r="U630" s="81">
        <v>45790900.518029794</v>
      </c>
      <c r="V630" s="81">
        <v>46359534.059077889</v>
      </c>
      <c r="W630" s="81">
        <v>46906907.082801566</v>
      </c>
      <c r="X630" s="81">
        <v>47433520.411270037</v>
      </c>
      <c r="Y630" s="81">
        <v>47940017.968763568</v>
      </c>
      <c r="Z630" s="81">
        <v>48427161.926348768</v>
      </c>
      <c r="AA630" s="81">
        <v>48921433.020990796</v>
      </c>
      <c r="AB630" s="81">
        <v>49397374.67422948</v>
      </c>
      <c r="AC630" s="81">
        <v>49856181.193456814</v>
      </c>
      <c r="AD630" s="81">
        <v>50299198.861072794</v>
      </c>
      <c r="AE630" s="81">
        <v>50727952.941992626</v>
      </c>
      <c r="AF630" s="81">
        <v>51144119.908726759</v>
      </c>
      <c r="AG630" s="81">
        <v>51549554.37890888</v>
      </c>
      <c r="AH630" s="81">
        <v>51946294.756738827</v>
      </c>
      <c r="AI630" s="81">
        <v>52336556.977847941</v>
      </c>
      <c r="AJ630" s="81">
        <v>52722739.341839068</v>
      </c>
      <c r="AK630" s="81">
        <v>53197084.057034552</v>
      </c>
      <c r="AL630" s="81">
        <v>53672108.520858116</v>
      </c>
      <c r="AM630" s="81">
        <v>54150858.433508515</v>
      </c>
      <c r="AN630" s="81">
        <v>54636615.21658016</v>
      </c>
      <c r="AO630" s="81">
        <v>55132876.478293978</v>
      </c>
      <c r="AP630" s="81">
        <v>55643401.068488859</v>
      </c>
      <c r="AQ630" s="81">
        <v>56172176.250985399</v>
      </c>
      <c r="AR630" s="81">
        <v>56723436.465407059</v>
      </c>
      <c r="AS630" s="81">
        <v>57301725.657316297</v>
      </c>
      <c r="AT630" s="81">
        <v>57911793.4357704</v>
      </c>
    </row>
    <row r="631" spans="1:46" ht="15.75">
      <c r="A631" s="81" t="s">
        <v>448</v>
      </c>
      <c r="B631" s="80">
        <v>510800</v>
      </c>
      <c r="C631" s="80" t="s">
        <v>419</v>
      </c>
      <c r="D631" s="84" t="s">
        <v>588</v>
      </c>
      <c r="E631" s="81">
        <v>13277627.421738708</v>
      </c>
      <c r="F631" s="81">
        <v>13735117.059315693</v>
      </c>
      <c r="G631" s="81">
        <v>14129641.728904285</v>
      </c>
      <c r="H631" s="81">
        <v>14524188.701227106</v>
      </c>
      <c r="I631" s="81">
        <v>14917936.981864573</v>
      </c>
      <c r="J631" s="81">
        <v>15310083.925545458</v>
      </c>
      <c r="K631" s="81">
        <v>15699831.619875209</v>
      </c>
      <c r="L631" s="81">
        <v>16086411.828731153</v>
      </c>
      <c r="M631" s="81">
        <v>16469057.934621662</v>
      </c>
      <c r="N631" s="81">
        <v>16847036.803069409</v>
      </c>
      <c r="O631" s="81">
        <v>17219648.010909513</v>
      </c>
      <c r="P631" s="81">
        <v>17586229.811331227</v>
      </c>
      <c r="Q631" s="81">
        <v>17896334.607623566</v>
      </c>
      <c r="R631" s="81">
        <v>18197845.294589516</v>
      </c>
      <c r="S631" s="81">
        <v>18490354.682416279</v>
      </c>
      <c r="T631" s="81">
        <v>18773491.264122419</v>
      </c>
      <c r="U631" s="81">
        <v>19046987.525268562</v>
      </c>
      <c r="V631" s="81">
        <v>19310630.678254858</v>
      </c>
      <c r="W631" s="81">
        <v>19564308.859359007</v>
      </c>
      <c r="X631" s="81">
        <v>19807993.040142696</v>
      </c>
      <c r="Y631" s="81">
        <v>20041733.932501826</v>
      </c>
      <c r="Z631" s="81">
        <v>20265720.293899424</v>
      </c>
      <c r="AA631" s="81">
        <v>20490915.278663434</v>
      </c>
      <c r="AB631" s="81">
        <v>20706638.582834344</v>
      </c>
      <c r="AC631" s="81">
        <v>20913407.340934176</v>
      </c>
      <c r="AD631" s="81">
        <v>21111843.423139278</v>
      </c>
      <c r="AE631" s="81">
        <v>21302736.177869111</v>
      </c>
      <c r="AF631" s="81">
        <v>21487022.592074569</v>
      </c>
      <c r="AG631" s="81">
        <v>21665764.752615437</v>
      </c>
      <c r="AH631" s="81">
        <v>21840215.723545343</v>
      </c>
      <c r="AI631" s="81">
        <v>22011767.770662528</v>
      </c>
      <c r="AJ631" s="81">
        <v>22182020.355828788</v>
      </c>
      <c r="AK631" s="81">
        <v>22390468.270118181</v>
      </c>
      <c r="AL631" s="81">
        <v>22601096.551876169</v>
      </c>
      <c r="AM631" s="81">
        <v>22816114.019205343</v>
      </c>
      <c r="AN631" s="81">
        <v>23037908.677120458</v>
      </c>
      <c r="AO631" s="81">
        <v>23269121.477416866</v>
      </c>
      <c r="AP631" s="81">
        <v>23512657.531056136</v>
      </c>
      <c r="AQ631" s="81">
        <v>23771615.354147926</v>
      </c>
      <c r="AR631" s="81">
        <v>24049387.203111827</v>
      </c>
      <c r="AS631" s="81">
        <v>24349635.310719207</v>
      </c>
      <c r="AT631" s="81">
        <v>24676277.186232999</v>
      </c>
    </row>
    <row r="632" spans="1:46" ht="15.75">
      <c r="A632" s="81" t="s">
        <v>448</v>
      </c>
      <c r="B632" s="80">
        <v>510900</v>
      </c>
      <c r="C632" s="80" t="s">
        <v>419</v>
      </c>
      <c r="D632" s="84" t="s">
        <v>587</v>
      </c>
      <c r="E632" s="81">
        <v>17872812.719656721</v>
      </c>
      <c r="F632" s="81">
        <v>18529931.78159355</v>
      </c>
      <c r="G632" s="81">
        <v>19095755.070207838</v>
      </c>
      <c r="H632" s="81">
        <v>19655627.308158375</v>
      </c>
      <c r="I632" s="81">
        <v>20209057.356442258</v>
      </c>
      <c r="J632" s="81">
        <v>20755610.779204294</v>
      </c>
      <c r="K632" s="81">
        <v>21294855.552735474</v>
      </c>
      <c r="L632" s="81">
        <v>21826428.366649579</v>
      </c>
      <c r="M632" s="81">
        <v>22349978.567387559</v>
      </c>
      <c r="N632" s="81">
        <v>22865230.409037892</v>
      </c>
      <c r="O632" s="81">
        <v>23371932.453952506</v>
      </c>
      <c r="P632" s="81">
        <v>23869882.230683666</v>
      </c>
      <c r="Q632" s="81">
        <v>24291291.887838461</v>
      </c>
      <c r="R632" s="81">
        <v>24701828.761095859</v>
      </c>
      <c r="S632" s="81">
        <v>25101567.370255705</v>
      </c>
      <c r="T632" s="81">
        <v>25490638.518028326</v>
      </c>
      <c r="U632" s="81">
        <v>25869222.102429107</v>
      </c>
      <c r="V632" s="81">
        <v>26237548.171985425</v>
      </c>
      <c r="W632" s="81">
        <v>26595935.315606739</v>
      </c>
      <c r="X632" s="81">
        <v>26944728.466374848</v>
      </c>
      <c r="Y632" s="81">
        <v>27284365.168006819</v>
      </c>
      <c r="Z632" s="81">
        <v>27615320.984642029</v>
      </c>
      <c r="AA632" s="81">
        <v>27952766.353810053</v>
      </c>
      <c r="AB632" s="81">
        <v>28282235.690330274</v>
      </c>
      <c r="AC632" s="81">
        <v>28604401.263008773</v>
      </c>
      <c r="AD632" s="81">
        <v>28920041.796414997</v>
      </c>
      <c r="AE632" s="81">
        <v>29230004.232465792</v>
      </c>
      <c r="AF632" s="81">
        <v>29535183.070972413</v>
      </c>
      <c r="AG632" s="81">
        <v>29836596.80428198</v>
      </c>
      <c r="AH632" s="81">
        <v>30135303.749957312</v>
      </c>
      <c r="AI632" s="81">
        <v>30432468.706543226</v>
      </c>
      <c r="AJ632" s="81">
        <v>30729331.999467418</v>
      </c>
      <c r="AK632" s="81">
        <v>31079595.62623775</v>
      </c>
      <c r="AL632" s="81">
        <v>31432199.463613227</v>
      </c>
      <c r="AM632" s="81">
        <v>31788656.073055465</v>
      </c>
      <c r="AN632" s="81">
        <v>32150617.139318652</v>
      </c>
      <c r="AO632" s="81">
        <v>32519803.456199173</v>
      </c>
      <c r="AP632" s="81">
        <v>32898055.240743551</v>
      </c>
      <c r="AQ632" s="81">
        <v>33287322.510316804</v>
      </c>
      <c r="AR632" s="81">
        <v>33689667.428366818</v>
      </c>
      <c r="AS632" s="81">
        <v>34107253.28433539</v>
      </c>
      <c r="AT632" s="81">
        <v>34542373.013844095</v>
      </c>
    </row>
    <row r="633" spans="1:46" ht="15.75">
      <c r="A633" s="81" t="s">
        <v>448</v>
      </c>
      <c r="B633" s="80">
        <v>511000</v>
      </c>
      <c r="C633" s="80" t="s">
        <v>419</v>
      </c>
      <c r="D633" s="84" t="s">
        <v>586</v>
      </c>
      <c r="E633" s="81">
        <v>19903276.451624934</v>
      </c>
      <c r="F633" s="81">
        <v>20546886.224801198</v>
      </c>
      <c r="G633" s="81">
        <v>21097018.696916595</v>
      </c>
      <c r="H633" s="81">
        <v>21648525.587381087</v>
      </c>
      <c r="I633" s="81">
        <v>22200646.901928682</v>
      </c>
      <c r="J633" s="81">
        <v>22752611.49741393</v>
      </c>
      <c r="K633" s="81">
        <v>23303668.930269394</v>
      </c>
      <c r="L633" s="81">
        <v>23853065.314046517</v>
      </c>
      <c r="M633" s="81">
        <v>24400053.761349253</v>
      </c>
      <c r="N633" s="81">
        <v>24943913.796655539</v>
      </c>
      <c r="O633" s="81">
        <v>25483932.873267662</v>
      </c>
      <c r="P633" s="81">
        <v>26019434.109481774</v>
      </c>
      <c r="Q633" s="81">
        <v>26476053.694544572</v>
      </c>
      <c r="R633" s="81">
        <v>26924832.563428588</v>
      </c>
      <c r="S633" s="81">
        <v>27365304.163991794</v>
      </c>
      <c r="T633" s="81">
        <v>27797028.145396199</v>
      </c>
      <c r="U633" s="81">
        <v>28219628.6767787</v>
      </c>
      <c r="V633" s="81">
        <v>28632781.891769592</v>
      </c>
      <c r="W633" s="81">
        <v>29036229.373462714</v>
      </c>
      <c r="X633" s="81">
        <v>29429764.379393958</v>
      </c>
      <c r="Y633" s="81">
        <v>29813283.396852497</v>
      </c>
      <c r="Z633" s="81">
        <v>30186725.549925644</v>
      </c>
      <c r="AA633" s="81">
        <v>30566107.398286354</v>
      </c>
      <c r="AB633" s="81">
        <v>30935052.460907418</v>
      </c>
      <c r="AC633" s="81">
        <v>31293774.108995281</v>
      </c>
      <c r="AD633" s="81">
        <v>31642579.146374464</v>
      </c>
      <c r="AE633" s="81">
        <v>31981883.387200084</v>
      </c>
      <c r="AF633" s="81">
        <v>32312185.237231173</v>
      </c>
      <c r="AG633" s="81">
        <v>32634145.744631808</v>
      </c>
      <c r="AH633" s="81">
        <v>32948520.278532524</v>
      </c>
      <c r="AI633" s="81">
        <v>33256195.987849608</v>
      </c>
      <c r="AJ633" s="81">
        <v>33558175.096131146</v>
      </c>
      <c r="AK633" s="81">
        <v>33912785.405715674</v>
      </c>
      <c r="AL633" s="81">
        <v>34263935.225073256</v>
      </c>
      <c r="AM633" s="81">
        <v>34613089.380931847</v>
      </c>
      <c r="AN633" s="81">
        <v>34961861.903355144</v>
      </c>
      <c r="AO633" s="81">
        <v>35312058.956079148</v>
      </c>
      <c r="AP633" s="81">
        <v>35665674.774521776</v>
      </c>
      <c r="AQ633" s="81">
        <v>36024860.729406804</v>
      </c>
      <c r="AR633" s="81">
        <v>36392008.611926481</v>
      </c>
      <c r="AS633" s="81">
        <v>36769695.143050507</v>
      </c>
      <c r="AT633" s="81">
        <v>37160687.929281272</v>
      </c>
    </row>
    <row r="634" spans="1:46" ht="15.75">
      <c r="A634" s="81" t="s">
        <v>448</v>
      </c>
      <c r="B634" s="80">
        <v>511100</v>
      </c>
      <c r="C634" s="80" t="s">
        <v>419</v>
      </c>
      <c r="D634" s="84" t="s">
        <v>585</v>
      </c>
      <c r="E634" s="81">
        <v>20851084.263875101</v>
      </c>
      <c r="F634" s="81">
        <v>21547776.724214729</v>
      </c>
      <c r="G634" s="81">
        <v>22139165.293318268</v>
      </c>
      <c r="H634" s="81">
        <v>22724697.945142601</v>
      </c>
      <c r="I634" s="81">
        <v>23303654.14564671</v>
      </c>
      <c r="J634" s="81">
        <v>23875346.330213584</v>
      </c>
      <c r="K634" s="81">
        <v>24439116.442652039</v>
      </c>
      <c r="L634" s="81">
        <v>24994331.552611437</v>
      </c>
      <c r="M634" s="81">
        <v>25540418.516651582</v>
      </c>
      <c r="N634" s="81">
        <v>26076812.978166427</v>
      </c>
      <c r="O634" s="81">
        <v>26603018.029938076</v>
      </c>
      <c r="P634" s="81">
        <v>27118567.985434283</v>
      </c>
      <c r="Q634" s="81">
        <v>27546356.317848153</v>
      </c>
      <c r="R634" s="81">
        <v>27960901.081205733</v>
      </c>
      <c r="S634" s="81">
        <v>28362030.697865069</v>
      </c>
      <c r="T634" s="81">
        <v>28749671.781522542</v>
      </c>
      <c r="U634" s="81">
        <v>29123780.943881653</v>
      </c>
      <c r="V634" s="81">
        <v>29484411.376139261</v>
      </c>
      <c r="W634" s="81">
        <v>29831680.016165309</v>
      </c>
      <c r="X634" s="81">
        <v>30165760.330418807</v>
      </c>
      <c r="Y634" s="81">
        <v>30486944.119067229</v>
      </c>
      <c r="Z634" s="81">
        <v>30795577.226493228</v>
      </c>
      <c r="AA634" s="81">
        <v>31108358.46695897</v>
      </c>
      <c r="AB634" s="81">
        <v>31408950.462909456</v>
      </c>
      <c r="AC634" s="81">
        <v>31697987.942256514</v>
      </c>
      <c r="AD634" s="81">
        <v>31976196.016426556</v>
      </c>
      <c r="AE634" s="81">
        <v>32244381.989391174</v>
      </c>
      <c r="AF634" s="81">
        <v>32503504.742853157</v>
      </c>
      <c r="AG634" s="81">
        <v>32754590.871080931</v>
      </c>
      <c r="AH634" s="81">
        <v>32998816.113364249</v>
      </c>
      <c r="AI634" s="81">
        <v>33237453.120825626</v>
      </c>
      <c r="AJ634" s="81">
        <v>33471909.493334815</v>
      </c>
      <c r="AK634" s="81">
        <v>33760623.970401168</v>
      </c>
      <c r="AL634" s="81">
        <v>34047901.889597766</v>
      </c>
      <c r="AM634" s="81">
        <v>34335565.846982695</v>
      </c>
      <c r="AN634" s="81">
        <v>34625603.13483385</v>
      </c>
      <c r="AO634" s="81">
        <v>34920132.556673564</v>
      </c>
      <c r="AP634" s="81">
        <v>35221446.798942178</v>
      </c>
      <c r="AQ634" s="81">
        <v>35532004.9398081</v>
      </c>
      <c r="AR634" s="81">
        <v>35854423.745080642</v>
      </c>
      <c r="AS634" s="81">
        <v>36191509.303970911</v>
      </c>
      <c r="AT634" s="81">
        <v>36546249.074519016</v>
      </c>
    </row>
    <row r="635" spans="1:46" ht="15.75">
      <c r="A635" s="81" t="s">
        <v>448</v>
      </c>
      <c r="B635" s="80">
        <v>511300</v>
      </c>
      <c r="C635" s="80" t="s">
        <v>419</v>
      </c>
      <c r="D635" s="84" t="s">
        <v>584</v>
      </c>
      <c r="E635" s="81">
        <v>34258698.325999059</v>
      </c>
      <c r="F635" s="81">
        <v>35442143.872907154</v>
      </c>
      <c r="G635" s="81">
        <v>36461664.498166233</v>
      </c>
      <c r="H635" s="81">
        <v>37480247.009714097</v>
      </c>
      <c r="I635" s="81">
        <v>38496298.483671419</v>
      </c>
      <c r="J635" s="81">
        <v>39508241.482267089</v>
      </c>
      <c r="K635" s="81">
        <v>40514557.964012332</v>
      </c>
      <c r="L635" s="81">
        <v>41513736.74524612</v>
      </c>
      <c r="M635" s="81">
        <v>42504353.588124163</v>
      </c>
      <c r="N635" s="81">
        <v>43485040.03182441</v>
      </c>
      <c r="O635" s="81">
        <v>44454477.730291262</v>
      </c>
      <c r="P635" s="81">
        <v>45411478.136968128</v>
      </c>
      <c r="Q635" s="81">
        <v>46226205.430633418</v>
      </c>
      <c r="R635" s="81">
        <v>47022732.113581054</v>
      </c>
      <c r="S635" s="81">
        <v>47800367.467660211</v>
      </c>
      <c r="T635" s="81">
        <v>48558589.34263967</v>
      </c>
      <c r="U635" s="81">
        <v>49297005.79912401</v>
      </c>
      <c r="V635" s="81">
        <v>50015390.822037272</v>
      </c>
      <c r="W635" s="81">
        <v>50713696.084688045</v>
      </c>
      <c r="X635" s="81">
        <v>51392044.712693751</v>
      </c>
      <c r="Y635" s="81">
        <v>52050769.755431399</v>
      </c>
      <c r="Z635" s="81">
        <v>52690389.690709412</v>
      </c>
      <c r="AA635" s="81">
        <v>53339531.058606923</v>
      </c>
      <c r="AB635" s="81">
        <v>53970383.793529309</v>
      </c>
      <c r="AC635" s="81">
        <v>54584169.35697671</v>
      </c>
      <c r="AD635" s="81">
        <v>55182357.953745775</v>
      </c>
      <c r="AE635" s="81">
        <v>55766690.729971804</v>
      </c>
      <c r="AF635" s="81">
        <v>56339213.557806298</v>
      </c>
      <c r="AG635" s="81">
        <v>56902281.284647755</v>
      </c>
      <c r="AH635" s="81">
        <v>57458518.192559719</v>
      </c>
      <c r="AI635" s="81">
        <v>58010926.418883778</v>
      </c>
      <c r="AJ635" s="81">
        <v>58562826.307030149</v>
      </c>
      <c r="AK635" s="81">
        <v>59217692.284515172</v>
      </c>
      <c r="AL635" s="81">
        <v>59879529.393618681</v>
      </c>
      <c r="AM635" s="81">
        <v>60552852.904268108</v>
      </c>
      <c r="AN635" s="81">
        <v>61242592.175319836</v>
      </c>
      <c r="AO635" s="81">
        <v>61954130.335414246</v>
      </c>
      <c r="AP635" s="81">
        <v>62693309.77327197</v>
      </c>
      <c r="AQ635" s="81">
        <v>63466486.473429993</v>
      </c>
      <c r="AR635" s="81">
        <v>64280449.033524975</v>
      </c>
      <c r="AS635" s="81">
        <v>65142572.449858725</v>
      </c>
      <c r="AT635" s="81">
        <v>66060711.300616093</v>
      </c>
    </row>
    <row r="636" spans="1:46" ht="15.75">
      <c r="A636" s="81" t="s">
        <v>448</v>
      </c>
      <c r="B636" s="80">
        <v>511400</v>
      </c>
      <c r="C636" s="80" t="s">
        <v>419</v>
      </c>
      <c r="D636" s="84" t="s">
        <v>583</v>
      </c>
      <c r="E636" s="81">
        <v>17420751.631155096</v>
      </c>
      <c r="F636" s="81">
        <v>17997697.628576927</v>
      </c>
      <c r="G636" s="81">
        <v>18487364.837338392</v>
      </c>
      <c r="H636" s="81">
        <v>18972766.545680072</v>
      </c>
      <c r="I636" s="81">
        <v>19453222.565625239</v>
      </c>
      <c r="J636" s="81">
        <v>19928077.719673961</v>
      </c>
      <c r="K636" s="81">
        <v>20396705.957911495</v>
      </c>
      <c r="L636" s="81">
        <v>20858507.611797307</v>
      </c>
      <c r="M636" s="81">
        <v>21312912.986529425</v>
      </c>
      <c r="N636" s="81">
        <v>21759393.359244037</v>
      </c>
      <c r="O636" s="81">
        <v>22197450.644758597</v>
      </c>
      <c r="P636" s="81">
        <v>22626658.626707956</v>
      </c>
      <c r="Q636" s="81">
        <v>22982607.181761246</v>
      </c>
      <c r="R636" s="81">
        <v>23327438.979942698</v>
      </c>
      <c r="S636" s="81">
        <v>23660973.453992579</v>
      </c>
      <c r="T636" s="81">
        <v>23983104.992205806</v>
      </c>
      <c r="U636" s="81">
        <v>24293807.927191563</v>
      </c>
      <c r="V636" s="81">
        <v>24593099.188328926</v>
      </c>
      <c r="W636" s="81">
        <v>24881100.228465516</v>
      </c>
      <c r="X636" s="81">
        <v>25157982.253543455</v>
      </c>
      <c r="Y636" s="81">
        <v>25424030.336520907</v>
      </c>
      <c r="Z636" s="81">
        <v>25679586.725584082</v>
      </c>
      <c r="AA636" s="81">
        <v>25938653.650398348</v>
      </c>
      <c r="AB636" s="81">
        <v>26187720.169262081</v>
      </c>
      <c r="AC636" s="81">
        <v>26427420.323735192</v>
      </c>
      <c r="AD636" s="81">
        <v>26658500.340782195</v>
      </c>
      <c r="AE636" s="81">
        <v>26881813.743752293</v>
      </c>
      <c r="AF636" s="81">
        <v>27098345.665355269</v>
      </c>
      <c r="AG636" s="81">
        <v>27309188.186228808</v>
      </c>
      <c r="AH636" s="81">
        <v>27515554.256185178</v>
      </c>
      <c r="AI636" s="81">
        <v>27718792.639202531</v>
      </c>
      <c r="AJ636" s="81">
        <v>27920393.216311157</v>
      </c>
      <c r="AK636" s="81">
        <v>28169450.867297228</v>
      </c>
      <c r="AL636" s="81">
        <v>28419914.283673655</v>
      </c>
      <c r="AM636" s="81">
        <v>28673735.230888084</v>
      </c>
      <c r="AN636" s="81">
        <v>28933028.006018385</v>
      </c>
      <c r="AO636" s="81">
        <v>29200086.466479514</v>
      </c>
      <c r="AP636" s="81">
        <v>29477366.845832497</v>
      </c>
      <c r="AQ636" s="81">
        <v>29767528.342464082</v>
      </c>
      <c r="AR636" s="81">
        <v>30073404.084440984</v>
      </c>
      <c r="AS636" s="81">
        <v>30398018.243058566</v>
      </c>
      <c r="AT636" s="81">
        <v>30744629.503205065</v>
      </c>
    </row>
    <row r="637" spans="1:46" ht="15.75">
      <c r="A637" s="81" t="s">
        <v>448</v>
      </c>
      <c r="B637" s="80">
        <v>511500</v>
      </c>
      <c r="C637" s="80" t="s">
        <v>419</v>
      </c>
      <c r="D637" s="84" t="s">
        <v>582</v>
      </c>
      <c r="E637" s="81">
        <v>29049103.137791421</v>
      </c>
      <c r="F637" s="81">
        <v>29977830.700845364</v>
      </c>
      <c r="G637" s="81">
        <v>30793491.926394977</v>
      </c>
      <c r="H637" s="81">
        <v>31632907.058180261</v>
      </c>
      <c r="I637" s="81">
        <v>32493257.777716421</v>
      </c>
      <c r="J637" s="81">
        <v>33371628.120475776</v>
      </c>
      <c r="K637" s="81">
        <v>34265049.67313841</v>
      </c>
      <c r="L637" s="81">
        <v>35170514.093924016</v>
      </c>
      <c r="M637" s="81">
        <v>36085000.916672818</v>
      </c>
      <c r="N637" s="81">
        <v>37005483.793522894</v>
      </c>
      <c r="O637" s="81">
        <v>37928959.659620851</v>
      </c>
      <c r="P637" s="81">
        <v>38852471.656684875</v>
      </c>
      <c r="Q637" s="81">
        <v>39662704.201573431</v>
      </c>
      <c r="R637" s="81">
        <v>40463520.998886883</v>
      </c>
      <c r="S637" s="81">
        <v>41252406.780982427</v>
      </c>
      <c r="T637" s="81">
        <v>42027000.770070478</v>
      </c>
      <c r="U637" s="81">
        <v>42785155.349501245</v>
      </c>
      <c r="V637" s="81">
        <v>43524944.419475377</v>
      </c>
      <c r="W637" s="81">
        <v>44244679.719076708</v>
      </c>
      <c r="X637" s="81">
        <v>44942955.02013085</v>
      </c>
      <c r="Y637" s="81">
        <v>45618654.47618565</v>
      </c>
      <c r="Z637" s="81">
        <v>46270988.843317471</v>
      </c>
      <c r="AA637" s="81">
        <v>46924074.470726982</v>
      </c>
      <c r="AB637" s="81">
        <v>47552587.48621437</v>
      </c>
      <c r="AC637" s="81">
        <v>48156880.326639213</v>
      </c>
      <c r="AD637" s="81">
        <v>48737732.777033508</v>
      </c>
      <c r="AE637" s="81">
        <v>49296412.770966291</v>
      </c>
      <c r="AF637" s="81">
        <v>49834697.729645409</v>
      </c>
      <c r="AG637" s="81">
        <v>50354906.317266002</v>
      </c>
      <c r="AH637" s="81">
        <v>50859919.594690308</v>
      </c>
      <c r="AI637" s="81">
        <v>51353246.767596163</v>
      </c>
      <c r="AJ637" s="81">
        <v>51839014.374490984</v>
      </c>
      <c r="AK637" s="81">
        <v>52410340.144846648</v>
      </c>
      <c r="AL637" s="81">
        <v>52984179.595686309</v>
      </c>
      <c r="AM637" s="81">
        <v>53566838.283788592</v>
      </c>
      <c r="AN637" s="81">
        <v>54165454.586314231</v>
      </c>
      <c r="AO637" s="81">
        <v>54788015.932999343</v>
      </c>
      <c r="AP637" s="81">
        <v>55443449.190357246</v>
      </c>
      <c r="AQ637" s="81">
        <v>56141574.995831758</v>
      </c>
      <c r="AR637" s="81">
        <v>56893250.193695538</v>
      </c>
      <c r="AS637" s="81">
        <v>57710321.536733836</v>
      </c>
      <c r="AT637" s="81">
        <v>58605733.164782219</v>
      </c>
    </row>
    <row r="638" spans="1:46" ht="15.75">
      <c r="A638" s="81" t="s">
        <v>448</v>
      </c>
      <c r="B638" s="80">
        <v>511600</v>
      </c>
      <c r="C638" s="80" t="s">
        <v>419</v>
      </c>
      <c r="D638" s="84" t="s">
        <v>581</v>
      </c>
      <c r="E638" s="81">
        <v>17237612.779747695</v>
      </c>
      <c r="F638" s="81">
        <v>17798606.483487733</v>
      </c>
      <c r="G638" s="81">
        <v>18289585.957975108</v>
      </c>
      <c r="H638" s="81">
        <v>18791780.088634409</v>
      </c>
      <c r="I638" s="81">
        <v>19303551.956085779</v>
      </c>
      <c r="J638" s="81">
        <v>19823261.210713483</v>
      </c>
      <c r="K638" s="81">
        <v>20349229.165350344</v>
      </c>
      <c r="L638" s="81">
        <v>20879779.478941429</v>
      </c>
      <c r="M638" s="81">
        <v>21413244.996635821</v>
      </c>
      <c r="N638" s="81">
        <v>21947961.196603943</v>
      </c>
      <c r="O638" s="81">
        <v>22482317.919957522</v>
      </c>
      <c r="P638" s="81">
        <v>23014734.637766115</v>
      </c>
      <c r="Q638" s="81">
        <v>23478327.757896699</v>
      </c>
      <c r="R638" s="81">
        <v>23934890.35867919</v>
      </c>
      <c r="S638" s="81">
        <v>24383174.427189361</v>
      </c>
      <c r="T638" s="81">
        <v>24822046.517569967</v>
      </c>
      <c r="U638" s="81">
        <v>25250509.408768989</v>
      </c>
      <c r="V638" s="81">
        <v>25667709.633306783</v>
      </c>
      <c r="W638" s="81">
        <v>26072960.051091053</v>
      </c>
      <c r="X638" s="81">
        <v>26465755.659233112</v>
      </c>
      <c r="Y638" s="81">
        <v>26845781.71888921</v>
      </c>
      <c r="Z638" s="81">
        <v>27212937.714843635</v>
      </c>
      <c r="AA638" s="81">
        <v>27581751.169828989</v>
      </c>
      <c r="AB638" s="81">
        <v>27937742.538788762</v>
      </c>
      <c r="AC638" s="81">
        <v>28281525.642465822</v>
      </c>
      <c r="AD638" s="81">
        <v>28614000.282515578</v>
      </c>
      <c r="AE638" s="81">
        <v>28936361.836660419</v>
      </c>
      <c r="AF638" s="81">
        <v>29250137.310500957</v>
      </c>
      <c r="AG638" s="81">
        <v>29557177.654965755</v>
      </c>
      <c r="AH638" s="81">
        <v>29859703.561217993</v>
      </c>
      <c r="AI638" s="81">
        <v>30160288.052884649</v>
      </c>
      <c r="AJ638" s="81">
        <v>30461941.376811061</v>
      </c>
      <c r="AK638" s="81">
        <v>30819982.384710401</v>
      </c>
      <c r="AL638" s="81">
        <v>31186255.671267517</v>
      </c>
      <c r="AM638" s="81">
        <v>31565120.061344083</v>
      </c>
      <c r="AN638" s="81">
        <v>31961454.637682099</v>
      </c>
      <c r="AO638" s="81">
        <v>32380631.474256717</v>
      </c>
      <c r="AP638" s="81">
        <v>32828610.825735807</v>
      </c>
      <c r="AQ638" s="81">
        <v>33311914.552169971</v>
      </c>
      <c r="AR638" s="81">
        <v>33837682.317541398</v>
      </c>
      <c r="AS638" s="81">
        <v>34413653.421284609</v>
      </c>
      <c r="AT638" s="81">
        <v>35048235.132981859</v>
      </c>
    </row>
    <row r="639" spans="1:46" ht="15.75">
      <c r="A639" s="81" t="s">
        <v>448</v>
      </c>
      <c r="B639" s="80">
        <v>511700</v>
      </c>
      <c r="C639" s="80" t="s">
        <v>419</v>
      </c>
      <c r="D639" s="84" t="s">
        <v>580</v>
      </c>
      <c r="E639" s="81">
        <v>31107735.315608598</v>
      </c>
      <c r="F639" s="81">
        <v>32096151.2267037</v>
      </c>
      <c r="G639" s="81">
        <v>32957784.145895675</v>
      </c>
      <c r="H639" s="81">
        <v>33839642.586464703</v>
      </c>
      <c r="I639" s="81">
        <v>34739175.471439958</v>
      </c>
      <c r="J639" s="81">
        <v>35653791.288571939</v>
      </c>
      <c r="K639" s="81">
        <v>36580843.425970294</v>
      </c>
      <c r="L639" s="81">
        <v>37517659.763012357</v>
      </c>
      <c r="M639" s="81">
        <v>38461553.884286247</v>
      </c>
      <c r="N639" s="81">
        <v>39409850.485061392</v>
      </c>
      <c r="O639" s="81">
        <v>40359890.599499419</v>
      </c>
      <c r="P639" s="81">
        <v>41309080.524640374</v>
      </c>
      <c r="Q639" s="81">
        <v>42137548.646734603</v>
      </c>
      <c r="R639" s="81">
        <v>42956332.69525668</v>
      </c>
      <c r="S639" s="81">
        <v>43763246.859600112</v>
      </c>
      <c r="T639" s="81">
        <v>44556274.341211334</v>
      </c>
      <c r="U639" s="81">
        <v>45333540.924331628</v>
      </c>
      <c r="V639" s="81">
        <v>46093408.471994735</v>
      </c>
      <c r="W639" s="81">
        <v>46834449.910549797</v>
      </c>
      <c r="X639" s="81">
        <v>47555462.519403495</v>
      </c>
      <c r="Y639" s="81">
        <v>48255550.730066918</v>
      </c>
      <c r="Z639" s="81">
        <v>48934073.380940482</v>
      </c>
      <c r="AA639" s="81">
        <v>49616665.645367719</v>
      </c>
      <c r="AB639" s="81">
        <v>50276647.386195771</v>
      </c>
      <c r="AC639" s="81">
        <v>50914392.615782119</v>
      </c>
      <c r="AD639" s="81">
        <v>51530678.502753131</v>
      </c>
      <c r="AE639" s="81">
        <v>52126712.696090139</v>
      </c>
      <c r="AF639" s="81">
        <v>52704141.464269809</v>
      </c>
      <c r="AG639" s="81">
        <v>53265096.286449626</v>
      </c>
      <c r="AH639" s="81">
        <v>53812222.507214896</v>
      </c>
      <c r="AI639" s="81">
        <v>54348687.850925423</v>
      </c>
      <c r="AJ639" s="81">
        <v>54878252.189344406</v>
      </c>
      <c r="AK639" s="81">
        <v>55498769.038710356</v>
      </c>
      <c r="AL639" s="81">
        <v>56121443.739132352</v>
      </c>
      <c r="AM639" s="81">
        <v>56751949.924540862</v>
      </c>
      <c r="AN639" s="81">
        <v>57396693.587735243</v>
      </c>
      <c r="AO639" s="81">
        <v>58062825.972116217</v>
      </c>
      <c r="AP639" s="81">
        <v>58758312.526823208</v>
      </c>
      <c r="AQ639" s="81">
        <v>59491923.54811199</v>
      </c>
      <c r="AR639" s="81">
        <v>60273328.194876418</v>
      </c>
      <c r="AS639" s="81">
        <v>61113085.616351753</v>
      </c>
      <c r="AT639" s="81">
        <v>62022718.214116618</v>
      </c>
    </row>
    <row r="640" spans="1:46" ht="15.75">
      <c r="A640" s="81" t="s">
        <v>448</v>
      </c>
      <c r="B640" s="80">
        <v>511800</v>
      </c>
      <c r="C640" s="80" t="s">
        <v>419</v>
      </c>
      <c r="D640" s="84" t="s">
        <v>579</v>
      </c>
      <c r="E640" s="81">
        <v>8550113.9842036031</v>
      </c>
      <c r="F640" s="81">
        <v>8848598.1954881754</v>
      </c>
      <c r="G640" s="81">
        <v>9106448.2516780775</v>
      </c>
      <c r="H640" s="81">
        <v>9364364.0537517071</v>
      </c>
      <c r="I640" s="81">
        <v>9621943.1221895888</v>
      </c>
      <c r="J640" s="81">
        <v>9878805.2874222454</v>
      </c>
      <c r="K640" s="81">
        <v>10134569.318589153</v>
      </c>
      <c r="L640" s="81">
        <v>10388854.278568523</v>
      </c>
      <c r="M640" s="81">
        <v>10641302.643079696</v>
      </c>
      <c r="N640" s="81">
        <v>10891539.769883065</v>
      </c>
      <c r="O640" s="81">
        <v>11139241.06596774</v>
      </c>
      <c r="P640" s="81">
        <v>11384068.946688427</v>
      </c>
      <c r="Q640" s="81">
        <v>11593430.674544701</v>
      </c>
      <c r="R640" s="81">
        <v>11798380.497560641</v>
      </c>
      <c r="S640" s="81">
        <v>11998694.464487296</v>
      </c>
      <c r="T640" s="81">
        <v>12194192.463222677</v>
      </c>
      <c r="U640" s="81">
        <v>12384699.79281107</v>
      </c>
      <c r="V640" s="81">
        <v>12570107.500652647</v>
      </c>
      <c r="W640" s="81">
        <v>12750307.835326582</v>
      </c>
      <c r="X640" s="81">
        <v>12925247.108322416</v>
      </c>
      <c r="Y640" s="81">
        <v>13094911.62754879</v>
      </c>
      <c r="Z640" s="81">
        <v>13259311.882265132</v>
      </c>
      <c r="AA640" s="81">
        <v>13425536.912200846</v>
      </c>
      <c r="AB640" s="81">
        <v>13586453.7678729</v>
      </c>
      <c r="AC640" s="81">
        <v>13742210.367647277</v>
      </c>
      <c r="AD640" s="81">
        <v>13893037.352679271</v>
      </c>
      <c r="AE640" s="81">
        <v>14039183.34988193</v>
      </c>
      <c r="AF640" s="81">
        <v>14180975.561306827</v>
      </c>
      <c r="AG640" s="81">
        <v>14318793.320550235</v>
      </c>
      <c r="AH640" s="81">
        <v>14453101.687374562</v>
      </c>
      <c r="AI640" s="81">
        <v>14584413.470465627</v>
      </c>
      <c r="AJ640" s="81">
        <v>14713301.427572589</v>
      </c>
      <c r="AK640" s="81">
        <v>14865494.835604263</v>
      </c>
      <c r="AL640" s="81">
        <v>15016541.008071596</v>
      </c>
      <c r="AM640" s="81">
        <v>15167280.060795143</v>
      </c>
      <c r="AN640" s="81">
        <v>15318596.333976595</v>
      </c>
      <c r="AO640" s="81">
        <v>15471500.590601007</v>
      </c>
      <c r="AP640" s="81">
        <v>15627076.788401246</v>
      </c>
      <c r="AQ640" s="81">
        <v>15786520.350513153</v>
      </c>
      <c r="AR640" s="81">
        <v>15951130.575822845</v>
      </c>
      <c r="AS640" s="81">
        <v>16122289.408635361</v>
      </c>
      <c r="AT640" s="81">
        <v>16301514.302662844</v>
      </c>
    </row>
    <row r="641" spans="1:46" ht="15.75">
      <c r="A641" s="81" t="s">
        <v>448</v>
      </c>
      <c r="B641" s="80">
        <v>511900</v>
      </c>
      <c r="C641" s="80" t="s">
        <v>419</v>
      </c>
      <c r="D641" s="84" t="s">
        <v>578</v>
      </c>
      <c r="E641" s="81">
        <v>14416026.314059233</v>
      </c>
      <c r="F641" s="81">
        <v>14942257.81043124</v>
      </c>
      <c r="G641" s="81">
        <v>15405659.488902727</v>
      </c>
      <c r="H641" s="81">
        <v>15874419.192399133</v>
      </c>
      <c r="I641" s="81">
        <v>16347464.007821307</v>
      </c>
      <c r="J641" s="81">
        <v>16823699.072876889</v>
      </c>
      <c r="K641" s="81">
        <v>17302043.754288372</v>
      </c>
      <c r="L641" s="81">
        <v>17781409.043178234</v>
      </c>
      <c r="M641" s="81">
        <v>18260735.71828106</v>
      </c>
      <c r="N641" s="81">
        <v>18738977.58935805</v>
      </c>
      <c r="O641" s="81">
        <v>19215115.39899243</v>
      </c>
      <c r="P641" s="81">
        <v>19688171.873950761</v>
      </c>
      <c r="Q641" s="81">
        <v>20101257.862742752</v>
      </c>
      <c r="R641" s="81">
        <v>20507552.148752786</v>
      </c>
      <c r="S641" s="81">
        <v>20906339.11025051</v>
      </c>
      <c r="T641" s="81">
        <v>21296974.315701514</v>
      </c>
      <c r="U641" s="81">
        <v>21678922.409294188</v>
      </c>
      <c r="V641" s="81">
        <v>22051736.945791431</v>
      </c>
      <c r="W641" s="81">
        <v>22415076.291286062</v>
      </c>
      <c r="X641" s="81">
        <v>22768728.439051505</v>
      </c>
      <c r="Y641" s="81">
        <v>23112613.399631221</v>
      </c>
      <c r="Z641" s="81">
        <v>23446760.348897167</v>
      </c>
      <c r="AA641" s="81">
        <v>23783802.396125119</v>
      </c>
      <c r="AB641" s="81">
        <v>24111306.606661204</v>
      </c>
      <c r="AC641" s="81">
        <v>24429766.560976576</v>
      </c>
      <c r="AD641" s="81">
        <v>24739886.135449897</v>
      </c>
      <c r="AE641" s="81">
        <v>25042548.134648129</v>
      </c>
      <c r="AF641" s="81">
        <v>25338815.064217642</v>
      </c>
      <c r="AG641" s="81">
        <v>25630002.929898702</v>
      </c>
      <c r="AH641" s="81">
        <v>25917630.227973342</v>
      </c>
      <c r="AI641" s="81">
        <v>26203446.574774344</v>
      </c>
      <c r="AJ641" s="81">
        <v>26489463.260842439</v>
      </c>
      <c r="AK641" s="81">
        <v>26823147.168709915</v>
      </c>
      <c r="AL641" s="81">
        <v>27161843.320831783</v>
      </c>
      <c r="AM641" s="81">
        <v>27508412.649638034</v>
      </c>
      <c r="AN641" s="81">
        <v>27866025.500921201</v>
      </c>
      <c r="AO641" s="81">
        <v>28238185.699938014</v>
      </c>
      <c r="AP641" s="81">
        <v>28628745.16178653</v>
      </c>
      <c r="AQ641" s="81">
        <v>29041897.013953675</v>
      </c>
      <c r="AR641" s="81">
        <v>29482221.952258449</v>
      </c>
      <c r="AS641" s="81">
        <v>29954670.739668932</v>
      </c>
      <c r="AT641" s="81">
        <v>30464623.365386438</v>
      </c>
    </row>
    <row r="642" spans="1:46" ht="15.75">
      <c r="A642" s="81" t="s">
        <v>448</v>
      </c>
      <c r="B642" s="80">
        <v>512000</v>
      </c>
      <c r="C642" s="80" t="s">
        <v>419</v>
      </c>
      <c r="D642" s="84" t="s">
        <v>577</v>
      </c>
      <c r="E642" s="81">
        <v>12664735.977177236</v>
      </c>
      <c r="F642" s="81">
        <v>13022851.028780805</v>
      </c>
      <c r="G642" s="81">
        <v>13325936.551065993</v>
      </c>
      <c r="H642" s="81">
        <v>13634123.085204683</v>
      </c>
      <c r="I642" s="81">
        <v>13946669.351917459</v>
      </c>
      <c r="J642" s="81">
        <v>14262825.274070736</v>
      </c>
      <c r="K642" s="81">
        <v>14581818.4994659</v>
      </c>
      <c r="L642" s="81">
        <v>14902883.937550321</v>
      </c>
      <c r="M642" s="81">
        <v>15225237.375441493</v>
      </c>
      <c r="N642" s="81">
        <v>15548112.651550807</v>
      </c>
      <c r="O642" s="81">
        <v>15870741.204450374</v>
      </c>
      <c r="P642" s="81">
        <v>16192370.697930671</v>
      </c>
      <c r="Q642" s="81">
        <v>16466421.986593891</v>
      </c>
      <c r="R642" s="81">
        <v>16736810.407298652</v>
      </c>
      <c r="S642" s="81">
        <v>17002914.730564892</v>
      </c>
      <c r="T642" s="81">
        <v>17264168.763330683</v>
      </c>
      <c r="U642" s="81">
        <v>17520037.404078774</v>
      </c>
      <c r="V642" s="81">
        <v>17770052.486507092</v>
      </c>
      <c r="W642" s="81">
        <v>18013812.015523974</v>
      </c>
      <c r="X642" s="81">
        <v>18250986.871572796</v>
      </c>
      <c r="Y642" s="81">
        <v>18481302.842915706</v>
      </c>
      <c r="Z642" s="81">
        <v>18704587.586179849</v>
      </c>
      <c r="AA642" s="81">
        <v>18930654.756694283</v>
      </c>
      <c r="AB642" s="81">
        <v>19149293.694514763</v>
      </c>
      <c r="AC642" s="81">
        <v>19360593.180479977</v>
      </c>
      <c r="AD642" s="81">
        <v>19564801.600541461</v>
      </c>
      <c r="AE642" s="81">
        <v>19762237.890873868</v>
      </c>
      <c r="AF642" s="81">
        <v>19953397.277833495</v>
      </c>
      <c r="AG642" s="81">
        <v>20138859.227673206</v>
      </c>
      <c r="AH642" s="81">
        <v>20319387.097714823</v>
      </c>
      <c r="AI642" s="81">
        <v>20495890.763362568</v>
      </c>
      <c r="AJ642" s="81">
        <v>20669414.543737985</v>
      </c>
      <c r="AK642" s="81">
        <v>20876383.356048174</v>
      </c>
      <c r="AL642" s="81">
        <v>21082833.676378258</v>
      </c>
      <c r="AM642" s="81">
        <v>21290373.627730407</v>
      </c>
      <c r="AN642" s="81">
        <v>21500809.937371433</v>
      </c>
      <c r="AO642" s="81">
        <v>21716178.785782408</v>
      </c>
      <c r="AP642" s="81">
        <v>21938713.292039305</v>
      </c>
      <c r="AQ642" s="81">
        <v>22170918.037513226</v>
      </c>
      <c r="AR642" s="81">
        <v>22415514.627931263</v>
      </c>
      <c r="AS642" s="81">
        <v>22675484.226284891</v>
      </c>
      <c r="AT642" s="81">
        <v>22954090.129851364</v>
      </c>
    </row>
    <row r="643" spans="1:46" ht="15.75">
      <c r="A643" s="81" t="s">
        <v>448</v>
      </c>
      <c r="B643" s="80">
        <v>513200</v>
      </c>
      <c r="C643" s="80" t="s">
        <v>419</v>
      </c>
      <c r="D643" s="84" t="s">
        <v>576</v>
      </c>
      <c r="E643" s="81">
        <v>4217423.328757653</v>
      </c>
      <c r="F643" s="81">
        <v>4387897.3897612458</v>
      </c>
      <c r="G643" s="81">
        <v>4538872.5020340011</v>
      </c>
      <c r="H643" s="81">
        <v>4690614.3880103016</v>
      </c>
      <c r="I643" s="81">
        <v>4842949.4568448411</v>
      </c>
      <c r="J643" s="81">
        <v>4995697.3809079798</v>
      </c>
      <c r="K643" s="81">
        <v>5148688.9629765917</v>
      </c>
      <c r="L643" s="81">
        <v>5301743.6113183284</v>
      </c>
      <c r="M643" s="81">
        <v>5454699.8778783819</v>
      </c>
      <c r="N643" s="81">
        <v>5607386.2181967171</v>
      </c>
      <c r="O643" s="81">
        <v>5759639.8845540518</v>
      </c>
      <c r="P643" s="81">
        <v>5911308.3187758662</v>
      </c>
      <c r="Q643" s="81">
        <v>6045075.3746872954</v>
      </c>
      <c r="R643" s="81">
        <v>6177323.3894309169</v>
      </c>
      <c r="S643" s="81">
        <v>6307959.1001660358</v>
      </c>
      <c r="T643" s="81">
        <v>6436870.2423024923</v>
      </c>
      <c r="U643" s="81">
        <v>6563974.7095367098</v>
      </c>
      <c r="V643" s="81">
        <v>6689200.9224130465</v>
      </c>
      <c r="W643" s="81">
        <v>6812481.0293807779</v>
      </c>
      <c r="X643" s="81">
        <v>6933773.9889061553</v>
      </c>
      <c r="Y643" s="81">
        <v>7053036.4567109616</v>
      </c>
      <c r="Z643" s="81">
        <v>7170269.7709009619</v>
      </c>
      <c r="AA643" s="81">
        <v>7288863.4772809353</v>
      </c>
      <c r="AB643" s="81">
        <v>7405353.5072482061</v>
      </c>
      <c r="AC643" s="81">
        <v>7519769.87552578</v>
      </c>
      <c r="AD643" s="81">
        <v>7632168.8465788029</v>
      </c>
      <c r="AE643" s="81">
        <v>7742643.0610668091</v>
      </c>
      <c r="AF643" s="81">
        <v>7851280.1161448779</v>
      </c>
      <c r="AG643" s="81">
        <v>7958223.4786220975</v>
      </c>
      <c r="AH643" s="81">
        <v>8063613.0777623551</v>
      </c>
      <c r="AI643" s="81">
        <v>8167629.8830885077</v>
      </c>
      <c r="AJ643" s="81">
        <v>8270479.6427352391</v>
      </c>
      <c r="AK643" s="81">
        <v>8386060.8464813251</v>
      </c>
      <c r="AL643" s="81">
        <v>8501024.2082729246</v>
      </c>
      <c r="AM643" s="81">
        <v>8615653.7735704556</v>
      </c>
      <c r="AN643" s="81">
        <v>8730294.0890423674</v>
      </c>
      <c r="AO643" s="81">
        <v>8845283.1045570504</v>
      </c>
      <c r="AP643" s="81">
        <v>8961052.6050244756</v>
      </c>
      <c r="AQ643" s="81">
        <v>9078019.6689441223</v>
      </c>
      <c r="AR643" s="81">
        <v>9196689.5595101956</v>
      </c>
      <c r="AS643" s="81">
        <v>9317564.32213616</v>
      </c>
      <c r="AT643" s="81">
        <v>9441217.064362932</v>
      </c>
    </row>
    <row r="644" spans="1:46" ht="15.75">
      <c r="A644" s="81" t="s">
        <v>448</v>
      </c>
      <c r="B644" s="80">
        <v>513300</v>
      </c>
      <c r="C644" s="80" t="s">
        <v>419</v>
      </c>
      <c r="D644" s="84" t="s">
        <v>575</v>
      </c>
      <c r="E644" s="81">
        <v>4447090.4869528925</v>
      </c>
      <c r="F644" s="81">
        <v>4616320.6303797476</v>
      </c>
      <c r="G644" s="81">
        <v>4767960.1326709948</v>
      </c>
      <c r="H644" s="81">
        <v>4923083.5087505309</v>
      </c>
      <c r="I644" s="81">
        <v>5081384.1584308017</v>
      </c>
      <c r="J644" s="81">
        <v>5242545.7317520203</v>
      </c>
      <c r="K644" s="81">
        <v>5406248.4873550991</v>
      </c>
      <c r="L644" s="81">
        <v>5572166.8023044765</v>
      </c>
      <c r="M644" s="81">
        <v>5739961.2553938599</v>
      </c>
      <c r="N644" s="81">
        <v>5909299.4967257772</v>
      </c>
      <c r="O644" s="81">
        <v>6079844.0304363267</v>
      </c>
      <c r="P644" s="81">
        <v>6251264.2266158918</v>
      </c>
      <c r="Q644" s="81">
        <v>6405387.8812668687</v>
      </c>
      <c r="R644" s="81">
        <v>6558978.8670989051</v>
      </c>
      <c r="S644" s="81">
        <v>6711741.2338777035</v>
      </c>
      <c r="T644" s="81">
        <v>6863382.2128978949</v>
      </c>
      <c r="U644" s="81">
        <v>7013630.6244208571</v>
      </c>
      <c r="V644" s="81">
        <v>7162239.6950527485</v>
      </c>
      <c r="W644" s="81">
        <v>7308966.3048551753</v>
      </c>
      <c r="X644" s="81">
        <v>7453607.9630743247</v>
      </c>
      <c r="Y644" s="81">
        <v>7595982.3619876439</v>
      </c>
      <c r="Z644" s="81">
        <v>7735923.1915898724</v>
      </c>
      <c r="AA644" s="81">
        <v>7877429.8507950678</v>
      </c>
      <c r="AB644" s="81">
        <v>8016200.7699102322</v>
      </c>
      <c r="AC644" s="81">
        <v>8152176.7570917513</v>
      </c>
      <c r="AD644" s="81">
        <v>8285325.0069935462</v>
      </c>
      <c r="AE644" s="81">
        <v>8415674.6506571714</v>
      </c>
      <c r="AF644" s="81">
        <v>8543286.9744881373</v>
      </c>
      <c r="AG644" s="81">
        <v>8668271.2322950568</v>
      </c>
      <c r="AH644" s="81">
        <v>8790780.5572810844</v>
      </c>
      <c r="AI644" s="81">
        <v>8911043.2515642475</v>
      </c>
      <c r="AJ644" s="81">
        <v>9029330.9999963194</v>
      </c>
      <c r="AK644" s="81">
        <v>9161406.5370473936</v>
      </c>
      <c r="AL644" s="81">
        <v>9292289.2584853843</v>
      </c>
      <c r="AM644" s="81">
        <v>9422428.4168115761</v>
      </c>
      <c r="AN644" s="81">
        <v>9552354.2363912575</v>
      </c>
      <c r="AO644" s="81">
        <v>9682682.285936309</v>
      </c>
      <c r="AP644" s="81">
        <v>9814085.601679191</v>
      </c>
      <c r="AQ644" s="81">
        <v>9947354.0545054059</v>
      </c>
      <c r="AR644" s="81">
        <v>10083325.795628516</v>
      </c>
      <c r="AS644" s="81">
        <v>10222972.659725199</v>
      </c>
      <c r="AT644" s="81">
        <v>10367338.633651964</v>
      </c>
    </row>
    <row r="645" spans="1:46" ht="15.75">
      <c r="A645" s="81" t="s">
        <v>448</v>
      </c>
      <c r="B645" s="80">
        <v>513400</v>
      </c>
      <c r="C645" s="80" t="s">
        <v>419</v>
      </c>
      <c r="D645" s="84" t="s">
        <v>574</v>
      </c>
      <c r="E645" s="81">
        <v>21980534.882488862</v>
      </c>
      <c r="F645" s="81">
        <v>22752217.07705671</v>
      </c>
      <c r="G645" s="81">
        <v>23454220.619943112</v>
      </c>
      <c r="H645" s="81">
        <v>24189706.865615197</v>
      </c>
      <c r="I645" s="81">
        <v>24956109.646759227</v>
      </c>
      <c r="J645" s="81">
        <v>25750759.67566834</v>
      </c>
      <c r="K645" s="81">
        <v>26570880.485114392</v>
      </c>
      <c r="L645" s="81">
        <v>27413641.569074012</v>
      </c>
      <c r="M645" s="81">
        <v>28276140.470850389</v>
      </c>
      <c r="N645" s="81">
        <v>29155431.305434812</v>
      </c>
      <c r="O645" s="81">
        <v>30048567.069675811</v>
      </c>
      <c r="P645" s="81">
        <v>30952593.04382566</v>
      </c>
      <c r="Q645" s="81">
        <v>31776095.720606361</v>
      </c>
      <c r="R645" s="81">
        <v>32600630.242621332</v>
      </c>
      <c r="S645" s="81">
        <v>33423434.671191487</v>
      </c>
      <c r="T645" s="81">
        <v>34241889.125253864</v>
      </c>
      <c r="U645" s="81">
        <v>35053508.24218595</v>
      </c>
      <c r="V645" s="81">
        <v>35855976.525818713</v>
      </c>
      <c r="W645" s="81">
        <v>36647165.666160837</v>
      </c>
      <c r="X645" s="81">
        <v>37425178.733777687</v>
      </c>
      <c r="Y645" s="81">
        <v>38188342.045405686</v>
      </c>
      <c r="Z645" s="81">
        <v>38935277.924861342</v>
      </c>
      <c r="AA645" s="81">
        <v>39685608.069118142</v>
      </c>
      <c r="AB645" s="81">
        <v>40417403.217643797</v>
      </c>
      <c r="AC645" s="81">
        <v>41130183.971398711</v>
      </c>
      <c r="AD645" s="81">
        <v>41823865.740393199</v>
      </c>
      <c r="AE645" s="81">
        <v>42498758.648229405</v>
      </c>
      <c r="AF645" s="81">
        <v>43155618.979046457</v>
      </c>
      <c r="AG645" s="81">
        <v>43795656.305058539</v>
      </c>
      <c r="AH645" s="81">
        <v>44420594.609022386</v>
      </c>
      <c r="AI645" s="81">
        <v>45032672.183709048</v>
      </c>
      <c r="AJ645" s="81">
        <v>45634704.734554343</v>
      </c>
      <c r="AK645" s="81">
        <v>46308120.751483895</v>
      </c>
      <c r="AL645" s="81">
        <v>46979213.002949849</v>
      </c>
      <c r="AM645" s="81">
        <v>47652661.21427802</v>
      </c>
      <c r="AN645" s="81">
        <v>48333871.954147898</v>
      </c>
      <c r="AO645" s="81">
        <v>49029025.584510833</v>
      </c>
      <c r="AP645" s="81">
        <v>49745088.357204899</v>
      </c>
      <c r="AQ645" s="81">
        <v>50489877.80499623</v>
      </c>
      <c r="AR645" s="81">
        <v>51272075.116227955</v>
      </c>
      <c r="AS645" s="81">
        <v>52101302.063608363</v>
      </c>
      <c r="AT645" s="81">
        <v>52988144.058439553</v>
      </c>
    </row>
    <row r="646" spans="1:46" ht="15.75">
      <c r="A646" s="81" t="s">
        <v>448</v>
      </c>
      <c r="B646" s="80">
        <v>520100</v>
      </c>
      <c r="C646" s="80" t="s">
        <v>418</v>
      </c>
      <c r="D646" s="84" t="s">
        <v>573</v>
      </c>
      <c r="E646" s="81">
        <v>30033319.858772162</v>
      </c>
      <c r="F646" s="81">
        <v>31377229.717262723</v>
      </c>
      <c r="G646" s="81">
        <v>32623295.891384207</v>
      </c>
      <c r="H646" s="81">
        <v>33873536.624690346</v>
      </c>
      <c r="I646" s="81">
        <v>35126734.385651961</v>
      </c>
      <c r="J646" s="81">
        <v>36381675.659130201</v>
      </c>
      <c r="K646" s="81">
        <v>37637205.115748174</v>
      </c>
      <c r="L646" s="81">
        <v>38892189.071597137</v>
      </c>
      <c r="M646" s="81">
        <v>40145542.373886868</v>
      </c>
      <c r="N646" s="81">
        <v>41396219.89650023</v>
      </c>
      <c r="O646" s="81">
        <v>42643226.274807967</v>
      </c>
      <c r="P646" s="81">
        <v>43885619.773063406</v>
      </c>
      <c r="Q646" s="81">
        <v>45076980.224187471</v>
      </c>
      <c r="R646" s="81">
        <v>46256991.606768109</v>
      </c>
      <c r="S646" s="81">
        <v>47424939.449044682</v>
      </c>
      <c r="T646" s="81">
        <v>48580179.725315087</v>
      </c>
      <c r="U646" s="81">
        <v>49722180.080527462</v>
      </c>
      <c r="V646" s="81">
        <v>50850446.025073327</v>
      </c>
      <c r="W646" s="81">
        <v>51964600.552806519</v>
      </c>
      <c r="X646" s="81">
        <v>53064340.322004437</v>
      </c>
      <c r="Y646" s="81">
        <v>54149445.346224062</v>
      </c>
      <c r="Z646" s="81">
        <v>55219807.368404299</v>
      </c>
      <c r="AA646" s="81">
        <v>56404636.928240947</v>
      </c>
      <c r="AB646" s="81">
        <v>57573554.20568645</v>
      </c>
      <c r="AC646" s="81">
        <v>58726629.22593201</v>
      </c>
      <c r="AD646" s="81">
        <v>59864050.976705424</v>
      </c>
      <c r="AE646" s="81">
        <v>60986120.60712076</v>
      </c>
      <c r="AF646" s="81">
        <v>62093263.483917929</v>
      </c>
      <c r="AG646" s="81">
        <v>63186011.68737942</v>
      </c>
      <c r="AH646" s="81">
        <v>64265046.957146876</v>
      </c>
      <c r="AI646" s="81">
        <v>65331173.80223307</v>
      </c>
      <c r="AJ646" s="81">
        <v>66385332.484183401</v>
      </c>
      <c r="AK646" s="81">
        <v>67662133.855281398</v>
      </c>
      <c r="AL646" s="81">
        <v>68929015.414657459</v>
      </c>
      <c r="AM646" s="81">
        <v>70187256.114809811</v>
      </c>
      <c r="AN646" s="81">
        <v>71438304.810175359</v>
      </c>
      <c r="AO646" s="81">
        <v>72683796.46286729</v>
      </c>
      <c r="AP646" s="81">
        <v>73925519.740347758</v>
      </c>
      <c r="AQ646" s="81">
        <v>75165456.777382016</v>
      </c>
      <c r="AR646" s="81">
        <v>76405749.176397622</v>
      </c>
      <c r="AS646" s="81">
        <v>77648752.82097818</v>
      </c>
      <c r="AT646" s="81">
        <v>78896976.308927283</v>
      </c>
    </row>
    <row r="647" spans="1:46" ht="15.75">
      <c r="A647" s="81" t="s">
        <v>448</v>
      </c>
      <c r="B647" s="80">
        <v>520200</v>
      </c>
      <c r="C647" s="80" t="s">
        <v>418</v>
      </c>
      <c r="D647" s="84" t="s">
        <v>572</v>
      </c>
      <c r="E647" s="81">
        <v>12451888.214770719</v>
      </c>
      <c r="F647" s="81">
        <v>13008661.461501162</v>
      </c>
      <c r="G647" s="81">
        <v>13536222.812877612</v>
      </c>
      <c r="H647" s="81">
        <v>14076361.429959225</v>
      </c>
      <c r="I647" s="81">
        <v>14627993.08653765</v>
      </c>
      <c r="J647" s="81">
        <v>15189965.309182504</v>
      </c>
      <c r="K647" s="81">
        <v>15761093.085626943</v>
      </c>
      <c r="L647" s="81">
        <v>16340148.947699675</v>
      </c>
      <c r="M647" s="81">
        <v>16925876.464597907</v>
      </c>
      <c r="N647" s="81">
        <v>17516994.267065555</v>
      </c>
      <c r="O647" s="81">
        <v>18112232.959333006</v>
      </c>
      <c r="P647" s="81">
        <v>18710314.301547777</v>
      </c>
      <c r="Q647" s="81">
        <v>19290479.862110425</v>
      </c>
      <c r="R647" s="81">
        <v>19868678.398477376</v>
      </c>
      <c r="S647" s="81">
        <v>20443709.988504585</v>
      </c>
      <c r="T647" s="81">
        <v>21014437.779043496</v>
      </c>
      <c r="U647" s="81">
        <v>21579788.438670605</v>
      </c>
      <c r="V647" s="81">
        <v>22138790.617372911</v>
      </c>
      <c r="W647" s="81">
        <v>22690556.763344236</v>
      </c>
      <c r="X647" s="81">
        <v>23234308.914323281</v>
      </c>
      <c r="Y647" s="81">
        <v>23769399.579129525</v>
      </c>
      <c r="Z647" s="81">
        <v>24295319.481378041</v>
      </c>
      <c r="AA647" s="81">
        <v>24868700.23104804</v>
      </c>
      <c r="AB647" s="81">
        <v>25432055.458592329</v>
      </c>
      <c r="AC647" s="81">
        <v>25985304.348996129</v>
      </c>
      <c r="AD647" s="81">
        <v>26528566.114668235</v>
      </c>
      <c r="AE647" s="81">
        <v>27062208.580769278</v>
      </c>
      <c r="AF647" s="81">
        <v>27586818.867919549</v>
      </c>
      <c r="AG647" s="81">
        <v>28103260.652359877</v>
      </c>
      <c r="AH647" s="81">
        <v>28612676.8464857</v>
      </c>
      <c r="AI647" s="81">
        <v>29116499.219486177</v>
      </c>
      <c r="AJ647" s="81">
        <v>29616502.084139161</v>
      </c>
      <c r="AK647" s="81">
        <v>30219087.584585212</v>
      </c>
      <c r="AL647" s="81">
        <v>30822537.55620008</v>
      </c>
      <c r="AM647" s="81">
        <v>31429735.469029434</v>
      </c>
      <c r="AN647" s="81">
        <v>32043972.557636425</v>
      </c>
      <c r="AO647" s="81">
        <v>32669018.839057337</v>
      </c>
      <c r="AP647" s="81">
        <v>33309129.104869116</v>
      </c>
      <c r="AQ647" s="81">
        <v>33969046.638975278</v>
      </c>
      <c r="AR647" s="81">
        <v>34654079.774349034</v>
      </c>
      <c r="AS647" s="81">
        <v>35370097.866208673</v>
      </c>
      <c r="AT647" s="81">
        <v>36123534.785673045</v>
      </c>
    </row>
    <row r="648" spans="1:46" ht="15.75">
      <c r="A648" s="81" t="s">
        <v>448</v>
      </c>
      <c r="B648" s="80">
        <v>520300</v>
      </c>
      <c r="C648" s="80" t="s">
        <v>418</v>
      </c>
      <c r="D648" s="84" t="s">
        <v>571</v>
      </c>
      <c r="E648" s="81">
        <v>31791677.755875394</v>
      </c>
      <c r="F648" s="81">
        <v>33055629.171297487</v>
      </c>
      <c r="G648" s="81">
        <v>34250442.072156355</v>
      </c>
      <c r="H648" s="81">
        <v>35482426.005723909</v>
      </c>
      <c r="I648" s="81">
        <v>36748318.031642862</v>
      </c>
      <c r="J648" s="81">
        <v>38044671.829084992</v>
      </c>
      <c r="K648" s="81">
        <v>39367869.736700669</v>
      </c>
      <c r="L648" s="81">
        <v>40714133.662049912</v>
      </c>
      <c r="M648" s="81">
        <v>42079583.747176595</v>
      </c>
      <c r="N648" s="81">
        <v>43460265.969842046</v>
      </c>
      <c r="O648" s="81">
        <v>44852167.586647026</v>
      </c>
      <c r="P648" s="81">
        <v>46251257.793176338</v>
      </c>
      <c r="Q648" s="81">
        <v>47605483.247009903</v>
      </c>
      <c r="R648" s="81">
        <v>48953459.049306951</v>
      </c>
      <c r="S648" s="81">
        <v>50291409.370353378</v>
      </c>
      <c r="T648" s="81">
        <v>51615711.214886405</v>
      </c>
      <c r="U648" s="81">
        <v>52922973.175248407</v>
      </c>
      <c r="V648" s="81">
        <v>54210051.464254476</v>
      </c>
      <c r="W648" s="81">
        <v>55474117.817113943</v>
      </c>
      <c r="X648" s="81">
        <v>56712699.579735324</v>
      </c>
      <c r="Y648" s="81">
        <v>57923728.07584732</v>
      </c>
      <c r="Z648" s="81">
        <v>59105588.102910809</v>
      </c>
      <c r="AA648" s="81">
        <v>60395542.304525241</v>
      </c>
      <c r="AB648" s="81">
        <v>61653389.933248103</v>
      </c>
      <c r="AC648" s="81">
        <v>62878951.200182579</v>
      </c>
      <c r="AD648" s="81">
        <v>64072761.264513627</v>
      </c>
      <c r="AE648" s="81">
        <v>65236077.149665751</v>
      </c>
      <c r="AF648" s="81">
        <v>66370984.072143152</v>
      </c>
      <c r="AG648" s="81">
        <v>67480420.633888602</v>
      </c>
      <c r="AH648" s="81">
        <v>68568280.358487681</v>
      </c>
      <c r="AI648" s="81">
        <v>69639447.606363922</v>
      </c>
      <c r="AJ648" s="81">
        <v>70699862.144347921</v>
      </c>
      <c r="AK648" s="81">
        <v>72005151.270844758</v>
      </c>
      <c r="AL648" s="81">
        <v>73314535.53145805</v>
      </c>
      <c r="AM648" s="81">
        <v>74637754.321417153</v>
      </c>
      <c r="AN648" s="81">
        <v>75985997.274764284</v>
      </c>
      <c r="AO648" s="81">
        <v>77372009.267549559</v>
      </c>
      <c r="AP648" s="81">
        <v>78810175.830718189</v>
      </c>
      <c r="AQ648" s="81">
        <v>80316609.897782475</v>
      </c>
      <c r="AR648" s="81">
        <v>81909264.93064557</v>
      </c>
      <c r="AS648" s="81">
        <v>83607950.265433818</v>
      </c>
      <c r="AT648" s="81">
        <v>85434507.93959631</v>
      </c>
    </row>
    <row r="649" spans="1:46" ht="15.75">
      <c r="A649" s="81" t="s">
        <v>448</v>
      </c>
      <c r="B649" s="80">
        <v>520400</v>
      </c>
      <c r="C649" s="80" t="s">
        <v>418</v>
      </c>
      <c r="D649" s="84" t="s">
        <v>570</v>
      </c>
      <c r="E649" s="81">
        <v>10196350.604041208</v>
      </c>
      <c r="F649" s="81">
        <v>10601361.028711751</v>
      </c>
      <c r="G649" s="81">
        <v>10987108.674391352</v>
      </c>
      <c r="H649" s="81">
        <v>11387707.850823365</v>
      </c>
      <c r="I649" s="81">
        <v>11802126.412292223</v>
      </c>
      <c r="J649" s="81">
        <v>12229244.036684075</v>
      </c>
      <c r="K649" s="81">
        <v>12667884.424429638</v>
      </c>
      <c r="L649" s="81">
        <v>13116801.159912925</v>
      </c>
      <c r="M649" s="81">
        <v>13574707.253109107</v>
      </c>
      <c r="N649" s="81">
        <v>14040265.502490139</v>
      </c>
      <c r="O649" s="81">
        <v>14512125.907422824</v>
      </c>
      <c r="P649" s="81">
        <v>14988911.127593918</v>
      </c>
      <c r="Q649" s="81">
        <v>15453638.779675186</v>
      </c>
      <c r="R649" s="81">
        <v>15918706.305552196</v>
      </c>
      <c r="S649" s="81">
        <v>16382769.121936815</v>
      </c>
      <c r="T649" s="81">
        <v>16844539.945135694</v>
      </c>
      <c r="U649" s="81">
        <v>17302772.851749394</v>
      </c>
      <c r="V649" s="81">
        <v>17756315.625675313</v>
      </c>
      <c r="W649" s="81">
        <v>18204114.045999706</v>
      </c>
      <c r="X649" s="81">
        <v>18645194.132626507</v>
      </c>
      <c r="Y649" s="81">
        <v>19078745.741763178</v>
      </c>
      <c r="Z649" s="81">
        <v>19504064.739478506</v>
      </c>
      <c r="AA649" s="81">
        <v>19966373.275286742</v>
      </c>
      <c r="AB649" s="81">
        <v>20419320.586667843</v>
      </c>
      <c r="AC649" s="81">
        <v>20862672.735707603</v>
      </c>
      <c r="AD649" s="81">
        <v>21296414.463904537</v>
      </c>
      <c r="AE649" s="81">
        <v>21720769.595418271</v>
      </c>
      <c r="AF649" s="81">
        <v>22136238.301916979</v>
      </c>
      <c r="AG649" s="81">
        <v>22543577.902071089</v>
      </c>
      <c r="AH649" s="81">
        <v>22943881.930508714</v>
      </c>
      <c r="AI649" s="81">
        <v>23338535.318705164</v>
      </c>
      <c r="AJ649" s="81">
        <v>23729313.761168215</v>
      </c>
      <c r="AK649" s="81">
        <v>24201876.947018825</v>
      </c>
      <c r="AL649" s="81">
        <v>24675254.315932218</v>
      </c>
      <c r="AM649" s="81">
        <v>25152442.873248145</v>
      </c>
      <c r="AN649" s="81">
        <v>25636904.808916777</v>
      </c>
      <c r="AO649" s="81">
        <v>26132613.977811489</v>
      </c>
      <c r="AP649" s="81">
        <v>26644095.181229297</v>
      </c>
      <c r="AQ649" s="81">
        <v>27176465.251558047</v>
      </c>
      <c r="AR649" s="81">
        <v>27735411.536520764</v>
      </c>
      <c r="AS649" s="81">
        <v>28327273.731071174</v>
      </c>
      <c r="AT649" s="81">
        <v>28959043.402788054</v>
      </c>
    </row>
    <row r="650" spans="1:46" ht="15.75">
      <c r="A650" s="81" t="s">
        <v>448</v>
      </c>
      <c r="B650" s="80">
        <v>520500</v>
      </c>
      <c r="C650" s="80" t="s">
        <v>418</v>
      </c>
      <c r="D650" s="84" t="s">
        <v>569</v>
      </c>
      <c r="E650" s="81">
        <v>28462858.544343177</v>
      </c>
      <c r="F650" s="81">
        <v>29606325.823956128</v>
      </c>
      <c r="G650" s="81">
        <v>30717957.127786681</v>
      </c>
      <c r="H650" s="81">
        <v>31892140.340924881</v>
      </c>
      <c r="I650" s="81">
        <v>33124999.071047314</v>
      </c>
      <c r="J650" s="81">
        <v>34412328.987213857</v>
      </c>
      <c r="K650" s="81">
        <v>35749600.999463595</v>
      </c>
      <c r="L650" s="81">
        <v>37132032.675371066</v>
      </c>
      <c r="M650" s="81">
        <v>38554620.786652654</v>
      </c>
      <c r="N650" s="81">
        <v>40012158.521893561</v>
      </c>
      <c r="O650" s="81">
        <v>41499328.500797965</v>
      </c>
      <c r="P650" s="81">
        <v>43010703.711102866</v>
      </c>
      <c r="Q650" s="81">
        <v>44495889.964134313</v>
      </c>
      <c r="R650" s="81">
        <v>45988753.024706073</v>
      </c>
      <c r="S650" s="81">
        <v>47483888.020699576</v>
      </c>
      <c r="T650" s="81">
        <v>48976040.498151615</v>
      </c>
      <c r="U650" s="81">
        <v>50460198.559259146</v>
      </c>
      <c r="V650" s="81">
        <v>51931625.317587703</v>
      </c>
      <c r="W650" s="81">
        <v>53385942.345400691</v>
      </c>
      <c r="X650" s="81">
        <v>54819196.819944665</v>
      </c>
      <c r="Y650" s="81">
        <v>56227902.174980178</v>
      </c>
      <c r="Z650" s="81">
        <v>57609155.802351259</v>
      </c>
      <c r="AA650" s="81">
        <v>59096059.523692273</v>
      </c>
      <c r="AB650" s="81">
        <v>60551402.891627237</v>
      </c>
      <c r="AC650" s="81">
        <v>61974074.81880638</v>
      </c>
      <c r="AD650" s="81">
        <v>63363856.574131213</v>
      </c>
      <c r="AE650" s="81">
        <v>64721476.699455842</v>
      </c>
      <c r="AF650" s="81">
        <v>66048729.202861451</v>
      </c>
      <c r="AG650" s="81">
        <v>67348530.167363971</v>
      </c>
      <c r="AH650" s="81">
        <v>68625057.682914585</v>
      </c>
      <c r="AI650" s="81">
        <v>69883767.999855027</v>
      </c>
      <c r="AJ650" s="81">
        <v>71131564.926673457</v>
      </c>
      <c r="AK650" s="81">
        <v>72627527.57869032</v>
      </c>
      <c r="AL650" s="81">
        <v>74131702.748997688</v>
      </c>
      <c r="AM650" s="81">
        <v>75655981.688280642</v>
      </c>
      <c r="AN650" s="81">
        <v>77214187.575599581</v>
      </c>
      <c r="AO650" s="81">
        <v>78822281.192956656</v>
      </c>
      <c r="AP650" s="81">
        <v>80498405.572195083</v>
      </c>
      <c r="AQ650" s="81">
        <v>82263037.564481169</v>
      </c>
      <c r="AR650" s="81">
        <v>84139123.866205677</v>
      </c>
      <c r="AS650" s="81">
        <v>86152198.410896882</v>
      </c>
      <c r="AT650" s="81">
        <v>88330511.541485235</v>
      </c>
    </row>
    <row r="651" spans="1:46" ht="15.75">
      <c r="A651" s="81" t="s">
        <v>448</v>
      </c>
      <c r="B651" s="80">
        <v>520600</v>
      </c>
      <c r="C651" s="80" t="s">
        <v>418</v>
      </c>
      <c r="D651" s="84" t="s">
        <v>568</v>
      </c>
      <c r="E651" s="81">
        <v>14385411.929292738</v>
      </c>
      <c r="F651" s="81">
        <v>14936829.340709003</v>
      </c>
      <c r="G651" s="81">
        <v>15465768.681874201</v>
      </c>
      <c r="H651" s="81">
        <v>16020097.839832613</v>
      </c>
      <c r="I651" s="81">
        <v>16598051.710423512</v>
      </c>
      <c r="J651" s="81">
        <v>17197736.100066863</v>
      </c>
      <c r="K651" s="81">
        <v>17817129.890463207</v>
      </c>
      <c r="L651" s="81">
        <v>18454096.482886881</v>
      </c>
      <c r="M651" s="81">
        <v>19106428.699294429</v>
      </c>
      <c r="N651" s="81">
        <v>19771836.644638482</v>
      </c>
      <c r="O651" s="81">
        <v>20447983.879827891</v>
      </c>
      <c r="P651" s="81">
        <v>21132515.426292378</v>
      </c>
      <c r="Q651" s="81">
        <v>21801053.20337452</v>
      </c>
      <c r="R651" s="81">
        <v>22470634.06884972</v>
      </c>
      <c r="S651" s="81">
        <v>23138957.682937909</v>
      </c>
      <c r="T651" s="81">
        <v>23803824.490682211</v>
      </c>
      <c r="U651" s="81">
        <v>24463124.118767314</v>
      </c>
      <c r="V651" s="81">
        <v>25114909.088689588</v>
      </c>
      <c r="W651" s="81">
        <v>25757383.550855137</v>
      </c>
      <c r="X651" s="81">
        <v>26388959.643618543</v>
      </c>
      <c r="Y651" s="81">
        <v>27008281.283272445</v>
      </c>
      <c r="Z651" s="81">
        <v>27614255.305942912</v>
      </c>
      <c r="AA651" s="81">
        <v>28270843.876725975</v>
      </c>
      <c r="AB651" s="81">
        <v>28912443.89116798</v>
      </c>
      <c r="AC651" s="81">
        <v>29538801.010111347</v>
      </c>
      <c r="AD651" s="81">
        <v>30150074.830984961</v>
      </c>
      <c r="AE651" s="81">
        <v>30746886.404490396</v>
      </c>
      <c r="AF651" s="81">
        <v>31330306.660609521</v>
      </c>
      <c r="AG651" s="81">
        <v>31901936.555503611</v>
      </c>
      <c r="AH651" s="81">
        <v>32463957.223028466</v>
      </c>
      <c r="AI651" s="81">
        <v>33019107.772826616</v>
      </c>
      <c r="AJ651" s="81">
        <v>33570816.676342279</v>
      </c>
      <c r="AK651" s="81">
        <v>34241345.352893092</v>
      </c>
      <c r="AL651" s="81">
        <v>34917456.710977979</v>
      </c>
      <c r="AM651" s="81">
        <v>35604829.843310282</v>
      </c>
      <c r="AN651" s="81">
        <v>36310046.688047491</v>
      </c>
      <c r="AO651" s="81">
        <v>37040656.975681938</v>
      </c>
      <c r="AP651" s="81">
        <v>37805158.598425314</v>
      </c>
      <c r="AQ651" s="81">
        <v>38613157.55712989</v>
      </c>
      <c r="AR651" s="81">
        <v>39475316.278386772</v>
      </c>
      <c r="AS651" s="81">
        <v>40403508.405216321</v>
      </c>
      <c r="AT651" s="81">
        <v>41410774.703618705</v>
      </c>
    </row>
    <row r="652" spans="1:46" ht="15.75">
      <c r="A652" s="81" t="s">
        <v>448</v>
      </c>
      <c r="B652" s="80">
        <v>522300</v>
      </c>
      <c r="C652" s="80" t="s">
        <v>418</v>
      </c>
      <c r="D652" s="84" t="s">
        <v>567</v>
      </c>
      <c r="E652" s="81">
        <v>12442483.76602233</v>
      </c>
      <c r="F652" s="81">
        <v>12937782.400494197</v>
      </c>
      <c r="G652" s="81">
        <v>13414058.306111472</v>
      </c>
      <c r="H652" s="81">
        <v>13912808.089154605</v>
      </c>
      <c r="I652" s="81">
        <v>14432609.681151457</v>
      </c>
      <c r="J652" s="81">
        <v>14971922.490468977</v>
      </c>
      <c r="K652" s="81">
        <v>15529095.352933725</v>
      </c>
      <c r="L652" s="81">
        <v>16102384.753856536</v>
      </c>
      <c r="M652" s="81">
        <v>16689974.776887868</v>
      </c>
      <c r="N652" s="81">
        <v>17289971.818206612</v>
      </c>
      <c r="O652" s="81">
        <v>17900452.168138247</v>
      </c>
      <c r="P652" s="81">
        <v>18519436.021721572</v>
      </c>
      <c r="Q652" s="81">
        <v>19125640.300994784</v>
      </c>
      <c r="R652" s="81">
        <v>19734059.570742771</v>
      </c>
      <c r="S652" s="81">
        <v>20342728.686395828</v>
      </c>
      <c r="T652" s="81">
        <v>20949754.512543216</v>
      </c>
      <c r="U652" s="81">
        <v>21553326.42867491</v>
      </c>
      <c r="V652" s="81">
        <v>22151719.067949984</v>
      </c>
      <c r="W652" s="81">
        <v>22743353.487783287</v>
      </c>
      <c r="X652" s="81">
        <v>23326781.761995211</v>
      </c>
      <c r="Y652" s="81">
        <v>23900737.042097643</v>
      </c>
      <c r="Z652" s="81">
        <v>24464151.904991105</v>
      </c>
      <c r="AA652" s="81">
        <v>25073619.371547312</v>
      </c>
      <c r="AB652" s="81">
        <v>25670900.011074267</v>
      </c>
      <c r="AC652" s="81">
        <v>26255561.333616804</v>
      </c>
      <c r="AD652" s="81">
        <v>26827476.090234157</v>
      </c>
      <c r="AE652" s="81">
        <v>27386843.671466991</v>
      </c>
      <c r="AF652" s="81">
        <v>27934260.451720517</v>
      </c>
      <c r="AG652" s="81">
        <v>28470711.772402424</v>
      </c>
      <c r="AH652" s="81">
        <v>28997610.747694056</v>
      </c>
      <c r="AI652" s="81">
        <v>29516838.679172758</v>
      </c>
      <c r="AJ652" s="81">
        <v>30030787.102641936</v>
      </c>
      <c r="AK652" s="81">
        <v>30648155.215224374</v>
      </c>
      <c r="AL652" s="81">
        <v>31266839.469503127</v>
      </c>
      <c r="AM652" s="81">
        <v>31890959.000876486</v>
      </c>
      <c r="AN652" s="81">
        <v>32525339.685584694</v>
      </c>
      <c r="AO652" s="81">
        <v>33175537.494337704</v>
      </c>
      <c r="AP652" s="81">
        <v>33847901.035601392</v>
      </c>
      <c r="AQ652" s="81">
        <v>34549574.376328722</v>
      </c>
      <c r="AR652" s="81">
        <v>35288602.543826625</v>
      </c>
      <c r="AS652" s="81">
        <v>36073914.23426424</v>
      </c>
      <c r="AT652" s="81">
        <v>36915408.990465201</v>
      </c>
    </row>
    <row r="653" spans="1:46" ht="15.75">
      <c r="A653" s="81" t="s">
        <v>448</v>
      </c>
      <c r="B653" s="80">
        <v>522600</v>
      </c>
      <c r="C653" s="80" t="s">
        <v>418</v>
      </c>
      <c r="D653" s="84" t="s">
        <v>566</v>
      </c>
      <c r="E653" s="81">
        <v>16397961.733503288</v>
      </c>
      <c r="F653" s="81">
        <v>17020717.596858785</v>
      </c>
      <c r="G653" s="81">
        <v>17611678.264489815</v>
      </c>
      <c r="H653" s="81">
        <v>18225695.589545187</v>
      </c>
      <c r="I653" s="81">
        <v>18861093.011345048</v>
      </c>
      <c r="J653" s="81">
        <v>19516069.964995597</v>
      </c>
      <c r="K653" s="81">
        <v>20188706.288353499</v>
      </c>
      <c r="L653" s="81">
        <v>20876992.815801255</v>
      </c>
      <c r="M653" s="81">
        <v>21578843.452048719</v>
      </c>
      <c r="N653" s="81">
        <v>22292107.359190434</v>
      </c>
      <c r="O653" s="81">
        <v>23014575.363361165</v>
      </c>
      <c r="P653" s="81">
        <v>23744045.557154745</v>
      </c>
      <c r="Q653" s="81">
        <v>24453591.556709085</v>
      </c>
      <c r="R653" s="81">
        <v>25162829.143616665</v>
      </c>
      <c r="S653" s="81">
        <v>25869609.853769459</v>
      </c>
      <c r="T653" s="81">
        <v>26571859.483828291</v>
      </c>
      <c r="U653" s="81">
        <v>27267581.742812295</v>
      </c>
      <c r="V653" s="81">
        <v>27954943.001741983</v>
      </c>
      <c r="W653" s="81">
        <v>28632231.288225371</v>
      </c>
      <c r="X653" s="81">
        <v>29297929.853497297</v>
      </c>
      <c r="Y653" s="81">
        <v>29950731.27394402</v>
      </c>
      <c r="Z653" s="81">
        <v>30589542.686656456</v>
      </c>
      <c r="AA653" s="81">
        <v>31285225.801716685</v>
      </c>
      <c r="AB653" s="81">
        <v>31965050.782178443</v>
      </c>
      <c r="AC653" s="81">
        <v>32628689.721971393</v>
      </c>
      <c r="AD653" s="81">
        <v>33276172.166158978</v>
      </c>
      <c r="AE653" s="81">
        <v>33907935.417615265</v>
      </c>
      <c r="AF653" s="81">
        <v>34524834.185741149</v>
      </c>
      <c r="AG653" s="81">
        <v>35128209.708576396</v>
      </c>
      <c r="AH653" s="81">
        <v>35719882.278237522</v>
      </c>
      <c r="AI653" s="81">
        <v>36302212.867135972</v>
      </c>
      <c r="AJ653" s="81">
        <v>36878159.325579681</v>
      </c>
      <c r="AK653" s="81">
        <v>37580979.077154659</v>
      </c>
      <c r="AL653" s="81">
        <v>38285046.152784221</v>
      </c>
      <c r="AM653" s="81">
        <v>38995307.972750276</v>
      </c>
      <c r="AN653" s="81">
        <v>39717533.020126127</v>
      </c>
      <c r="AO653" s="81">
        <v>40458339.651156329</v>
      </c>
      <c r="AP653" s="81">
        <v>41225212.038091376</v>
      </c>
      <c r="AQ653" s="81">
        <v>42026601.381646194</v>
      </c>
      <c r="AR653" s="81">
        <v>42871944.304197304</v>
      </c>
      <c r="AS653" s="81">
        <v>43771712.461711608</v>
      </c>
      <c r="AT653" s="81">
        <v>44737462.902490228</v>
      </c>
    </row>
    <row r="654" spans="1:46" ht="15.75">
      <c r="A654" s="81" t="s">
        <v>448</v>
      </c>
      <c r="B654" s="80">
        <v>522700</v>
      </c>
      <c r="C654" s="80" t="s">
        <v>418</v>
      </c>
      <c r="D654" s="84" t="s">
        <v>565</v>
      </c>
      <c r="E654" s="81">
        <v>15208574.994026005</v>
      </c>
      <c r="F654" s="81">
        <v>15824091.259191429</v>
      </c>
      <c r="G654" s="81">
        <v>16405564.049471883</v>
      </c>
      <c r="H654" s="81">
        <v>17003957.498149913</v>
      </c>
      <c r="I654" s="81">
        <v>17617828.486594439</v>
      </c>
      <c r="J654" s="81">
        <v>18245646.602769155</v>
      </c>
      <c r="K654" s="81">
        <v>18885810.944556423</v>
      </c>
      <c r="L654" s="81">
        <v>19536657.772644278</v>
      </c>
      <c r="M654" s="81">
        <v>20196479.122030366</v>
      </c>
      <c r="N654" s="81">
        <v>20863531.678104293</v>
      </c>
      <c r="O654" s="81">
        <v>21536045.496827077</v>
      </c>
      <c r="P654" s="81">
        <v>22212256.570181932</v>
      </c>
      <c r="Q654" s="81">
        <v>22867306.878874984</v>
      </c>
      <c r="R654" s="81">
        <v>23519910.628072869</v>
      </c>
      <c r="S654" s="81">
        <v>24168389.775702659</v>
      </c>
      <c r="T654" s="81">
        <v>24811173.146214403</v>
      </c>
      <c r="U654" s="81">
        <v>25446744.507576246</v>
      </c>
      <c r="V654" s="81">
        <v>26073740.454942062</v>
      </c>
      <c r="W654" s="81">
        <v>26690911.005756907</v>
      </c>
      <c r="X654" s="81">
        <v>27297166.527569324</v>
      </c>
      <c r="Y654" s="81">
        <v>27891591.85531529</v>
      </c>
      <c r="Z654" s="81">
        <v>28473467.519028712</v>
      </c>
      <c r="AA654" s="81">
        <v>29109003.465413399</v>
      </c>
      <c r="AB654" s="81">
        <v>29730710.171191189</v>
      </c>
      <c r="AC654" s="81">
        <v>30338491.030894894</v>
      </c>
      <c r="AD654" s="81">
        <v>30932571.445615813</v>
      </c>
      <c r="AE654" s="81">
        <v>31513476.383736294</v>
      </c>
      <c r="AF654" s="81">
        <v>32082106.110896539</v>
      </c>
      <c r="AG654" s="81">
        <v>32639739.112618033</v>
      </c>
      <c r="AH654" s="81">
        <v>33188032.092385717</v>
      </c>
      <c r="AI654" s="81">
        <v>33729119.009673573</v>
      </c>
      <c r="AJ654" s="81">
        <v>34265558.815991141</v>
      </c>
      <c r="AK654" s="81">
        <v>34920976.67077361</v>
      </c>
      <c r="AL654" s="81">
        <v>35578316.272447951</v>
      </c>
      <c r="AM654" s="81">
        <v>36241804.633303337</v>
      </c>
      <c r="AN654" s="81">
        <v>36916275.943128824</v>
      </c>
      <c r="AO654" s="81">
        <v>37607267.923349701</v>
      </c>
      <c r="AP654" s="81">
        <v>38321029.426554732</v>
      </c>
      <c r="AQ654" s="81">
        <v>39064546.603846423</v>
      </c>
      <c r="AR654" s="81">
        <v>39845590.880948864</v>
      </c>
      <c r="AS654" s="81">
        <v>40672792.066010855</v>
      </c>
      <c r="AT654" s="81">
        <v>41555598.230254173</v>
      </c>
    </row>
    <row r="655" spans="1:46" ht="15.75">
      <c r="A655" s="81" t="s">
        <v>448</v>
      </c>
      <c r="B655" s="80">
        <v>530100</v>
      </c>
      <c r="C655" s="80" t="s">
        <v>417</v>
      </c>
      <c r="D655" s="84" t="s">
        <v>564</v>
      </c>
      <c r="E655" s="81">
        <v>84323179.924425676</v>
      </c>
      <c r="F655" s="81">
        <v>87532977.080221862</v>
      </c>
      <c r="G655" s="81">
        <v>90326151.304965377</v>
      </c>
      <c r="H655" s="81">
        <v>93101628.801286727</v>
      </c>
      <c r="I655" s="81">
        <v>95858034.908122972</v>
      </c>
      <c r="J655" s="81">
        <v>98594086.386082932</v>
      </c>
      <c r="K655" s="81">
        <v>101308611.83995828</v>
      </c>
      <c r="L655" s="81">
        <v>104000515.44293532</v>
      </c>
      <c r="M655" s="81">
        <v>106668832.84481376</v>
      </c>
      <c r="N655" s="81">
        <v>109312670.40626101</v>
      </c>
      <c r="O655" s="81">
        <v>111931237.67422152</v>
      </c>
      <c r="P655" s="81">
        <v>114523819.45900773</v>
      </c>
      <c r="Q655" s="81">
        <v>116773291.49152607</v>
      </c>
      <c r="R655" s="81">
        <v>118985345.59387627</v>
      </c>
      <c r="S655" s="81">
        <v>121159954.03964598</v>
      </c>
      <c r="T655" s="81">
        <v>123297169.45107837</v>
      </c>
      <c r="U655" s="81">
        <v>125397077.34911472</v>
      </c>
      <c r="V655" s="81">
        <v>127459859.8299572</v>
      </c>
      <c r="W655" s="81">
        <v>129485704.48421811</v>
      </c>
      <c r="X655" s="81">
        <v>131474853.89936042</v>
      </c>
      <c r="Y655" s="81">
        <v>133427615.31028916</v>
      </c>
      <c r="Z655" s="81">
        <v>135344294.03236583</v>
      </c>
      <c r="AA655" s="81">
        <v>137307077.22656813</v>
      </c>
      <c r="AB655" s="81">
        <v>139232312.51126125</v>
      </c>
      <c r="AC655" s="81">
        <v>141120298.56481749</v>
      </c>
      <c r="AD655" s="81">
        <v>142971354.6000506</v>
      </c>
      <c r="AE655" s="81">
        <v>144785796.05458599</v>
      </c>
      <c r="AF655" s="81">
        <v>146563925.60470313</v>
      </c>
      <c r="AG655" s="81">
        <v>148306041.44234583</v>
      </c>
      <c r="AH655" s="81">
        <v>150012376.09093794</v>
      </c>
      <c r="AI655" s="81">
        <v>151683156.10634089</v>
      </c>
      <c r="AJ655" s="81">
        <v>153318558.53440529</v>
      </c>
      <c r="AK655" s="81">
        <v>155191613.34616849</v>
      </c>
      <c r="AL655" s="81">
        <v>157028891.21628124</v>
      </c>
      <c r="AM655" s="81">
        <v>158830202.30264267</v>
      </c>
      <c r="AN655" s="81">
        <v>160595271.92041582</v>
      </c>
      <c r="AO655" s="81">
        <v>162323728.65135151</v>
      </c>
      <c r="AP655" s="81">
        <v>164015092.22281441</v>
      </c>
      <c r="AQ655" s="81">
        <v>165668740.55340919</v>
      </c>
      <c r="AR655" s="81">
        <v>167283958.31133589</v>
      </c>
      <c r="AS655" s="81">
        <v>168859863.62621969</v>
      </c>
      <c r="AT655" s="81">
        <v>170395393.37349316</v>
      </c>
    </row>
    <row r="656" spans="1:46" ht="15.75">
      <c r="A656" s="81" t="s">
        <v>448</v>
      </c>
      <c r="B656" s="80">
        <v>530300</v>
      </c>
      <c r="C656" s="80" t="s">
        <v>417</v>
      </c>
      <c r="D656" s="84" t="s">
        <v>563</v>
      </c>
      <c r="E656" s="81">
        <v>37358937.780885085</v>
      </c>
      <c r="F656" s="81">
        <v>38673443.551318347</v>
      </c>
      <c r="G656" s="81">
        <v>39857870.142726585</v>
      </c>
      <c r="H656" s="81">
        <v>41085910.290310979</v>
      </c>
      <c r="I656" s="81">
        <v>42353713.522812136</v>
      </c>
      <c r="J656" s="81">
        <v>43657247.981279939</v>
      </c>
      <c r="K656" s="81">
        <v>44992388.495134532</v>
      </c>
      <c r="L656" s="81">
        <v>46354891.734175324</v>
      </c>
      <c r="M656" s="81">
        <v>47740444.351800777</v>
      </c>
      <c r="N656" s="81">
        <v>49144691.344632193</v>
      </c>
      <c r="O656" s="81">
        <v>50563265.734194197</v>
      </c>
      <c r="P656" s="81">
        <v>51991819.570652068</v>
      </c>
      <c r="Q656" s="81">
        <v>53281616.907111004</v>
      </c>
      <c r="R656" s="81">
        <v>54566669.752731867</v>
      </c>
      <c r="S656" s="81">
        <v>55843026.469547421</v>
      </c>
      <c r="T656" s="81">
        <v>57106903.739814006</v>
      </c>
      <c r="U656" s="81">
        <v>58354754.913945153</v>
      </c>
      <c r="V656" s="81">
        <v>59583277.331265621</v>
      </c>
      <c r="W656" s="81">
        <v>60789493.936814226</v>
      </c>
      <c r="X656" s="81">
        <v>61970724.003652319</v>
      </c>
      <c r="Y656" s="81">
        <v>63124676.245601051</v>
      </c>
      <c r="Z656" s="81">
        <v>64249448.159776054</v>
      </c>
      <c r="AA656" s="81">
        <v>65382584.89447818</v>
      </c>
      <c r="AB656" s="81">
        <v>66483310.824780174</v>
      </c>
      <c r="AC656" s="81">
        <v>67551118.041219249</v>
      </c>
      <c r="AD656" s="81">
        <v>68586073.011943772</v>
      </c>
      <c r="AE656" s="81">
        <v>69588848.695468962</v>
      </c>
      <c r="AF656" s="81">
        <v>70560767.425219238</v>
      </c>
      <c r="AG656" s="81">
        <v>71503878.458547756</v>
      </c>
      <c r="AH656" s="81">
        <v>72420947.534856498</v>
      </c>
      <c r="AI656" s="81">
        <v>73315546.823039517</v>
      </c>
      <c r="AJ656" s="81">
        <v>74192090.650216594</v>
      </c>
      <c r="AK656" s="81">
        <v>75188089.902352452</v>
      </c>
      <c r="AL656" s="81">
        <v>76177644.090721309</v>
      </c>
      <c r="AM656" s="81">
        <v>77167960.345165327</v>
      </c>
      <c r="AN656" s="81">
        <v>78167336.316546902</v>
      </c>
      <c r="AO656" s="81">
        <v>79185216.673277497</v>
      </c>
      <c r="AP656" s="81">
        <v>80232237.315728813</v>
      </c>
      <c r="AQ656" s="81">
        <v>81320295.867309302</v>
      </c>
      <c r="AR656" s="81">
        <v>82462610.733878389</v>
      </c>
      <c r="AS656" s="81">
        <v>83673767.230138123</v>
      </c>
      <c r="AT656" s="81">
        <v>84969805.280491471</v>
      </c>
    </row>
    <row r="657" spans="1:46" ht="15.75">
      <c r="A657" s="81" t="s">
        <v>448</v>
      </c>
      <c r="B657" s="80">
        <v>530400</v>
      </c>
      <c r="C657" s="80" t="s">
        <v>417</v>
      </c>
      <c r="D657" s="84" t="s">
        <v>562</v>
      </c>
      <c r="E657" s="81">
        <v>15595690.072651742</v>
      </c>
      <c r="F657" s="81">
        <v>16164236.435800243</v>
      </c>
      <c r="G657" s="81">
        <v>16664442.708606657</v>
      </c>
      <c r="H657" s="81">
        <v>17169488.313540101</v>
      </c>
      <c r="I657" s="81">
        <v>17678478.856171414</v>
      </c>
      <c r="J657" s="81">
        <v>18190515.811295368</v>
      </c>
      <c r="K657" s="81">
        <v>18704694.062200904</v>
      </c>
      <c r="L657" s="81">
        <v>19220090.315855246</v>
      </c>
      <c r="M657" s="81">
        <v>19735800.191637825</v>
      </c>
      <c r="N657" s="81">
        <v>20250902.247907195</v>
      </c>
      <c r="O657" s="81">
        <v>20764504.853731092</v>
      </c>
      <c r="P657" s="81">
        <v>21275735.814817037</v>
      </c>
      <c r="Q657" s="81">
        <v>21724843.802292738</v>
      </c>
      <c r="R657" s="81">
        <v>22167816.789044078</v>
      </c>
      <c r="S657" s="81">
        <v>22603938.487032276</v>
      </c>
      <c r="T657" s="81">
        <v>23032542.039291382</v>
      </c>
      <c r="U657" s="81">
        <v>23453025.85122893</v>
      </c>
      <c r="V657" s="81">
        <v>23864830.370641064</v>
      </c>
      <c r="W657" s="81">
        <v>24267483.488125917</v>
      </c>
      <c r="X657" s="81">
        <v>24660577.406661343</v>
      </c>
      <c r="Y657" s="81">
        <v>25043763.634112678</v>
      </c>
      <c r="Z657" s="81">
        <v>25416800.890047263</v>
      </c>
      <c r="AA657" s="81">
        <v>25794920.589210026</v>
      </c>
      <c r="AB657" s="81">
        <v>26162264.556472849</v>
      </c>
      <c r="AC657" s="81">
        <v>26518876.862911489</v>
      </c>
      <c r="AD657" s="81">
        <v>26864895.655218925</v>
      </c>
      <c r="AE657" s="81">
        <v>27200582.096122194</v>
      </c>
      <c r="AF657" s="81">
        <v>27526327.867988333</v>
      </c>
      <c r="AG657" s="81">
        <v>27842674.919839185</v>
      </c>
      <c r="AH657" s="81">
        <v>28150287.227597758</v>
      </c>
      <c r="AI657" s="81">
        <v>28449994.243455067</v>
      </c>
      <c r="AJ657" s="81">
        <v>28742761.701346524</v>
      </c>
      <c r="AK657" s="81">
        <v>29080893.109931052</v>
      </c>
      <c r="AL657" s="81">
        <v>29414420.287083469</v>
      </c>
      <c r="AM657" s="81">
        <v>29744857.085178837</v>
      </c>
      <c r="AN657" s="81">
        <v>30073910.593562327</v>
      </c>
      <c r="AO657" s="81">
        <v>30403461.948628988</v>
      </c>
      <c r="AP657" s="81">
        <v>30735657.128693491</v>
      </c>
      <c r="AQ657" s="81">
        <v>31072877.368871946</v>
      </c>
      <c r="AR657" s="81">
        <v>31417720.133242983</v>
      </c>
      <c r="AS657" s="81">
        <v>31773036.522043593</v>
      </c>
      <c r="AT657" s="81">
        <v>32141956.589924544</v>
      </c>
    </row>
    <row r="658" spans="1:46" ht="15.75">
      <c r="A658" s="81" t="s">
        <v>448</v>
      </c>
      <c r="B658" s="80">
        <v>530500</v>
      </c>
      <c r="C658" s="80" t="s">
        <v>417</v>
      </c>
      <c r="D658" s="84" t="s">
        <v>561</v>
      </c>
      <c r="E658" s="81">
        <v>11802596.437676528</v>
      </c>
      <c r="F658" s="81">
        <v>12217661.421648772</v>
      </c>
      <c r="G658" s="81">
        <v>12584844.97291011</v>
      </c>
      <c r="H658" s="81">
        <v>12959308.033496808</v>
      </c>
      <c r="I658" s="81">
        <v>13340139.707495034</v>
      </c>
      <c r="J658" s="81">
        <v>13726408.13436576</v>
      </c>
      <c r="K658" s="81">
        <v>14117166.13028729</v>
      </c>
      <c r="L658" s="81">
        <v>14511439.773073237</v>
      </c>
      <c r="M658" s="81">
        <v>14908274.010734057</v>
      </c>
      <c r="N658" s="81">
        <v>15306687.367308959</v>
      </c>
      <c r="O658" s="81">
        <v>15705730.955399837</v>
      </c>
      <c r="P658" s="81">
        <v>16104441.370991409</v>
      </c>
      <c r="Q658" s="81">
        <v>16457294.405572662</v>
      </c>
      <c r="R658" s="81">
        <v>16806343.903584149</v>
      </c>
      <c r="S658" s="81">
        <v>17150773.782158505</v>
      </c>
      <c r="T658" s="81">
        <v>17489834.280382715</v>
      </c>
      <c r="U658" s="81">
        <v>17822829.870396104</v>
      </c>
      <c r="V658" s="81">
        <v>18149112.18405854</v>
      </c>
      <c r="W658" s="81">
        <v>18468128.887415767</v>
      </c>
      <c r="X658" s="81">
        <v>18779404.339028299</v>
      </c>
      <c r="Y658" s="81">
        <v>19082532.259943094</v>
      </c>
      <c r="Z658" s="81">
        <v>19377219.803492405</v>
      </c>
      <c r="AA658" s="81">
        <v>19675004.450837441</v>
      </c>
      <c r="AB658" s="81">
        <v>19963784.751382429</v>
      </c>
      <c r="AC658" s="81">
        <v>20243586.923615668</v>
      </c>
      <c r="AD658" s="81">
        <v>20514572.365312599</v>
      </c>
      <c r="AE658" s="81">
        <v>20777038.775881957</v>
      </c>
      <c r="AF658" s="81">
        <v>21031437.301036835</v>
      </c>
      <c r="AG658" s="81">
        <v>21278390.6413927</v>
      </c>
      <c r="AH658" s="81">
        <v>21518660.437396813</v>
      </c>
      <c r="AI658" s="81">
        <v>21753215.734805282</v>
      </c>
      <c r="AJ658" s="81">
        <v>21983209.561041839</v>
      </c>
      <c r="AK658" s="81">
        <v>22249108.294935267</v>
      </c>
      <c r="AL658" s="81">
        <v>22513268.737129375</v>
      </c>
      <c r="AM658" s="81">
        <v>22777467.247791875</v>
      </c>
      <c r="AN658" s="81">
        <v>23043726.697607189</v>
      </c>
      <c r="AO658" s="81">
        <v>23314328.651525963</v>
      </c>
      <c r="AP658" s="81">
        <v>23591815.88885266</v>
      </c>
      <c r="AQ658" s="81">
        <v>23879004.142385576</v>
      </c>
      <c r="AR658" s="81">
        <v>24179004.174962793</v>
      </c>
      <c r="AS658" s="81">
        <v>24495245.004754268</v>
      </c>
      <c r="AT658" s="81">
        <v>24831445.811179686</v>
      </c>
    </row>
    <row r="659" spans="1:46" ht="15.75">
      <c r="A659" s="81" t="s">
        <v>448</v>
      </c>
      <c r="B659" s="80">
        <v>530600</v>
      </c>
      <c r="C659" s="80" t="s">
        <v>417</v>
      </c>
      <c r="D659" s="84" t="s">
        <v>560</v>
      </c>
      <c r="E659" s="81">
        <v>23005856.44435551</v>
      </c>
      <c r="F659" s="81">
        <v>23904878.018334825</v>
      </c>
      <c r="G659" s="81">
        <v>24724098.468882695</v>
      </c>
      <c r="H659" s="81">
        <v>25570510.218277935</v>
      </c>
      <c r="I659" s="81">
        <v>26441784.950496696</v>
      </c>
      <c r="J659" s="81">
        <v>27335493.740587968</v>
      </c>
      <c r="K659" s="81">
        <v>28249156.451794028</v>
      </c>
      <c r="L659" s="81">
        <v>29180232.129057035</v>
      </c>
      <c r="M659" s="81">
        <v>30126150.736242361</v>
      </c>
      <c r="N659" s="81">
        <v>31084325.284925487</v>
      </c>
      <c r="O659" s="81">
        <v>32052169.787528392</v>
      </c>
      <c r="P659" s="81">
        <v>33027106.208244603</v>
      </c>
      <c r="Q659" s="81">
        <v>33914685.581418656</v>
      </c>
      <c r="R659" s="81">
        <v>34800069.186661579</v>
      </c>
      <c r="S659" s="81">
        <v>35680948.720390707</v>
      </c>
      <c r="T659" s="81">
        <v>36555153.504231758</v>
      </c>
      <c r="U659" s="81">
        <v>37420633.200518288</v>
      </c>
      <c r="V659" s="81">
        <v>38275535.464474022</v>
      </c>
      <c r="W659" s="81">
        <v>39118176.600007467</v>
      </c>
      <c r="X659" s="81">
        <v>39947088.806262009</v>
      </c>
      <c r="Y659" s="81">
        <v>40761029.158913136</v>
      </c>
      <c r="Z659" s="81">
        <v>41559008.785297923</v>
      </c>
      <c r="AA659" s="81">
        <v>42365588.634725802</v>
      </c>
      <c r="AB659" s="81">
        <v>43154667.772160739</v>
      </c>
      <c r="AC659" s="81">
        <v>43926104.556450091</v>
      </c>
      <c r="AD659" s="81">
        <v>44680156.102645278</v>
      </c>
      <c r="AE659" s="81">
        <v>45417415.842641398</v>
      </c>
      <c r="AF659" s="81">
        <v>46138906.066415258</v>
      </c>
      <c r="AG659" s="81">
        <v>46846090.612995781</v>
      </c>
      <c r="AH659" s="81">
        <v>47540878.433301792</v>
      </c>
      <c r="AI659" s="81">
        <v>48225657.979922861</v>
      </c>
      <c r="AJ659" s="81">
        <v>48903366.021235079</v>
      </c>
      <c r="AK659" s="81">
        <v>49664786.668849021</v>
      </c>
      <c r="AL659" s="81">
        <v>50427067.388207234</v>
      </c>
      <c r="AM659" s="81">
        <v>51194846.410743065</v>
      </c>
      <c r="AN659" s="81">
        <v>51973437.133493833</v>
      </c>
      <c r="AO659" s="81">
        <v>52768871.703281716</v>
      </c>
      <c r="AP659" s="81">
        <v>53587909.239728577</v>
      </c>
      <c r="AQ659" s="81">
        <v>54438051.223304182</v>
      </c>
      <c r="AR659" s="81">
        <v>55327641.047179691</v>
      </c>
      <c r="AS659" s="81">
        <v>56265854.634396724</v>
      </c>
      <c r="AT659" s="81">
        <v>57262736.034874693</v>
      </c>
    </row>
    <row r="660" spans="1:46" ht="15.75">
      <c r="A660" s="81" t="s">
        <v>448</v>
      </c>
      <c r="B660" s="80">
        <v>530700</v>
      </c>
      <c r="C660" s="80" t="s">
        <v>417</v>
      </c>
      <c r="D660" s="84" t="s">
        <v>559</v>
      </c>
      <c r="E660" s="81">
        <v>6690684.5576044871</v>
      </c>
      <c r="F660" s="81">
        <v>6950639.4384679422</v>
      </c>
      <c r="G660" s="81">
        <v>7179836.4712258512</v>
      </c>
      <c r="H660" s="81">
        <v>7409777.4839643985</v>
      </c>
      <c r="I660" s="81">
        <v>7640194.9720495492</v>
      </c>
      <c r="J660" s="81">
        <v>7870812.4292467386</v>
      </c>
      <c r="K660" s="81">
        <v>8101375.4435659824</v>
      </c>
      <c r="L660" s="81">
        <v>8331610.5739816595</v>
      </c>
      <c r="M660" s="81">
        <v>8561263.0357230436</v>
      </c>
      <c r="N660" s="81">
        <v>8790072.9405037258</v>
      </c>
      <c r="O660" s="81">
        <v>9017802.5875252392</v>
      </c>
      <c r="P660" s="81">
        <v>9244204.6873801947</v>
      </c>
      <c r="Q660" s="81">
        <v>9443453.2691963892</v>
      </c>
      <c r="R660" s="81">
        <v>9639995.6817319896</v>
      </c>
      <c r="S660" s="81">
        <v>9833665.3146797381</v>
      </c>
      <c r="T660" s="81">
        <v>10024298.543514511</v>
      </c>
      <c r="U660" s="81">
        <v>10211757.729977448</v>
      </c>
      <c r="V660" s="81">
        <v>10395910.105524465</v>
      </c>
      <c r="W660" s="81">
        <v>10576651.619520735</v>
      </c>
      <c r="X660" s="81">
        <v>10753893.092060246</v>
      </c>
      <c r="Y660" s="81">
        <v>10927577.441496607</v>
      </c>
      <c r="Z660" s="81">
        <v>11097648.719634157</v>
      </c>
      <c r="AA660" s="81">
        <v>11270813.534973528</v>
      </c>
      <c r="AB660" s="81">
        <v>11440195.324237347</v>
      </c>
      <c r="AC660" s="81">
        <v>11605807.743729785</v>
      </c>
      <c r="AD660" s="81">
        <v>11767722.445767391</v>
      </c>
      <c r="AE660" s="81">
        <v>11926009.682637917</v>
      </c>
      <c r="AF660" s="81">
        <v>12080801.499281863</v>
      </c>
      <c r="AG660" s="81">
        <v>12232230.298062799</v>
      </c>
      <c r="AH660" s="81">
        <v>12380503.666527502</v>
      </c>
      <c r="AI660" s="81">
        <v>12525822.32647174</v>
      </c>
      <c r="AJ660" s="81">
        <v>12668446.850905078</v>
      </c>
      <c r="AK660" s="81">
        <v>12831257.061627172</v>
      </c>
      <c r="AL660" s="81">
        <v>12992003.507895483</v>
      </c>
      <c r="AM660" s="81">
        <v>13151074.619883785</v>
      </c>
      <c r="AN660" s="81">
        <v>13308879.749725239</v>
      </c>
      <c r="AO660" s="81">
        <v>13465902.176489981</v>
      </c>
      <c r="AP660" s="81">
        <v>13622659.674433198</v>
      </c>
      <c r="AQ660" s="81">
        <v>13779727.093141355</v>
      </c>
      <c r="AR660" s="81">
        <v>13937761.08941308</v>
      </c>
      <c r="AS660" s="81">
        <v>14097424.473703526</v>
      </c>
      <c r="AT660" s="81">
        <v>14259488.267778398</v>
      </c>
    </row>
    <row r="661" spans="1:46" ht="15.75">
      <c r="A661" s="81" t="s">
        <v>448</v>
      </c>
      <c r="B661" s="80">
        <v>530800</v>
      </c>
      <c r="C661" s="80" t="s">
        <v>417</v>
      </c>
      <c r="D661" s="84" t="s">
        <v>558</v>
      </c>
      <c r="E661" s="81">
        <v>13921287.993898643</v>
      </c>
      <c r="F661" s="81">
        <v>14439797.846881367</v>
      </c>
      <c r="G661" s="81">
        <v>14894473.667393493</v>
      </c>
      <c r="H661" s="81">
        <v>15350966.643898157</v>
      </c>
      <c r="I661" s="81">
        <v>15808819.117233401</v>
      </c>
      <c r="J661" s="81">
        <v>16267565.665387889</v>
      </c>
      <c r="K661" s="81">
        <v>16726747.29739341</v>
      </c>
      <c r="L661" s="81">
        <v>17185913.715211913</v>
      </c>
      <c r="M661" s="81">
        <v>17644604.47238208</v>
      </c>
      <c r="N661" s="81">
        <v>18102363.461060569</v>
      </c>
      <c r="O661" s="81">
        <v>18558747.934319425</v>
      </c>
      <c r="P661" s="81">
        <v>19013331.008152321</v>
      </c>
      <c r="Q661" s="81">
        <v>19413053.508648396</v>
      </c>
      <c r="R661" s="81">
        <v>19808273.307774678</v>
      </c>
      <c r="S661" s="81">
        <v>20198637.953107864</v>
      </c>
      <c r="T661" s="81">
        <v>20583836.653768796</v>
      </c>
      <c r="U661" s="81">
        <v>20963562.789173029</v>
      </c>
      <c r="V661" s="81">
        <v>21337530.920841824</v>
      </c>
      <c r="W661" s="81">
        <v>21705495.583763603</v>
      </c>
      <c r="X661" s="81">
        <v>22067202.273015819</v>
      </c>
      <c r="Y661" s="81">
        <v>22422465.888546992</v>
      </c>
      <c r="Z661" s="81">
        <v>22771095.229375593</v>
      </c>
      <c r="AA661" s="81">
        <v>23126734.829599522</v>
      </c>
      <c r="AB661" s="81">
        <v>23475140.361532375</v>
      </c>
      <c r="AC661" s="81">
        <v>23816213.422307275</v>
      </c>
      <c r="AD661" s="81">
        <v>24149892.486585744</v>
      </c>
      <c r="AE661" s="81">
        <v>24476174.463684242</v>
      </c>
      <c r="AF661" s="81">
        <v>24795068.463560387</v>
      </c>
      <c r="AG661" s="81">
        <v>25106635.889638182</v>
      </c>
      <c r="AH661" s="81">
        <v>25410993.284907486</v>
      </c>
      <c r="AI661" s="81">
        <v>25708294.298268341</v>
      </c>
      <c r="AJ661" s="81">
        <v>25998741.578512669</v>
      </c>
      <c r="AK661" s="81">
        <v>26328881.936957825</v>
      </c>
      <c r="AL661" s="81">
        <v>26652692.70282523</v>
      </c>
      <c r="AM661" s="81">
        <v>26970498.14646123</v>
      </c>
      <c r="AN661" s="81">
        <v>27282694.820803467</v>
      </c>
      <c r="AO661" s="81">
        <v>27589743.455120321</v>
      </c>
      <c r="AP661" s="81">
        <v>27892183.272557043</v>
      </c>
      <c r="AQ661" s="81">
        <v>28190587.720081508</v>
      </c>
      <c r="AR661" s="81">
        <v>28485649.238912378</v>
      </c>
      <c r="AS661" s="81">
        <v>28778087.040005822</v>
      </c>
      <c r="AT661" s="81">
        <v>29068746.221191674</v>
      </c>
    </row>
    <row r="662" spans="1:46" ht="15.75">
      <c r="A662" s="81" t="s">
        <v>448</v>
      </c>
      <c r="B662" s="80">
        <v>530900</v>
      </c>
      <c r="C662" s="80" t="s">
        <v>417</v>
      </c>
      <c r="D662" s="84" t="s">
        <v>557</v>
      </c>
      <c r="E662" s="81">
        <v>12536665.446383685</v>
      </c>
      <c r="F662" s="81">
        <v>13012442.888803406</v>
      </c>
      <c r="G662" s="81">
        <v>13433724.124096936</v>
      </c>
      <c r="H662" s="81">
        <v>13859481.485021133</v>
      </c>
      <c r="I662" s="81">
        <v>14289126.480723357</v>
      </c>
      <c r="J662" s="81">
        <v>14722085.842812959</v>
      </c>
      <c r="K662" s="81">
        <v>15157742.338141533</v>
      </c>
      <c r="L662" s="81">
        <v>15595512.709181609</v>
      </c>
      <c r="M662" s="81">
        <v>16034787.286425836</v>
      </c>
      <c r="N662" s="81">
        <v>16474964.708309315</v>
      </c>
      <c r="O662" s="81">
        <v>16915448.770972867</v>
      </c>
      <c r="P662" s="81">
        <v>17355651.733761318</v>
      </c>
      <c r="Q662" s="81">
        <v>17746894.018280867</v>
      </c>
      <c r="R662" s="81">
        <v>18134862.036811266</v>
      </c>
      <c r="S662" s="81">
        <v>18519073.827086352</v>
      </c>
      <c r="T662" s="81">
        <v>18899059.794306234</v>
      </c>
      <c r="U662" s="81">
        <v>19274380.58842976</v>
      </c>
      <c r="V662" s="81">
        <v>19644630.58677841</v>
      </c>
      <c r="W662" s="81">
        <v>20009441.452404998</v>
      </c>
      <c r="X662" s="81">
        <v>20368485.768226948</v>
      </c>
      <c r="Y662" s="81">
        <v>20721480.746924292</v>
      </c>
      <c r="Z662" s="81">
        <v>21068192.016602412</v>
      </c>
      <c r="AA662" s="81">
        <v>21421199.954852428</v>
      </c>
      <c r="AB662" s="81">
        <v>21767314.219938487</v>
      </c>
      <c r="AC662" s="81">
        <v>22106464.177924618</v>
      </c>
      <c r="AD662" s="81">
        <v>22438608.582259502</v>
      </c>
      <c r="AE662" s="81">
        <v>22763812.005940836</v>
      </c>
      <c r="AF662" s="81">
        <v>23082185.281533189</v>
      </c>
      <c r="AG662" s="81">
        <v>23393926.428742964</v>
      </c>
      <c r="AH662" s="81">
        <v>23699315.991516009</v>
      </c>
      <c r="AI662" s="81">
        <v>23998721.544062629</v>
      </c>
      <c r="AJ662" s="81">
        <v>24292592.064443067</v>
      </c>
      <c r="AK662" s="81">
        <v>24624779.017825585</v>
      </c>
      <c r="AL662" s="81">
        <v>24952684.23345831</v>
      </c>
      <c r="AM662" s="81">
        <v>25277018.755735803</v>
      </c>
      <c r="AN662" s="81">
        <v>25598652.419048585</v>
      </c>
      <c r="AO662" s="81">
        <v>25918556.377045348</v>
      </c>
      <c r="AP662" s="81">
        <v>26237806.882223401</v>
      </c>
      <c r="AQ662" s="81">
        <v>26557657.965608951</v>
      </c>
      <c r="AR662" s="81">
        <v>26879457.610979926</v>
      </c>
      <c r="AS662" s="81">
        <v>27204732.81265891</v>
      </c>
      <c r="AT662" s="81">
        <v>27535126.077370159</v>
      </c>
    </row>
    <row r="663" spans="1:46" ht="15.75">
      <c r="A663" s="81" t="s">
        <v>448</v>
      </c>
      <c r="B663" s="80">
        <v>532300</v>
      </c>
      <c r="C663" s="80" t="s">
        <v>417</v>
      </c>
      <c r="D663" s="84" t="s">
        <v>556</v>
      </c>
      <c r="E663" s="81">
        <v>14541569.169232436</v>
      </c>
      <c r="F663" s="81">
        <v>15070283.021840798</v>
      </c>
      <c r="G663" s="81">
        <v>15533325.836882884</v>
      </c>
      <c r="H663" s="81">
        <v>15998988.095272511</v>
      </c>
      <c r="I663" s="81">
        <v>16466491.468157392</v>
      </c>
      <c r="J663" s="81">
        <v>16935056.98927426</v>
      </c>
      <c r="K663" s="81">
        <v>17403909.512042753</v>
      </c>
      <c r="L663" s="81">
        <v>17872268.012583148</v>
      </c>
      <c r="M663" s="81">
        <v>18339356.133857045</v>
      </c>
      <c r="N663" s="81">
        <v>18804413.845816102</v>
      </c>
      <c r="O663" s="81">
        <v>19266687.273681194</v>
      </c>
      <c r="P663" s="81">
        <v>19725455.850983288</v>
      </c>
      <c r="Q663" s="81">
        <v>20125447.761000026</v>
      </c>
      <c r="R663" s="81">
        <v>20518715.921245836</v>
      </c>
      <c r="S663" s="81">
        <v>20904689.769004807</v>
      </c>
      <c r="T663" s="81">
        <v>21282866.064054061</v>
      </c>
      <c r="U663" s="81">
        <v>21652755.68007296</v>
      </c>
      <c r="V663" s="81">
        <v>22013963.804109674</v>
      </c>
      <c r="W663" s="81">
        <v>22366118.569751441</v>
      </c>
      <c r="X663" s="81">
        <v>22708936.1240348</v>
      </c>
      <c r="Y663" s="81">
        <v>23042191.13678978</v>
      </c>
      <c r="Z663" s="81">
        <v>23365730.446602754</v>
      </c>
      <c r="AA663" s="81">
        <v>23693613.808622736</v>
      </c>
      <c r="AB663" s="81">
        <v>24011323.242824584</v>
      </c>
      <c r="AC663" s="81">
        <v>24318950.789101318</v>
      </c>
      <c r="AD663" s="81">
        <v>24616694.737619419</v>
      </c>
      <c r="AE663" s="81">
        <v>24904835.576860562</v>
      </c>
      <c r="AF663" s="81">
        <v>25183771.114702452</v>
      </c>
      <c r="AG663" s="81">
        <v>25454023.151724894</v>
      </c>
      <c r="AH663" s="81">
        <v>25716212.179084253</v>
      </c>
      <c r="AI663" s="81">
        <v>25971105.137817562</v>
      </c>
      <c r="AJ663" s="81">
        <v>26219612.198327973</v>
      </c>
      <c r="AK663" s="81">
        <v>26509359.008366693</v>
      </c>
      <c r="AL663" s="81">
        <v>26794739.470618024</v>
      </c>
      <c r="AM663" s="81">
        <v>27077068.191851612</v>
      </c>
      <c r="AN663" s="81">
        <v>27357850.561373577</v>
      </c>
      <c r="AO663" s="81">
        <v>27638756.051758397</v>
      </c>
      <c r="AP663" s="81">
        <v>27921636.9356509</v>
      </c>
      <c r="AQ663" s="81">
        <v>28208548.292652711</v>
      </c>
      <c r="AR663" s="81">
        <v>28501731.473929621</v>
      </c>
      <c r="AS663" s="81">
        <v>28803659.362602767</v>
      </c>
      <c r="AT663" s="81">
        <v>29116994.212897919</v>
      </c>
    </row>
    <row r="664" spans="1:46" ht="15.75">
      <c r="A664" s="81" t="s">
        <v>448</v>
      </c>
      <c r="B664" s="80">
        <v>532500</v>
      </c>
      <c r="C664" s="80" t="s">
        <v>417</v>
      </c>
      <c r="D664" s="84" t="s">
        <v>555</v>
      </c>
      <c r="E664" s="81">
        <v>28685304.835635062</v>
      </c>
      <c r="F664" s="81">
        <v>29703270.260522623</v>
      </c>
      <c r="G664" s="81">
        <v>30608565.015289325</v>
      </c>
      <c r="H664" s="81">
        <v>31535402.394910298</v>
      </c>
      <c r="I664" s="81">
        <v>32481678.853397939</v>
      </c>
      <c r="J664" s="81">
        <v>33445218.845747523</v>
      </c>
      <c r="K664" s="81">
        <v>34423794.014078259</v>
      </c>
      <c r="L664" s="81">
        <v>35415121.14093177</v>
      </c>
      <c r="M664" s="81">
        <v>36416897.68416179</v>
      </c>
      <c r="N664" s="81">
        <v>37426793.204418615</v>
      </c>
      <c r="O664" s="81">
        <v>38442462.753476828</v>
      </c>
      <c r="P664" s="81">
        <v>39461585.840809062</v>
      </c>
      <c r="Q664" s="81">
        <v>40372426.96880462</v>
      </c>
      <c r="R664" s="81">
        <v>41277839.877996601</v>
      </c>
      <c r="S664" s="81">
        <v>42175738.452221163</v>
      </c>
      <c r="T664" s="81">
        <v>43064123.038796961</v>
      </c>
      <c r="U664" s="81">
        <v>43941114.058102027</v>
      </c>
      <c r="V664" s="81">
        <v>44804960.074350834</v>
      </c>
      <c r="W664" s="81">
        <v>45654054.734031856</v>
      </c>
      <c r="X664" s="81">
        <v>46486944.473603539</v>
      </c>
      <c r="Y664" s="81">
        <v>47302364.955692641</v>
      </c>
      <c r="Z664" s="81">
        <v>48099259.983447641</v>
      </c>
      <c r="AA664" s="81">
        <v>48905938.173595391</v>
      </c>
      <c r="AB664" s="81">
        <v>49691975.684808671</v>
      </c>
      <c r="AC664" s="81">
        <v>50456975.454505347</v>
      </c>
      <c r="AD664" s="81">
        <v>51200829.574086636</v>
      </c>
      <c r="AE664" s="81">
        <v>51923729.870524541</v>
      </c>
      <c r="AF664" s="81">
        <v>52626177.769314922</v>
      </c>
      <c r="AG664" s="81">
        <v>53309026.990682833</v>
      </c>
      <c r="AH664" s="81">
        <v>53973494.636565156</v>
      </c>
      <c r="AI664" s="81">
        <v>54621183.096092865</v>
      </c>
      <c r="AJ664" s="81">
        <v>55254102.295081884</v>
      </c>
      <c r="AK664" s="81">
        <v>55973130.608760968</v>
      </c>
      <c r="AL664" s="81">
        <v>56682695.840253197</v>
      </c>
      <c r="AM664" s="81">
        <v>57386152.648775466</v>
      </c>
      <c r="AN664" s="81">
        <v>58087371.431343563</v>
      </c>
      <c r="AO664" s="81">
        <v>58790789.778251991</v>
      </c>
      <c r="AP664" s="81">
        <v>59501414.885741174</v>
      </c>
      <c r="AQ664" s="81">
        <v>60224876.661926851</v>
      </c>
      <c r="AR664" s="81">
        <v>60967456.951398566</v>
      </c>
      <c r="AS664" s="81">
        <v>61736064.634341367</v>
      </c>
      <c r="AT664" s="81">
        <v>62538344.486763813</v>
      </c>
    </row>
    <row r="665" spans="1:46" ht="15.75">
      <c r="A665" s="81" t="s">
        <v>448</v>
      </c>
      <c r="B665" s="80">
        <v>532600</v>
      </c>
      <c r="C665" s="80" t="s">
        <v>417</v>
      </c>
      <c r="D665" s="84" t="s">
        <v>554</v>
      </c>
      <c r="E665" s="81">
        <v>19490824.711772148</v>
      </c>
      <c r="F665" s="81">
        <v>20187869.15458481</v>
      </c>
      <c r="G665" s="81">
        <v>20813770.956463661</v>
      </c>
      <c r="H665" s="81">
        <v>21459522.588315729</v>
      </c>
      <c r="I665" s="81">
        <v>22123509.995894138</v>
      </c>
      <c r="J665" s="81">
        <v>22804039.900556076</v>
      </c>
      <c r="K665" s="81">
        <v>23499380.072153606</v>
      </c>
      <c r="L665" s="81">
        <v>24207731.620292388</v>
      </c>
      <c r="M665" s="81">
        <v>24927284.580235668</v>
      </c>
      <c r="N665" s="81">
        <v>25656183.313851405</v>
      </c>
      <c r="O665" s="81">
        <v>26392578.149128687</v>
      </c>
      <c r="P665" s="81">
        <v>27134610.679632507</v>
      </c>
      <c r="Q665" s="81">
        <v>27805073.390650805</v>
      </c>
      <c r="R665" s="81">
        <v>28474306.483816009</v>
      </c>
      <c r="S665" s="81">
        <v>29140584.927594762</v>
      </c>
      <c r="T665" s="81">
        <v>29802275.349249896</v>
      </c>
      <c r="U665" s="81">
        <v>30457827.526905924</v>
      </c>
      <c r="V665" s="81">
        <v>31105779.837098163</v>
      </c>
      <c r="W665" s="81">
        <v>31744797.007052496</v>
      </c>
      <c r="X665" s="81">
        <v>32373668.982807413</v>
      </c>
      <c r="Y665" s="81">
        <v>32991316.91145058</v>
      </c>
      <c r="Z665" s="81">
        <v>33596824.498935036</v>
      </c>
      <c r="AA665" s="81">
        <v>34209867.259260312</v>
      </c>
      <c r="AB665" s="81">
        <v>34809089.709892966</v>
      </c>
      <c r="AC665" s="81">
        <v>35394119.952438787</v>
      </c>
      <c r="AD665" s="81">
        <v>35964807.070318878</v>
      </c>
      <c r="AE665" s="81">
        <v>36521247.391551107</v>
      </c>
      <c r="AF665" s="81">
        <v>37063783.274327248</v>
      </c>
      <c r="AG665" s="81">
        <v>37593048.92442096</v>
      </c>
      <c r="AH665" s="81">
        <v>38109969.92019932</v>
      </c>
      <c r="AI665" s="81">
        <v>38615781.224426359</v>
      </c>
      <c r="AJ665" s="81">
        <v>39112045.481372006</v>
      </c>
      <c r="AK665" s="81">
        <v>39670459.605945908</v>
      </c>
      <c r="AL665" s="81">
        <v>40223686.970641539</v>
      </c>
      <c r="AM665" s="81">
        <v>40774413.263074592</v>
      </c>
      <c r="AN665" s="81">
        <v>41325708.700611152</v>
      </c>
      <c r="AO665" s="81">
        <v>41881124.301088192</v>
      </c>
      <c r="AP665" s="81">
        <v>42444694.5583627</v>
      </c>
      <c r="AQ665" s="81">
        <v>43020938.27859287</v>
      </c>
      <c r="AR665" s="81">
        <v>43614892.516621418</v>
      </c>
      <c r="AS665" s="81">
        <v>44232159.806780137</v>
      </c>
      <c r="AT665" s="81">
        <v>44878909.843165025</v>
      </c>
    </row>
    <row r="666" spans="1:46" ht="15.75">
      <c r="A666" s="81" t="s">
        <v>448</v>
      </c>
      <c r="B666" s="80">
        <v>532800</v>
      </c>
      <c r="C666" s="80" t="s">
        <v>417</v>
      </c>
      <c r="D666" s="84" t="s">
        <v>553</v>
      </c>
      <c r="E666" s="81">
        <v>8347928.1104328651</v>
      </c>
      <c r="F666" s="81">
        <v>8662844.2209944576</v>
      </c>
      <c r="G666" s="81">
        <v>8940478.4459472056</v>
      </c>
      <c r="H666" s="81">
        <v>9220107.8863311298</v>
      </c>
      <c r="I666" s="81">
        <v>9501375.1587901302</v>
      </c>
      <c r="J666" s="81">
        <v>9783902.7678803261</v>
      </c>
      <c r="K666" s="81">
        <v>10067322.639856746</v>
      </c>
      <c r="L666" s="81">
        <v>10351256.180153819</v>
      </c>
      <c r="M666" s="81">
        <v>10635330.468786411</v>
      </c>
      <c r="N666" s="81">
        <v>10919164.573996462</v>
      </c>
      <c r="O666" s="81">
        <v>11202402.902829699</v>
      </c>
      <c r="P666" s="81">
        <v>11484660.937320152</v>
      </c>
      <c r="Q666" s="81">
        <v>11733786.657536972</v>
      </c>
      <c r="R666" s="81">
        <v>11980065.920281572</v>
      </c>
      <c r="S666" s="81">
        <v>12223198.809044546</v>
      </c>
      <c r="T666" s="81">
        <v>12462898.816209137</v>
      </c>
      <c r="U666" s="81">
        <v>12698894.463776305</v>
      </c>
      <c r="V666" s="81">
        <v>12930930.959095098</v>
      </c>
      <c r="W666" s="81">
        <v>13158781.369110858</v>
      </c>
      <c r="X666" s="81">
        <v>13382229.875800394</v>
      </c>
      <c r="Y666" s="81">
        <v>13601102.162363576</v>
      </c>
      <c r="Z666" s="81">
        <v>13815238.936845878</v>
      </c>
      <c r="AA666" s="81">
        <v>14032873.455494856</v>
      </c>
      <c r="AB666" s="81">
        <v>14245331.8181343</v>
      </c>
      <c r="AC666" s="81">
        <v>14452540.990617305</v>
      </c>
      <c r="AD666" s="81">
        <v>14654472.195341988</v>
      </c>
      <c r="AE666" s="81">
        <v>14851100.351761855</v>
      </c>
      <c r="AF666" s="81">
        <v>15042469.737372471</v>
      </c>
      <c r="AG666" s="81">
        <v>15228665.079146426</v>
      </c>
      <c r="AH666" s="81">
        <v>15409813.681471236</v>
      </c>
      <c r="AI666" s="81">
        <v>15586064.390337465</v>
      </c>
      <c r="AJ666" s="81">
        <v>15757658.631272485</v>
      </c>
      <c r="AK666" s="81">
        <v>15952908.465227636</v>
      </c>
      <c r="AL666" s="81">
        <v>16144030.647724664</v>
      </c>
      <c r="AM666" s="81">
        <v>16331393.492611626</v>
      </c>
      <c r="AN666" s="81">
        <v>16515438.389282435</v>
      </c>
      <c r="AO666" s="81">
        <v>16696632.20878241</v>
      </c>
      <c r="AP666" s="81">
        <v>16875545.064015552</v>
      </c>
      <c r="AQ666" s="81">
        <v>17052803.210691273</v>
      </c>
      <c r="AR666" s="81">
        <v>17229104.223697968</v>
      </c>
      <c r="AS666" s="81">
        <v>17405260.864624903</v>
      </c>
      <c r="AT666" s="81">
        <v>17582095.957670446</v>
      </c>
    </row>
    <row r="667" spans="1:46" ht="15.75">
      <c r="A667" s="81" t="s">
        <v>448</v>
      </c>
      <c r="B667" s="80">
        <v>532900</v>
      </c>
      <c r="C667" s="80" t="s">
        <v>417</v>
      </c>
      <c r="D667" s="84" t="s">
        <v>552</v>
      </c>
      <c r="E667" s="81">
        <v>20908518.783588633</v>
      </c>
      <c r="F667" s="81">
        <v>21650531.807214633</v>
      </c>
      <c r="G667" s="81">
        <v>22304123.031013716</v>
      </c>
      <c r="H667" s="81">
        <v>22967256.823894184</v>
      </c>
      <c r="I667" s="81">
        <v>23638581.368318409</v>
      </c>
      <c r="J667" s="81">
        <v>24316707.860352308</v>
      </c>
      <c r="K667" s="81">
        <v>25000231.627415732</v>
      </c>
      <c r="L667" s="81">
        <v>25687718.282159857</v>
      </c>
      <c r="M667" s="81">
        <v>26377740.627913788</v>
      </c>
      <c r="N667" s="81">
        <v>27068865.37048199</v>
      </c>
      <c r="O667" s="81">
        <v>27759669.029072039</v>
      </c>
      <c r="P667" s="81">
        <v>28448747.080580786</v>
      </c>
      <c r="Q667" s="81">
        <v>29055974.300499201</v>
      </c>
      <c r="R667" s="81">
        <v>29655937.483563207</v>
      </c>
      <c r="S667" s="81">
        <v>30247450.59366538</v>
      </c>
      <c r="T667" s="81">
        <v>30829397.704360895</v>
      </c>
      <c r="U667" s="81">
        <v>31400742.674067665</v>
      </c>
      <c r="V667" s="81">
        <v>31960548.124861158</v>
      </c>
      <c r="W667" s="81">
        <v>32507949.393967006</v>
      </c>
      <c r="X667" s="81">
        <v>33042228.289210938</v>
      </c>
      <c r="Y667" s="81">
        <v>33562750.35093163</v>
      </c>
      <c r="Z667" s="81">
        <v>34069040.492899761</v>
      </c>
      <c r="AA667" s="81">
        <v>34581354.402302943</v>
      </c>
      <c r="AB667" s="81">
        <v>35078375.963668063</v>
      </c>
      <c r="AC667" s="81">
        <v>35560049.525598228</v>
      </c>
      <c r="AD667" s="81">
        <v>36026488.306555122</v>
      </c>
      <c r="AE667" s="81">
        <v>36478038.630488589</v>
      </c>
      <c r="AF667" s="81">
        <v>36915209.623612799</v>
      </c>
      <c r="AG667" s="81">
        <v>37338758.870359339</v>
      </c>
      <c r="AH667" s="81">
        <v>37749641.069703706</v>
      </c>
      <c r="AI667" s="81">
        <v>38149074.823757671</v>
      </c>
      <c r="AJ667" s="81">
        <v>38538534.599643484</v>
      </c>
      <c r="AK667" s="81">
        <v>38988320.039540142</v>
      </c>
      <c r="AL667" s="81">
        <v>39431693.913796656</v>
      </c>
      <c r="AM667" s="81">
        <v>39870942.955727845</v>
      </c>
      <c r="AN667" s="81">
        <v>40308717.97845944</v>
      </c>
      <c r="AO667" s="81">
        <v>40747977.844237983</v>
      </c>
      <c r="AP667" s="81">
        <v>41192066.050626822</v>
      </c>
      <c r="AQ667" s="81">
        <v>41644703.334920816</v>
      </c>
      <c r="AR667" s="81">
        <v>42109964.904071584</v>
      </c>
      <c r="AS667" s="81">
        <v>42592400.820778467</v>
      </c>
      <c r="AT667" s="81">
        <v>43096922.849670507</v>
      </c>
    </row>
    <row r="668" spans="1:46" ht="15.75">
      <c r="A668" s="81" t="s">
        <v>448</v>
      </c>
      <c r="B668" s="80">
        <v>533100</v>
      </c>
      <c r="C668" s="80" t="s">
        <v>417</v>
      </c>
      <c r="D668" s="84" t="s">
        <v>551</v>
      </c>
      <c r="E668" s="81">
        <v>8131932.5562115554</v>
      </c>
      <c r="F668" s="81">
        <v>8435950.623458758</v>
      </c>
      <c r="G668" s="81">
        <v>8706169.6480734721</v>
      </c>
      <c r="H668" s="81">
        <v>8980758.1694355533</v>
      </c>
      <c r="I668" s="81">
        <v>9259246.4277176466</v>
      </c>
      <c r="J668" s="81">
        <v>9541149.6872545872</v>
      </c>
      <c r="K668" s="81">
        <v>9825977.5295296554</v>
      </c>
      <c r="L668" s="81">
        <v>10113229.498747654</v>
      </c>
      <c r="M668" s="81">
        <v>10402397.424890649</v>
      </c>
      <c r="N668" s="81">
        <v>10692983.271840909</v>
      </c>
      <c r="O668" s="81">
        <v>10984463.993194154</v>
      </c>
      <c r="P668" s="81">
        <v>11276347.989900237</v>
      </c>
      <c r="Q668" s="81">
        <v>11536860.825489111</v>
      </c>
      <c r="R668" s="81">
        <v>11795544.36141287</v>
      </c>
      <c r="S668" s="81">
        <v>12051969.622075409</v>
      </c>
      <c r="T668" s="81">
        <v>12305700.321341781</v>
      </c>
      <c r="U668" s="81">
        <v>12556346.344160361</v>
      </c>
      <c r="V668" s="81">
        <v>12803524.165802024</v>
      </c>
      <c r="W668" s="81">
        <v>13046903.985300787</v>
      </c>
      <c r="X668" s="81">
        <v>13286159.441131067</v>
      </c>
      <c r="Y668" s="81">
        <v>13521025.120481648</v>
      </c>
      <c r="Z668" s="81">
        <v>13751263.742529023</v>
      </c>
      <c r="AA668" s="81">
        <v>13985026.062775707</v>
      </c>
      <c r="AB668" s="81">
        <v>14213649.416571891</v>
      </c>
      <c r="AC668" s="81">
        <v>14437029.072114078</v>
      </c>
      <c r="AD668" s="81">
        <v>14655123.055395659</v>
      </c>
      <c r="AE668" s="81">
        <v>14867946.219860138</v>
      </c>
      <c r="AF668" s="81">
        <v>15075563.349269742</v>
      </c>
      <c r="AG668" s="81">
        <v>15278124.546629429</v>
      </c>
      <c r="AH668" s="81">
        <v>15475859.854855957</v>
      </c>
      <c r="AI668" s="81">
        <v>15669050.56565115</v>
      </c>
      <c r="AJ668" s="81">
        <v>15858076.84557152</v>
      </c>
      <c r="AK668" s="81">
        <v>16071665.288593663</v>
      </c>
      <c r="AL668" s="81">
        <v>16282102.535301285</v>
      </c>
      <c r="AM668" s="81">
        <v>16490012.99679194</v>
      </c>
      <c r="AN668" s="81">
        <v>16696157.273872111</v>
      </c>
      <c r="AO668" s="81">
        <v>16901353.572052371</v>
      </c>
      <c r="AP668" s="81">
        <v>17106553.92404902</v>
      </c>
      <c r="AQ668" s="81">
        <v>17312851.232355699</v>
      </c>
      <c r="AR668" s="81">
        <v>17521434.520247392</v>
      </c>
      <c r="AS668" s="81">
        <v>17733644.749595825</v>
      </c>
      <c r="AT668" s="81">
        <v>17950941.957917865</v>
      </c>
    </row>
    <row r="669" spans="1:46" ht="15.75">
      <c r="A669" s="81" t="s">
        <v>448</v>
      </c>
      <c r="B669" s="80">
        <v>533300</v>
      </c>
      <c r="C669" s="80" t="s">
        <v>417</v>
      </c>
      <c r="D669" s="84" t="s">
        <v>550</v>
      </c>
      <c r="E669" s="81">
        <v>2395848.5701567512</v>
      </c>
      <c r="F669" s="81">
        <v>2486108.0030461797</v>
      </c>
      <c r="G669" s="81">
        <v>2566541.4625481227</v>
      </c>
      <c r="H669" s="81">
        <v>2648491.9184327149</v>
      </c>
      <c r="I669" s="81">
        <v>2731824.8867360982</v>
      </c>
      <c r="J669" s="81">
        <v>2816387.7245916743</v>
      </c>
      <c r="K669" s="81">
        <v>2902028.9024228686</v>
      </c>
      <c r="L669" s="81">
        <v>2988594.1743296208</v>
      </c>
      <c r="M669" s="81">
        <v>3075937.9531968515</v>
      </c>
      <c r="N669" s="81">
        <v>3163892.9482272267</v>
      </c>
      <c r="O669" s="81">
        <v>3252301.8104920681</v>
      </c>
      <c r="P669" s="81">
        <v>3341013.593946795</v>
      </c>
      <c r="Q669" s="81">
        <v>3420403.8743646233</v>
      </c>
      <c r="R669" s="81">
        <v>3499398.5628921273</v>
      </c>
      <c r="S669" s="81">
        <v>3577869.8819418498</v>
      </c>
      <c r="T669" s="81">
        <v>3655672.9088662667</v>
      </c>
      <c r="U669" s="81">
        <v>3732687.5852776058</v>
      </c>
      <c r="V669" s="81">
        <v>3808783.7026309418</v>
      </c>
      <c r="W669" s="81">
        <v>3883858.6068493733</v>
      </c>
      <c r="X669" s="81">
        <v>3957807.4305359987</v>
      </c>
      <c r="Y669" s="81">
        <v>4030536.2849261421</v>
      </c>
      <c r="Z669" s="81">
        <v>4101970.0754187931</v>
      </c>
      <c r="AA669" s="81">
        <v>4174294.2619209625</v>
      </c>
      <c r="AB669" s="81">
        <v>4245144.2771941796</v>
      </c>
      <c r="AC669" s="81">
        <v>4314492.6011158591</v>
      </c>
      <c r="AD669" s="81">
        <v>4382315.2777375281</v>
      </c>
      <c r="AE669" s="81">
        <v>4448606.5888050068</v>
      </c>
      <c r="AF669" s="81">
        <v>4513380.3174601709</v>
      </c>
      <c r="AG669" s="81">
        <v>4576663.4907629229</v>
      </c>
      <c r="AH669" s="81">
        <v>4638527.7314821435</v>
      </c>
      <c r="AI669" s="81">
        <v>4699037.9101951895</v>
      </c>
      <c r="AJ669" s="81">
        <v>4758306.4065230573</v>
      </c>
      <c r="AK669" s="81">
        <v>4824670.0468253223</v>
      </c>
      <c r="AL669" s="81">
        <v>4890081.4248876302</v>
      </c>
      <c r="AM669" s="81">
        <v>4954739.6866998635</v>
      </c>
      <c r="AN669" s="81">
        <v>5018843.2108779605</v>
      </c>
      <c r="AO669" s="81">
        <v>5082640.0396693544</v>
      </c>
      <c r="AP669" s="81">
        <v>5146413.4431308145</v>
      </c>
      <c r="AQ669" s="81">
        <v>5210474.7141230982</v>
      </c>
      <c r="AR669" s="81">
        <v>5275173.1780537991</v>
      </c>
      <c r="AS669" s="81">
        <v>5340907.0734061021</v>
      </c>
      <c r="AT669" s="81">
        <v>5408107.3929382246</v>
      </c>
    </row>
    <row r="670" spans="1:46" ht="15.75">
      <c r="A670" s="81" t="s">
        <v>448</v>
      </c>
      <c r="B670" s="80">
        <v>533400</v>
      </c>
      <c r="C670" s="80" t="s">
        <v>417</v>
      </c>
      <c r="D670" s="84" t="s">
        <v>549</v>
      </c>
      <c r="E670" s="81">
        <v>1823668.9869734584</v>
      </c>
      <c r="F670" s="81">
        <v>1896887.0352185576</v>
      </c>
      <c r="G670" s="81">
        <v>1961440.7939036486</v>
      </c>
      <c r="H670" s="81">
        <v>2026022.7977665768</v>
      </c>
      <c r="I670" s="81">
        <v>2090591.9064744161</v>
      </c>
      <c r="J670" s="81">
        <v>2155103.2416362544</v>
      </c>
      <c r="K670" s="81">
        <v>2219518.6742963223</v>
      </c>
      <c r="L670" s="81">
        <v>2283801.9218938095</v>
      </c>
      <c r="M670" s="81">
        <v>2347901.4195032544</v>
      </c>
      <c r="N670" s="81">
        <v>2411789.6363346339</v>
      </c>
      <c r="O670" s="81">
        <v>2475429.7028501639</v>
      </c>
      <c r="P670" s="81">
        <v>2538780.3677775646</v>
      </c>
      <c r="Q670" s="81">
        <v>2594630.5726917232</v>
      </c>
      <c r="R670" s="81">
        <v>2649863.4700230928</v>
      </c>
      <c r="S670" s="81">
        <v>2704464.3591654762</v>
      </c>
      <c r="T670" s="81">
        <v>2758408.0623553582</v>
      </c>
      <c r="U670" s="81">
        <v>2811671.2377878665</v>
      </c>
      <c r="V670" s="81">
        <v>2864246.0842106547</v>
      </c>
      <c r="W670" s="81">
        <v>2916106.850216222</v>
      </c>
      <c r="X670" s="81">
        <v>2967243.4340893407</v>
      </c>
      <c r="Y670" s="81">
        <v>3017648.2588951918</v>
      </c>
      <c r="Z670" s="81">
        <v>3067301.7157918182</v>
      </c>
      <c r="AA670" s="81">
        <v>3117878.9849833706</v>
      </c>
      <c r="AB670" s="81">
        <v>3167653.0629725535</v>
      </c>
      <c r="AC670" s="81">
        <v>3216616.842081394</v>
      </c>
      <c r="AD670" s="81">
        <v>3264765.6814948907</v>
      </c>
      <c r="AE670" s="81">
        <v>3312097.4523206493</v>
      </c>
      <c r="AF670" s="81">
        <v>3358612.5826485152</v>
      </c>
      <c r="AG670" s="81">
        <v>3404297.6880501257</v>
      </c>
      <c r="AH670" s="81">
        <v>3449174.3342728969</v>
      </c>
      <c r="AI670" s="81">
        <v>3493233.9440972731</v>
      </c>
      <c r="AJ670" s="81">
        <v>3536486.8215516703</v>
      </c>
      <c r="AK670" s="81">
        <v>3585034.777353147</v>
      </c>
      <c r="AL670" s="81">
        <v>3632814.0220184783</v>
      </c>
      <c r="AM670" s="81">
        <v>3679812.2602263964</v>
      </c>
      <c r="AN670" s="81">
        <v>3726046.2051161728</v>
      </c>
      <c r="AO670" s="81">
        <v>3771535.8191381786</v>
      </c>
      <c r="AP670" s="81">
        <v>3816285.3486311999</v>
      </c>
      <c r="AQ670" s="81">
        <v>3860310.8268933743</v>
      </c>
      <c r="AR670" s="81">
        <v>3903631.0657192916</v>
      </c>
      <c r="AS670" s="81">
        <v>3946267.6996107418</v>
      </c>
      <c r="AT670" s="81">
        <v>3988245.229987463</v>
      </c>
    </row>
    <row r="671" spans="1:46" ht="15.75">
      <c r="A671" s="81" t="s">
        <v>448</v>
      </c>
      <c r="B671" s="80">
        <v>540100</v>
      </c>
      <c r="C671" s="80" t="s">
        <v>416</v>
      </c>
      <c r="D671" s="84" t="s">
        <v>548</v>
      </c>
      <c r="E671" s="81">
        <v>3345048.9510790529</v>
      </c>
      <c r="F671" s="81">
        <v>3548627.378692335</v>
      </c>
      <c r="G671" s="81">
        <v>3744188.397691322</v>
      </c>
      <c r="H671" s="81">
        <v>3941269.412508477</v>
      </c>
      <c r="I671" s="81">
        <v>4139655.6472903332</v>
      </c>
      <c r="J671" s="81">
        <v>4339158.7734198803</v>
      </c>
      <c r="K671" s="81">
        <v>4539604.3583094887</v>
      </c>
      <c r="L671" s="81">
        <v>4740816.012152114</v>
      </c>
      <c r="M671" s="81">
        <v>4942644.4445906943</v>
      </c>
      <c r="N671" s="81">
        <v>5144930.9861461427</v>
      </c>
      <c r="O671" s="81">
        <v>5347543.6217368115</v>
      </c>
      <c r="P671" s="81">
        <v>5550343.7452587858</v>
      </c>
      <c r="Q671" s="81">
        <v>5786278.412115586</v>
      </c>
      <c r="R671" s="81">
        <v>6021182.2767768838</v>
      </c>
      <c r="S671" s="81">
        <v>6254897.3069514399</v>
      </c>
      <c r="T671" s="81">
        <v>6487266.692689064</v>
      </c>
      <c r="U671" s="81">
        <v>6718138.5818299027</v>
      </c>
      <c r="V671" s="81">
        <v>6947371.189713533</v>
      </c>
      <c r="W671" s="81">
        <v>7174839.2930390267</v>
      </c>
      <c r="X671" s="81">
        <v>7400410.9241247447</v>
      </c>
      <c r="Y671" s="81">
        <v>7623960.0153656183</v>
      </c>
      <c r="Z671" s="81">
        <v>7845373.569154405</v>
      </c>
      <c r="AA671" s="81">
        <v>8145337.8711331263</v>
      </c>
      <c r="AB671" s="81">
        <v>8442967.239203224</v>
      </c>
      <c r="AC671" s="81">
        <v>8738046.3229064681</v>
      </c>
      <c r="AD671" s="81">
        <v>9030407.1199138481</v>
      </c>
      <c r="AE671" s="81">
        <v>9319816.9946765583</v>
      </c>
      <c r="AF671" s="81">
        <v>9606098.3868740182</v>
      </c>
      <c r="AG671" s="81">
        <v>9889010.6815771013</v>
      </c>
      <c r="AH671" s="81">
        <v>10168358.210476419</v>
      </c>
      <c r="AI671" s="81">
        <v>10443885.057897387</v>
      </c>
      <c r="AJ671" s="81">
        <v>10715357.29913272</v>
      </c>
      <c r="AK671" s="81">
        <v>11081134.957056658</v>
      </c>
      <c r="AL671" s="81">
        <v>11440971.688357051</v>
      </c>
      <c r="AM671" s="81">
        <v>11794517.120362785</v>
      </c>
      <c r="AN671" s="81">
        <v>12141353.00703988</v>
      </c>
      <c r="AO671" s="81">
        <v>12481050.715369062</v>
      </c>
      <c r="AP671" s="81">
        <v>12813157.131323915</v>
      </c>
      <c r="AQ671" s="81">
        <v>13137192.495915599</v>
      </c>
      <c r="AR671" s="81">
        <v>13452633.281633651</v>
      </c>
      <c r="AS671" s="81">
        <v>13758907.864535432</v>
      </c>
      <c r="AT671" s="81">
        <v>14055423.846707694</v>
      </c>
    </row>
    <row r="672" spans="1:46" ht="15.75">
      <c r="A672" s="81" t="s">
        <v>448</v>
      </c>
      <c r="B672" s="80">
        <v>540200</v>
      </c>
      <c r="C672" s="80" t="s">
        <v>416</v>
      </c>
      <c r="D672" s="84" t="s">
        <v>547</v>
      </c>
      <c r="E672" s="81">
        <v>884417.78018709889</v>
      </c>
      <c r="F672" s="81">
        <v>935315.52150970732</v>
      </c>
      <c r="G672" s="81">
        <v>989903.26130020118</v>
      </c>
      <c r="H672" s="81">
        <v>1046388.3693009897</v>
      </c>
      <c r="I672" s="81">
        <v>1104722.8218455734</v>
      </c>
      <c r="J672" s="81">
        <v>1164850.3800266997</v>
      </c>
      <c r="K672" s="81">
        <v>1226702.0995935209</v>
      </c>
      <c r="L672" s="81">
        <v>1290201.1495926993</v>
      </c>
      <c r="M672" s="81">
        <v>1355256.0830390065</v>
      </c>
      <c r="N672" s="81">
        <v>1421775.4242513322</v>
      </c>
      <c r="O672" s="81">
        <v>1489654.8401699681</v>
      </c>
      <c r="P672" s="81">
        <v>1558785.8759722118</v>
      </c>
      <c r="Q672" s="81">
        <v>1638277.6338443621</v>
      </c>
      <c r="R672" s="81">
        <v>1718709.2976286246</v>
      </c>
      <c r="S672" s="81">
        <v>1799947.5200634282</v>
      </c>
      <c r="T672" s="81">
        <v>1881849.8078672881</v>
      </c>
      <c r="U672" s="81">
        <v>1964275.5610909397</v>
      </c>
      <c r="V672" s="81">
        <v>2047088.2658708761</v>
      </c>
      <c r="W672" s="81">
        <v>2130148.4220253187</v>
      </c>
      <c r="X672" s="81">
        <v>2213328.711095918</v>
      </c>
      <c r="Y672" s="81">
        <v>2296497.2065161671</v>
      </c>
      <c r="Z672" s="81">
        <v>2379543.0962499268</v>
      </c>
      <c r="AA672" s="81">
        <v>2484486.8431660654</v>
      </c>
      <c r="AB672" s="81">
        <v>2589240.6584834638</v>
      </c>
      <c r="AC672" s="81">
        <v>2693692.1100563812</v>
      </c>
      <c r="AD672" s="81">
        <v>2797738.7594189518</v>
      </c>
      <c r="AE672" s="81">
        <v>2901308.0990913077</v>
      </c>
      <c r="AF672" s="81">
        <v>3004349.1818482154</v>
      </c>
      <c r="AG672" s="81">
        <v>3106835.0348894685</v>
      </c>
      <c r="AH672" s="81">
        <v>3208761.6616900577</v>
      </c>
      <c r="AI672" s="81">
        <v>3310171.4008957064</v>
      </c>
      <c r="AJ672" s="81">
        <v>3411125.1587402364</v>
      </c>
      <c r="AK672" s="81">
        <v>3547424.2855531899</v>
      </c>
      <c r="AL672" s="81">
        <v>3683688.2070168559</v>
      </c>
      <c r="AM672" s="81">
        <v>3820103.5626930054</v>
      </c>
      <c r="AN672" s="81">
        <v>3956903.5251671076</v>
      </c>
      <c r="AO672" s="81">
        <v>4094387.8832156374</v>
      </c>
      <c r="AP672" s="81">
        <v>4232910.0020406321</v>
      </c>
      <c r="AQ672" s="81">
        <v>4372917.4072607858</v>
      </c>
      <c r="AR672" s="81">
        <v>4514901.3004390877</v>
      </c>
      <c r="AS672" s="81">
        <v>4659462.1503385482</v>
      </c>
      <c r="AT672" s="81">
        <v>4807266.8485394856</v>
      </c>
    </row>
    <row r="673" spans="1:46" ht="15.75">
      <c r="A673" s="81" t="s">
        <v>448</v>
      </c>
      <c r="B673" s="80">
        <v>540300</v>
      </c>
      <c r="C673" s="80" t="s">
        <v>416</v>
      </c>
      <c r="D673" s="84" t="s">
        <v>546</v>
      </c>
      <c r="E673" s="81">
        <v>1040935.5650428942</v>
      </c>
      <c r="F673" s="81">
        <v>1100589.0513778089</v>
      </c>
      <c r="G673" s="81">
        <v>1164698.4207546904</v>
      </c>
      <c r="H673" s="81">
        <v>1231163.1220942845</v>
      </c>
      <c r="I673" s="81">
        <v>1299938.483803482</v>
      </c>
      <c r="J673" s="81">
        <v>1370964.9992876519</v>
      </c>
      <c r="K673" s="81">
        <v>1444167.0898048994</v>
      </c>
      <c r="L673" s="81">
        <v>1519462.7862120192</v>
      </c>
      <c r="M673" s="81">
        <v>1596750.2751990005</v>
      </c>
      <c r="N673" s="81">
        <v>1675925.5016811991</v>
      </c>
      <c r="O673" s="81">
        <v>1756872.2718207545</v>
      </c>
      <c r="P673" s="81">
        <v>1839462.8096441859</v>
      </c>
      <c r="Q673" s="81">
        <v>1934454.4502781553</v>
      </c>
      <c r="R673" s="81">
        <v>2030747.1485747665</v>
      </c>
      <c r="S673" s="81">
        <v>2128177.8360775011</v>
      </c>
      <c r="T673" s="81">
        <v>2226580.435133494</v>
      </c>
      <c r="U673" s="81">
        <v>2325793.3508964581</v>
      </c>
      <c r="V673" s="81">
        <v>2425648.7622087141</v>
      </c>
      <c r="W673" s="81">
        <v>2525984.9168965905</v>
      </c>
      <c r="X673" s="81">
        <v>2626642.9916419834</v>
      </c>
      <c r="Y673" s="81">
        <v>2727468.9724474312</v>
      </c>
      <c r="Z673" s="81">
        <v>2828321.9490654059</v>
      </c>
      <c r="AA673" s="81">
        <v>2955394.940418324</v>
      </c>
      <c r="AB673" s="81">
        <v>3082451.2848146153</v>
      </c>
      <c r="AC673" s="81">
        <v>3209345.693764871</v>
      </c>
      <c r="AD673" s="81">
        <v>3335957.509331421</v>
      </c>
      <c r="AE673" s="81">
        <v>3462187.1643531532</v>
      </c>
      <c r="AF673" s="81">
        <v>3587967.0409699115</v>
      </c>
      <c r="AG673" s="81">
        <v>3713249.272102945</v>
      </c>
      <c r="AH673" s="81">
        <v>3838024.4272436681</v>
      </c>
      <c r="AI673" s="81">
        <v>3962325.9543970507</v>
      </c>
      <c r="AJ673" s="81">
        <v>4086221.0628410182</v>
      </c>
      <c r="AK673" s="81">
        <v>4252603.9679137822</v>
      </c>
      <c r="AL673" s="81">
        <v>4419115.3153125029</v>
      </c>
      <c r="AM673" s="81">
        <v>4585950.600338012</v>
      </c>
      <c r="AN673" s="81">
        <v>4753373.9564883653</v>
      </c>
      <c r="AO673" s="81">
        <v>4921712.7410843447</v>
      </c>
      <c r="AP673" s="81">
        <v>5091389.7882836908</v>
      </c>
      <c r="AQ673" s="81">
        <v>5262884.9376339717</v>
      </c>
      <c r="AR673" s="81">
        <v>5436790.8655837169</v>
      </c>
      <c r="AS673" s="81">
        <v>5613778.9352011587</v>
      </c>
      <c r="AT673" s="81">
        <v>5794615.2702142755</v>
      </c>
    </row>
    <row r="674" spans="1:46" ht="15.75">
      <c r="A674" s="81" t="s">
        <v>448</v>
      </c>
      <c r="B674" s="80">
        <v>540400</v>
      </c>
      <c r="C674" s="80" t="s">
        <v>416</v>
      </c>
      <c r="D674" s="84" t="s">
        <v>545</v>
      </c>
      <c r="E674" s="81">
        <v>462653.7201948227</v>
      </c>
      <c r="F674" s="81">
        <v>490371.30094084289</v>
      </c>
      <c r="G674" s="81">
        <v>519829.24368304847</v>
      </c>
      <c r="H674" s="81">
        <v>550087.56937993201</v>
      </c>
      <c r="I674" s="81">
        <v>581119.16362894292</v>
      </c>
      <c r="J674" s="81">
        <v>612892.22174806101</v>
      </c>
      <c r="K674" s="81">
        <v>645377.78693853144</v>
      </c>
      <c r="L674" s="81">
        <v>678540.50615274149</v>
      </c>
      <c r="M674" s="81">
        <v>712343.53765928023</v>
      </c>
      <c r="N674" s="81">
        <v>746746.08167538291</v>
      </c>
      <c r="O674" s="81">
        <v>781712.28778019559</v>
      </c>
      <c r="P674" s="81">
        <v>817194.12749642902</v>
      </c>
      <c r="Q674" s="81">
        <v>857981.91937069036</v>
      </c>
      <c r="R674" s="81">
        <v>899146.93839585781</v>
      </c>
      <c r="S674" s="81">
        <v>940638.90214519773</v>
      </c>
      <c r="T674" s="81">
        <v>982401.89027970575</v>
      </c>
      <c r="U674" s="81">
        <v>1024381.2326699069</v>
      </c>
      <c r="V674" s="81">
        <v>1066524.1736068581</v>
      </c>
      <c r="W674" s="81">
        <v>1108780.5540373405</v>
      </c>
      <c r="X674" s="81">
        <v>1151095.0578969468</v>
      </c>
      <c r="Y674" s="81">
        <v>1193419.6056860932</v>
      </c>
      <c r="Z674" s="81">
        <v>1235710.275558965</v>
      </c>
      <c r="AA674" s="81">
        <v>1289405.1844158655</v>
      </c>
      <c r="AB674" s="81">
        <v>1343041.9562857554</v>
      </c>
      <c r="AC674" s="81">
        <v>1396567.9715221815</v>
      </c>
      <c r="AD674" s="81">
        <v>1449926.6826940777</v>
      </c>
      <c r="AE674" s="81">
        <v>1503089.4977866204</v>
      </c>
      <c r="AF674" s="81">
        <v>1556021.0287306984</v>
      </c>
      <c r="AG674" s="81">
        <v>1608683.0834512468</v>
      </c>
      <c r="AH674" s="81">
        <v>1661070.0797887796</v>
      </c>
      <c r="AI674" s="81">
        <v>1713157.7708436067</v>
      </c>
      <c r="AJ674" s="81">
        <v>1764950.9986892818</v>
      </c>
      <c r="AK674" s="81">
        <v>1834909.1412259096</v>
      </c>
      <c r="AL674" s="81">
        <v>1904682.3008229684</v>
      </c>
      <c r="AM674" s="81">
        <v>1974270.2041593555</v>
      </c>
      <c r="AN674" s="81">
        <v>2043709.7546224624</v>
      </c>
      <c r="AO674" s="81">
        <v>2113057.237938141</v>
      </c>
      <c r="AP674" s="81">
        <v>2182365.6362715596</v>
      </c>
      <c r="AQ674" s="81">
        <v>2251732.2944499478</v>
      </c>
      <c r="AR674" s="81">
        <v>2321252.8094651718</v>
      </c>
      <c r="AS674" s="81">
        <v>2391054.2108190944</v>
      </c>
      <c r="AT674" s="81">
        <v>2461279.5902953655</v>
      </c>
    </row>
    <row r="675" spans="1:46" ht="15.75">
      <c r="A675" s="81" t="s">
        <v>448</v>
      </c>
      <c r="B675" s="80">
        <v>540500</v>
      </c>
      <c r="C675" s="80" t="s">
        <v>416</v>
      </c>
      <c r="D675" s="84" t="s">
        <v>544</v>
      </c>
      <c r="E675" s="81">
        <v>609367.71493094543</v>
      </c>
      <c r="F675" s="81">
        <v>645315.03196723259</v>
      </c>
      <c r="G675" s="81">
        <v>683363.16367314465</v>
      </c>
      <c r="H675" s="81">
        <v>722268.09355292295</v>
      </c>
      <c r="I675" s="81">
        <v>761984.95006303117</v>
      </c>
      <c r="J675" s="81">
        <v>802474.84707552823</v>
      </c>
      <c r="K675" s="81">
        <v>843688.8590190697</v>
      </c>
      <c r="L675" s="81">
        <v>885583.14012371365</v>
      </c>
      <c r="M675" s="81">
        <v>928105.91801038932</v>
      </c>
      <c r="N675" s="81">
        <v>971209.30401623028</v>
      </c>
      <c r="O675" s="81">
        <v>1014840.0240188448</v>
      </c>
      <c r="P675" s="81">
        <v>1058947.1838253024</v>
      </c>
      <c r="Q675" s="81">
        <v>1109724.2427393368</v>
      </c>
      <c r="R675" s="81">
        <v>1160783.0523098982</v>
      </c>
      <c r="S675" s="81">
        <v>1212058.0012084893</v>
      </c>
      <c r="T675" s="81">
        <v>1263488.2939688559</v>
      </c>
      <c r="U675" s="81">
        <v>1315015.7958337665</v>
      </c>
      <c r="V675" s="81">
        <v>1366575.1593752161</v>
      </c>
      <c r="W675" s="81">
        <v>1418114.3559470323</v>
      </c>
      <c r="X675" s="81">
        <v>1469574.6823009807</v>
      </c>
      <c r="Y675" s="81">
        <v>1520912.8166052951</v>
      </c>
      <c r="Z675" s="81">
        <v>1572075.3415466179</v>
      </c>
      <c r="AA675" s="81">
        <v>1637614.2691675192</v>
      </c>
      <c r="AB675" s="81">
        <v>1702924.6578172788</v>
      </c>
      <c r="AC675" s="81">
        <v>1767957.4626926186</v>
      </c>
      <c r="AD675" s="81">
        <v>1832676.674415512</v>
      </c>
      <c r="AE675" s="81">
        <v>1897046.5465937317</v>
      </c>
      <c r="AF675" s="81">
        <v>1961040.8947319591</v>
      </c>
      <c r="AG675" s="81">
        <v>2024644.0583304567</v>
      </c>
      <c r="AH675" s="81">
        <v>2087846.502339802</v>
      </c>
      <c r="AI675" s="81">
        <v>2150661.595708794</v>
      </c>
      <c r="AJ675" s="81">
        <v>2213099.729705255</v>
      </c>
      <c r="AK675" s="81">
        <v>2298313.9983458542</v>
      </c>
      <c r="AL675" s="81">
        <v>2383264.0879332027</v>
      </c>
      <c r="AM675" s="81">
        <v>2468006.8482442615</v>
      </c>
      <c r="AN675" s="81">
        <v>2552600.7680484224</v>
      </c>
      <c r="AO675" s="81">
        <v>2637131.5522230561</v>
      </c>
      <c r="AP675" s="81">
        <v>2721700.4464338748</v>
      </c>
      <c r="AQ675" s="81">
        <v>2806446.8114033374</v>
      </c>
      <c r="AR675" s="81">
        <v>2891506.0209349669</v>
      </c>
      <c r="AS675" s="81">
        <v>2977061.5681393179</v>
      </c>
      <c r="AT675" s="81">
        <v>3063309.4405904063</v>
      </c>
    </row>
    <row r="676" spans="1:46" ht="15.75">
      <c r="A676" s="81" t="s">
        <v>448</v>
      </c>
      <c r="B676" s="80">
        <v>540600</v>
      </c>
      <c r="C676" s="80" t="s">
        <v>416</v>
      </c>
      <c r="D676" s="84" t="s">
        <v>543</v>
      </c>
      <c r="E676" s="81">
        <v>958242.48107647221</v>
      </c>
      <c r="F676" s="81">
        <v>1011704.2456708405</v>
      </c>
      <c r="G676" s="81">
        <v>1069909.9584203896</v>
      </c>
      <c r="H676" s="81">
        <v>1130951.0591269566</v>
      </c>
      <c r="I676" s="81">
        <v>1194797.8710129578</v>
      </c>
      <c r="J676" s="81">
        <v>1261407.5008186598</v>
      </c>
      <c r="K676" s="81">
        <v>1330711.491000806</v>
      </c>
      <c r="L676" s="81">
        <v>1402623.377995997</v>
      </c>
      <c r="M676" s="81">
        <v>1477045.5001915945</v>
      </c>
      <c r="N676" s="81">
        <v>1553854.614947485</v>
      </c>
      <c r="O676" s="81">
        <v>1632921.8938690093</v>
      </c>
      <c r="P676" s="81">
        <v>1714101.0535134911</v>
      </c>
      <c r="Q676" s="81">
        <v>1807409.5023900846</v>
      </c>
      <c r="R676" s="81">
        <v>1902487.7094562831</v>
      </c>
      <c r="S676" s="81">
        <v>1999145.8624202935</v>
      </c>
      <c r="T676" s="81">
        <v>2097184.2244471931</v>
      </c>
      <c r="U676" s="81">
        <v>2196399.054532038</v>
      </c>
      <c r="V676" s="81">
        <v>2296581.7184095737</v>
      </c>
      <c r="W676" s="81">
        <v>2397529.024198899</v>
      </c>
      <c r="X676" s="81">
        <v>2499030.5344858575</v>
      </c>
      <c r="Y676" s="81">
        <v>2600899.5594960507</v>
      </c>
      <c r="Z676" s="81">
        <v>2702939.5837891116</v>
      </c>
      <c r="AA676" s="81">
        <v>2830197.442810989</v>
      </c>
      <c r="AB676" s="81">
        <v>2957583.9021987119</v>
      </c>
      <c r="AC676" s="81">
        <v>3084926.1026115944</v>
      </c>
      <c r="AD676" s="81">
        <v>3212052.7379981596</v>
      </c>
      <c r="AE676" s="81">
        <v>3338831.5066781165</v>
      </c>
      <c r="AF676" s="81">
        <v>3465164.7757735145</v>
      </c>
      <c r="AG676" s="81">
        <v>3590983.0854112823</v>
      </c>
      <c r="AH676" s="81">
        <v>3716271.9155956814</v>
      </c>
      <c r="AI676" s="81">
        <v>3841054.3079711744</v>
      </c>
      <c r="AJ676" s="81">
        <v>3965406.750255208</v>
      </c>
      <c r="AK676" s="81">
        <v>4131020.7866730695</v>
      </c>
      <c r="AL676" s="81">
        <v>4296875.9920427781</v>
      </c>
      <c r="AM676" s="81">
        <v>4463209.5233222796</v>
      </c>
      <c r="AN676" s="81">
        <v>4630353.6700452901</v>
      </c>
      <c r="AO676" s="81">
        <v>4798729.5718090069</v>
      </c>
      <c r="AP676" s="81">
        <v>4968877.3555745948</v>
      </c>
      <c r="AQ676" s="81">
        <v>5141417.7182172043</v>
      </c>
      <c r="AR676" s="81">
        <v>5317113.6594110662</v>
      </c>
      <c r="AS676" s="81">
        <v>5496839.1378635317</v>
      </c>
      <c r="AT676" s="81">
        <v>5681593.6237318795</v>
      </c>
    </row>
    <row r="677" spans="1:46" ht="15.75">
      <c r="A677" s="81" t="s">
        <v>448</v>
      </c>
      <c r="B677" s="80">
        <v>542500</v>
      </c>
      <c r="C677" s="80" t="s">
        <v>416</v>
      </c>
      <c r="D677" s="84" t="s">
        <v>542</v>
      </c>
      <c r="E677" s="81">
        <v>177706.78352191477</v>
      </c>
      <c r="F677" s="81">
        <v>188014.3698416097</v>
      </c>
      <c r="G677" s="81">
        <v>199091.47372573026</v>
      </c>
      <c r="H677" s="81">
        <v>210582.83048543765</v>
      </c>
      <c r="I677" s="81">
        <v>222481.32397779243</v>
      </c>
      <c r="J677" s="81">
        <v>234779.81395736811</v>
      </c>
      <c r="K677" s="81">
        <v>247466.047456108</v>
      </c>
      <c r="L677" s="81">
        <v>260528.08682210665</v>
      </c>
      <c r="M677" s="81">
        <v>273952.90939669701</v>
      </c>
      <c r="N677" s="81">
        <v>287720.2486758033</v>
      </c>
      <c r="O677" s="81">
        <v>301815.05304732657</v>
      </c>
      <c r="P677" s="81">
        <v>316217.45642298349</v>
      </c>
      <c r="Q677" s="81">
        <v>332780.32808954187</v>
      </c>
      <c r="R677" s="81">
        <v>349596.85637099016</v>
      </c>
      <c r="S677" s="81">
        <v>366640.63537917129</v>
      </c>
      <c r="T677" s="81">
        <v>383888.00305857399</v>
      </c>
      <c r="U677" s="81">
        <v>401307.71778305416</v>
      </c>
      <c r="V677" s="81">
        <v>418874.52911231125</v>
      </c>
      <c r="W677" s="81">
        <v>436561.59531962988</v>
      </c>
      <c r="X677" s="81">
        <v>454337.31647298217</v>
      </c>
      <c r="Y677" s="81">
        <v>472184.25521047326</v>
      </c>
      <c r="Z677" s="81">
        <v>490068.24663284479</v>
      </c>
      <c r="AA677" s="81">
        <v>512536.17167256522</v>
      </c>
      <c r="AB677" s="81">
        <v>535039.57914999512</v>
      </c>
      <c r="AC677" s="81">
        <v>557555.8897215192</v>
      </c>
      <c r="AD677" s="81">
        <v>580059.30934951454</v>
      </c>
      <c r="AE677" s="81">
        <v>602528.25579375087</v>
      </c>
      <c r="AF677" s="81">
        <v>624941.88389376353</v>
      </c>
      <c r="AG677" s="81">
        <v>647293.16171408375</v>
      </c>
      <c r="AH677" s="81">
        <v>669568.59284073685</v>
      </c>
      <c r="AI677" s="81">
        <v>691765.37520840322</v>
      </c>
      <c r="AJ677" s="81">
        <v>713888.11932804261</v>
      </c>
      <c r="AK677" s="81">
        <v>743419.40770755347</v>
      </c>
      <c r="AL677" s="81">
        <v>772949.90222615656</v>
      </c>
      <c r="AM677" s="81">
        <v>802494.77016753994</v>
      </c>
      <c r="AN677" s="81">
        <v>832091.37862889038</v>
      </c>
      <c r="AO677" s="81">
        <v>861761.82534177054</v>
      </c>
      <c r="AP677" s="81">
        <v>891569.07344225794</v>
      </c>
      <c r="AQ677" s="81">
        <v>921561.06607715832</v>
      </c>
      <c r="AR677" s="81">
        <v>951811.71567320416</v>
      </c>
      <c r="AS677" s="81">
        <v>982417.5341571999</v>
      </c>
      <c r="AT677" s="81">
        <v>1013465.6434297002</v>
      </c>
    </row>
    <row r="678" spans="1:46" ht="15.75">
      <c r="A678" s="81" t="s">
        <v>448</v>
      </c>
      <c r="B678" s="80">
        <v>610100</v>
      </c>
      <c r="C678" s="80" t="s">
        <v>415</v>
      </c>
      <c r="D678" s="84" t="s">
        <v>541</v>
      </c>
      <c r="E678" s="81">
        <v>108738000.72770195</v>
      </c>
      <c r="F678" s="81">
        <v>112757024.59675647</v>
      </c>
      <c r="G678" s="81">
        <v>116060727.5064768</v>
      </c>
      <c r="H678" s="81">
        <v>119249199.00237466</v>
      </c>
      <c r="I678" s="81">
        <v>122326631.57350624</v>
      </c>
      <c r="J678" s="81">
        <v>125297460.31641375</v>
      </c>
      <c r="K678" s="81">
        <v>128166409.61989632</v>
      </c>
      <c r="L678" s="81">
        <v>130938391.26907149</v>
      </c>
      <c r="M678" s="81">
        <v>133618551.23465526</v>
      </c>
      <c r="N678" s="81">
        <v>136212172.51057914</v>
      </c>
      <c r="O678" s="81">
        <v>138724681.97484022</v>
      </c>
      <c r="P678" s="81">
        <v>141161628.90025821</v>
      </c>
      <c r="Q678" s="81">
        <v>143000324.94407359</v>
      </c>
      <c r="R678" s="81">
        <v>144767234.72399607</v>
      </c>
      <c r="S678" s="81">
        <v>146468824.27207372</v>
      </c>
      <c r="T678" s="81">
        <v>148111408.65710753</v>
      </c>
      <c r="U678" s="81">
        <v>149701107.73726705</v>
      </c>
      <c r="V678" s="81">
        <v>151243822.83528396</v>
      </c>
      <c r="W678" s="81">
        <v>152745213.51588798</v>
      </c>
      <c r="X678" s="81">
        <v>154210651.34353098</v>
      </c>
      <c r="Y678" s="81">
        <v>155645172.00546089</v>
      </c>
      <c r="Z678" s="81">
        <v>157053473.24914679</v>
      </c>
      <c r="AA678" s="81">
        <v>158378987.48528054</v>
      </c>
      <c r="AB678" s="81">
        <v>159685178.15777236</v>
      </c>
      <c r="AC678" s="81">
        <v>160975463.55226487</v>
      </c>
      <c r="AD678" s="81">
        <v>162252716.71798724</v>
      </c>
      <c r="AE678" s="81">
        <v>163519262.10572374</v>
      </c>
      <c r="AF678" s="81">
        <v>164776823.2175822</v>
      </c>
      <c r="AG678" s="81">
        <v>166026507.41440871</v>
      </c>
      <c r="AH678" s="81">
        <v>167268687.48985115</v>
      </c>
      <c r="AI678" s="81">
        <v>168503061.96996915</v>
      </c>
      <c r="AJ678" s="81">
        <v>169728521.73599547</v>
      </c>
      <c r="AK678" s="81">
        <v>171076531.17280906</v>
      </c>
      <c r="AL678" s="81">
        <v>172411023.21524426</v>
      </c>
      <c r="AM678" s="81">
        <v>173728306.48964751</v>
      </c>
      <c r="AN678" s="81">
        <v>175023730.12208343</v>
      </c>
      <c r="AO678" s="81">
        <v>176291634.21612796</v>
      </c>
      <c r="AP678" s="81">
        <v>177525270.91257828</v>
      </c>
      <c r="AQ678" s="81">
        <v>178716838.78960228</v>
      </c>
      <c r="AR678" s="81">
        <v>179857317.06627932</v>
      </c>
      <c r="AS678" s="81">
        <v>180936513.72477767</v>
      </c>
      <c r="AT678" s="81">
        <v>181942954.78931448</v>
      </c>
    </row>
    <row r="679" spans="1:46" ht="15.75">
      <c r="A679" s="81" t="s">
        <v>448</v>
      </c>
      <c r="B679" s="80">
        <v>610200</v>
      </c>
      <c r="C679" s="80" t="s">
        <v>415</v>
      </c>
      <c r="D679" s="84" t="s">
        <v>540</v>
      </c>
      <c r="E679" s="81">
        <v>4592311.7300931672</v>
      </c>
      <c r="F679" s="81">
        <v>4744565.6958521102</v>
      </c>
      <c r="G679" s="81">
        <v>4868303.3156142579</v>
      </c>
      <c r="H679" s="81">
        <v>4988776.4695462408</v>
      </c>
      <c r="I679" s="81">
        <v>5105944.7586756814</v>
      </c>
      <c r="J679" s="81">
        <v>5219765.082244087</v>
      </c>
      <c r="K679" s="81">
        <v>5330213.0236013271</v>
      </c>
      <c r="L679" s="81">
        <v>5437268.7252424806</v>
      </c>
      <c r="M679" s="81">
        <v>5540939.7063133912</v>
      </c>
      <c r="N679" s="81">
        <v>5641207.6840490345</v>
      </c>
      <c r="O679" s="81">
        <v>5738105.3195340587</v>
      </c>
      <c r="P679" s="81">
        <v>5831646.9459568365</v>
      </c>
      <c r="Q679" s="81">
        <v>5899857.3887555953</v>
      </c>
      <c r="R679" s="81">
        <v>5964538.6567160012</v>
      </c>
      <c r="S679" s="81">
        <v>6025802.1302835606</v>
      </c>
      <c r="T679" s="81">
        <v>6083736.7575649777</v>
      </c>
      <c r="U679" s="81">
        <v>6138459.0049622087</v>
      </c>
      <c r="V679" s="81">
        <v>6190096.610215079</v>
      </c>
      <c r="W679" s="81">
        <v>6238779.8970348984</v>
      </c>
      <c r="X679" s="81">
        <v>6284650.4013081007</v>
      </c>
      <c r="Y679" s="81">
        <v>6327842.8484271131</v>
      </c>
      <c r="Z679" s="81">
        <v>6368521.0816571899</v>
      </c>
      <c r="AA679" s="81">
        <v>6404158.4128134036</v>
      </c>
      <c r="AB679" s="81">
        <v>6437584.1746490598</v>
      </c>
      <c r="AC679" s="81">
        <v>6468981.0391962407</v>
      </c>
      <c r="AD679" s="81">
        <v>6498552.3976042317</v>
      </c>
      <c r="AE679" s="81">
        <v>6526483.9666195223</v>
      </c>
      <c r="AF679" s="81">
        <v>6552991.6934282482</v>
      </c>
      <c r="AG679" s="81">
        <v>6578283.0173743591</v>
      </c>
      <c r="AH679" s="81">
        <v>6602596.3464786587</v>
      </c>
      <c r="AI679" s="81">
        <v>6626161.4135478484</v>
      </c>
      <c r="AJ679" s="81">
        <v>6649208.6184153752</v>
      </c>
      <c r="AK679" s="81">
        <v>6676961.984602863</v>
      </c>
      <c r="AL679" s="81">
        <v>6704670.0574497711</v>
      </c>
      <c r="AM679" s="81">
        <v>6732608.0090359151</v>
      </c>
      <c r="AN679" s="81">
        <v>6761052.5206314735</v>
      </c>
      <c r="AO679" s="81">
        <v>6790270.3311523488</v>
      </c>
      <c r="AP679" s="81">
        <v>6820561.5180856027</v>
      </c>
      <c r="AQ679" s="81">
        <v>6852227.2238504533</v>
      </c>
      <c r="AR679" s="81">
        <v>6885569.1620069686</v>
      </c>
      <c r="AS679" s="81">
        <v>6920912.0857375069</v>
      </c>
      <c r="AT679" s="81">
        <v>6958558.1087451912</v>
      </c>
    </row>
    <row r="680" spans="1:46" ht="15.75">
      <c r="A680" s="81" t="s">
        <v>448</v>
      </c>
      <c r="B680" s="80">
        <v>610300</v>
      </c>
      <c r="C680" s="80" t="s">
        <v>415</v>
      </c>
      <c r="D680" s="84" t="s">
        <v>539</v>
      </c>
      <c r="E680" s="81">
        <v>23071029.941577196</v>
      </c>
      <c r="F680" s="81">
        <v>23856081.401404768</v>
      </c>
      <c r="G680" s="81">
        <v>24501103.036256429</v>
      </c>
      <c r="H680" s="81">
        <v>25132216.210535523</v>
      </c>
      <c r="I680" s="81">
        <v>25749074.98000402</v>
      </c>
      <c r="J680" s="81">
        <v>26351370.93581881</v>
      </c>
      <c r="K680" s="81">
        <v>26938857.71388036</v>
      </c>
      <c r="L680" s="81">
        <v>27511337.965746764</v>
      </c>
      <c r="M680" s="81">
        <v>28068640.489564817</v>
      </c>
      <c r="N680" s="81">
        <v>28610677.789137799</v>
      </c>
      <c r="O680" s="81">
        <v>29137399.865657374</v>
      </c>
      <c r="P680" s="81">
        <v>29648811.557683598</v>
      </c>
      <c r="Q680" s="81">
        <v>30034015.342900954</v>
      </c>
      <c r="R680" s="81">
        <v>30402554.476007301</v>
      </c>
      <c r="S680" s="81">
        <v>30754801.753107417</v>
      </c>
      <c r="T680" s="81">
        <v>31091189.287359212</v>
      </c>
      <c r="U680" s="81">
        <v>31412210.029186498</v>
      </c>
      <c r="V680" s="81">
        <v>31718400.690724209</v>
      </c>
      <c r="W680" s="81">
        <v>32010342.082976438</v>
      </c>
      <c r="X680" s="81">
        <v>32288697.622521754</v>
      </c>
      <c r="Y680" s="81">
        <v>32554167.750590585</v>
      </c>
      <c r="Z680" s="81">
        <v>32807489.653001092</v>
      </c>
      <c r="AA680" s="81">
        <v>33036814.872697052</v>
      </c>
      <c r="AB680" s="81">
        <v>33255472.32036718</v>
      </c>
      <c r="AC680" s="81">
        <v>33464427.647135809</v>
      </c>
      <c r="AD680" s="81">
        <v>33664675.161566481</v>
      </c>
      <c r="AE680" s="81">
        <v>33857278.384130187</v>
      </c>
      <c r="AF680" s="81">
        <v>34043371.451781534</v>
      </c>
      <c r="AG680" s="81">
        <v>34224128.610544309</v>
      </c>
      <c r="AH680" s="81">
        <v>34400817.600949422</v>
      </c>
      <c r="AI680" s="81">
        <v>34574736.983666211</v>
      </c>
      <c r="AJ680" s="81">
        <v>34747259.127512954</v>
      </c>
      <c r="AK680" s="81">
        <v>34947071.203369036</v>
      </c>
      <c r="AL680" s="81">
        <v>35148336.606666848</v>
      </c>
      <c r="AM680" s="81">
        <v>35352632.351451293</v>
      </c>
      <c r="AN680" s="81">
        <v>35561595.107117459</v>
      </c>
      <c r="AO680" s="81">
        <v>35776979.880532138</v>
      </c>
      <c r="AP680" s="81">
        <v>36000557.174449123</v>
      </c>
      <c r="AQ680" s="81">
        <v>36234194.234808579</v>
      </c>
      <c r="AR680" s="81">
        <v>36479857.328739747</v>
      </c>
      <c r="AS680" s="81">
        <v>36739552.787307419</v>
      </c>
      <c r="AT680" s="81">
        <v>37015375.370919056</v>
      </c>
    </row>
    <row r="681" spans="1:46" ht="15.75">
      <c r="A681" s="81" t="s">
        <v>448</v>
      </c>
      <c r="B681" s="80">
        <v>610400</v>
      </c>
      <c r="C681" s="80" t="s">
        <v>415</v>
      </c>
      <c r="D681" s="84" t="s">
        <v>538</v>
      </c>
      <c r="E681" s="81">
        <v>32326198.282337677</v>
      </c>
      <c r="F681" s="81">
        <v>33471214.38025317</v>
      </c>
      <c r="G681" s="81">
        <v>34419609.436193064</v>
      </c>
      <c r="H681" s="81">
        <v>35348299.840843663</v>
      </c>
      <c r="I681" s="81">
        <v>36257039.870060287</v>
      </c>
      <c r="J681" s="81">
        <v>37145634.66211506</v>
      </c>
      <c r="K681" s="81">
        <v>38013948.574377567</v>
      </c>
      <c r="L681" s="81">
        <v>38861923.26462587</v>
      </c>
      <c r="M681" s="81">
        <v>39689561.515823901</v>
      </c>
      <c r="N681" s="81">
        <v>40496927.489377081</v>
      </c>
      <c r="O681" s="81">
        <v>41284165.605942301</v>
      </c>
      <c r="P681" s="81">
        <v>42051473.77714622</v>
      </c>
      <c r="Q681" s="81">
        <v>42641607.356322363</v>
      </c>
      <c r="R681" s="81">
        <v>43209911.653287947</v>
      </c>
      <c r="S681" s="81">
        <v>43757074.743464112</v>
      </c>
      <c r="T681" s="81">
        <v>44283842.746247314</v>
      </c>
      <c r="U681" s="81">
        <v>44790999.605534956</v>
      </c>
      <c r="V681" s="81">
        <v>45279386.417470396</v>
      </c>
      <c r="W681" s="81">
        <v>45749922.308969572</v>
      </c>
      <c r="X681" s="81">
        <v>46203552.997020908</v>
      </c>
      <c r="Y681" s="81">
        <v>46641280.841678217</v>
      </c>
      <c r="Z681" s="81">
        <v>47064175.624506682</v>
      </c>
      <c r="AA681" s="81">
        <v>47455122.787519813</v>
      </c>
      <c r="AB681" s="81">
        <v>47833144.722973846</v>
      </c>
      <c r="AC681" s="81">
        <v>48199498.214983143</v>
      </c>
      <c r="AD681" s="81">
        <v>48555449.292528868</v>
      </c>
      <c r="AE681" s="81">
        <v>48902327.716146007</v>
      </c>
      <c r="AF681" s="81">
        <v>49241538.945088811</v>
      </c>
      <c r="AG681" s="81">
        <v>49574482.759001948</v>
      </c>
      <c r="AH681" s="81">
        <v>49902656.620794356</v>
      </c>
      <c r="AI681" s="81">
        <v>50227573.70305264</v>
      </c>
      <c r="AJ681" s="81">
        <v>50550809.126999184</v>
      </c>
      <c r="AK681" s="81">
        <v>50913647.994692422</v>
      </c>
      <c r="AL681" s="81">
        <v>51278045.348404825</v>
      </c>
      <c r="AM681" s="81">
        <v>51645694.675232746</v>
      </c>
      <c r="AN681" s="81">
        <v>52018353.983299963</v>
      </c>
      <c r="AO681" s="81">
        <v>52397846.017899483</v>
      </c>
      <c r="AP681" s="81">
        <v>52786006.114277005</v>
      </c>
      <c r="AQ681" s="81">
        <v>53184719.043420643</v>
      </c>
      <c r="AR681" s="81">
        <v>53595945.181734577</v>
      </c>
      <c r="AS681" s="81">
        <v>54021667.213094793</v>
      </c>
      <c r="AT681" s="81">
        <v>54463887.916519657</v>
      </c>
    </row>
    <row r="682" spans="1:46" ht="15.75">
      <c r="A682" s="81" t="s">
        <v>448</v>
      </c>
      <c r="B682" s="80">
        <v>610500</v>
      </c>
      <c r="C682" s="80" t="s">
        <v>415</v>
      </c>
      <c r="D682" s="84" t="s">
        <v>537</v>
      </c>
      <c r="E682" s="81">
        <v>32562137.942182939</v>
      </c>
      <c r="F682" s="81">
        <v>33671952.53652592</v>
      </c>
      <c r="G682" s="81">
        <v>34581926.043018818</v>
      </c>
      <c r="H682" s="81">
        <v>35470178.826883659</v>
      </c>
      <c r="I682" s="81">
        <v>36336340.497707099</v>
      </c>
      <c r="J682" s="81">
        <v>37180096.42389521</v>
      </c>
      <c r="K682" s="81">
        <v>38001227.622294948</v>
      </c>
      <c r="L682" s="81">
        <v>38799558.669725157</v>
      </c>
      <c r="M682" s="81">
        <v>39575022.011421598</v>
      </c>
      <c r="N682" s="81">
        <v>40327596.265158921</v>
      </c>
      <c r="O682" s="81">
        <v>41057347.418051064</v>
      </c>
      <c r="P682" s="81">
        <v>41764431.361372449</v>
      </c>
      <c r="Q682" s="81">
        <v>42292816.850549087</v>
      </c>
      <c r="R682" s="81">
        <v>42796998.258128531</v>
      </c>
      <c r="S682" s="81">
        <v>43277657.774949044</v>
      </c>
      <c r="T682" s="81">
        <v>43735521.180781841</v>
      </c>
      <c r="U682" s="81">
        <v>44171430.378721192</v>
      </c>
      <c r="V682" s="81">
        <v>44586254.173648313</v>
      </c>
      <c r="W682" s="81">
        <v>44980952.070532337</v>
      </c>
      <c r="X682" s="81">
        <v>45356538.102286153</v>
      </c>
      <c r="Y682" s="81">
        <v>45714128.745250151</v>
      </c>
      <c r="Z682" s="81">
        <v>46054877.005033411</v>
      </c>
      <c r="AA682" s="81">
        <v>46362219.624100849</v>
      </c>
      <c r="AB682" s="81">
        <v>46654979.709505439</v>
      </c>
      <c r="AC682" s="81">
        <v>46934556.463031173</v>
      </c>
      <c r="AD682" s="81">
        <v>47202444.056694195</v>
      </c>
      <c r="AE682" s="81">
        <v>47460181.420430034</v>
      </c>
      <c r="AF682" s="81">
        <v>47709382.492455065</v>
      </c>
      <c r="AG682" s="81">
        <v>47951747.372291051</v>
      </c>
      <c r="AH682" s="81">
        <v>48189031.150565796</v>
      </c>
      <c r="AI682" s="81">
        <v>48423086.719064601</v>
      </c>
      <c r="AJ682" s="81">
        <v>48655811.429418601</v>
      </c>
      <c r="AK682" s="81">
        <v>48927326.762453556</v>
      </c>
      <c r="AL682" s="81">
        <v>49201419.717211753</v>
      </c>
      <c r="AM682" s="81">
        <v>49480222.960771471</v>
      </c>
      <c r="AN682" s="81">
        <v>49765964.324630558</v>
      </c>
      <c r="AO682" s="81">
        <v>50060956.303393923</v>
      </c>
      <c r="AP682" s="81">
        <v>50367596.557312183</v>
      </c>
      <c r="AQ682" s="81">
        <v>50688344.461248547</v>
      </c>
      <c r="AR682" s="81">
        <v>51025756.52369009</v>
      </c>
      <c r="AS682" s="81">
        <v>51382463.042076223</v>
      </c>
      <c r="AT682" s="81">
        <v>51761192.635616973</v>
      </c>
    </row>
    <row r="683" spans="1:46" ht="15.75">
      <c r="A683" s="81" t="s">
        <v>448</v>
      </c>
      <c r="B683" s="80">
        <v>610600</v>
      </c>
      <c r="C683" s="80" t="s">
        <v>415</v>
      </c>
      <c r="D683" s="84" t="s">
        <v>536</v>
      </c>
      <c r="E683" s="81">
        <v>15816221.390420046</v>
      </c>
      <c r="F683" s="81">
        <v>16392625.73914001</v>
      </c>
      <c r="G683" s="81">
        <v>16877116.721279271</v>
      </c>
      <c r="H683" s="81">
        <v>17356184.623237938</v>
      </c>
      <c r="I683" s="81">
        <v>17829587.923590496</v>
      </c>
      <c r="J683" s="81">
        <v>18297137.32547095</v>
      </c>
      <c r="K683" s="81">
        <v>18758628.52899522</v>
      </c>
      <c r="L683" s="81">
        <v>19213895.65297465</v>
      </c>
      <c r="M683" s="81">
        <v>19662805.312261969</v>
      </c>
      <c r="N683" s="81">
        <v>20105208.35085427</v>
      </c>
      <c r="O683" s="81">
        <v>20541013.076800063</v>
      </c>
      <c r="P683" s="81">
        <v>20970120.214759894</v>
      </c>
      <c r="Q683" s="81">
        <v>21313737.168602243</v>
      </c>
      <c r="R683" s="81">
        <v>21648916.367730569</v>
      </c>
      <c r="S683" s="81">
        <v>21975763.347762778</v>
      </c>
      <c r="T683" s="81">
        <v>22294389.416858647</v>
      </c>
      <c r="U683" s="81">
        <v>22604920.11144717</v>
      </c>
      <c r="V683" s="81">
        <v>22907513.651962239</v>
      </c>
      <c r="W683" s="81">
        <v>23202352.561967514</v>
      </c>
      <c r="X683" s="81">
        <v>23489615.48056161</v>
      </c>
      <c r="Y683" s="81">
        <v>23769524.116140097</v>
      </c>
      <c r="Z683" s="81">
        <v>24042305.739993863</v>
      </c>
      <c r="AA683" s="81">
        <v>24298867.611840039</v>
      </c>
      <c r="AB683" s="81">
        <v>24548604.351967037</v>
      </c>
      <c r="AC683" s="81">
        <v>24791797.335326988</v>
      </c>
      <c r="AD683" s="81">
        <v>25028792.95855435</v>
      </c>
      <c r="AE683" s="81">
        <v>25259901.485170536</v>
      </c>
      <c r="AF683" s="81">
        <v>25485498.903223392</v>
      </c>
      <c r="AG683" s="81">
        <v>25705955.242664762</v>
      </c>
      <c r="AH683" s="81">
        <v>25921665.366086964</v>
      </c>
      <c r="AI683" s="81">
        <v>26133060.196750294</v>
      </c>
      <c r="AJ683" s="81">
        <v>26340574.640556585</v>
      </c>
      <c r="AK683" s="81">
        <v>26565364.24563298</v>
      </c>
      <c r="AL683" s="81">
        <v>26787239.639985878</v>
      </c>
      <c r="AM683" s="81">
        <v>27006683.612563889</v>
      </c>
      <c r="AN683" s="81">
        <v>27224217.557534728</v>
      </c>
      <c r="AO683" s="81">
        <v>27440355.743430153</v>
      </c>
      <c r="AP683" s="81">
        <v>27655674.604192905</v>
      </c>
      <c r="AQ683" s="81">
        <v>27870743.338783115</v>
      </c>
      <c r="AR683" s="81">
        <v>28086170.629280962</v>
      </c>
      <c r="AS683" s="81">
        <v>28302556.68295322</v>
      </c>
      <c r="AT683" s="81">
        <v>28520553.432134703</v>
      </c>
    </row>
    <row r="684" spans="1:46" ht="15.75">
      <c r="A684" s="81" t="s">
        <v>448</v>
      </c>
      <c r="B684" s="80">
        <v>610700</v>
      </c>
      <c r="C684" s="80" t="s">
        <v>415</v>
      </c>
      <c r="D684" s="84" t="s">
        <v>535</v>
      </c>
      <c r="E684" s="81">
        <v>21215121.903405525</v>
      </c>
      <c r="F684" s="81">
        <v>21839310.238850512</v>
      </c>
      <c r="G684" s="81">
        <v>22341260.180734307</v>
      </c>
      <c r="H684" s="81">
        <v>22836550.478250451</v>
      </c>
      <c r="I684" s="81">
        <v>23324444.038128991</v>
      </c>
      <c r="J684" s="81">
        <v>23804247.335265778</v>
      </c>
      <c r="K684" s="81">
        <v>24275278.44286976</v>
      </c>
      <c r="L684" s="81">
        <v>24736914.661079884</v>
      </c>
      <c r="M684" s="81">
        <v>25188552.374804907</v>
      </c>
      <c r="N684" s="81">
        <v>25629632.90808776</v>
      </c>
      <c r="O684" s="81">
        <v>26059654.915556047</v>
      </c>
      <c r="P684" s="81">
        <v>26478155.15692766</v>
      </c>
      <c r="Q684" s="81">
        <v>26785785.937069569</v>
      </c>
      <c r="R684" s="81">
        <v>27080032.086451583</v>
      </c>
      <c r="S684" s="81">
        <v>27360792.368402816</v>
      </c>
      <c r="T684" s="81">
        <v>27628001.119795006</v>
      </c>
      <c r="U684" s="81">
        <v>27881699.346535128</v>
      </c>
      <c r="V684" s="81">
        <v>28121979.135344267</v>
      </c>
      <c r="W684" s="81">
        <v>28349021.541316357</v>
      </c>
      <c r="X684" s="81">
        <v>28563083.029160034</v>
      </c>
      <c r="Y684" s="81">
        <v>28764508.064413227</v>
      </c>
      <c r="Z684" s="81">
        <v>28953723.912901949</v>
      </c>
      <c r="AA684" s="81">
        <v>29120076.146389943</v>
      </c>
      <c r="AB684" s="81">
        <v>29275195.230750203</v>
      </c>
      <c r="AC684" s="81">
        <v>29419842.199111011</v>
      </c>
      <c r="AD684" s="81">
        <v>29554837.540765431</v>
      </c>
      <c r="AE684" s="81">
        <v>29681131.363581941</v>
      </c>
      <c r="AF684" s="81">
        <v>29799798.774642907</v>
      </c>
      <c r="AG684" s="81">
        <v>29912004.402827986</v>
      </c>
      <c r="AH684" s="81">
        <v>30019045.713160958</v>
      </c>
      <c r="AI684" s="81">
        <v>30122337.311569411</v>
      </c>
      <c r="AJ684" s="81">
        <v>30223446.03941701</v>
      </c>
      <c r="AK684" s="81">
        <v>30347677.330062039</v>
      </c>
      <c r="AL684" s="81">
        <v>30473057.538333844</v>
      </c>
      <c r="AM684" s="81">
        <v>30601532.768008757</v>
      </c>
      <c r="AN684" s="81">
        <v>30735236.042597644</v>
      </c>
      <c r="AO684" s="81">
        <v>30876449.981233984</v>
      </c>
      <c r="AP684" s="81">
        <v>31027600.04053019</v>
      </c>
      <c r="AQ684" s="81">
        <v>31191292.363712739</v>
      </c>
      <c r="AR684" s="81">
        <v>31370308.17389854</v>
      </c>
      <c r="AS684" s="81">
        <v>31567585.839247786</v>
      </c>
      <c r="AT684" s="81">
        <v>31786283.541050136</v>
      </c>
    </row>
    <row r="685" spans="1:46" ht="15.75">
      <c r="A685" s="81" t="s">
        <v>448</v>
      </c>
      <c r="B685" s="80">
        <v>610800</v>
      </c>
      <c r="C685" s="80" t="s">
        <v>415</v>
      </c>
      <c r="D685" s="84" t="s">
        <v>534</v>
      </c>
      <c r="E685" s="81">
        <v>25110061.00659544</v>
      </c>
      <c r="F685" s="81">
        <v>26031168.153679695</v>
      </c>
      <c r="G685" s="81">
        <v>26802732.27279263</v>
      </c>
      <c r="H685" s="81">
        <v>27562244.718183149</v>
      </c>
      <c r="I685" s="81">
        <v>28309573.443230212</v>
      </c>
      <c r="J685" s="81">
        <v>29044610.798154496</v>
      </c>
      <c r="K685" s="81">
        <v>29767295.663433123</v>
      </c>
      <c r="L685" s="81">
        <v>30477597.969488017</v>
      </c>
      <c r="M685" s="81">
        <v>31175525.934822667</v>
      </c>
      <c r="N685" s="81">
        <v>31861125.793043219</v>
      </c>
      <c r="O685" s="81">
        <v>32534498.360867493</v>
      </c>
      <c r="P685" s="81">
        <v>33195748.547962733</v>
      </c>
      <c r="Q685" s="81">
        <v>33720474.813619435</v>
      </c>
      <c r="R685" s="81">
        <v>34231005.33355698</v>
      </c>
      <c r="S685" s="81">
        <v>34727742.317468107</v>
      </c>
      <c r="T685" s="81">
        <v>35211139.028606474</v>
      </c>
      <c r="U685" s="81">
        <v>35681663.989019632</v>
      </c>
      <c r="V685" s="81">
        <v>36139808.827161424</v>
      </c>
      <c r="W685" s="81">
        <v>36586077.956707828</v>
      </c>
      <c r="X685" s="81">
        <v>37021006.130303793</v>
      </c>
      <c r="Y685" s="81">
        <v>37445148.411627918</v>
      </c>
      <c r="Z685" s="81">
        <v>37859069.389171049</v>
      </c>
      <c r="AA685" s="81">
        <v>38248667.683728814</v>
      </c>
      <c r="AB685" s="81">
        <v>38628889.630237646</v>
      </c>
      <c r="AC685" s="81">
        <v>39000373.732260816</v>
      </c>
      <c r="AD685" s="81">
        <v>39363762.247648776</v>
      </c>
      <c r="AE685" s="81">
        <v>39719709.767412938</v>
      </c>
      <c r="AF685" s="81">
        <v>40068881.976533845</v>
      </c>
      <c r="AG685" s="81">
        <v>40411975.667465918</v>
      </c>
      <c r="AH685" s="81">
        <v>40749654.097781278</v>
      </c>
      <c r="AI685" s="81">
        <v>41082619.409745887</v>
      </c>
      <c r="AJ685" s="81">
        <v>41411569.087135091</v>
      </c>
      <c r="AK685" s="81">
        <v>41769762.62781167</v>
      </c>
      <c r="AL685" s="81">
        <v>42125396.269603156</v>
      </c>
      <c r="AM685" s="81">
        <v>42479182.585086249</v>
      </c>
      <c r="AN685" s="81">
        <v>42831825.590413392</v>
      </c>
      <c r="AO685" s="81">
        <v>43184006.79647582</v>
      </c>
      <c r="AP685" s="81">
        <v>43536453.217462428</v>
      </c>
      <c r="AQ685" s="81">
        <v>43889830.752325311</v>
      </c>
      <c r="AR685" s="81">
        <v>44244860.151066646</v>
      </c>
      <c r="AS685" s="81">
        <v>44602208.536927179</v>
      </c>
      <c r="AT685" s="81">
        <v>44962546.829480074</v>
      </c>
    </row>
    <row r="686" spans="1:46" ht="15.75">
      <c r="A686" s="81" t="s">
        <v>448</v>
      </c>
      <c r="B686" s="80">
        <v>610900</v>
      </c>
      <c r="C686" s="80" t="s">
        <v>415</v>
      </c>
      <c r="D686" s="84" t="s">
        <v>533</v>
      </c>
      <c r="E686" s="81">
        <v>16429108.406633524</v>
      </c>
      <c r="F686" s="81">
        <v>16956565.602457982</v>
      </c>
      <c r="G686" s="81">
        <v>17390804.327307526</v>
      </c>
      <c r="H686" s="81">
        <v>17821295.156849213</v>
      </c>
      <c r="I686" s="81">
        <v>18247428.773244288</v>
      </c>
      <c r="J686" s="81">
        <v>18668646.451926582</v>
      </c>
      <c r="K686" s="81">
        <v>19084378.864732649</v>
      </c>
      <c r="L686" s="81">
        <v>19494099.221940309</v>
      </c>
      <c r="M686" s="81">
        <v>19897304.855439689</v>
      </c>
      <c r="N686" s="81">
        <v>20293512.18836486</v>
      </c>
      <c r="O686" s="81">
        <v>20682298.951294675</v>
      </c>
      <c r="P686" s="81">
        <v>21063261.090859316</v>
      </c>
      <c r="Q686" s="81">
        <v>21357134.627010215</v>
      </c>
      <c r="R686" s="81">
        <v>21641245.235010602</v>
      </c>
      <c r="S686" s="81">
        <v>21915462.204278711</v>
      </c>
      <c r="T686" s="81">
        <v>22179692.606501617</v>
      </c>
      <c r="U686" s="81">
        <v>22433909.354087416</v>
      </c>
      <c r="V686" s="81">
        <v>22678128.471968658</v>
      </c>
      <c r="W686" s="81">
        <v>22912428.998054624</v>
      </c>
      <c r="X686" s="81">
        <v>23136956.215011619</v>
      </c>
      <c r="Y686" s="81">
        <v>23351934.088533904</v>
      </c>
      <c r="Z686" s="81">
        <v>23557622.831649873</v>
      </c>
      <c r="AA686" s="81">
        <v>23745263.653730325</v>
      </c>
      <c r="AB686" s="81">
        <v>23924221.613004278</v>
      </c>
      <c r="AC686" s="81">
        <v>24095023.723184358</v>
      </c>
      <c r="AD686" s="81">
        <v>24258243.39787554</v>
      </c>
      <c r="AE686" s="81">
        <v>24414570.440652255</v>
      </c>
      <c r="AF686" s="81">
        <v>24564776.375713449</v>
      </c>
      <c r="AG686" s="81">
        <v>24709697.197421126</v>
      </c>
      <c r="AH686" s="81">
        <v>24850296.294279378</v>
      </c>
      <c r="AI686" s="81">
        <v>24987607.901534319</v>
      </c>
      <c r="AJ686" s="81">
        <v>25122780.656155962</v>
      </c>
      <c r="AK686" s="81">
        <v>25276752.206797365</v>
      </c>
      <c r="AL686" s="81">
        <v>25431119.83044273</v>
      </c>
      <c r="AM686" s="81">
        <v>25587361.583175261</v>
      </c>
      <c r="AN686" s="81">
        <v>25747046.189828072</v>
      </c>
      <c r="AO686" s="81">
        <v>25911890.592287734</v>
      </c>
      <c r="AP686" s="81">
        <v>26083731.801879559</v>
      </c>
      <c r="AQ686" s="81">
        <v>26264530.464892678</v>
      </c>
      <c r="AR686" s="81">
        <v>26456374.468220439</v>
      </c>
      <c r="AS686" s="81">
        <v>26661505.788020242</v>
      </c>
      <c r="AT686" s="81">
        <v>26882313.775459789</v>
      </c>
    </row>
    <row r="687" spans="1:46" ht="15.75">
      <c r="A687" s="81" t="s">
        <v>448</v>
      </c>
      <c r="B687" s="80">
        <v>611000</v>
      </c>
      <c r="C687" s="80" t="s">
        <v>415</v>
      </c>
      <c r="D687" s="84" t="s">
        <v>532</v>
      </c>
      <c r="E687" s="81">
        <v>13407901.130928349</v>
      </c>
      <c r="F687" s="81">
        <v>13881669.089794654</v>
      </c>
      <c r="G687" s="81">
        <v>14275421.330765918</v>
      </c>
      <c r="H687" s="81">
        <v>14662435.336473618</v>
      </c>
      <c r="I687" s="81">
        <v>15042491.300354613</v>
      </c>
      <c r="J687" s="81">
        <v>15415406.296654267</v>
      </c>
      <c r="K687" s="81">
        <v>15781006.611088933</v>
      </c>
      <c r="L687" s="81">
        <v>16139150.009816239</v>
      </c>
      <c r="M687" s="81">
        <v>16489719.512010155</v>
      </c>
      <c r="N687" s="81">
        <v>16832624.221671905</v>
      </c>
      <c r="O687" s="81">
        <v>17167800.159440938</v>
      </c>
      <c r="P687" s="81">
        <v>17495202.954584476</v>
      </c>
      <c r="Q687" s="81">
        <v>17749256.185403485</v>
      </c>
      <c r="R687" s="81">
        <v>17994444.517128557</v>
      </c>
      <c r="S687" s="81">
        <v>18230932.586906154</v>
      </c>
      <c r="T687" s="81">
        <v>18458902.410730459</v>
      </c>
      <c r="U687" s="81">
        <v>18678579.395945288</v>
      </c>
      <c r="V687" s="81">
        <v>18890198.715467762</v>
      </c>
      <c r="W687" s="81">
        <v>19094049.280387331</v>
      </c>
      <c r="X687" s="81">
        <v>19290412.669907477</v>
      </c>
      <c r="Y687" s="81">
        <v>19479625.402218305</v>
      </c>
      <c r="Z687" s="81">
        <v>19662044.068044636</v>
      </c>
      <c r="AA687" s="81">
        <v>19830445.917253252</v>
      </c>
      <c r="AB687" s="81">
        <v>19992702.745689865</v>
      </c>
      <c r="AC687" s="81">
        <v>20149278.673616949</v>
      </c>
      <c r="AD687" s="81">
        <v>20300658.650127891</v>
      </c>
      <c r="AE687" s="81">
        <v>20447367.982630219</v>
      </c>
      <c r="AF687" s="81">
        <v>20589953.415704742</v>
      </c>
      <c r="AG687" s="81">
        <v>20728993.044812948</v>
      </c>
      <c r="AH687" s="81">
        <v>20865096.732274275</v>
      </c>
      <c r="AI687" s="81">
        <v>20998927.146386027</v>
      </c>
      <c r="AJ687" s="81">
        <v>21131149.2127445</v>
      </c>
      <c r="AK687" s="81">
        <v>21279067.518099483</v>
      </c>
      <c r="AL687" s="81">
        <v>21426816.717668671</v>
      </c>
      <c r="AM687" s="81">
        <v>21575185.421758655</v>
      </c>
      <c r="AN687" s="81">
        <v>21724999.443194229</v>
      </c>
      <c r="AO687" s="81">
        <v>21877111.197801739</v>
      </c>
      <c r="AP687" s="81">
        <v>22032410.730096072</v>
      </c>
      <c r="AQ687" s="81">
        <v>22191848.854285277</v>
      </c>
      <c r="AR687" s="81">
        <v>22356393.069159612</v>
      </c>
      <c r="AS687" s="81">
        <v>22527049.914257482</v>
      </c>
      <c r="AT687" s="81">
        <v>22704877.172810446</v>
      </c>
    </row>
    <row r="688" spans="1:46" ht="15.75">
      <c r="A688" s="81" t="s">
        <v>448</v>
      </c>
      <c r="B688" s="80">
        <v>620100</v>
      </c>
      <c r="C688" s="80" t="s">
        <v>414</v>
      </c>
      <c r="D688" s="84" t="s">
        <v>531</v>
      </c>
      <c r="E688" s="81">
        <v>43319937.219537839</v>
      </c>
      <c r="F688" s="81">
        <v>44974284.054045878</v>
      </c>
      <c r="G688" s="81">
        <v>46367653.556307755</v>
      </c>
      <c r="H688" s="81">
        <v>47725401.094417118</v>
      </c>
      <c r="I688" s="81">
        <v>49048268.178322084</v>
      </c>
      <c r="J688" s="81">
        <v>50337137.350381762</v>
      </c>
      <c r="K688" s="81">
        <v>51592992.405404739</v>
      </c>
      <c r="L688" s="81">
        <v>52816920.677116409</v>
      </c>
      <c r="M688" s="81">
        <v>54010128.07881733</v>
      </c>
      <c r="N688" s="81">
        <v>55173871.452693656</v>
      </c>
      <c r="O688" s="81">
        <v>56309507.127074838</v>
      </c>
      <c r="P688" s="81">
        <v>57418445.090650812</v>
      </c>
      <c r="Q688" s="81">
        <v>57993150.241129182</v>
      </c>
      <c r="R688" s="81">
        <v>58534147.689687677</v>
      </c>
      <c r="S688" s="81">
        <v>59043807.136514626</v>
      </c>
      <c r="T688" s="81">
        <v>59524425.265767843</v>
      </c>
      <c r="U688" s="81">
        <v>59978268.132289372</v>
      </c>
      <c r="V688" s="81">
        <v>60407469.193423279</v>
      </c>
      <c r="W688" s="81">
        <v>60814124.989339605</v>
      </c>
      <c r="X688" s="81">
        <v>61200178.3647274</v>
      </c>
      <c r="Y688" s="81">
        <v>61567516.287874565</v>
      </c>
      <c r="Z688" s="81">
        <v>61917878.888679653</v>
      </c>
      <c r="AA688" s="81">
        <v>62339202.662858367</v>
      </c>
      <c r="AB688" s="81">
        <v>62746359.080267571</v>
      </c>
      <c r="AC688" s="81">
        <v>63140633.354323685</v>
      </c>
      <c r="AD688" s="81">
        <v>63523158.100583233</v>
      </c>
      <c r="AE688" s="81">
        <v>63894946.136904903</v>
      </c>
      <c r="AF688" s="81">
        <v>64256762.805944405</v>
      </c>
      <c r="AG688" s="81">
        <v>64609260.815629221</v>
      </c>
      <c r="AH688" s="81">
        <v>64952836.526945844</v>
      </c>
      <c r="AI688" s="81">
        <v>65287737.976358399</v>
      </c>
      <c r="AJ688" s="81">
        <v>65613933.147255056</v>
      </c>
      <c r="AK688" s="81">
        <v>65999567.811643995</v>
      </c>
      <c r="AL688" s="81">
        <v>66375117.907007337</v>
      </c>
      <c r="AM688" s="81">
        <v>66739891.199082866</v>
      </c>
      <c r="AN688" s="81">
        <v>67092848.870205261</v>
      </c>
      <c r="AO688" s="81">
        <v>67432719.024051055</v>
      </c>
      <c r="AP688" s="81">
        <v>67757937.418806732</v>
      </c>
      <c r="AQ688" s="81">
        <v>68066618.404663205</v>
      </c>
      <c r="AR688" s="81">
        <v>68356558.392360285</v>
      </c>
      <c r="AS688" s="81">
        <v>68625257.24920176</v>
      </c>
      <c r="AT688" s="81">
        <v>68869856.206916064</v>
      </c>
    </row>
    <row r="689" spans="1:46" ht="15.75">
      <c r="A689" s="81" t="s">
        <v>448</v>
      </c>
      <c r="B689" s="80">
        <v>620200</v>
      </c>
      <c r="C689" s="80" t="s">
        <v>414</v>
      </c>
      <c r="D689" s="84" t="s">
        <v>530</v>
      </c>
      <c r="E689" s="81">
        <v>3410855.8583088359</v>
      </c>
      <c r="F689" s="81">
        <v>3474286.3670825441</v>
      </c>
      <c r="G689" s="81">
        <v>3535462.5435728231</v>
      </c>
      <c r="H689" s="81">
        <v>3593770.6256987555</v>
      </c>
      <c r="I689" s="81">
        <v>3649266.6737359287</v>
      </c>
      <c r="J689" s="81">
        <v>3702001.7091611866</v>
      </c>
      <c r="K689" s="81">
        <v>3752032.826928433</v>
      </c>
      <c r="L689" s="81">
        <v>3799423.1954686311</v>
      </c>
      <c r="M689" s="81">
        <v>3844230.1268305499</v>
      </c>
      <c r="N689" s="81">
        <v>3886528.5860063639</v>
      </c>
      <c r="O689" s="81">
        <v>3926375.2845562589</v>
      </c>
      <c r="P689" s="81">
        <v>3963832.0731363897</v>
      </c>
      <c r="Q689" s="81">
        <v>4002938.3441263046</v>
      </c>
      <c r="R689" s="81">
        <v>4039784.6783006201</v>
      </c>
      <c r="S689" s="81">
        <v>4074429.5993947466</v>
      </c>
      <c r="T689" s="81">
        <v>4106949.5906464425</v>
      </c>
      <c r="U689" s="81">
        <v>4137400.9633006551</v>
      </c>
      <c r="V689" s="81">
        <v>4165844.6752615701</v>
      </c>
      <c r="W689" s="81">
        <v>4192372.6986310962</v>
      </c>
      <c r="X689" s="81">
        <v>4217016.1205458008</v>
      </c>
      <c r="Y689" s="81">
        <v>4239862.8935829755</v>
      </c>
      <c r="Z689" s="81">
        <v>4260965.4203021005</v>
      </c>
      <c r="AA689" s="81">
        <v>4291411.0393271483</v>
      </c>
      <c r="AB689" s="81">
        <v>4320281.7023976557</v>
      </c>
      <c r="AC689" s="81">
        <v>4347616.6054130122</v>
      </c>
      <c r="AD689" s="81">
        <v>4373487.146352645</v>
      </c>
      <c r="AE689" s="81">
        <v>4397926.6284412239</v>
      </c>
      <c r="AF689" s="81">
        <v>4421000.615541107</v>
      </c>
      <c r="AG689" s="81">
        <v>4442749.7026171815</v>
      </c>
      <c r="AH689" s="81">
        <v>4463232.5666558854</v>
      </c>
      <c r="AI689" s="81">
        <v>4482481.6311273063</v>
      </c>
      <c r="AJ689" s="81">
        <v>4500562.3463205975</v>
      </c>
      <c r="AK689" s="81">
        <v>4517308.0463873651</v>
      </c>
      <c r="AL689" s="81">
        <v>4532869.7769438736</v>
      </c>
      <c r="AM689" s="81">
        <v>4547308.4945852309</v>
      </c>
      <c r="AN689" s="81">
        <v>4560640.772219019</v>
      </c>
      <c r="AO689" s="81">
        <v>4572916.6576640736</v>
      </c>
      <c r="AP689" s="81">
        <v>4584156.3851514533</v>
      </c>
      <c r="AQ689" s="81">
        <v>4594397.934127233</v>
      </c>
      <c r="AR689" s="81">
        <v>4603648.1279873447</v>
      </c>
      <c r="AS689" s="81">
        <v>4611947.9570113262</v>
      </c>
      <c r="AT689" s="81">
        <v>4619289.6627143705</v>
      </c>
    </row>
    <row r="690" spans="1:46" ht="15.75">
      <c r="A690" s="81" t="s">
        <v>448</v>
      </c>
      <c r="B690" s="80">
        <v>620300</v>
      </c>
      <c r="C690" s="80" t="s">
        <v>414</v>
      </c>
      <c r="D690" s="84" t="s">
        <v>529</v>
      </c>
      <c r="E690" s="81">
        <v>3737163.5867824699</v>
      </c>
      <c r="F690" s="81">
        <v>3861445.216340886</v>
      </c>
      <c r="G690" s="81">
        <v>3966134.0035004425</v>
      </c>
      <c r="H690" s="81">
        <v>4070557.3298733812</v>
      </c>
      <c r="I690" s="81">
        <v>4174516.6099117938</v>
      </c>
      <c r="J690" s="81">
        <v>4277822.8587355698</v>
      </c>
      <c r="K690" s="81">
        <v>4380298.4538251739</v>
      </c>
      <c r="L690" s="81">
        <v>4481749.0744950231</v>
      </c>
      <c r="M690" s="81">
        <v>4581993.0903416499</v>
      </c>
      <c r="N690" s="81">
        <v>4680873.7963300459</v>
      </c>
      <c r="O690" s="81">
        <v>4778209.5636791764</v>
      </c>
      <c r="P690" s="81">
        <v>4873834.8343354315</v>
      </c>
      <c r="Q690" s="81">
        <v>4951057.8675850099</v>
      </c>
      <c r="R690" s="81">
        <v>5025955.0047877859</v>
      </c>
      <c r="S690" s="81">
        <v>5098404.8750115735</v>
      </c>
      <c r="T690" s="81">
        <v>5168330.7726581255</v>
      </c>
      <c r="U690" s="81">
        <v>5235634.4343995536</v>
      </c>
      <c r="V690" s="81">
        <v>5300288.6836509658</v>
      </c>
      <c r="W690" s="81">
        <v>5362211.0968376566</v>
      </c>
      <c r="X690" s="81">
        <v>5421405.4144315897</v>
      </c>
      <c r="Y690" s="81">
        <v>5477832.2752192197</v>
      </c>
      <c r="Z690" s="81">
        <v>5531518.2705443269</v>
      </c>
      <c r="AA690" s="81">
        <v>5582289.0198226096</v>
      </c>
      <c r="AB690" s="81">
        <v>5630330.0342900939</v>
      </c>
      <c r="AC690" s="81">
        <v>5675704.1422231514</v>
      </c>
      <c r="AD690" s="81">
        <v>5718495.8022579942</v>
      </c>
      <c r="AE690" s="81">
        <v>5758838.9752604943</v>
      </c>
      <c r="AF690" s="81">
        <v>5796865.6573864222</v>
      </c>
      <c r="AG690" s="81">
        <v>5832760.2476452244</v>
      </c>
      <c r="AH690" s="81">
        <v>5866706.6398894358</v>
      </c>
      <c r="AI690" s="81">
        <v>5898944.1000378486</v>
      </c>
      <c r="AJ690" s="81">
        <v>5929727.2461485229</v>
      </c>
      <c r="AK690" s="81">
        <v>5966085.2694882629</v>
      </c>
      <c r="AL690" s="81">
        <v>6001569.0269740745</v>
      </c>
      <c r="AM690" s="81">
        <v>6036498.0091474047</v>
      </c>
      <c r="AN690" s="81">
        <v>6071301.2652502852</v>
      </c>
      <c r="AO690" s="81">
        <v>6106385.4886754891</v>
      </c>
      <c r="AP690" s="81">
        <v>6142241.3661278114</v>
      </c>
      <c r="AQ690" s="81">
        <v>6179384.8761367491</v>
      </c>
      <c r="AR690" s="81">
        <v>6218357.6247186856</v>
      </c>
      <c r="AS690" s="81">
        <v>6259759.6704947744</v>
      </c>
      <c r="AT690" s="81">
        <v>6304268.4902726039</v>
      </c>
    </row>
    <row r="691" spans="1:46" ht="15.75">
      <c r="A691" s="81" t="s">
        <v>448</v>
      </c>
      <c r="B691" s="80">
        <v>620400</v>
      </c>
      <c r="C691" s="80" t="s">
        <v>414</v>
      </c>
      <c r="D691" s="84" t="s">
        <v>528</v>
      </c>
      <c r="E691" s="81">
        <v>8968638.1470832024</v>
      </c>
      <c r="F691" s="81">
        <v>9331127.1126955971</v>
      </c>
      <c r="G691" s="81">
        <v>9644820.1266609002</v>
      </c>
      <c r="H691" s="81">
        <v>9955844.1909914985</v>
      </c>
      <c r="I691" s="81">
        <v>10263804.138687756</v>
      </c>
      <c r="J691" s="81">
        <v>10568309.924192006</v>
      </c>
      <c r="K691" s="81">
        <v>10869011.806106023</v>
      </c>
      <c r="L691" s="81">
        <v>11165562.905119581</v>
      </c>
      <c r="M691" s="81">
        <v>11457648.068899764</v>
      </c>
      <c r="N691" s="81">
        <v>11744979.812538683</v>
      </c>
      <c r="O691" s="81">
        <v>12027293.485430326</v>
      </c>
      <c r="P691" s="81">
        <v>12304356.737111654</v>
      </c>
      <c r="Q691" s="81">
        <v>12534669.733349344</v>
      </c>
      <c r="R691" s="81">
        <v>12758278.445948884</v>
      </c>
      <c r="S691" s="81">
        <v>12975144.577174539</v>
      </c>
      <c r="T691" s="81">
        <v>13185263.634535264</v>
      </c>
      <c r="U691" s="81">
        <v>13388666.566578284</v>
      </c>
      <c r="V691" s="81">
        <v>13585437.994349862</v>
      </c>
      <c r="W691" s="81">
        <v>13775693.918287674</v>
      </c>
      <c r="X691" s="81">
        <v>13959608.425231652</v>
      </c>
      <c r="Y691" s="81">
        <v>14137399.37455184</v>
      </c>
      <c r="Z691" s="81">
        <v>14309347.766935661</v>
      </c>
      <c r="AA691" s="81">
        <v>14475971.100688903</v>
      </c>
      <c r="AB691" s="81">
        <v>14637280.655435225</v>
      </c>
      <c r="AC691" s="81">
        <v>14793737.025991673</v>
      </c>
      <c r="AD691" s="81">
        <v>14945828.777131053</v>
      </c>
      <c r="AE691" s="81">
        <v>15094138.436999781</v>
      </c>
      <c r="AF691" s="81">
        <v>15239289.563184662</v>
      </c>
      <c r="AG691" s="81">
        <v>15382005.581327761</v>
      </c>
      <c r="AH691" s="81">
        <v>15523035.65204585</v>
      </c>
      <c r="AI691" s="81">
        <v>15663253.725078193</v>
      </c>
      <c r="AJ691" s="81">
        <v>15803583.672805104</v>
      </c>
      <c r="AK691" s="81">
        <v>15963795.793273341</v>
      </c>
      <c r="AL691" s="81">
        <v>16126222.01058678</v>
      </c>
      <c r="AM691" s="81">
        <v>16292018.759551262</v>
      </c>
      <c r="AN691" s="81">
        <v>16462478.522653855</v>
      </c>
      <c r="AO691" s="81">
        <v>16638959.931410575</v>
      </c>
      <c r="AP691" s="81">
        <v>16822921.692322887</v>
      </c>
      <c r="AQ691" s="81">
        <v>17015936.936272591</v>
      </c>
      <c r="AR691" s="81">
        <v>17219663.247666523</v>
      </c>
      <c r="AS691" s="81">
        <v>17435890.283815939</v>
      </c>
      <c r="AT691" s="81">
        <v>17666498.095324866</v>
      </c>
    </row>
    <row r="692" spans="1:46" ht="15.75">
      <c r="A692" s="81" t="s">
        <v>448</v>
      </c>
      <c r="B692" s="80">
        <v>620500</v>
      </c>
      <c r="C692" s="80" t="s">
        <v>414</v>
      </c>
      <c r="D692" s="84" t="s">
        <v>527</v>
      </c>
      <c r="E692" s="81">
        <v>14057221.26012044</v>
      </c>
      <c r="F692" s="81">
        <v>14578870.648136484</v>
      </c>
      <c r="G692" s="81">
        <v>15032639.908439251</v>
      </c>
      <c r="H692" s="81">
        <v>15490485.294561246</v>
      </c>
      <c r="I692" s="81">
        <v>15951424.265286397</v>
      </c>
      <c r="J692" s="81">
        <v>16414474.55487046</v>
      </c>
      <c r="K692" s="81">
        <v>16878665.068079215</v>
      </c>
      <c r="L692" s="81">
        <v>17343031.067693166</v>
      </c>
      <c r="M692" s="81">
        <v>17806619.538347892</v>
      </c>
      <c r="N692" s="81">
        <v>18268517.747356411</v>
      </c>
      <c r="O692" s="81">
        <v>18727826.089295078</v>
      </c>
      <c r="P692" s="81">
        <v>19183692.831280358</v>
      </c>
      <c r="Q692" s="81">
        <v>19570810.687417809</v>
      </c>
      <c r="R692" s="81">
        <v>19951010.275958214</v>
      </c>
      <c r="S692" s="81">
        <v>20323685.418666422</v>
      </c>
      <c r="T692" s="81">
        <v>20688293.406310905</v>
      </c>
      <c r="U692" s="81">
        <v>21044380.159040812</v>
      </c>
      <c r="V692" s="81">
        <v>21391561.370722611</v>
      </c>
      <c r="W692" s="81">
        <v>21729541.365729179</v>
      </c>
      <c r="X692" s="81">
        <v>22058126.505276036</v>
      </c>
      <c r="Y692" s="81">
        <v>22377218.751487188</v>
      </c>
      <c r="Z692" s="81">
        <v>22686829.03284239</v>
      </c>
      <c r="AA692" s="81">
        <v>22987404.201346442</v>
      </c>
      <c r="AB692" s="81">
        <v>23278610.849294253</v>
      </c>
      <c r="AC692" s="81">
        <v>23560831.25924826</v>
      </c>
      <c r="AD692" s="81">
        <v>23834578.866039306</v>
      </c>
      <c r="AE692" s="81">
        <v>24100535.070253082</v>
      </c>
      <c r="AF692" s="81">
        <v>24359505.298221491</v>
      </c>
      <c r="AG692" s="81">
        <v>24612470.675006248</v>
      </c>
      <c r="AH692" s="81">
        <v>24860589.054968677</v>
      </c>
      <c r="AI692" s="81">
        <v>25105179.748190917</v>
      </c>
      <c r="AJ692" s="81">
        <v>25347738.456917517</v>
      </c>
      <c r="AK692" s="81">
        <v>25620134.186498988</v>
      </c>
      <c r="AL692" s="81">
        <v>25894151.862350687</v>
      </c>
      <c r="AM692" s="81">
        <v>26171918.536371883</v>
      </c>
      <c r="AN692" s="81">
        <v>26455780.983915601</v>
      </c>
      <c r="AO692" s="81">
        <v>26748323.115138393</v>
      </c>
      <c r="AP692" s="81">
        <v>27052375.511070881</v>
      </c>
      <c r="AQ692" s="81">
        <v>27371033.927582197</v>
      </c>
      <c r="AR692" s="81">
        <v>27707642.816595457</v>
      </c>
      <c r="AS692" s="81">
        <v>28065840.363618791</v>
      </c>
      <c r="AT692" s="81">
        <v>28449523.732822534</v>
      </c>
    </row>
    <row r="693" spans="1:46" ht="15.75">
      <c r="A693" s="81" t="s">
        <v>448</v>
      </c>
      <c r="B693" s="80">
        <v>620600</v>
      </c>
      <c r="C693" s="80" t="s">
        <v>414</v>
      </c>
      <c r="D693" s="84" t="s">
        <v>526</v>
      </c>
      <c r="E693" s="81">
        <v>6904648.552120667</v>
      </c>
      <c r="F693" s="81">
        <v>7170517.9674375299</v>
      </c>
      <c r="G693" s="81">
        <v>7399525.2837288482</v>
      </c>
      <c r="H693" s="81">
        <v>7627154.2432300244</v>
      </c>
      <c r="I693" s="81">
        <v>7853076.715819845</v>
      </c>
      <c r="J693" s="81">
        <v>8076983.990655493</v>
      </c>
      <c r="K693" s="81">
        <v>8298567.8072313601</v>
      </c>
      <c r="L693" s="81">
        <v>8517532.0589711294</v>
      </c>
      <c r="M693" s="81">
        <v>8733605.8463992272</v>
      </c>
      <c r="N693" s="81">
        <v>8946523.3571340814</v>
      </c>
      <c r="O693" s="81">
        <v>9156036.3584153205</v>
      </c>
      <c r="P693" s="81">
        <v>9361928.0789131634</v>
      </c>
      <c r="Q693" s="81">
        <v>9532575.4007055014</v>
      </c>
      <c r="R693" s="81">
        <v>9698429.1792560052</v>
      </c>
      <c r="S693" s="81">
        <v>9859385.5941559188</v>
      </c>
      <c r="T693" s="81">
        <v>10015386.99227538</v>
      </c>
      <c r="U693" s="81">
        <v>10166392.669655863</v>
      </c>
      <c r="V693" s="81">
        <v>10312399.32465205</v>
      </c>
      <c r="W693" s="81">
        <v>10453443.296704501</v>
      </c>
      <c r="X693" s="81">
        <v>10589575.759660147</v>
      </c>
      <c r="Y693" s="81">
        <v>10720904.25708502</v>
      </c>
      <c r="Z693" s="81">
        <v>10847561.180393999</v>
      </c>
      <c r="AA693" s="81">
        <v>10969889.301063605</v>
      </c>
      <c r="AB693" s="81">
        <v>11087817.429786647</v>
      </c>
      <c r="AC693" s="81">
        <v>11201619.819091117</v>
      </c>
      <c r="AD693" s="81">
        <v>11311602.657156618</v>
      </c>
      <c r="AE693" s="81">
        <v>11418134.918290764</v>
      </c>
      <c r="AF693" s="81">
        <v>11521628.578590091</v>
      </c>
      <c r="AG693" s="81">
        <v>11622547.775876153</v>
      </c>
      <c r="AH693" s="81">
        <v>11721403.01071058</v>
      </c>
      <c r="AI693" s="81">
        <v>11818784.299765244</v>
      </c>
      <c r="AJ693" s="81">
        <v>11915316.715224991</v>
      </c>
      <c r="AK693" s="81">
        <v>12025844.928075545</v>
      </c>
      <c r="AL693" s="81">
        <v>12136961.234822609</v>
      </c>
      <c r="AM693" s="81">
        <v>12249483.594955795</v>
      </c>
      <c r="AN693" s="81">
        <v>12364317.110320888</v>
      </c>
      <c r="AO693" s="81">
        <v>12482440.408894779</v>
      </c>
      <c r="AP693" s="81">
        <v>12604890.628725223</v>
      </c>
      <c r="AQ693" s="81">
        <v>12732791.259233247</v>
      </c>
      <c r="AR693" s="81">
        <v>12867364.232403187</v>
      </c>
      <c r="AS693" s="81">
        <v>13009888.178964913</v>
      </c>
      <c r="AT693" s="81">
        <v>13161736.059130903</v>
      </c>
    </row>
    <row r="694" spans="1:46" ht="15.75">
      <c r="A694" s="81" t="s">
        <v>448</v>
      </c>
      <c r="B694" s="80">
        <v>620700</v>
      </c>
      <c r="C694" s="80" t="s">
        <v>414</v>
      </c>
      <c r="D694" s="84" t="s">
        <v>525</v>
      </c>
      <c r="E694" s="81">
        <v>6201831.2391172182</v>
      </c>
      <c r="F694" s="81">
        <v>6415748.5589282196</v>
      </c>
      <c r="G694" s="81">
        <v>6597121.0669176448</v>
      </c>
      <c r="H694" s="81">
        <v>6777810.9456835072</v>
      </c>
      <c r="I694" s="81">
        <v>6957499.8876661658</v>
      </c>
      <c r="J694" s="81">
        <v>7135881.0583671974</v>
      </c>
      <c r="K694" s="81">
        <v>7312661.4154995717</v>
      </c>
      <c r="L694" s="81">
        <v>7487544.8499544831</v>
      </c>
      <c r="M694" s="81">
        <v>7660245.8213025713</v>
      </c>
      <c r="N694" s="81">
        <v>7830491.2185763828</v>
      </c>
      <c r="O694" s="81">
        <v>7998015.4702276979</v>
      </c>
      <c r="P694" s="81">
        <v>8162575.7389003066</v>
      </c>
      <c r="Q694" s="81">
        <v>8296602.6714639328</v>
      </c>
      <c r="R694" s="81">
        <v>8426624.72823341</v>
      </c>
      <c r="S694" s="81">
        <v>8552494.3152575046</v>
      </c>
      <c r="T694" s="81">
        <v>8674095.5903358851</v>
      </c>
      <c r="U694" s="81">
        <v>8791324.3233111091</v>
      </c>
      <c r="V694" s="81">
        <v>8904119.0548587516</v>
      </c>
      <c r="W694" s="81">
        <v>9012425.4501165505</v>
      </c>
      <c r="X694" s="81">
        <v>9116235.7030686457</v>
      </c>
      <c r="Y694" s="81">
        <v>9215559.7671011407</v>
      </c>
      <c r="Z694" s="81">
        <v>9310458.4747489765</v>
      </c>
      <c r="AA694" s="81">
        <v>9401141.8603495695</v>
      </c>
      <c r="AB694" s="81">
        <v>9487483.1658918597</v>
      </c>
      <c r="AC694" s="81">
        <v>9569653.8063679691</v>
      </c>
      <c r="AD694" s="81">
        <v>9647851.6736806668</v>
      </c>
      <c r="AE694" s="81">
        <v>9722328.0557618514</v>
      </c>
      <c r="AF694" s="81">
        <v>9793355.1444905177</v>
      </c>
      <c r="AG694" s="81">
        <v>9861288.8116584532</v>
      </c>
      <c r="AH694" s="81">
        <v>9926500.8457513116</v>
      </c>
      <c r="AI694" s="81">
        <v>9989424.5417163521</v>
      </c>
      <c r="AJ694" s="81">
        <v>10050557.535993923</v>
      </c>
      <c r="AK694" s="81">
        <v>10122348.009390214</v>
      </c>
      <c r="AL694" s="81">
        <v>10193420.449591283</v>
      </c>
      <c r="AM694" s="81">
        <v>10264414.988613332</v>
      </c>
      <c r="AN694" s="81">
        <v>10336076.976835636</v>
      </c>
      <c r="AO694" s="81">
        <v>10409192.469485935</v>
      </c>
      <c r="AP694" s="81">
        <v>10484609.027177367</v>
      </c>
      <c r="AQ694" s="81">
        <v>10563268.469995648</v>
      </c>
      <c r="AR694" s="81">
        <v>10646179.766397322</v>
      </c>
      <c r="AS694" s="81">
        <v>10734421.063157026</v>
      </c>
      <c r="AT694" s="81">
        <v>10829152.429684559</v>
      </c>
    </row>
    <row r="695" spans="1:46" ht="15.75">
      <c r="A695" s="81" t="s">
        <v>448</v>
      </c>
      <c r="B695" s="80">
        <v>620800</v>
      </c>
      <c r="C695" s="80" t="s">
        <v>414</v>
      </c>
      <c r="D695" s="84" t="s">
        <v>524</v>
      </c>
      <c r="E695" s="81">
        <v>8750930.7255146634</v>
      </c>
      <c r="F695" s="81">
        <v>9066794.4143665526</v>
      </c>
      <c r="G695" s="81">
        <v>9339770.0358749479</v>
      </c>
      <c r="H695" s="81">
        <v>9614599.7625975721</v>
      </c>
      <c r="I695" s="81">
        <v>9890654.3952521384</v>
      </c>
      <c r="J695" s="81">
        <v>10167283.445095042</v>
      </c>
      <c r="K695" s="81">
        <v>10443854.419054881</v>
      </c>
      <c r="L695" s="81">
        <v>10719735.754617119</v>
      </c>
      <c r="M695" s="81">
        <v>10994328.213516289</v>
      </c>
      <c r="N695" s="81">
        <v>11267024.711038074</v>
      </c>
      <c r="O695" s="81">
        <v>11537259.08438874</v>
      </c>
      <c r="P695" s="81">
        <v>11804476.409124285</v>
      </c>
      <c r="Q695" s="81">
        <v>12028538.019285424</v>
      </c>
      <c r="R695" s="81">
        <v>12247516.12638261</v>
      </c>
      <c r="S695" s="81">
        <v>12461056.687114622</v>
      </c>
      <c r="T695" s="81">
        <v>12668819.226779019</v>
      </c>
      <c r="U695" s="81">
        <v>12870543.163264045</v>
      </c>
      <c r="V695" s="81">
        <v>13066008.148655873</v>
      </c>
      <c r="W695" s="81">
        <v>13255063.889452918</v>
      </c>
      <c r="X695" s="81">
        <v>13437621.722049924</v>
      </c>
      <c r="Y695" s="81">
        <v>13613658.848286511</v>
      </c>
      <c r="Z695" s="81">
        <v>13783236.625595246</v>
      </c>
      <c r="AA695" s="81">
        <v>13946674.53048153</v>
      </c>
      <c r="AB695" s="81">
        <v>14103841.577749001</v>
      </c>
      <c r="AC695" s="81">
        <v>14255047.680094184</v>
      </c>
      <c r="AD695" s="81">
        <v>14400692.64474646</v>
      </c>
      <c r="AE695" s="81">
        <v>14541285.838062162</v>
      </c>
      <c r="AF695" s="81">
        <v>14677429.130253574</v>
      </c>
      <c r="AG695" s="81">
        <v>14809836.603184978</v>
      </c>
      <c r="AH695" s="81">
        <v>14939347.772917593</v>
      </c>
      <c r="AI695" s="81">
        <v>15066901.884126306</v>
      </c>
      <c r="AJ695" s="81">
        <v>15193582.04419826</v>
      </c>
      <c r="AK695" s="81">
        <v>15338647.419581598</v>
      </c>
      <c r="AL695" s="81">
        <v>15485366.528832695</v>
      </c>
      <c r="AM695" s="81">
        <v>15635244.630385285</v>
      </c>
      <c r="AN695" s="81">
        <v>15789928.290841624</v>
      </c>
      <c r="AO695" s="81">
        <v>15951227.97911481</v>
      </c>
      <c r="AP695" s="81">
        <v>16121115.922557982</v>
      </c>
      <c r="AQ695" s="81">
        <v>16301749.947948799</v>
      </c>
      <c r="AR695" s="81">
        <v>16495453.883103646</v>
      </c>
      <c r="AS695" s="81">
        <v>16704741.446223998</v>
      </c>
      <c r="AT695" s="81">
        <v>16932332.445162028</v>
      </c>
    </row>
    <row r="696" spans="1:46" ht="15.75">
      <c r="A696" s="81" t="s">
        <v>448</v>
      </c>
      <c r="B696" s="80">
        <v>620900</v>
      </c>
      <c r="C696" s="80" t="s">
        <v>414</v>
      </c>
      <c r="D696" s="84" t="s">
        <v>523</v>
      </c>
      <c r="E696" s="81">
        <v>7681308.6924575036</v>
      </c>
      <c r="F696" s="81">
        <v>7949411.2420151569</v>
      </c>
      <c r="G696" s="81">
        <v>8176992.2937042508</v>
      </c>
      <c r="H696" s="81">
        <v>8403525.3487355225</v>
      </c>
      <c r="I696" s="81">
        <v>8628653.2673528139</v>
      </c>
      <c r="J696" s="81">
        <v>8851998.5699333027</v>
      </c>
      <c r="K696" s="81">
        <v>9073204.217419045</v>
      </c>
      <c r="L696" s="81">
        <v>9291928.322628187</v>
      </c>
      <c r="M696" s="81">
        <v>9507837.9380026367</v>
      </c>
      <c r="N696" s="81">
        <v>9720593.0207509287</v>
      </c>
      <c r="O696" s="81">
        <v>9929900.6590423062</v>
      </c>
      <c r="P696" s="81">
        <v>10135455.855727646</v>
      </c>
      <c r="Q696" s="81">
        <v>10303047.945337107</v>
      </c>
      <c r="R696" s="81">
        <v>10465624.824873732</v>
      </c>
      <c r="S696" s="81">
        <v>10623007.366470508</v>
      </c>
      <c r="T696" s="81">
        <v>10775068.623359313</v>
      </c>
      <c r="U696" s="81">
        <v>10921687.933962809</v>
      </c>
      <c r="V696" s="81">
        <v>11062791.534082813</v>
      </c>
      <c r="W696" s="81">
        <v>11198324.999359531</v>
      </c>
      <c r="X696" s="81">
        <v>11328285.478417238</v>
      </c>
      <c r="Y696" s="81">
        <v>11452672.156488489</v>
      </c>
      <c r="Z696" s="81">
        <v>11571550.105649149</v>
      </c>
      <c r="AA696" s="81">
        <v>11685191.731020743</v>
      </c>
      <c r="AB696" s="81">
        <v>11793430.869413584</v>
      </c>
      <c r="AC696" s="81">
        <v>11896463.82556376</v>
      </c>
      <c r="AD696" s="81">
        <v>11994508.270962583</v>
      </c>
      <c r="AE696" s="81">
        <v>12087872.705356482</v>
      </c>
      <c r="AF696" s="81">
        <v>12176879.845200963</v>
      </c>
      <c r="AG696" s="81">
        <v>12261913.577704793</v>
      </c>
      <c r="AH696" s="81">
        <v>12343433.792933231</v>
      </c>
      <c r="AI696" s="81">
        <v>12421943.54590087</v>
      </c>
      <c r="AJ696" s="81">
        <v>12497990.316633467</v>
      </c>
      <c r="AK696" s="81">
        <v>12587029.233678615</v>
      </c>
      <c r="AL696" s="81">
        <v>12674841.256084761</v>
      </c>
      <c r="AM696" s="81">
        <v>12762196.743854156</v>
      </c>
      <c r="AN696" s="81">
        <v>12849936.529322682</v>
      </c>
      <c r="AO696" s="81">
        <v>12938961.124436215</v>
      </c>
      <c r="AP696" s="81">
        <v>13030259.159491822</v>
      </c>
      <c r="AQ696" s="81">
        <v>13124897.202983588</v>
      </c>
      <c r="AR696" s="81">
        <v>13224063.753481101</v>
      </c>
      <c r="AS696" s="81">
        <v>13328962.637593396</v>
      </c>
      <c r="AT696" s="81">
        <v>13440967.019414784</v>
      </c>
    </row>
    <row r="697" spans="1:46" ht="15.75">
      <c r="A697" s="81" t="s">
        <v>448</v>
      </c>
      <c r="B697" s="80">
        <v>621000</v>
      </c>
      <c r="C697" s="80" t="s">
        <v>414</v>
      </c>
      <c r="D697" s="84" t="s">
        <v>522</v>
      </c>
      <c r="E697" s="81">
        <v>9581318.5768572725</v>
      </c>
      <c r="F697" s="81">
        <v>9923685.6636762675</v>
      </c>
      <c r="G697" s="81">
        <v>10218538.154181715</v>
      </c>
      <c r="H697" s="81">
        <v>10514984.308109256</v>
      </c>
      <c r="I697" s="81">
        <v>10812426.278907334</v>
      </c>
      <c r="J697" s="81">
        <v>11110277.837838246</v>
      </c>
      <c r="K697" s="81">
        <v>11407943.361531951</v>
      </c>
      <c r="L697" s="81">
        <v>11704850.569295816</v>
      </c>
      <c r="M697" s="81">
        <v>12000439.764980506</v>
      </c>
      <c r="N697" s="81">
        <v>12294156.728800396</v>
      </c>
      <c r="O697" s="81">
        <v>12585477.254179949</v>
      </c>
      <c r="P697" s="81">
        <v>12873906.476540897</v>
      </c>
      <c r="Q697" s="81">
        <v>13115743.535877498</v>
      </c>
      <c r="R697" s="81">
        <v>13352619.874534404</v>
      </c>
      <c r="S697" s="81">
        <v>13584199.25570094</v>
      </c>
      <c r="T697" s="81">
        <v>13810194.345620502</v>
      </c>
      <c r="U697" s="81">
        <v>14030352.762736483</v>
      </c>
      <c r="V697" s="81">
        <v>14244496.570709789</v>
      </c>
      <c r="W697" s="81">
        <v>14452478.282989856</v>
      </c>
      <c r="X697" s="81">
        <v>14654226.983787727</v>
      </c>
      <c r="Y697" s="81">
        <v>14849721.717658514</v>
      </c>
      <c r="Z697" s="81">
        <v>15039027.013549006</v>
      </c>
      <c r="AA697" s="81">
        <v>15222472.680345381</v>
      </c>
      <c r="AB697" s="81">
        <v>15399875.872818181</v>
      </c>
      <c r="AC697" s="81">
        <v>15571507.844333744</v>
      </c>
      <c r="AD697" s="81">
        <v>15737757.459447291</v>
      </c>
      <c r="AE697" s="81">
        <v>15899068.276734788</v>
      </c>
      <c r="AF697" s="81">
        <v>16055997.032516511</v>
      </c>
      <c r="AG697" s="81">
        <v>16209190.913033195</v>
      </c>
      <c r="AH697" s="81">
        <v>16359413.373894852</v>
      </c>
      <c r="AI697" s="81">
        <v>16507527.63963319</v>
      </c>
      <c r="AJ697" s="81">
        <v>16654493.407546299</v>
      </c>
      <c r="AK697" s="81">
        <v>16821210.482688855</v>
      </c>
      <c r="AL697" s="81">
        <v>16989097.054503754</v>
      </c>
      <c r="AM697" s="81">
        <v>17159499.677716583</v>
      </c>
      <c r="AN697" s="81">
        <v>17333909.896315869</v>
      </c>
      <c r="AO697" s="81">
        <v>17513970.283249032</v>
      </c>
      <c r="AP697" s="81">
        <v>17701448.062118631</v>
      </c>
      <c r="AQ697" s="81">
        <v>17898288.483605638</v>
      </c>
      <c r="AR697" s="81">
        <v>18106597.170526862</v>
      </c>
      <c r="AS697" s="81">
        <v>18328637.441069778</v>
      </c>
      <c r="AT697" s="81">
        <v>18566852.759813011</v>
      </c>
    </row>
    <row r="698" spans="1:46" ht="15.75">
      <c r="A698" s="81" t="s">
        <v>448</v>
      </c>
      <c r="B698" s="80">
        <v>621100</v>
      </c>
      <c r="C698" s="80" t="s">
        <v>414</v>
      </c>
      <c r="D698" s="84" t="s">
        <v>521</v>
      </c>
      <c r="E698" s="81">
        <v>10144649.489189116</v>
      </c>
      <c r="F698" s="81">
        <v>10514663.618412757</v>
      </c>
      <c r="G698" s="81">
        <v>10833568.745917555</v>
      </c>
      <c r="H698" s="81">
        <v>11153324.81599669</v>
      </c>
      <c r="I698" s="81">
        <v>11473271.9927416</v>
      </c>
      <c r="J698" s="81">
        <v>11792743.802402094</v>
      </c>
      <c r="K698" s="81">
        <v>12111092.678109832</v>
      </c>
      <c r="L698" s="81">
        <v>12427680.703652009</v>
      </c>
      <c r="M698" s="81">
        <v>12741888.056410771</v>
      </c>
      <c r="N698" s="81">
        <v>13053122.149903743</v>
      </c>
      <c r="O698" s="81">
        <v>13360797.496248391</v>
      </c>
      <c r="P698" s="81">
        <v>13664379.067074561</v>
      </c>
      <c r="Q698" s="81">
        <v>13917498.74841021</v>
      </c>
      <c r="R698" s="81">
        <v>14164355.527964618</v>
      </c>
      <c r="S698" s="81">
        <v>14404597.028866269</v>
      </c>
      <c r="T698" s="81">
        <v>14637939.034296071</v>
      </c>
      <c r="U698" s="81">
        <v>14864143.424582645</v>
      </c>
      <c r="V698" s="81">
        <v>15083027.261025898</v>
      </c>
      <c r="W698" s="81">
        <v>15294478.122379979</v>
      </c>
      <c r="X698" s="81">
        <v>15498453.250545537</v>
      </c>
      <c r="Y698" s="81">
        <v>15694978.274539592</v>
      </c>
      <c r="Z698" s="81">
        <v>15884157.370667635</v>
      </c>
      <c r="AA698" s="81">
        <v>16066390.642286219</v>
      </c>
      <c r="AB698" s="81">
        <v>16241551.029895857</v>
      </c>
      <c r="AC698" s="81">
        <v>16409996.689868934</v>
      </c>
      <c r="AD698" s="81">
        <v>16572202.344771922</v>
      </c>
      <c r="AE698" s="81">
        <v>16728720.970271731</v>
      </c>
      <c r="AF698" s="81">
        <v>16880225.852943752</v>
      </c>
      <c r="AG698" s="81">
        <v>17027503.498333864</v>
      </c>
      <c r="AH698" s="81">
        <v>17171458.831017885</v>
      </c>
      <c r="AI698" s="81">
        <v>17313100.263597816</v>
      </c>
      <c r="AJ698" s="81">
        <v>17453584.631125614</v>
      </c>
      <c r="AK698" s="81">
        <v>17614917.940320119</v>
      </c>
      <c r="AL698" s="81">
        <v>17777766.26284574</v>
      </c>
      <c r="AM698" s="81">
        <v>17943703.356273677</v>
      </c>
      <c r="AN698" s="81">
        <v>18114460.817631979</v>
      </c>
      <c r="AO698" s="81">
        <v>18291927.031726208</v>
      </c>
      <c r="AP698" s="81">
        <v>18478167.89107028</v>
      </c>
      <c r="AQ698" s="81">
        <v>18675411.142563526</v>
      </c>
      <c r="AR698" s="81">
        <v>18886090.091723084</v>
      </c>
      <c r="AS698" s="81">
        <v>19112797.5526812</v>
      </c>
      <c r="AT698" s="81">
        <v>19358345.416177224</v>
      </c>
    </row>
    <row r="699" spans="1:46" ht="15.75">
      <c r="A699" s="81" t="s">
        <v>448</v>
      </c>
      <c r="B699" s="80">
        <v>621200</v>
      </c>
      <c r="C699" s="80" t="s">
        <v>414</v>
      </c>
      <c r="D699" s="84" t="s">
        <v>520</v>
      </c>
      <c r="E699" s="81">
        <v>9273047.1301528923</v>
      </c>
      <c r="F699" s="81">
        <v>9599771.7710173503</v>
      </c>
      <c r="G699" s="81">
        <v>9880966.2172119915</v>
      </c>
      <c r="H699" s="81">
        <v>10164185.885488369</v>
      </c>
      <c r="I699" s="81">
        <v>10448884.20872467</v>
      </c>
      <c r="J699" s="81">
        <v>10734517.305661943</v>
      </c>
      <c r="K699" s="81">
        <v>11020533.88732373</v>
      </c>
      <c r="L699" s="81">
        <v>11306399.769540006</v>
      </c>
      <c r="M699" s="81">
        <v>11591574.55156441</v>
      </c>
      <c r="N699" s="81">
        <v>11875546.176052598</v>
      </c>
      <c r="O699" s="81">
        <v>12157807.209551744</v>
      </c>
      <c r="P699" s="81">
        <v>12437866.966532238</v>
      </c>
      <c r="Q699" s="81">
        <v>12673499.947429981</v>
      </c>
      <c r="R699" s="81">
        <v>12904901.552441163</v>
      </c>
      <c r="S699" s="81">
        <v>13131724.438352432</v>
      </c>
      <c r="T699" s="81">
        <v>13353650.736002119</v>
      </c>
      <c r="U699" s="81">
        <v>13570410.625832958</v>
      </c>
      <c r="V699" s="81">
        <v>13781770.292282213</v>
      </c>
      <c r="W699" s="81">
        <v>13987545.677360123</v>
      </c>
      <c r="X699" s="81">
        <v>14187600.718563896</v>
      </c>
      <c r="Y699" s="81">
        <v>14381850.765824238</v>
      </c>
      <c r="Z699" s="81">
        <v>14570271.744414914</v>
      </c>
      <c r="AA699" s="81">
        <v>14753104.908676039</v>
      </c>
      <c r="AB699" s="81">
        <v>14930061.065525103</v>
      </c>
      <c r="AC699" s="81">
        <v>15101316.245770348</v>
      </c>
      <c r="AD699" s="81">
        <v>15267111.343011431</v>
      </c>
      <c r="AE699" s="81">
        <v>15427761.551195117</v>
      </c>
      <c r="AF699" s="81">
        <v>15583653.989223609</v>
      </c>
      <c r="AG699" s="81">
        <v>15735282.508883007</v>
      </c>
      <c r="AH699" s="81">
        <v>15883202.462450223</v>
      </c>
      <c r="AI699" s="81">
        <v>16028084.537531603</v>
      </c>
      <c r="AJ699" s="81">
        <v>16170674.795593739</v>
      </c>
      <c r="AK699" s="81">
        <v>16331048.322727717</v>
      </c>
      <c r="AL699" s="81">
        <v>16490954.900483761</v>
      </c>
      <c r="AM699" s="81">
        <v>16651451.492875887</v>
      </c>
      <c r="AN699" s="81">
        <v>16813738.664780553</v>
      </c>
      <c r="AO699" s="81">
        <v>16979139.216727685</v>
      </c>
      <c r="AP699" s="81">
        <v>17149081.672088236</v>
      </c>
      <c r="AQ699" s="81">
        <v>17325154.209342584</v>
      </c>
      <c r="AR699" s="81">
        <v>17509075.025996096</v>
      </c>
      <c r="AS699" s="81">
        <v>17702704.292697195</v>
      </c>
      <c r="AT699" s="81">
        <v>17908049.251276657</v>
      </c>
    </row>
    <row r="700" spans="1:46" ht="15.75">
      <c r="A700" s="81" t="s">
        <v>448</v>
      </c>
      <c r="B700" s="80">
        <v>622900</v>
      </c>
      <c r="C700" s="80" t="s">
        <v>414</v>
      </c>
      <c r="D700" s="84" t="s">
        <v>519</v>
      </c>
      <c r="E700" s="81">
        <v>8696314.4374172054</v>
      </c>
      <c r="F700" s="81">
        <v>9007887.6286429968</v>
      </c>
      <c r="G700" s="81">
        <v>9279753.3940912541</v>
      </c>
      <c r="H700" s="81">
        <v>9556392.1888248101</v>
      </c>
      <c r="I700" s="81">
        <v>9837145.0688244645</v>
      </c>
      <c r="J700" s="81">
        <v>10121366.232644476</v>
      </c>
      <c r="K700" s="81">
        <v>10408386.104718089</v>
      </c>
      <c r="L700" s="81">
        <v>10697551.582674246</v>
      </c>
      <c r="M700" s="81">
        <v>10988197.102844423</v>
      </c>
      <c r="N700" s="81">
        <v>11279682.15931548</v>
      </c>
      <c r="O700" s="81">
        <v>11571361.329316236</v>
      </c>
      <c r="P700" s="81">
        <v>11862618.227482647</v>
      </c>
      <c r="Q700" s="81">
        <v>12112937.1010419</v>
      </c>
      <c r="R700" s="81">
        <v>12360405.420806227</v>
      </c>
      <c r="S700" s="81">
        <v>12604521.489145691</v>
      </c>
      <c r="T700" s="81">
        <v>12844837.381962363</v>
      </c>
      <c r="U700" s="81">
        <v>13080936.030255849</v>
      </c>
      <c r="V700" s="81">
        <v>13312451.690990632</v>
      </c>
      <c r="W700" s="81">
        <v>13539074.589743651</v>
      </c>
      <c r="X700" s="81">
        <v>13760555.65828987</v>
      </c>
      <c r="Y700" s="81">
        <v>13976699.378083667</v>
      </c>
      <c r="Z700" s="81">
        <v>14187373.906286303</v>
      </c>
      <c r="AA700" s="81">
        <v>14392723.872792045</v>
      </c>
      <c r="AB700" s="81">
        <v>14592406.36578507</v>
      </c>
      <c r="AC700" s="81">
        <v>14786516.03389103</v>
      </c>
      <c r="AD700" s="81">
        <v>14975250.123540137</v>
      </c>
      <c r="AE700" s="81">
        <v>15158875.506937282</v>
      </c>
      <c r="AF700" s="81">
        <v>15337778.636258898</v>
      </c>
      <c r="AG700" s="81">
        <v>15512425.378545433</v>
      </c>
      <c r="AH700" s="81">
        <v>15683405.593993634</v>
      </c>
      <c r="AI700" s="81">
        <v>15851412.089899864</v>
      </c>
      <c r="AJ700" s="81">
        <v>16017266.401698345</v>
      </c>
      <c r="AK700" s="81">
        <v>16200954.26854853</v>
      </c>
      <c r="AL700" s="81">
        <v>16384545.226895077</v>
      </c>
      <c r="AM700" s="81">
        <v>16569227.46246135</v>
      </c>
      <c r="AN700" s="81">
        <v>16756353.883865887</v>
      </c>
      <c r="AO700" s="81">
        <v>16947427.338405389</v>
      </c>
      <c r="AP700" s="81">
        <v>17144114.524446595</v>
      </c>
      <c r="AQ700" s="81">
        <v>17348229.721929375</v>
      </c>
      <c r="AR700" s="81">
        <v>17561771.529072355</v>
      </c>
      <c r="AS700" s="81">
        <v>17786930.480167199</v>
      </c>
      <c r="AT700" s="81">
        <v>18026064.577840474</v>
      </c>
    </row>
    <row r="701" spans="1:46" ht="15.75">
      <c r="A701" s="81" t="s">
        <v>448</v>
      </c>
      <c r="B701" s="80">
        <v>623000</v>
      </c>
      <c r="C701" s="80" t="s">
        <v>414</v>
      </c>
      <c r="D701" s="84" t="s">
        <v>518</v>
      </c>
      <c r="E701" s="81">
        <v>2786566.9250167874</v>
      </c>
      <c r="F701" s="81">
        <v>2887850.9077262771</v>
      </c>
      <c r="G701" s="81">
        <v>2976258.4473232478</v>
      </c>
      <c r="H701" s="81">
        <v>3066140.5932418527</v>
      </c>
      <c r="I701" s="81">
        <v>3157300.5736030871</v>
      </c>
      <c r="J701" s="81">
        <v>3249543.3790530111</v>
      </c>
      <c r="K701" s="81">
        <v>3342658.6973098046</v>
      </c>
      <c r="L701" s="81">
        <v>3436453.5606710627</v>
      </c>
      <c r="M701" s="81">
        <v>3530716.7726705116</v>
      </c>
      <c r="N701" s="81">
        <v>3625257.3677221853</v>
      </c>
      <c r="O701" s="81">
        <v>3719877.6381897237</v>
      </c>
      <c r="P701" s="81">
        <v>3814388.6558163702</v>
      </c>
      <c r="Q701" s="81">
        <v>3895579.093294003</v>
      </c>
      <c r="R701" s="81">
        <v>3975883.7791710943</v>
      </c>
      <c r="S701" s="81">
        <v>4055144.1510655326</v>
      </c>
      <c r="T701" s="81">
        <v>4133222.9485521135</v>
      </c>
      <c r="U701" s="81">
        <v>4209984.1848917464</v>
      </c>
      <c r="V701" s="81">
        <v>4285310.2616552552</v>
      </c>
      <c r="W701" s="81">
        <v>4359109.2553456286</v>
      </c>
      <c r="X701" s="81">
        <v>4431282.4857918406</v>
      </c>
      <c r="Y701" s="81">
        <v>4501776.6132340245</v>
      </c>
      <c r="Z701" s="81">
        <v>4570527.8353682589</v>
      </c>
      <c r="AA701" s="81">
        <v>4637369.3171540722</v>
      </c>
      <c r="AB701" s="81">
        <v>4702387.227748462</v>
      </c>
      <c r="AC701" s="81">
        <v>4765592.5085307853</v>
      </c>
      <c r="AD701" s="81">
        <v>4827032.260417345</v>
      </c>
      <c r="AE701" s="81">
        <v>4886772.9514623778</v>
      </c>
      <c r="AF701" s="81">
        <v>4944914.27329362</v>
      </c>
      <c r="AG701" s="81">
        <v>5001571.4389701281</v>
      </c>
      <c r="AH701" s="81">
        <v>5056902.2169718593</v>
      </c>
      <c r="AI701" s="81">
        <v>5111102.5912980875</v>
      </c>
      <c r="AJ701" s="81">
        <v>5164374.7489698725</v>
      </c>
      <c r="AK701" s="81">
        <v>5222893.0756536247</v>
      </c>
      <c r="AL701" s="81">
        <v>5281063.0157706961</v>
      </c>
      <c r="AM701" s="81">
        <v>5339200.5821848745</v>
      </c>
      <c r="AN701" s="81">
        <v>5397690.6350112744</v>
      </c>
      <c r="AO701" s="81">
        <v>5456946.9144591335</v>
      </c>
      <c r="AP701" s="81">
        <v>5517435.0019597895</v>
      </c>
      <c r="AQ701" s="81">
        <v>5579644.6878345441</v>
      </c>
      <c r="AR701" s="81">
        <v>5644158.6064030826</v>
      </c>
      <c r="AS701" s="81">
        <v>5711564.8473120127</v>
      </c>
      <c r="AT701" s="81">
        <v>5782533.738071165</v>
      </c>
    </row>
    <row r="702" spans="1:46" ht="15.75">
      <c r="A702" s="81" t="s">
        <v>448</v>
      </c>
      <c r="B702" s="80">
        <v>630100</v>
      </c>
      <c r="C702" s="80" t="s">
        <v>413</v>
      </c>
      <c r="D702" s="84" t="s">
        <v>517</v>
      </c>
      <c r="E702" s="81">
        <v>18894807.382384855</v>
      </c>
      <c r="F702" s="81">
        <v>19522529.400002625</v>
      </c>
      <c r="G702" s="81">
        <v>20047339.190795109</v>
      </c>
      <c r="H702" s="81">
        <v>20570873.36874387</v>
      </c>
      <c r="I702" s="81">
        <v>21092383.736095052</v>
      </c>
      <c r="J702" s="81">
        <v>21611127.814047229</v>
      </c>
      <c r="K702" s="81">
        <v>22126362.94750835</v>
      </c>
      <c r="L702" s="81">
        <v>22637366.100992154</v>
      </c>
      <c r="M702" s="81">
        <v>23143437.635831654</v>
      </c>
      <c r="N702" s="81">
        <v>23643896.01378943</v>
      </c>
      <c r="O702" s="81">
        <v>24138080.966428474</v>
      </c>
      <c r="P702" s="81">
        <v>24625356.753043227</v>
      </c>
      <c r="Q702" s="81">
        <v>25014871.271097567</v>
      </c>
      <c r="R702" s="81">
        <v>25394539.867680274</v>
      </c>
      <c r="S702" s="81">
        <v>25763960.134280726</v>
      </c>
      <c r="T702" s="81">
        <v>26122800.648142837</v>
      </c>
      <c r="U702" s="81">
        <v>26470785.512356896</v>
      </c>
      <c r="V702" s="81">
        <v>26807646.324293692</v>
      </c>
      <c r="W702" s="81">
        <v>27133227.136542507</v>
      </c>
      <c r="X702" s="81">
        <v>27447396.16294362</v>
      </c>
      <c r="Y702" s="81">
        <v>27750079.05915368</v>
      </c>
      <c r="Z702" s="81">
        <v>28041294.768389434</v>
      </c>
      <c r="AA702" s="81">
        <v>28312648.800451785</v>
      </c>
      <c r="AB702" s="81">
        <v>28572485.696478661</v>
      </c>
      <c r="AC702" s="81">
        <v>28821042.514542557</v>
      </c>
      <c r="AD702" s="81">
        <v>29058631.635362823</v>
      </c>
      <c r="AE702" s="81">
        <v>29285644.056662768</v>
      </c>
      <c r="AF702" s="81">
        <v>29502576.219515685</v>
      </c>
      <c r="AG702" s="81">
        <v>29709987.280734252</v>
      </c>
      <c r="AH702" s="81">
        <v>29908537.206701539</v>
      </c>
      <c r="AI702" s="81">
        <v>30099015.328075994</v>
      </c>
      <c r="AJ702" s="81">
        <v>30282259.792442475</v>
      </c>
      <c r="AK702" s="81">
        <v>30485622.513671275</v>
      </c>
      <c r="AL702" s="81">
        <v>30683720.893242989</v>
      </c>
      <c r="AM702" s="81">
        <v>30877760.673909899</v>
      </c>
      <c r="AN702" s="81">
        <v>31069026.748835288</v>
      </c>
      <c r="AO702" s="81">
        <v>31258976.691677626</v>
      </c>
      <c r="AP702" s="81">
        <v>31449155.151689418</v>
      </c>
      <c r="AQ702" s="81">
        <v>31641276.295245081</v>
      </c>
      <c r="AR702" s="81">
        <v>31837176.067252059</v>
      </c>
      <c r="AS702" s="81">
        <v>32038829.457977537</v>
      </c>
      <c r="AT702" s="81">
        <v>32248382.736548383</v>
      </c>
    </row>
    <row r="703" spans="1:46" ht="15.75">
      <c r="A703" s="81" t="s">
        <v>448</v>
      </c>
      <c r="B703" s="80">
        <v>630200</v>
      </c>
      <c r="C703" s="80" t="s">
        <v>413</v>
      </c>
      <c r="D703" s="84" t="s">
        <v>516</v>
      </c>
      <c r="E703" s="81">
        <v>9859718.328932507</v>
      </c>
      <c r="F703" s="81">
        <v>10177894.995517051</v>
      </c>
      <c r="G703" s="81">
        <v>10450160.875387993</v>
      </c>
      <c r="H703" s="81">
        <v>10729059.039142977</v>
      </c>
      <c r="I703" s="81">
        <v>11013690.336729001</v>
      </c>
      <c r="J703" s="81">
        <v>11303126.898204962</v>
      </c>
      <c r="K703" s="81">
        <v>11596456.012443509</v>
      </c>
      <c r="L703" s="81">
        <v>11892753.219396785</v>
      </c>
      <c r="M703" s="81">
        <v>12191103.188470596</v>
      </c>
      <c r="N703" s="81">
        <v>12490613.913144195</v>
      </c>
      <c r="O703" s="81">
        <v>12790378.901958533</v>
      </c>
      <c r="P703" s="81">
        <v>13089533.981984494</v>
      </c>
      <c r="Q703" s="81">
        <v>13339113.73957712</v>
      </c>
      <c r="R703" s="81">
        <v>13585168.753160935</v>
      </c>
      <c r="S703" s="81">
        <v>13826974.538778426</v>
      </c>
      <c r="T703" s="81">
        <v>14063901.10657067</v>
      </c>
      <c r="U703" s="81">
        <v>14295343.755694998</v>
      </c>
      <c r="V703" s="81">
        <v>14520765.197026374</v>
      </c>
      <c r="W703" s="81">
        <v>14739691.302359978</v>
      </c>
      <c r="X703" s="81">
        <v>14951746.378455199</v>
      </c>
      <c r="Y703" s="81">
        <v>15156609.454959566</v>
      </c>
      <c r="Z703" s="81">
        <v>15354049.240802262</v>
      </c>
      <c r="AA703" s="81">
        <v>15539299.149412367</v>
      </c>
      <c r="AB703" s="81">
        <v>15716775.695379715</v>
      </c>
      <c r="AC703" s="81">
        <v>15886571.66750202</v>
      </c>
      <c r="AD703" s="81">
        <v>16048851.617075806</v>
      </c>
      <c r="AE703" s="81">
        <v>16203910.439842232</v>
      </c>
      <c r="AF703" s="81">
        <v>16352158.217487132</v>
      </c>
      <c r="AG703" s="81">
        <v>16494137.307233306</v>
      </c>
      <c r="AH703" s="81">
        <v>16630506.150136787</v>
      </c>
      <c r="AI703" s="81">
        <v>16762090.724262396</v>
      </c>
      <c r="AJ703" s="81">
        <v>16889846.017324027</v>
      </c>
      <c r="AK703" s="81">
        <v>17029589.026357885</v>
      </c>
      <c r="AL703" s="81">
        <v>17167881.195057232</v>
      </c>
      <c r="AM703" s="81">
        <v>17306136.365295015</v>
      </c>
      <c r="AN703" s="81">
        <v>17445975.926055666</v>
      </c>
      <c r="AO703" s="81">
        <v>17589200.879455362</v>
      </c>
      <c r="AP703" s="81">
        <v>17737773.859218169</v>
      </c>
      <c r="AQ703" s="81">
        <v>17893901.265023977</v>
      </c>
      <c r="AR703" s="81">
        <v>18059979.270850845</v>
      </c>
      <c r="AS703" s="81">
        <v>18238613.571926612</v>
      </c>
      <c r="AT703" s="81">
        <v>18432640.154382613</v>
      </c>
    </row>
    <row r="704" spans="1:46" ht="15.75">
      <c r="A704" s="81" t="s">
        <v>448</v>
      </c>
      <c r="B704" s="80">
        <v>632200</v>
      </c>
      <c r="C704" s="80" t="s">
        <v>413</v>
      </c>
      <c r="D704" s="84" t="s">
        <v>515</v>
      </c>
      <c r="E704" s="81">
        <v>1918790.6721072444</v>
      </c>
      <c r="F704" s="81">
        <v>1986010.6070339824</v>
      </c>
      <c r="G704" s="81">
        <v>2043813.9758132047</v>
      </c>
      <c r="H704" s="81">
        <v>2102515.0117222518</v>
      </c>
      <c r="I704" s="81">
        <v>2161953.9010532089</v>
      </c>
      <c r="J704" s="81">
        <v>2221982.983580804</v>
      </c>
      <c r="K704" s="81">
        <v>2282452.2837687531</v>
      </c>
      <c r="L704" s="81">
        <v>2343201.6643333994</v>
      </c>
      <c r="M704" s="81">
        <v>2404077.650906404</v>
      </c>
      <c r="N704" s="81">
        <v>2464943.4226380601</v>
      </c>
      <c r="O704" s="81">
        <v>2525645.626984139</v>
      </c>
      <c r="P704" s="81">
        <v>2586040.4051595912</v>
      </c>
      <c r="Q704" s="81">
        <v>2636379.3007829376</v>
      </c>
      <c r="R704" s="81">
        <v>2685879.6075024353</v>
      </c>
      <c r="S704" s="81">
        <v>2734438.3506198563</v>
      </c>
      <c r="T704" s="81">
        <v>2781949.2641114853</v>
      </c>
      <c r="U704" s="81">
        <v>2828321.978740734</v>
      </c>
      <c r="V704" s="81">
        <v>2873463.7797449594</v>
      </c>
      <c r="W704" s="81">
        <v>2917299.3251772919</v>
      </c>
      <c r="X704" s="81">
        <v>2959791.9214938888</v>
      </c>
      <c r="Y704" s="81">
        <v>3000865.0753117772</v>
      </c>
      <c r="Z704" s="81">
        <v>3040502.5181838199</v>
      </c>
      <c r="AA704" s="81">
        <v>3077630.5864097551</v>
      </c>
      <c r="AB704" s="81">
        <v>3113274.0233464208</v>
      </c>
      <c r="AC704" s="81">
        <v>3147413.6091052862</v>
      </c>
      <c r="AD704" s="81">
        <v>3180107.0385635104</v>
      </c>
      <c r="AE704" s="81">
        <v>3211395.3309358256</v>
      </c>
      <c r="AF704" s="81">
        <v>3241334.7191154766</v>
      </c>
      <c r="AG704" s="81">
        <v>3270019.7302918206</v>
      </c>
      <c r="AH704" s="81">
        <v>3297551.3222236675</v>
      </c>
      <c r="AI704" s="81">
        <v>3324071.3077731617</v>
      </c>
      <c r="AJ704" s="81">
        <v>3349718.1453426406</v>
      </c>
      <c r="AK704" s="81">
        <v>3377463.5295791463</v>
      </c>
      <c r="AL704" s="81">
        <v>3404709.0790852066</v>
      </c>
      <c r="AM704" s="81">
        <v>3431702.7358975303</v>
      </c>
      <c r="AN704" s="81">
        <v>3458668.7806824413</v>
      </c>
      <c r="AO704" s="81">
        <v>3485891.9736331436</v>
      </c>
      <c r="AP704" s="81">
        <v>3513708.2185374838</v>
      </c>
      <c r="AQ704" s="81">
        <v>3542431.3123512412</v>
      </c>
      <c r="AR704" s="81">
        <v>3572452.9907273538</v>
      </c>
      <c r="AS704" s="81">
        <v>3604169.402661792</v>
      </c>
      <c r="AT704" s="81">
        <v>3638019.7648024331</v>
      </c>
    </row>
    <row r="705" spans="1:46" ht="15.75">
      <c r="A705" s="81" t="s">
        <v>448</v>
      </c>
      <c r="B705" s="80">
        <v>632300</v>
      </c>
      <c r="C705" s="80" t="s">
        <v>413</v>
      </c>
      <c r="D705" s="84" t="s">
        <v>514</v>
      </c>
      <c r="E705" s="81">
        <v>1997789.0457482045</v>
      </c>
      <c r="F705" s="81">
        <v>2067497.2549111249</v>
      </c>
      <c r="G705" s="81">
        <v>2128506.8682149453</v>
      </c>
      <c r="H705" s="81">
        <v>2191502.0468697092</v>
      </c>
      <c r="I705" s="81">
        <v>2256293.8804680323</v>
      </c>
      <c r="J705" s="81">
        <v>2322667.8861279716</v>
      </c>
      <c r="K705" s="81">
        <v>2390432.1510366206</v>
      </c>
      <c r="L705" s="81">
        <v>2459362.0817103237</v>
      </c>
      <c r="M705" s="81">
        <v>2529266.684847536</v>
      </c>
      <c r="N705" s="81">
        <v>2599940.7287616068</v>
      </c>
      <c r="O705" s="81">
        <v>2671164.4312515492</v>
      </c>
      <c r="P705" s="81">
        <v>2742757.057569955</v>
      </c>
      <c r="Q705" s="81">
        <v>2804280.3137504039</v>
      </c>
      <c r="R705" s="81">
        <v>2865447.9761703685</v>
      </c>
      <c r="S705" s="81">
        <v>2926074.8918468356</v>
      </c>
      <c r="T705" s="81">
        <v>2986015.1006143517</v>
      </c>
      <c r="U705" s="81">
        <v>3045107.2164573884</v>
      </c>
      <c r="V705" s="81">
        <v>3103212.675557585</v>
      </c>
      <c r="W705" s="81">
        <v>3160227.4544347273</v>
      </c>
      <c r="X705" s="81">
        <v>3216024.5963462973</v>
      </c>
      <c r="Y705" s="81">
        <v>3270513.6624810314</v>
      </c>
      <c r="Z705" s="81">
        <v>3323633.0486284751</v>
      </c>
      <c r="AA705" s="81">
        <v>3374171.8991209944</v>
      </c>
      <c r="AB705" s="81">
        <v>3423206.3671661611</v>
      </c>
      <c r="AC705" s="81">
        <v>3470708.644758285</v>
      </c>
      <c r="AD705" s="81">
        <v>3516706.1650317749</v>
      </c>
      <c r="AE705" s="81">
        <v>3561219.4367160611</v>
      </c>
      <c r="AF705" s="81">
        <v>3604305.625126346</v>
      </c>
      <c r="AG705" s="81">
        <v>3646060.5980006321</v>
      </c>
      <c r="AH705" s="81">
        <v>3686587.0685990476</v>
      </c>
      <c r="AI705" s="81">
        <v>3726040.4723290689</v>
      </c>
      <c r="AJ705" s="81">
        <v>3764562.2778668734</v>
      </c>
      <c r="AK705" s="81">
        <v>3805539.8632888193</v>
      </c>
      <c r="AL705" s="81">
        <v>3846055.1997673069</v>
      </c>
      <c r="AM705" s="81">
        <v>3886386.8238329082</v>
      </c>
      <c r="AN705" s="81">
        <v>3926852.1331544826</v>
      </c>
      <c r="AO705" s="81">
        <v>3967784.4343726635</v>
      </c>
      <c r="AP705" s="81">
        <v>4009595.4641060675</v>
      </c>
      <c r="AQ705" s="81">
        <v>4052678.4424100295</v>
      </c>
      <c r="AR705" s="81">
        <v>4097533.690426948</v>
      </c>
      <c r="AS705" s="81">
        <v>4144670.8359564412</v>
      </c>
      <c r="AT705" s="81">
        <v>4194660.5957605634</v>
      </c>
    </row>
    <row r="706" spans="1:46" ht="15.75">
      <c r="A706" s="81" t="s">
        <v>448</v>
      </c>
      <c r="B706" s="80">
        <v>632500</v>
      </c>
      <c r="C706" s="80" t="s">
        <v>413</v>
      </c>
      <c r="D706" s="84" t="s">
        <v>513</v>
      </c>
      <c r="E706" s="81">
        <v>3236464.8483271077</v>
      </c>
      <c r="F706" s="81">
        <v>3345855.535070092</v>
      </c>
      <c r="G706" s="81">
        <v>3440739.3517936361</v>
      </c>
      <c r="H706" s="81">
        <v>3538451.3578401147</v>
      </c>
      <c r="I706" s="81">
        <v>3638687.4612786481</v>
      </c>
      <c r="J706" s="81">
        <v>3741140.4837777787</v>
      </c>
      <c r="K706" s="81">
        <v>3845485.3118284056</v>
      </c>
      <c r="L706" s="81">
        <v>3951420.8837609198</v>
      </c>
      <c r="M706" s="81">
        <v>4058631.5478947749</v>
      </c>
      <c r="N706" s="81">
        <v>4166795.987838564</v>
      </c>
      <c r="O706" s="81">
        <v>4275614.7542887703</v>
      </c>
      <c r="P706" s="81">
        <v>4384777.7515641265</v>
      </c>
      <c r="Q706" s="81">
        <v>4477651.8406132786</v>
      </c>
      <c r="R706" s="81">
        <v>4569786.8977122316</v>
      </c>
      <c r="S706" s="81">
        <v>4660921.9176745638</v>
      </c>
      <c r="T706" s="81">
        <v>4750813.1867314456</v>
      </c>
      <c r="U706" s="81">
        <v>4839236.0340088932</v>
      </c>
      <c r="V706" s="81">
        <v>4925976.8766956059</v>
      </c>
      <c r="W706" s="81">
        <v>5010854.1405401602</v>
      </c>
      <c r="X706" s="81">
        <v>5093690.7570558619</v>
      </c>
      <c r="Y706" s="81">
        <v>5174355.2784616165</v>
      </c>
      <c r="Z706" s="81">
        <v>5252734.3175744573</v>
      </c>
      <c r="AA706" s="81">
        <v>5326946.8939000145</v>
      </c>
      <c r="AB706" s="81">
        <v>5398666.0366050806</v>
      </c>
      <c r="AC706" s="81">
        <v>5467854.8340687342</v>
      </c>
      <c r="AD706" s="81">
        <v>5534554.3172274008</v>
      </c>
      <c r="AE706" s="81">
        <v>5598789.8896247009</v>
      </c>
      <c r="AF706" s="81">
        <v>5660647.4171172697</v>
      </c>
      <c r="AG706" s="81">
        <v>5720254.2730611414</v>
      </c>
      <c r="AH706" s="81">
        <v>5777781.4558216389</v>
      </c>
      <c r="AI706" s="81">
        <v>5833422.8464694843</v>
      </c>
      <c r="AJ706" s="81">
        <v>5887442.360007545</v>
      </c>
      <c r="AK706" s="81">
        <v>5945042.1397687029</v>
      </c>
      <c r="AL706" s="81">
        <v>6001692.3150015827</v>
      </c>
      <c r="AM706" s="81">
        <v>6057799.5842161598</v>
      </c>
      <c r="AN706" s="81">
        <v>6113792.1073572617</v>
      </c>
      <c r="AO706" s="81">
        <v>6170205.985933451</v>
      </c>
      <c r="AP706" s="81">
        <v>6227615.9879267039</v>
      </c>
      <c r="AQ706" s="81">
        <v>6286661.8604146009</v>
      </c>
      <c r="AR706" s="81">
        <v>6348025.4086163323</v>
      </c>
      <c r="AS706" s="81">
        <v>6412496.1936402442</v>
      </c>
      <c r="AT706" s="81">
        <v>6480924.2073010663</v>
      </c>
    </row>
    <row r="707" spans="1:46" ht="15.75">
      <c r="A707" s="81" t="s">
        <v>448</v>
      </c>
      <c r="B707" s="80">
        <v>632600</v>
      </c>
      <c r="C707" s="80" t="s">
        <v>413</v>
      </c>
      <c r="D707" s="84" t="s">
        <v>512</v>
      </c>
      <c r="E707" s="81">
        <v>1562001.6783145594</v>
      </c>
      <c r="F707" s="81">
        <v>1613601.8050373155</v>
      </c>
      <c r="G707" s="81">
        <v>1659045.3385285453</v>
      </c>
      <c r="H707" s="81">
        <v>1706675.8631522027</v>
      </c>
      <c r="I707" s="81">
        <v>1756299.9106424658</v>
      </c>
      <c r="J707" s="81">
        <v>1807720.8504848268</v>
      </c>
      <c r="K707" s="81">
        <v>1860756.3442567026</v>
      </c>
      <c r="L707" s="81">
        <v>1915190.6970489596</v>
      </c>
      <c r="M707" s="81">
        <v>1970841.1111771034</v>
      </c>
      <c r="N707" s="81">
        <v>2027492.4719783796</v>
      </c>
      <c r="O707" s="81">
        <v>2084966.0931047995</v>
      </c>
      <c r="P707" s="81">
        <v>2143052.1518750968</v>
      </c>
      <c r="Q707" s="81">
        <v>2193571.3504052521</v>
      </c>
      <c r="R707" s="81">
        <v>2244032.0875810157</v>
      </c>
      <c r="S707" s="81">
        <v>2294275.2174880831</v>
      </c>
      <c r="T707" s="81">
        <v>2344134.0802314333</v>
      </c>
      <c r="U707" s="81">
        <v>2393434.3904613047</v>
      </c>
      <c r="V707" s="81">
        <v>2442052.5787412506</v>
      </c>
      <c r="W707" s="81">
        <v>2489840.5803839569</v>
      </c>
      <c r="X707" s="81">
        <v>2536684.4793573269</v>
      </c>
      <c r="Y707" s="81">
        <v>2582476.6456389786</v>
      </c>
      <c r="Z707" s="81">
        <v>2627126.6070710081</v>
      </c>
      <c r="AA707" s="81">
        <v>2669661.5659435787</v>
      </c>
      <c r="AB707" s="81">
        <v>2710895.3811070449</v>
      </c>
      <c r="AC707" s="81">
        <v>2750787.6674606265</v>
      </c>
      <c r="AD707" s="81">
        <v>2789330.7624955336</v>
      </c>
      <c r="AE707" s="81">
        <v>2826529.884886675</v>
      </c>
      <c r="AF707" s="81">
        <v>2862414.873924383</v>
      </c>
      <c r="AG707" s="81">
        <v>2897041.5579564176</v>
      </c>
      <c r="AH707" s="81">
        <v>2930493.1433079424</v>
      </c>
      <c r="AI707" s="81">
        <v>2962870.1784140929</v>
      </c>
      <c r="AJ707" s="81">
        <v>2994326.049899119</v>
      </c>
      <c r="AK707" s="81">
        <v>3027500.6620058734</v>
      </c>
      <c r="AL707" s="81">
        <v>3060124.8129859185</v>
      </c>
      <c r="AM707" s="81">
        <v>3092426.2521394379</v>
      </c>
      <c r="AN707" s="81">
        <v>3124657.0325864987</v>
      </c>
      <c r="AO707" s="81">
        <v>3157119.0414306344</v>
      </c>
      <c r="AP707" s="81">
        <v>3190141.4792387369</v>
      </c>
      <c r="AQ707" s="81">
        <v>3224119.6387200444</v>
      </c>
      <c r="AR707" s="81">
        <v>3259454.3013558546</v>
      </c>
      <c r="AS707" s="81">
        <v>3296602.8689522515</v>
      </c>
      <c r="AT707" s="81">
        <v>3336068.8020876744</v>
      </c>
    </row>
    <row r="708" spans="1:46" ht="15.75">
      <c r="A708" s="81" t="s">
        <v>448</v>
      </c>
      <c r="B708" s="80">
        <v>632700</v>
      </c>
      <c r="C708" s="80" t="s">
        <v>413</v>
      </c>
      <c r="D708" s="84" t="s">
        <v>511</v>
      </c>
      <c r="E708" s="81">
        <v>3090379.5688651376</v>
      </c>
      <c r="F708" s="81">
        <v>3182695.1029758356</v>
      </c>
      <c r="G708" s="81">
        <v>3264944.952485383</v>
      </c>
      <c r="H708" s="81">
        <v>3353495.778060453</v>
      </c>
      <c r="I708" s="81">
        <v>3447868.8127393448</v>
      </c>
      <c r="J708" s="81">
        <v>3547557.2575388695</v>
      </c>
      <c r="K708" s="81">
        <v>3652076.5138771157</v>
      </c>
      <c r="L708" s="81">
        <v>3760902.7352316924</v>
      </c>
      <c r="M708" s="81">
        <v>3873523.5589663009</v>
      </c>
      <c r="N708" s="81">
        <v>3989416.3108533802</v>
      </c>
      <c r="O708" s="81">
        <v>4108067.7121468792</v>
      </c>
      <c r="P708" s="81">
        <v>4228968.5857890937</v>
      </c>
      <c r="Q708" s="81">
        <v>4335794.0674501732</v>
      </c>
      <c r="R708" s="81">
        <v>4443241.3395395819</v>
      </c>
      <c r="S708" s="81">
        <v>4550848.3744085059</v>
      </c>
      <c r="T708" s="81">
        <v>4658138.780297691</v>
      </c>
      <c r="U708" s="81">
        <v>4764708.5976356836</v>
      </c>
      <c r="V708" s="81">
        <v>4870144.6703646835</v>
      </c>
      <c r="W708" s="81">
        <v>4974084.2388138715</v>
      </c>
      <c r="X708" s="81">
        <v>5076199.2091726065</v>
      </c>
      <c r="Y708" s="81">
        <v>5176178.9397687912</v>
      </c>
      <c r="Z708" s="81">
        <v>5273773.0875980742</v>
      </c>
      <c r="AA708" s="81">
        <v>5366964.4358718758</v>
      </c>
      <c r="AB708" s="81">
        <v>5457308.9940867079</v>
      </c>
      <c r="AC708" s="81">
        <v>5544721.8127966672</v>
      </c>
      <c r="AD708" s="81">
        <v>5629119.0493943812</v>
      </c>
      <c r="AE708" s="81">
        <v>5710505.3054867005</v>
      </c>
      <c r="AF708" s="81">
        <v>5788934.7637781417</v>
      </c>
      <c r="AG708" s="81">
        <v>5864547.464941917</v>
      </c>
      <c r="AH708" s="81">
        <v>5937506.2268446879</v>
      </c>
      <c r="AI708" s="81">
        <v>6008100.4863274684</v>
      </c>
      <c r="AJ708" s="81">
        <v>6076637.4090579273</v>
      </c>
      <c r="AK708" s="81">
        <v>6148615.5410085972</v>
      </c>
      <c r="AL708" s="81">
        <v>6219480.6825854713</v>
      </c>
      <c r="AM708" s="81">
        <v>6289828.5974256629</v>
      </c>
      <c r="AN708" s="81">
        <v>6360298.5194955235</v>
      </c>
      <c r="AO708" s="81">
        <v>6431672.8189816922</v>
      </c>
      <c r="AP708" s="81">
        <v>6504809.3560075387</v>
      </c>
      <c r="AQ708" s="81">
        <v>6580656.8327714913</v>
      </c>
      <c r="AR708" s="81">
        <v>6660296.6095971055</v>
      </c>
      <c r="AS708" s="81">
        <v>6744922.7196822865</v>
      </c>
      <c r="AT708" s="81">
        <v>6835833.2059275014</v>
      </c>
    </row>
    <row r="709" spans="1:46" ht="15.75">
      <c r="A709" s="81" t="s">
        <v>448</v>
      </c>
      <c r="B709" s="80">
        <v>632800</v>
      </c>
      <c r="C709" s="80" t="s">
        <v>413</v>
      </c>
      <c r="D709" s="84" t="s">
        <v>510</v>
      </c>
      <c r="E709" s="81">
        <v>3378219.3488698681</v>
      </c>
      <c r="F709" s="81">
        <v>3504764.229520198</v>
      </c>
      <c r="G709" s="81">
        <v>3612543.6256423709</v>
      </c>
      <c r="H709" s="81">
        <v>3719846.2122923662</v>
      </c>
      <c r="I709" s="81">
        <v>3826575.3128084228</v>
      </c>
      <c r="J709" s="81">
        <v>3932609.6336849551</v>
      </c>
      <c r="K709" s="81">
        <v>4037842.1710468931</v>
      </c>
      <c r="L709" s="81">
        <v>4142164.9927562261</v>
      </c>
      <c r="M709" s="81">
        <v>4245469.2791245049</v>
      </c>
      <c r="N709" s="81">
        <v>4347662.7121193632</v>
      </c>
      <c r="O709" s="81">
        <v>4448635.7473253226</v>
      </c>
      <c r="P709" s="81">
        <v>4548296.0612313785</v>
      </c>
      <c r="Q709" s="81">
        <v>4629657.2769950116</v>
      </c>
      <c r="R709" s="81">
        <v>4709121.8311088402</v>
      </c>
      <c r="S709" s="81">
        <v>4786636.0128791928</v>
      </c>
      <c r="T709" s="81">
        <v>4862138.2107359609</v>
      </c>
      <c r="U709" s="81">
        <v>4935587.1649857126</v>
      </c>
      <c r="V709" s="81">
        <v>5006924.3208421152</v>
      </c>
      <c r="W709" s="81">
        <v>5076131.8211081987</v>
      </c>
      <c r="X709" s="81">
        <v>5143165.1352024944</v>
      </c>
      <c r="Y709" s="81">
        <v>5208001.8295789966</v>
      </c>
      <c r="Z709" s="81">
        <v>5270632.6663165009</v>
      </c>
      <c r="AA709" s="81">
        <v>5329233.016785969</v>
      </c>
      <c r="AB709" s="81">
        <v>5385536.0741118854</v>
      </c>
      <c r="AC709" s="81">
        <v>5439576.9030000539</v>
      </c>
      <c r="AD709" s="81">
        <v>5491331.1942930222</v>
      </c>
      <c r="AE709" s="81">
        <v>5540853.2731539225</v>
      </c>
      <c r="AF709" s="81">
        <v>5588148.2226719866</v>
      </c>
      <c r="AG709" s="81">
        <v>5633258.075647858</v>
      </c>
      <c r="AH709" s="81">
        <v>5676218.6260634102</v>
      </c>
      <c r="AI709" s="81">
        <v>5717104.6146599771</v>
      </c>
      <c r="AJ709" s="81">
        <v>5755973.9188354919</v>
      </c>
      <c r="AK709" s="81">
        <v>5797679.4795462042</v>
      </c>
      <c r="AL709" s="81">
        <v>5837525.9934427897</v>
      </c>
      <c r="AM709" s="81">
        <v>5875572.623668395</v>
      </c>
      <c r="AN709" s="81">
        <v>5911944.6814974174</v>
      </c>
      <c r="AO709" s="81">
        <v>5946751.2143724412</v>
      </c>
      <c r="AP709" s="81">
        <v>5980108.5564868422</v>
      </c>
      <c r="AQ709" s="81">
        <v>6012153.0413091639</v>
      </c>
      <c r="AR709" s="81">
        <v>6043041.8544970471</v>
      </c>
      <c r="AS709" s="81">
        <v>6072940.9840825973</v>
      </c>
      <c r="AT709" s="81">
        <v>6102025.3360040579</v>
      </c>
    </row>
    <row r="710" spans="1:46" ht="15.75">
      <c r="A710" s="81" t="s">
        <v>448</v>
      </c>
      <c r="B710" s="80">
        <v>640100</v>
      </c>
      <c r="C710" s="80" t="s">
        <v>412</v>
      </c>
      <c r="D710" s="84" t="s">
        <v>509</v>
      </c>
      <c r="E710" s="81">
        <v>25643225.149201501</v>
      </c>
      <c r="F710" s="81">
        <v>26510916.467251532</v>
      </c>
      <c r="G710" s="81">
        <v>27220499.350798339</v>
      </c>
      <c r="H710" s="81">
        <v>27917954.249171004</v>
      </c>
      <c r="I710" s="81">
        <v>28603182.919040401</v>
      </c>
      <c r="J710" s="81">
        <v>29276103.698010877</v>
      </c>
      <c r="K710" s="81">
        <v>29936660.381953437</v>
      </c>
      <c r="L710" s="81">
        <v>30584832.008499674</v>
      </c>
      <c r="M710" s="81">
        <v>31220591.693662081</v>
      </c>
      <c r="N710" s="81">
        <v>31843966.935119774</v>
      </c>
      <c r="O710" s="81">
        <v>32454977.295405034</v>
      </c>
      <c r="P710" s="81">
        <v>33053696.567049958</v>
      </c>
      <c r="Q710" s="81">
        <v>33506585.528504163</v>
      </c>
      <c r="R710" s="81">
        <v>33945292.12656346</v>
      </c>
      <c r="S710" s="81">
        <v>34370128.65786089</v>
      </c>
      <c r="T710" s="81">
        <v>34781406.430210166</v>
      </c>
      <c r="U710" s="81">
        <v>35179457.397853777</v>
      </c>
      <c r="V710" s="81">
        <v>35564599.231942952</v>
      </c>
      <c r="W710" s="81">
        <v>35937168.514824152</v>
      </c>
      <c r="X710" s="81">
        <v>36297520.593026102</v>
      </c>
      <c r="Y710" s="81">
        <v>36645981.46913778</v>
      </c>
      <c r="Z710" s="81">
        <v>36982917.768446967</v>
      </c>
      <c r="AA710" s="81">
        <v>37283445.419086829</v>
      </c>
      <c r="AB710" s="81">
        <v>37572916.581630453</v>
      </c>
      <c r="AC710" s="81">
        <v>37851682.68469917</v>
      </c>
      <c r="AD710" s="81">
        <v>38120144.572072901</v>
      </c>
      <c r="AE710" s="81">
        <v>38378639.533673145</v>
      </c>
      <c r="AF710" s="81">
        <v>38627565.788122632</v>
      </c>
      <c r="AG710" s="81">
        <v>38867254.921344839</v>
      </c>
      <c r="AH710" s="81">
        <v>39098059.503839858</v>
      </c>
      <c r="AI710" s="81">
        <v>39320340.136340298</v>
      </c>
      <c r="AJ710" s="81">
        <v>39534411.705502875</v>
      </c>
      <c r="AK710" s="81">
        <v>39760006.026307099</v>
      </c>
      <c r="AL710" s="81">
        <v>39978036.444606282</v>
      </c>
      <c r="AM710" s="81">
        <v>40188794.619400658</v>
      </c>
      <c r="AN710" s="81">
        <v>40392562.14817147</v>
      </c>
      <c r="AO710" s="81">
        <v>40589609.439541347</v>
      </c>
      <c r="AP710" s="81">
        <v>40780166.265409663</v>
      </c>
      <c r="AQ710" s="81">
        <v>40964504.956173688</v>
      </c>
      <c r="AR710" s="81">
        <v>41142797.701902442</v>
      </c>
      <c r="AS710" s="81">
        <v>41315271.415232681</v>
      </c>
      <c r="AT710" s="81">
        <v>41482092.340353131</v>
      </c>
    </row>
    <row r="711" spans="1:46" ht="15.75">
      <c r="A711" s="81" t="s">
        <v>448</v>
      </c>
      <c r="B711" s="80">
        <v>640200</v>
      </c>
      <c r="C711" s="80" t="s">
        <v>412</v>
      </c>
      <c r="D711" s="84" t="s">
        <v>508</v>
      </c>
      <c r="E711" s="81">
        <v>5792221.4903072212</v>
      </c>
      <c r="F711" s="81">
        <v>5958659.7858977336</v>
      </c>
      <c r="G711" s="81">
        <v>6091206.7262966903</v>
      </c>
      <c r="H711" s="81">
        <v>6222759.9670281652</v>
      </c>
      <c r="I711" s="81">
        <v>6353077.7937833685</v>
      </c>
      <c r="J711" s="81">
        <v>6481925.9493948752</v>
      </c>
      <c r="K711" s="81">
        <v>6609087.4230456129</v>
      </c>
      <c r="L711" s="81">
        <v>6734346.9055856504</v>
      </c>
      <c r="M711" s="81">
        <v>6857491.3800257714</v>
      </c>
      <c r="N711" s="81">
        <v>6978310.7265499001</v>
      </c>
      <c r="O711" s="81">
        <v>7096625.7407000121</v>
      </c>
      <c r="P711" s="81">
        <v>7212253.7585641686</v>
      </c>
      <c r="Q711" s="81">
        <v>7295732.0300582135</v>
      </c>
      <c r="R711" s="81">
        <v>7375878.2219007257</v>
      </c>
      <c r="S711" s="81">
        <v>7452577.0659041116</v>
      </c>
      <c r="T711" s="81">
        <v>7525760.7653977908</v>
      </c>
      <c r="U711" s="81">
        <v>7595372.4575488139</v>
      </c>
      <c r="V711" s="81">
        <v>7661346.9887858694</v>
      </c>
      <c r="W711" s="81">
        <v>7723660.4045968726</v>
      </c>
      <c r="X711" s="81">
        <v>7782311.8936309153</v>
      </c>
      <c r="Y711" s="81">
        <v>7837314.6978050899</v>
      </c>
      <c r="Z711" s="81">
        <v>7888676.0846445728</v>
      </c>
      <c r="AA711" s="81">
        <v>7930893.6968027344</v>
      </c>
      <c r="AB711" s="81">
        <v>7969607.4947762704</v>
      </c>
      <c r="AC711" s="81">
        <v>8004901.3584221145</v>
      </c>
      <c r="AD711" s="81">
        <v>8036918.8007465331</v>
      </c>
      <c r="AE711" s="81">
        <v>8065822.3184801945</v>
      </c>
      <c r="AF711" s="81">
        <v>8091772.1637607235</v>
      </c>
      <c r="AG711" s="81">
        <v>8115003.1005690889</v>
      </c>
      <c r="AH711" s="81">
        <v>8135738.5895687528</v>
      </c>
      <c r="AI711" s="81">
        <v>8154234.8019142998</v>
      </c>
      <c r="AJ711" s="81">
        <v>8170804.4495393811</v>
      </c>
      <c r="AK711" s="81">
        <v>8189536.3246044507</v>
      </c>
      <c r="AL711" s="81">
        <v>8206993.8403760418</v>
      </c>
      <c r="AM711" s="81">
        <v>8223563.6079529244</v>
      </c>
      <c r="AN711" s="81">
        <v>8239671.2625079583</v>
      </c>
      <c r="AO711" s="81">
        <v>8255770.871054058</v>
      </c>
      <c r="AP711" s="81">
        <v>8272369.6848085169</v>
      </c>
      <c r="AQ711" s="81">
        <v>8290005.7973993076</v>
      </c>
      <c r="AR711" s="81">
        <v>8309236.6924468027</v>
      </c>
      <c r="AS711" s="81">
        <v>8330676.4813433215</v>
      </c>
      <c r="AT711" s="81">
        <v>8354997.8329750504</v>
      </c>
    </row>
    <row r="712" spans="1:46" ht="15.75">
      <c r="A712" s="81" t="s">
        <v>448</v>
      </c>
      <c r="B712" s="80">
        <v>640300</v>
      </c>
      <c r="C712" s="80" t="s">
        <v>412</v>
      </c>
      <c r="D712" s="84" t="s">
        <v>507</v>
      </c>
      <c r="E712" s="81">
        <v>10648574.048084214</v>
      </c>
      <c r="F712" s="81">
        <v>10975498.227134747</v>
      </c>
      <c r="G712" s="81">
        <v>11251377.890184142</v>
      </c>
      <c r="H712" s="81">
        <v>11535746.886430036</v>
      </c>
      <c r="I712" s="81">
        <v>11827452.838914281</v>
      </c>
      <c r="J712" s="81">
        <v>12125358.456273528</v>
      </c>
      <c r="K712" s="81">
        <v>12428296.364708811</v>
      </c>
      <c r="L712" s="81">
        <v>12735150.35461678</v>
      </c>
      <c r="M712" s="81">
        <v>13044784.28957466</v>
      </c>
      <c r="N712" s="81">
        <v>13356099.054097638</v>
      </c>
      <c r="O712" s="81">
        <v>13668021.343259439</v>
      </c>
      <c r="P712" s="81">
        <v>13979509.546329007</v>
      </c>
      <c r="Q712" s="81">
        <v>14232808.41232549</v>
      </c>
      <c r="R712" s="81">
        <v>14482318.323340878</v>
      </c>
      <c r="S712" s="81">
        <v>14727234.102219516</v>
      </c>
      <c r="T712" s="81">
        <v>14966760.655942826</v>
      </c>
      <c r="U712" s="81">
        <v>15200222.873625439</v>
      </c>
      <c r="V712" s="81">
        <v>15426993.845299071</v>
      </c>
      <c r="W712" s="81">
        <v>15646548.611016564</v>
      </c>
      <c r="X712" s="81">
        <v>15858429.847961837</v>
      </c>
      <c r="Y712" s="81">
        <v>16062303.402440693</v>
      </c>
      <c r="Z712" s="81">
        <v>16257903.092464568</v>
      </c>
      <c r="AA712" s="81">
        <v>16433970.835526915</v>
      </c>
      <c r="AB712" s="81">
        <v>16601425.227974955</v>
      </c>
      <c r="AC712" s="81">
        <v>16760367.796603639</v>
      </c>
      <c r="AD712" s="81">
        <v>16911009.553836409</v>
      </c>
      <c r="AE712" s="81">
        <v>17053686.790414356</v>
      </c>
      <c r="AF712" s="81">
        <v>17188899.561333407</v>
      </c>
      <c r="AG712" s="81">
        <v>17317230.015026454</v>
      </c>
      <c r="AH712" s="81">
        <v>17439446.273639221</v>
      </c>
      <c r="AI712" s="81">
        <v>17556442.37315847</v>
      </c>
      <c r="AJ712" s="81">
        <v>17669300.104248721</v>
      </c>
      <c r="AK712" s="81">
        <v>17787876.581111535</v>
      </c>
      <c r="AL712" s="81">
        <v>17904925.494450327</v>
      </c>
      <c r="AM712" s="81">
        <v>18022003.083575524</v>
      </c>
      <c r="AN712" s="81">
        <v>18140822.955016624</v>
      </c>
      <c r="AO712" s="81">
        <v>18263345.417685296</v>
      </c>
      <c r="AP712" s="81">
        <v>18391665.830846939</v>
      </c>
      <c r="AQ712" s="81">
        <v>18528116.214513984</v>
      </c>
      <c r="AR712" s="81">
        <v>18675236.70473785</v>
      </c>
      <c r="AS712" s="81">
        <v>18835757.457518652</v>
      </c>
      <c r="AT712" s="81">
        <v>19012654.716006629</v>
      </c>
    </row>
    <row r="713" spans="1:46" ht="15.75">
      <c r="A713" s="81" t="s">
        <v>448</v>
      </c>
      <c r="B713" s="80">
        <v>640400</v>
      </c>
      <c r="C713" s="80" t="s">
        <v>412</v>
      </c>
      <c r="D713" s="84" t="s">
        <v>506</v>
      </c>
      <c r="E713" s="81">
        <v>8809661.2073560078</v>
      </c>
      <c r="F713" s="81">
        <v>9065951.8091757614</v>
      </c>
      <c r="G713" s="81">
        <v>9283671.0674648602</v>
      </c>
      <c r="H713" s="81">
        <v>9511800.9769869447</v>
      </c>
      <c r="I713" s="81">
        <v>9749111.0329322871</v>
      </c>
      <c r="J713" s="81">
        <v>9994365.5632279553</v>
      </c>
      <c r="K713" s="81">
        <v>10246355.082895719</v>
      </c>
      <c r="L713" s="81">
        <v>10503842.838591948</v>
      </c>
      <c r="M713" s="81">
        <v>10765630.120700823</v>
      </c>
      <c r="N713" s="81">
        <v>11030537.306979757</v>
      </c>
      <c r="O713" s="81">
        <v>11297400.921519266</v>
      </c>
      <c r="P713" s="81">
        <v>11565097.919459265</v>
      </c>
      <c r="Q713" s="81">
        <v>11785569.044077586</v>
      </c>
      <c r="R713" s="81">
        <v>12003533.016799025</v>
      </c>
      <c r="S713" s="81">
        <v>12218072.058547862</v>
      </c>
      <c r="T713" s="81">
        <v>12428349.606893774</v>
      </c>
      <c r="U713" s="81">
        <v>12633586.774128569</v>
      </c>
      <c r="V713" s="81">
        <v>12833106.534309978</v>
      </c>
      <c r="W713" s="81">
        <v>13026330.354973949</v>
      </c>
      <c r="X713" s="81">
        <v>13212753.98510536</v>
      </c>
      <c r="Y713" s="81">
        <v>13391982.956340719</v>
      </c>
      <c r="Z713" s="81">
        <v>13563749.392062878</v>
      </c>
      <c r="AA713" s="81">
        <v>13718587.286891518</v>
      </c>
      <c r="AB713" s="81">
        <v>13865599.85065737</v>
      </c>
      <c r="AC713" s="81">
        <v>14004891.742388805</v>
      </c>
      <c r="AD713" s="81">
        <v>14136676.491035014</v>
      </c>
      <c r="AE713" s="81">
        <v>14261335.845990192</v>
      </c>
      <c r="AF713" s="81">
        <v>14379383.381946366</v>
      </c>
      <c r="AG713" s="81">
        <v>14491481.178316703</v>
      </c>
      <c r="AH713" s="81">
        <v>14598457.210179199</v>
      </c>
      <c r="AI713" s="81">
        <v>14701289.510329122</v>
      </c>
      <c r="AJ713" s="81">
        <v>14801146.250557899</v>
      </c>
      <c r="AK713" s="81">
        <v>14906614.725264437</v>
      </c>
      <c r="AL713" s="81">
        <v>15011984.84601303</v>
      </c>
      <c r="AM713" s="81">
        <v>15118958.0269417</v>
      </c>
      <c r="AN713" s="81">
        <v>15229456.949597489</v>
      </c>
      <c r="AO713" s="81">
        <v>15345585.866377786</v>
      </c>
      <c r="AP713" s="81">
        <v>15469685.12797635</v>
      </c>
      <c r="AQ713" s="81">
        <v>15604315.202361824</v>
      </c>
      <c r="AR713" s="81">
        <v>15752276.433424247</v>
      </c>
      <c r="AS713" s="81">
        <v>15916567.266646575</v>
      </c>
      <c r="AT713" s="81">
        <v>16100490.737385402</v>
      </c>
    </row>
    <row r="714" spans="1:46" ht="15.75">
      <c r="A714" s="81" t="s">
        <v>448</v>
      </c>
      <c r="B714" s="80">
        <v>640500</v>
      </c>
      <c r="C714" s="80" t="s">
        <v>412</v>
      </c>
      <c r="D714" s="84" t="s">
        <v>505</v>
      </c>
      <c r="E714" s="81">
        <v>8213163.2578673791</v>
      </c>
      <c r="F714" s="81">
        <v>8472190.3376664706</v>
      </c>
      <c r="G714" s="81">
        <v>8690968.7470188905</v>
      </c>
      <c r="H714" s="81">
        <v>8915470.9036456961</v>
      </c>
      <c r="I714" s="81">
        <v>9144827.325669717</v>
      </c>
      <c r="J714" s="81">
        <v>9378206.9972059336</v>
      </c>
      <c r="K714" s="81">
        <v>9614755.4505399112</v>
      </c>
      <c r="L714" s="81">
        <v>9853648.8766977303</v>
      </c>
      <c r="M714" s="81">
        <v>10094055.559436604</v>
      </c>
      <c r="N714" s="81">
        <v>10335183.501676328</v>
      </c>
      <c r="O714" s="81">
        <v>10576240.718102233</v>
      </c>
      <c r="P714" s="81">
        <v>10816484.467448428</v>
      </c>
      <c r="Q714" s="81">
        <v>11011274.43842165</v>
      </c>
      <c r="R714" s="81">
        <v>11202792.137038864</v>
      </c>
      <c r="S714" s="81">
        <v>11390432.472735131</v>
      </c>
      <c r="T714" s="81">
        <v>11573676.162034243</v>
      </c>
      <c r="U714" s="81">
        <v>11752046.19109091</v>
      </c>
      <c r="V714" s="81">
        <v>11925120.774424436</v>
      </c>
      <c r="W714" s="81">
        <v>12092536.968465921</v>
      </c>
      <c r="X714" s="81">
        <v>12254024.804561449</v>
      </c>
      <c r="Y714" s="81">
        <v>12409351.087753456</v>
      </c>
      <c r="Z714" s="81">
        <v>12558394.166570753</v>
      </c>
      <c r="AA714" s="81">
        <v>12692491.279329535</v>
      </c>
      <c r="AB714" s="81">
        <v>12820132.640258452</v>
      </c>
      <c r="AC714" s="81">
        <v>12941458.81531381</v>
      </c>
      <c r="AD714" s="81">
        <v>13056676.122002052</v>
      </c>
      <c r="AE714" s="81">
        <v>13166102.982485989</v>
      </c>
      <c r="AF714" s="81">
        <v>13270141.863661731</v>
      </c>
      <c r="AG714" s="81">
        <v>13369327.098325683</v>
      </c>
      <c r="AH714" s="81">
        <v>13464263.206711819</v>
      </c>
      <c r="AI714" s="81">
        <v>13555683.925117483</v>
      </c>
      <c r="AJ714" s="81">
        <v>13644468.789962759</v>
      </c>
      <c r="AK714" s="81">
        <v>13738266.169483256</v>
      </c>
      <c r="AL714" s="81">
        <v>13831499.976271814</v>
      </c>
      <c r="AM714" s="81">
        <v>13925412.433292033</v>
      </c>
      <c r="AN714" s="81">
        <v>14021354.35996283</v>
      </c>
      <c r="AO714" s="81">
        <v>14120848.62233744</v>
      </c>
      <c r="AP714" s="81">
        <v>14225560.200598387</v>
      </c>
      <c r="AQ714" s="81">
        <v>14337276.465247024</v>
      </c>
      <c r="AR714" s="81">
        <v>14457984.883749139</v>
      </c>
      <c r="AS714" s="81">
        <v>14589792.956434473</v>
      </c>
      <c r="AT714" s="81">
        <v>14735019.444379164</v>
      </c>
    </row>
    <row r="715" spans="1:46" ht="15.75">
      <c r="A715" s="81" t="s">
        <v>448</v>
      </c>
      <c r="B715" s="80">
        <v>650100</v>
      </c>
      <c r="C715" s="80" t="s">
        <v>411</v>
      </c>
      <c r="D715" s="84" t="s">
        <v>504</v>
      </c>
      <c r="E715" s="81">
        <v>46063200.988699749</v>
      </c>
      <c r="F715" s="81">
        <v>47481017.64398025</v>
      </c>
      <c r="G715" s="81">
        <v>48213924.519960321</v>
      </c>
      <c r="H715" s="81">
        <v>48901631.080216713</v>
      </c>
      <c r="I715" s="81">
        <v>49546408.079314448</v>
      </c>
      <c r="J715" s="81">
        <v>50150480.112833694</v>
      </c>
      <c r="K715" s="81">
        <v>50716021.752869226</v>
      </c>
      <c r="L715" s="81">
        <v>51245141.42595119</v>
      </c>
      <c r="M715" s="81">
        <v>51739901.63164752</v>
      </c>
      <c r="N715" s="81">
        <v>52202290.600913994</v>
      </c>
      <c r="O715" s="81">
        <v>52634205.360451721</v>
      </c>
      <c r="P715" s="81">
        <v>53037496.999738455</v>
      </c>
      <c r="Q715" s="81">
        <v>53404399.816077329</v>
      </c>
      <c r="R715" s="81">
        <v>53745993.291563623</v>
      </c>
      <c r="S715" s="81">
        <v>54063866.45562353</v>
      </c>
      <c r="T715" s="81">
        <v>54359519.054949604</v>
      </c>
      <c r="U715" s="81">
        <v>54634357.313056521</v>
      </c>
      <c r="V715" s="81">
        <v>54889702.706545323</v>
      </c>
      <c r="W715" s="81">
        <v>55126735.504495762</v>
      </c>
      <c r="X715" s="81">
        <v>55346542.040731318</v>
      </c>
      <c r="Y715" s="81">
        <v>55550084.113188155</v>
      </c>
      <c r="Z715" s="81">
        <v>55738220.909086175</v>
      </c>
      <c r="AA715" s="81">
        <v>55864348.671736553</v>
      </c>
      <c r="AB715" s="81">
        <v>55976213.847024739</v>
      </c>
      <c r="AC715" s="81">
        <v>56074336.002378643</v>
      </c>
      <c r="AD715" s="81">
        <v>56159058.402621709</v>
      </c>
      <c r="AE715" s="81">
        <v>56230584.14852044</v>
      </c>
      <c r="AF715" s="81">
        <v>56288958.258547373</v>
      </c>
      <c r="AG715" s="81">
        <v>56334091.039543033</v>
      </c>
      <c r="AH715" s="81">
        <v>56365726.356245749</v>
      </c>
      <c r="AI715" s="81">
        <v>56383437.119068623</v>
      </c>
      <c r="AJ715" s="81">
        <v>56386634.895381778</v>
      </c>
      <c r="AK715" s="81">
        <v>56327402.061209843</v>
      </c>
      <c r="AL715" s="81">
        <v>56252015.962777704</v>
      </c>
      <c r="AM715" s="81">
        <v>56159423.350561641</v>
      </c>
      <c r="AN715" s="81">
        <v>56048368.220164336</v>
      </c>
      <c r="AO715" s="81">
        <v>55917416.601067878</v>
      </c>
      <c r="AP715" s="81">
        <v>55764953.053131379</v>
      </c>
      <c r="AQ715" s="81">
        <v>55589162.571060479</v>
      </c>
      <c r="AR715" s="81">
        <v>55388056.073860839</v>
      </c>
      <c r="AS715" s="81">
        <v>55159423.061551608</v>
      </c>
      <c r="AT715" s="81">
        <v>54900857.04091882</v>
      </c>
    </row>
    <row r="716" spans="1:46" ht="15.75">
      <c r="A716" s="81" t="s">
        <v>448</v>
      </c>
      <c r="B716" s="80">
        <v>650200</v>
      </c>
      <c r="C716" s="80" t="s">
        <v>411</v>
      </c>
      <c r="D716" s="84" t="s">
        <v>503</v>
      </c>
      <c r="E716" s="81">
        <v>6005340.8909823699</v>
      </c>
      <c r="F716" s="81">
        <v>6072123.9684018483</v>
      </c>
      <c r="G716" s="81">
        <v>6135328.4495433597</v>
      </c>
      <c r="H716" s="81">
        <v>6194291.1684937226</v>
      </c>
      <c r="I716" s="81">
        <v>6249054.6874470878</v>
      </c>
      <c r="J716" s="81">
        <v>6299713.6356084328</v>
      </c>
      <c r="K716" s="81">
        <v>6346301.9375637453</v>
      </c>
      <c r="L716" s="81">
        <v>6388905.7959529525</v>
      </c>
      <c r="M716" s="81">
        <v>6427588.2289925609</v>
      </c>
      <c r="N716" s="81">
        <v>6462426.9599966668</v>
      </c>
      <c r="O716" s="81">
        <v>6493488.9642401012</v>
      </c>
      <c r="P716" s="81">
        <v>6520868.9388479944</v>
      </c>
      <c r="Q716" s="81">
        <v>6545746.8476776313</v>
      </c>
      <c r="R716" s="81">
        <v>6567097.3967828676</v>
      </c>
      <c r="S716" s="81">
        <v>6584980.8042278355</v>
      </c>
      <c r="T716" s="81">
        <v>6599498.4421514124</v>
      </c>
      <c r="U716" s="81">
        <v>6610714.5442503132</v>
      </c>
      <c r="V716" s="81">
        <v>6618721.5870648427</v>
      </c>
      <c r="W716" s="81">
        <v>6623600.9511901131</v>
      </c>
      <c r="X716" s="81">
        <v>6625462.7001341479</v>
      </c>
      <c r="Y716" s="81">
        <v>6624379.0988588305</v>
      </c>
      <c r="Z716" s="81">
        <v>6620451.095238952</v>
      </c>
      <c r="AA716" s="81">
        <v>6614928.6323986882</v>
      </c>
      <c r="AB716" s="81">
        <v>6606730.6015026318</v>
      </c>
      <c r="AC716" s="81">
        <v>6595976.687645671</v>
      </c>
      <c r="AD716" s="81">
        <v>6582761.7179707857</v>
      </c>
      <c r="AE716" s="81">
        <v>6567182.5843046652</v>
      </c>
      <c r="AF716" s="81">
        <v>6549338.243157709</v>
      </c>
      <c r="AG716" s="81">
        <v>6529357.4412921956</v>
      </c>
      <c r="AH716" s="81">
        <v>6507329.6885634828</v>
      </c>
      <c r="AI716" s="81">
        <v>6483374.2850788105</v>
      </c>
      <c r="AJ716" s="81">
        <v>6457612.8250384266</v>
      </c>
      <c r="AK716" s="81">
        <v>6431255.9649006557</v>
      </c>
      <c r="AL716" s="81">
        <v>6403295.5163310012</v>
      </c>
      <c r="AM716" s="81">
        <v>6373844.8769981554</v>
      </c>
      <c r="AN716" s="81">
        <v>6343033.8712453591</v>
      </c>
      <c r="AO716" s="81">
        <v>6310980.3814291041</v>
      </c>
      <c r="AP716" s="81">
        <v>6277818.8361721057</v>
      </c>
      <c r="AQ716" s="81">
        <v>6243671.6025186488</v>
      </c>
      <c r="AR716" s="81">
        <v>6208648.6869554045</v>
      </c>
      <c r="AS716" s="81">
        <v>6172905.7284466252</v>
      </c>
      <c r="AT716" s="81">
        <v>6136571.7313745366</v>
      </c>
    </row>
    <row r="717" spans="1:46" ht="15.75">
      <c r="A717" s="81" t="s">
        <v>448</v>
      </c>
      <c r="B717" s="80">
        <v>650400</v>
      </c>
      <c r="C717" s="80" t="s">
        <v>411</v>
      </c>
      <c r="D717" s="84" t="s">
        <v>502</v>
      </c>
      <c r="E717" s="81">
        <v>2371891.1990436092</v>
      </c>
      <c r="F717" s="81">
        <v>2437770.0885618362</v>
      </c>
      <c r="G717" s="81">
        <v>2490747.8752327436</v>
      </c>
      <c r="H717" s="81">
        <v>2544490.7613456575</v>
      </c>
      <c r="I717" s="81">
        <v>2598854.9834911921</v>
      </c>
      <c r="J717" s="81">
        <v>2653699.3095716615</v>
      </c>
      <c r="K717" s="81">
        <v>2708870.6061609369</v>
      </c>
      <c r="L717" s="81">
        <v>2764234.0821224432</v>
      </c>
      <c r="M717" s="81">
        <v>2819643.9879964129</v>
      </c>
      <c r="N717" s="81">
        <v>2874962.9281926895</v>
      </c>
      <c r="O717" s="81">
        <v>2930054.8633868033</v>
      </c>
      <c r="P717" s="81">
        <v>2984789.6122514629</v>
      </c>
      <c r="Q717" s="81">
        <v>3026446.4319237568</v>
      </c>
      <c r="R717" s="81">
        <v>3067284.3228711896</v>
      </c>
      <c r="S717" s="81">
        <v>3107209.0358924731</v>
      </c>
      <c r="T717" s="81">
        <v>3146119.501611691</v>
      </c>
      <c r="U717" s="81">
        <v>3183928.7977021402</v>
      </c>
      <c r="V717" s="81">
        <v>3220556.3458917351</v>
      </c>
      <c r="W717" s="81">
        <v>3255932.5969450804</v>
      </c>
      <c r="X717" s="81">
        <v>3289990.8924185731</v>
      </c>
      <c r="Y717" s="81">
        <v>3322689.6199033218</v>
      </c>
      <c r="Z717" s="81">
        <v>3353973.4872294106</v>
      </c>
      <c r="AA717" s="81">
        <v>3380945.6115741059</v>
      </c>
      <c r="AB717" s="81">
        <v>3406437.4162955917</v>
      </c>
      <c r="AC717" s="81">
        <v>3430437.8287080815</v>
      </c>
      <c r="AD717" s="81">
        <v>3452959.2362453118</v>
      </c>
      <c r="AE717" s="81">
        <v>3474019.9489896474</v>
      </c>
      <c r="AF717" s="81">
        <v>3493644.3991483492</v>
      </c>
      <c r="AG717" s="81">
        <v>3511886.7856969233</v>
      </c>
      <c r="AH717" s="81">
        <v>3528799.1239284906</v>
      </c>
      <c r="AI717" s="81">
        <v>3544459.663706331</v>
      </c>
      <c r="AJ717" s="81">
        <v>3558949.8475996093</v>
      </c>
      <c r="AK717" s="81">
        <v>3573503.0207534563</v>
      </c>
      <c r="AL717" s="81">
        <v>3587106.83277338</v>
      </c>
      <c r="AM717" s="81">
        <v>3599902.0177454334</v>
      </c>
      <c r="AN717" s="81">
        <v>3612034.3526235325</v>
      </c>
      <c r="AO717" s="81">
        <v>3623674.6944464864</v>
      </c>
      <c r="AP717" s="81">
        <v>3635009.7547189021</v>
      </c>
      <c r="AQ717" s="81">
        <v>3646242.5564447488</v>
      </c>
      <c r="AR717" s="81">
        <v>3657598.0119074858</v>
      </c>
      <c r="AS717" s="81">
        <v>3669323.5901666256</v>
      </c>
      <c r="AT717" s="81">
        <v>3681674.4017848638</v>
      </c>
    </row>
    <row r="718" spans="1:46" ht="15.75">
      <c r="A718" s="81" t="s">
        <v>448</v>
      </c>
      <c r="B718" s="80">
        <v>650500</v>
      </c>
      <c r="C718" s="80" t="s">
        <v>411</v>
      </c>
      <c r="D718" s="84" t="s">
        <v>501</v>
      </c>
      <c r="E718" s="81">
        <v>4514876.0975271584</v>
      </c>
      <c r="F718" s="81">
        <v>4635976.6953496384</v>
      </c>
      <c r="G718" s="81">
        <v>4729554.321927445</v>
      </c>
      <c r="H718" s="81">
        <v>4821764.1306117037</v>
      </c>
      <c r="I718" s="81">
        <v>4912467.1949300431</v>
      </c>
      <c r="J718" s="81">
        <v>5001528.5060605565</v>
      </c>
      <c r="K718" s="81">
        <v>5088832.2615493527</v>
      </c>
      <c r="L718" s="81">
        <v>5174253.3953541704</v>
      </c>
      <c r="M718" s="81">
        <v>5257672.2638990618</v>
      </c>
      <c r="N718" s="81">
        <v>5338975.1636380004</v>
      </c>
      <c r="O718" s="81">
        <v>5418070.5018870356</v>
      </c>
      <c r="P718" s="81">
        <v>5494850.7586239157</v>
      </c>
      <c r="Q718" s="81">
        <v>5546154.0360154361</v>
      </c>
      <c r="R718" s="81">
        <v>5594822.7266007271</v>
      </c>
      <c r="S718" s="81">
        <v>5640801.1647475045</v>
      </c>
      <c r="T718" s="81">
        <v>5684083.2312826375</v>
      </c>
      <c r="U718" s="81">
        <v>5724639.8936026972</v>
      </c>
      <c r="V718" s="81">
        <v>5762451.6190446382</v>
      </c>
      <c r="W718" s="81">
        <v>5797542.6105990047</v>
      </c>
      <c r="X718" s="81">
        <v>5829897.4047437478</v>
      </c>
      <c r="Y718" s="81">
        <v>5859553.7155376356</v>
      </c>
      <c r="Z718" s="81">
        <v>5886543.9584492277</v>
      </c>
      <c r="AA718" s="81">
        <v>5905895.495257494</v>
      </c>
      <c r="AB718" s="81">
        <v>5922684.0849474305</v>
      </c>
      <c r="AC718" s="81">
        <v>5936985.0468893293</v>
      </c>
      <c r="AD718" s="81">
        <v>5948904.4602351151</v>
      </c>
      <c r="AE718" s="81">
        <v>5958516.9645040352</v>
      </c>
      <c r="AF718" s="81">
        <v>5965955.5440324172</v>
      </c>
      <c r="AG718" s="81">
        <v>5971340.2190233674</v>
      </c>
      <c r="AH718" s="81">
        <v>5974814.4250731748</v>
      </c>
      <c r="AI718" s="81">
        <v>5976536.4575220076</v>
      </c>
      <c r="AJ718" s="81">
        <v>5976670.4858685043</v>
      </c>
      <c r="AK718" s="81">
        <v>5977286.4737579729</v>
      </c>
      <c r="AL718" s="81">
        <v>5976692.8751598671</v>
      </c>
      <c r="AM718" s="81">
        <v>5975101.0977188451</v>
      </c>
      <c r="AN718" s="81">
        <v>5972749.2751186425</v>
      </c>
      <c r="AO718" s="81">
        <v>5969893.3240747172</v>
      </c>
      <c r="AP718" s="81">
        <v>5966797.5432527149</v>
      </c>
      <c r="AQ718" s="81">
        <v>5963754.5937333675</v>
      </c>
      <c r="AR718" s="81">
        <v>5961056.2855039509</v>
      </c>
      <c r="AS718" s="81">
        <v>5959043.8026568415</v>
      </c>
      <c r="AT718" s="81">
        <v>5958058.4462630181</v>
      </c>
    </row>
    <row r="719" spans="1:46" ht="15.75">
      <c r="A719" s="81" t="s">
        <v>448</v>
      </c>
      <c r="B719" s="80">
        <v>652300</v>
      </c>
      <c r="C719" s="80" t="s">
        <v>411</v>
      </c>
      <c r="D719" s="84" t="s">
        <v>500</v>
      </c>
      <c r="E719" s="81">
        <v>15417854.376390653</v>
      </c>
      <c r="F719" s="81">
        <v>15819625.828459537</v>
      </c>
      <c r="G719" s="81">
        <v>16128150.169561515</v>
      </c>
      <c r="H719" s="81">
        <v>16432431.998701015</v>
      </c>
      <c r="I719" s="81">
        <v>16731918.222535376</v>
      </c>
      <c r="J719" s="81">
        <v>17026069.440826531</v>
      </c>
      <c r="K719" s="81">
        <v>17314383.105754282</v>
      </c>
      <c r="L719" s="81">
        <v>17596354.335734718</v>
      </c>
      <c r="M719" s="81">
        <v>17871509.112308681</v>
      </c>
      <c r="N719" s="81">
        <v>18139385.217451617</v>
      </c>
      <c r="O719" s="81">
        <v>18399567.183481097</v>
      </c>
      <c r="P719" s="81">
        <v>18651644.8442485</v>
      </c>
      <c r="Q719" s="81">
        <v>18817323.709190302</v>
      </c>
      <c r="R719" s="81">
        <v>18973738.308570586</v>
      </c>
      <c r="S719" s="81">
        <v>19120686.038439628</v>
      </c>
      <c r="T719" s="81">
        <v>19258047.024917435</v>
      </c>
      <c r="U719" s="81">
        <v>19385716.840365045</v>
      </c>
      <c r="V719" s="81">
        <v>19503619.11529503</v>
      </c>
      <c r="W719" s="81">
        <v>19611755.109321892</v>
      </c>
      <c r="X719" s="81">
        <v>19710133.950230405</v>
      </c>
      <c r="Y719" s="81">
        <v>19798834.347054251</v>
      </c>
      <c r="Z719" s="81">
        <v>19877970.25758259</v>
      </c>
      <c r="AA719" s="81">
        <v>19931168.586806968</v>
      </c>
      <c r="AB719" s="81">
        <v>19975260.638951566</v>
      </c>
      <c r="AC719" s="81">
        <v>20010535.100868534</v>
      </c>
      <c r="AD719" s="81">
        <v>20037346.860150084</v>
      </c>
      <c r="AE719" s="81">
        <v>20056093.372820865</v>
      </c>
      <c r="AF719" s="81">
        <v>20067242.033556499</v>
      </c>
      <c r="AG719" s="81">
        <v>20071319.330106985</v>
      </c>
      <c r="AH719" s="81">
        <v>20068912.657757137</v>
      </c>
      <c r="AI719" s="81">
        <v>20060672.15312599</v>
      </c>
      <c r="AJ719" s="81">
        <v>20047312.547305282</v>
      </c>
      <c r="AK719" s="81">
        <v>20036302.979791872</v>
      </c>
      <c r="AL719" s="81">
        <v>20021751.670650713</v>
      </c>
      <c r="AM719" s="81">
        <v>20004563.188148327</v>
      </c>
      <c r="AN719" s="81">
        <v>19985729.131497595</v>
      </c>
      <c r="AO719" s="81">
        <v>19966330.745236762</v>
      </c>
      <c r="AP719" s="81">
        <v>19947499.038010217</v>
      </c>
      <c r="AQ719" s="81">
        <v>19930501.46000262</v>
      </c>
      <c r="AR719" s="81">
        <v>19916616.672642976</v>
      </c>
      <c r="AS719" s="81">
        <v>19907264.483565994</v>
      </c>
      <c r="AT719" s="81">
        <v>19903907.850313928</v>
      </c>
    </row>
    <row r="720" spans="1:46" ht="15.75">
      <c r="A720" s="81" t="s">
        <v>448</v>
      </c>
      <c r="B720" s="80">
        <v>652700</v>
      </c>
      <c r="C720" s="80" t="s">
        <v>411</v>
      </c>
      <c r="D720" s="84" t="s">
        <v>499</v>
      </c>
      <c r="E720" s="81">
        <v>2821498.0585266501</v>
      </c>
      <c r="F720" s="81">
        <v>2897529.3790477067</v>
      </c>
      <c r="G720" s="81">
        <v>2957308.9453980806</v>
      </c>
      <c r="H720" s="81">
        <v>3017104.8741165362</v>
      </c>
      <c r="I720" s="81">
        <v>3076771.6450035749</v>
      </c>
      <c r="J720" s="81">
        <v>3136143.9935391704</v>
      </c>
      <c r="K720" s="81">
        <v>3195080.5647870689</v>
      </c>
      <c r="L720" s="81">
        <v>3253427.2446518536</v>
      </c>
      <c r="M720" s="81">
        <v>3311036.301066115</v>
      </c>
      <c r="N720" s="81">
        <v>3367780.5102504948</v>
      </c>
      <c r="O720" s="81">
        <v>3423507.712418024</v>
      </c>
      <c r="P720" s="81">
        <v>3478107.723751483</v>
      </c>
      <c r="Q720" s="81">
        <v>3516812.7532104189</v>
      </c>
      <c r="R720" s="81">
        <v>3553992.1640514205</v>
      </c>
      <c r="S720" s="81">
        <v>3589554.5805397523</v>
      </c>
      <c r="T720" s="81">
        <v>3623442.0763613037</v>
      </c>
      <c r="U720" s="81">
        <v>3655574.5141805923</v>
      </c>
      <c r="V720" s="81">
        <v>3685899.1352489702</v>
      </c>
      <c r="W720" s="81">
        <v>3714377.2848334536</v>
      </c>
      <c r="X720" s="81">
        <v>3740977.7175523923</v>
      </c>
      <c r="Y720" s="81">
        <v>3765669.5119701028</v>
      </c>
      <c r="Z720" s="81">
        <v>3788459.5362232463</v>
      </c>
      <c r="AA720" s="81">
        <v>3806100.4589127917</v>
      </c>
      <c r="AB720" s="81">
        <v>3821864.3893909971</v>
      </c>
      <c r="AC720" s="81">
        <v>3835775.9177470724</v>
      </c>
      <c r="AD720" s="81">
        <v>3847892.4475458097</v>
      </c>
      <c r="AE720" s="81">
        <v>3858274.2623270024</v>
      </c>
      <c r="AF720" s="81">
        <v>3867008.1367748622</v>
      </c>
      <c r="AG720" s="81">
        <v>3874200.3804832413</v>
      </c>
      <c r="AH720" s="81">
        <v>3879953.5486079096</v>
      </c>
      <c r="AI720" s="81">
        <v>3884406.4086899888</v>
      </c>
      <c r="AJ720" s="81">
        <v>3887710.9113869951</v>
      </c>
      <c r="AK720" s="81">
        <v>3891257.036413189</v>
      </c>
      <c r="AL720" s="81">
        <v>3893999.6079376489</v>
      </c>
      <c r="AM720" s="81">
        <v>3896140.3781853053</v>
      </c>
      <c r="AN720" s="81">
        <v>3897904.6850176086</v>
      </c>
      <c r="AO720" s="81">
        <v>3899550.6317001446</v>
      </c>
      <c r="AP720" s="81">
        <v>3901336.131623676</v>
      </c>
      <c r="AQ720" s="81">
        <v>3903552.9598127087</v>
      </c>
      <c r="AR720" s="81">
        <v>3906519.2033439823</v>
      </c>
      <c r="AS720" s="81">
        <v>3910562.6038815454</v>
      </c>
      <c r="AT720" s="81">
        <v>3916046.9916984509</v>
      </c>
    </row>
    <row r="721" spans="1:46" ht="15.75">
      <c r="A721" s="81" t="s">
        <v>448</v>
      </c>
      <c r="B721" s="80">
        <v>652800</v>
      </c>
      <c r="C721" s="80" t="s">
        <v>411</v>
      </c>
      <c r="D721" s="84" t="s">
        <v>498</v>
      </c>
      <c r="E721" s="81">
        <v>9321632.8968752716</v>
      </c>
      <c r="F721" s="81">
        <v>9588089.5941673964</v>
      </c>
      <c r="G721" s="81">
        <v>9800313.2724358477</v>
      </c>
      <c r="H721" s="81">
        <v>10012058.089565933</v>
      </c>
      <c r="I721" s="81">
        <v>10222937.276709504</v>
      </c>
      <c r="J721" s="81">
        <v>10432566.191885917</v>
      </c>
      <c r="K721" s="81">
        <v>10640563.461854985</v>
      </c>
      <c r="L721" s="81">
        <v>10846558.633543821</v>
      </c>
      <c r="M721" s="81">
        <v>11050187.252112318</v>
      </c>
      <c r="N721" s="81">
        <v>11251105.424018692</v>
      </c>
      <c r="O721" s="81">
        <v>11448964.947178349</v>
      </c>
      <c r="P721" s="81">
        <v>11643441.084943499</v>
      </c>
      <c r="Q721" s="81">
        <v>11785416.074256172</v>
      </c>
      <c r="R721" s="81">
        <v>11922786.604726126</v>
      </c>
      <c r="S721" s="81">
        <v>12055343.75983585</v>
      </c>
      <c r="T721" s="81">
        <v>12182896.569846105</v>
      </c>
      <c r="U721" s="81">
        <v>12305280.191906769</v>
      </c>
      <c r="V721" s="81">
        <v>12422357.251217442</v>
      </c>
      <c r="W721" s="81">
        <v>12534011.873831563</v>
      </c>
      <c r="X721" s="81">
        <v>12640150.7241122</v>
      </c>
      <c r="Y721" s="81">
        <v>12740704.056401189</v>
      </c>
      <c r="Z721" s="81">
        <v>12835641.84734077</v>
      </c>
      <c r="AA721" s="81">
        <v>12914245.9018468</v>
      </c>
      <c r="AB721" s="81">
        <v>12987209.468563715</v>
      </c>
      <c r="AC721" s="81">
        <v>13054614.143130297</v>
      </c>
      <c r="AD721" s="81">
        <v>13116555.558903696</v>
      </c>
      <c r="AE721" s="81">
        <v>13173175.185147148</v>
      </c>
      <c r="AF721" s="81">
        <v>13224646.182017779</v>
      </c>
      <c r="AG721" s="81">
        <v>13271174.459645145</v>
      </c>
      <c r="AH721" s="81">
        <v>13313015.837417306</v>
      </c>
      <c r="AI721" s="81">
        <v>13350445.339816617</v>
      </c>
      <c r="AJ721" s="81">
        <v>13383790.341177253</v>
      </c>
      <c r="AK721" s="81">
        <v>13417911.975085096</v>
      </c>
      <c r="AL721" s="81">
        <v>13448708.522505254</v>
      </c>
      <c r="AM721" s="81">
        <v>13476637.951548021</v>
      </c>
      <c r="AN721" s="81">
        <v>13502183.603528365</v>
      </c>
      <c r="AO721" s="81">
        <v>13525905.832696341</v>
      </c>
      <c r="AP721" s="81">
        <v>13548384.506335249</v>
      </c>
      <c r="AQ721" s="81">
        <v>13570271.158390878</v>
      </c>
      <c r="AR721" s="81">
        <v>13592256.382715983</v>
      </c>
      <c r="AS721" s="81">
        <v>13615088.355991872</v>
      </c>
      <c r="AT721" s="81">
        <v>13639574.478381244</v>
      </c>
    </row>
    <row r="722" spans="1:46" ht="15.75">
      <c r="A722" s="81" t="s">
        <v>448</v>
      </c>
      <c r="B722" s="80">
        <v>652900</v>
      </c>
      <c r="C722" s="80" t="s">
        <v>411</v>
      </c>
      <c r="D722" s="84" t="s">
        <v>497</v>
      </c>
      <c r="E722" s="81">
        <v>20542886.407218002</v>
      </c>
      <c r="F722" s="81">
        <v>21158048.849632159</v>
      </c>
      <c r="G722" s="81">
        <v>21664166.325511735</v>
      </c>
      <c r="H722" s="81">
        <v>22179148.548639566</v>
      </c>
      <c r="I722" s="81">
        <v>22701555.664995734</v>
      </c>
      <c r="J722" s="81">
        <v>23229957.111610707</v>
      </c>
      <c r="K722" s="81">
        <v>23762945.805905998</v>
      </c>
      <c r="L722" s="81">
        <v>24299102.143105865</v>
      </c>
      <c r="M722" s="81">
        <v>24837066.677232318</v>
      </c>
      <c r="N722" s="81">
        <v>25375461.224535838</v>
      </c>
      <c r="O722" s="81">
        <v>25912989.134604298</v>
      </c>
      <c r="P722" s="81">
        <v>26448363.82394414</v>
      </c>
      <c r="Q722" s="81">
        <v>26869072.174892604</v>
      </c>
      <c r="R722" s="81">
        <v>27282979.756180938</v>
      </c>
      <c r="S722" s="81">
        <v>27689094.003419977</v>
      </c>
      <c r="T722" s="81">
        <v>28086486.396521907</v>
      </c>
      <c r="U722" s="81">
        <v>28474343.748986475</v>
      </c>
      <c r="V722" s="81">
        <v>28851898.400973752</v>
      </c>
      <c r="W722" s="81">
        <v>29218517.661667921</v>
      </c>
      <c r="X722" s="81">
        <v>29573633.17292323</v>
      </c>
      <c r="Y722" s="81">
        <v>29916783.574744977</v>
      </c>
      <c r="Z722" s="81">
        <v>30247639.623369869</v>
      </c>
      <c r="AA722" s="81">
        <v>30540602.314775202</v>
      </c>
      <c r="AB722" s="81">
        <v>30820636.164941847</v>
      </c>
      <c r="AC722" s="81">
        <v>31087776.3837547</v>
      </c>
      <c r="AD722" s="81">
        <v>31342190.843567457</v>
      </c>
      <c r="AE722" s="81">
        <v>31584174.950782496</v>
      </c>
      <c r="AF722" s="81">
        <v>31814166.843110133</v>
      </c>
      <c r="AG722" s="81">
        <v>32032721.272268515</v>
      </c>
      <c r="AH722" s="81">
        <v>32240587.565463915</v>
      </c>
      <c r="AI722" s="81">
        <v>32438620.976206504</v>
      </c>
      <c r="AJ722" s="81">
        <v>32627861.10233872</v>
      </c>
      <c r="AK722" s="81">
        <v>32820472.484067127</v>
      </c>
      <c r="AL722" s="81">
        <v>33006880.122913383</v>
      </c>
      <c r="AM722" s="81">
        <v>33188598.001223523</v>
      </c>
      <c r="AN722" s="81">
        <v>33367360.361813061</v>
      </c>
      <c r="AO722" s="81">
        <v>33545039.684599083</v>
      </c>
      <c r="AP722" s="81">
        <v>33723740.662573226</v>
      </c>
      <c r="AQ722" s="81">
        <v>33905750.93197374</v>
      </c>
      <c r="AR722" s="81">
        <v>34093569.292162918</v>
      </c>
      <c r="AS722" s="81">
        <v>34289888.908518896</v>
      </c>
      <c r="AT722" s="81">
        <v>34497637.661163695</v>
      </c>
    </row>
    <row r="723" spans="1:46" ht="15.75">
      <c r="A723" s="81" t="s">
        <v>448</v>
      </c>
      <c r="B723" s="80">
        <v>653000</v>
      </c>
      <c r="C723" s="80" t="s">
        <v>411</v>
      </c>
      <c r="D723" s="84" t="s">
        <v>496</v>
      </c>
      <c r="E723" s="81">
        <v>3594900.5482085156</v>
      </c>
      <c r="F723" s="81">
        <v>3693000.7083814</v>
      </c>
      <c r="G723" s="81">
        <v>3775109.6325740535</v>
      </c>
      <c r="H723" s="81">
        <v>3861728.5041694553</v>
      </c>
      <c r="I723" s="81">
        <v>3952397.7023818851</v>
      </c>
      <c r="J723" s="81">
        <v>4046686.9123612898</v>
      </c>
      <c r="K723" s="81">
        <v>4144148.0586643354</v>
      </c>
      <c r="L723" s="81">
        <v>4244328.6756052356</v>
      </c>
      <c r="M723" s="81">
        <v>4346799.5033430252</v>
      </c>
      <c r="N723" s="81">
        <v>4451124.4461097643</v>
      </c>
      <c r="O723" s="81">
        <v>4556875.0400405759</v>
      </c>
      <c r="P723" s="81">
        <v>4663646.0537480209</v>
      </c>
      <c r="Q723" s="81">
        <v>4751253.752108519</v>
      </c>
      <c r="R723" s="81">
        <v>4838567.3933088323</v>
      </c>
      <c r="S723" s="81">
        <v>4925232.5481288861</v>
      </c>
      <c r="T723" s="81">
        <v>5010903.7498581912</v>
      </c>
      <c r="U723" s="81">
        <v>5095281.1374090025</v>
      </c>
      <c r="V723" s="81">
        <v>5178076.8285889877</v>
      </c>
      <c r="W723" s="81">
        <v>5259023.0976012889</v>
      </c>
      <c r="X723" s="81">
        <v>5337910.3950965749</v>
      </c>
      <c r="Y723" s="81">
        <v>5414523.4425022006</v>
      </c>
      <c r="Z723" s="81">
        <v>5488708.5974681852</v>
      </c>
      <c r="AA723" s="81">
        <v>5555604.5315398378</v>
      </c>
      <c r="AB723" s="81">
        <v>5619775.2760316199</v>
      </c>
      <c r="AC723" s="81">
        <v>5681159.4839943647</v>
      </c>
      <c r="AD723" s="81">
        <v>5739757.5578934131</v>
      </c>
      <c r="AE723" s="81">
        <v>5795579.5411599074</v>
      </c>
      <c r="AF723" s="81">
        <v>5848708.3309645355</v>
      </c>
      <c r="AG723" s="81">
        <v>5899254.9748020554</v>
      </c>
      <c r="AH723" s="81">
        <v>5947375.6262069792</v>
      </c>
      <c r="AI723" s="81">
        <v>5993281.2172371689</v>
      </c>
      <c r="AJ723" s="81">
        <v>6037223.1964355549</v>
      </c>
      <c r="AK723" s="81">
        <v>6081416.7155994345</v>
      </c>
      <c r="AL723" s="81">
        <v>6124312.4513023095</v>
      </c>
      <c r="AM723" s="81">
        <v>6166324.3627149649</v>
      </c>
      <c r="AN723" s="81">
        <v>6207914.0240509016</v>
      </c>
      <c r="AO723" s="81">
        <v>6249600.5473773452</v>
      </c>
      <c r="AP723" s="81">
        <v>6291970.924196206</v>
      </c>
      <c r="AQ723" s="81">
        <v>6335665.0616269791</v>
      </c>
      <c r="AR723" s="81">
        <v>6381377.3188920217</v>
      </c>
      <c r="AS723" s="81">
        <v>6429892.9084797138</v>
      </c>
      <c r="AT723" s="81">
        <v>6482038.1461650468</v>
      </c>
    </row>
    <row r="724" spans="1:46" ht="15.75">
      <c r="A724" s="81" t="s">
        <v>448</v>
      </c>
      <c r="B724" s="80">
        <v>653100</v>
      </c>
      <c r="C724" s="80" t="s">
        <v>411</v>
      </c>
      <c r="D724" s="84" t="s">
        <v>495</v>
      </c>
      <c r="E724" s="81">
        <v>28985613.574076701</v>
      </c>
      <c r="F724" s="81">
        <v>29884800.914779007</v>
      </c>
      <c r="G724" s="81">
        <v>30641224.261949319</v>
      </c>
      <c r="H724" s="81">
        <v>31420518.202629484</v>
      </c>
      <c r="I724" s="81">
        <v>32219915.732708018</v>
      </c>
      <c r="J724" s="81">
        <v>33036686.223068707</v>
      </c>
      <c r="K724" s="81">
        <v>33868098.716973335</v>
      </c>
      <c r="L724" s="81">
        <v>34711453.75243707</v>
      </c>
      <c r="M724" s="81">
        <v>35564087.850309938</v>
      </c>
      <c r="N724" s="81">
        <v>36423392.565144889</v>
      </c>
      <c r="O724" s="81">
        <v>37286834.418446369</v>
      </c>
      <c r="P724" s="81">
        <v>38151937.364548244</v>
      </c>
      <c r="Q724" s="81">
        <v>38855412.473241381</v>
      </c>
      <c r="R724" s="81">
        <v>39551866.281046122</v>
      </c>
      <c r="S724" s="81">
        <v>40239298.110804304</v>
      </c>
      <c r="T724" s="81">
        <v>40915889.026920959</v>
      </c>
      <c r="U724" s="81">
        <v>41579956.476453781</v>
      </c>
      <c r="V724" s="81">
        <v>42230011.495472588</v>
      </c>
      <c r="W724" s="81">
        <v>42864753.199671052</v>
      </c>
      <c r="X724" s="81">
        <v>43483054.242558479</v>
      </c>
      <c r="Y724" s="81">
        <v>44084003.496677577</v>
      </c>
      <c r="Z724" s="81">
        <v>44666900.150067896</v>
      </c>
      <c r="AA724" s="81">
        <v>45193793.971449979</v>
      </c>
      <c r="AB724" s="81">
        <v>45701376.513804145</v>
      </c>
      <c r="AC724" s="81">
        <v>46189729.435481139</v>
      </c>
      <c r="AD724" s="81">
        <v>46659160.095257908</v>
      </c>
      <c r="AE724" s="81">
        <v>47110263.063921131</v>
      </c>
      <c r="AF724" s="81">
        <v>47543904.632697403</v>
      </c>
      <c r="AG724" s="81">
        <v>47961224.008014798</v>
      </c>
      <c r="AH724" s="81">
        <v>48363670.1887573</v>
      </c>
      <c r="AI724" s="81">
        <v>48752994.90397615</v>
      </c>
      <c r="AJ724" s="81">
        <v>49131281.383310534</v>
      </c>
      <c r="AK724" s="81">
        <v>49517480.919134043</v>
      </c>
      <c r="AL724" s="81">
        <v>49897895.032303452</v>
      </c>
      <c r="AM724" s="81">
        <v>50275598.706095956</v>
      </c>
      <c r="AN724" s="81">
        <v>50654047.049903229</v>
      </c>
      <c r="AO724" s="81">
        <v>51037078.133008659</v>
      </c>
      <c r="AP724" s="81">
        <v>51428915.487734012</v>
      </c>
      <c r="AQ724" s="81">
        <v>51834170.275316484</v>
      </c>
      <c r="AR724" s="81">
        <v>52257901.704541512</v>
      </c>
      <c r="AS724" s="81">
        <v>52705561.801872373</v>
      </c>
      <c r="AT724" s="81">
        <v>53183066.015275143</v>
      </c>
    </row>
    <row r="725" spans="1:46" ht="15.75">
      <c r="A725" s="81" t="s">
        <v>448</v>
      </c>
      <c r="B725" s="80">
        <v>653200</v>
      </c>
      <c r="C725" s="80" t="s">
        <v>411</v>
      </c>
      <c r="D725" s="84" t="s">
        <v>494</v>
      </c>
      <c r="E725" s="81">
        <v>16537339.227482451</v>
      </c>
      <c r="F725" s="81">
        <v>17058322.689542297</v>
      </c>
      <c r="G725" s="81">
        <v>17495711.903393004</v>
      </c>
      <c r="H725" s="81">
        <v>17944223.394525692</v>
      </c>
      <c r="I725" s="81">
        <v>18402488.123995155</v>
      </c>
      <c r="J725" s="81">
        <v>18869146.689652298</v>
      </c>
      <c r="K725" s="81">
        <v>19342847.890735574</v>
      </c>
      <c r="L725" s="81">
        <v>19822261.661957543</v>
      </c>
      <c r="M725" s="81">
        <v>20306047.530385051</v>
      </c>
      <c r="N725" s="81">
        <v>20792919.41020133</v>
      </c>
      <c r="O725" s="81">
        <v>21281607.083186097</v>
      </c>
      <c r="P725" s="81">
        <v>21770876.849743377</v>
      </c>
      <c r="Q725" s="81">
        <v>22167738.363690298</v>
      </c>
      <c r="R725" s="81">
        <v>22560583.464913834</v>
      </c>
      <c r="S725" s="81">
        <v>22948406.446724515</v>
      </c>
      <c r="T725" s="81">
        <v>23330300.117740411</v>
      </c>
      <c r="U725" s="81">
        <v>23705420.407098781</v>
      </c>
      <c r="V725" s="81">
        <v>24072998.661276504</v>
      </c>
      <c r="W725" s="81">
        <v>24432379.668668419</v>
      </c>
      <c r="X725" s="81">
        <v>24782959.88827607</v>
      </c>
      <c r="Y725" s="81">
        <v>25124276.015982434</v>
      </c>
      <c r="Z725" s="81">
        <v>25455942.886685535</v>
      </c>
      <c r="AA725" s="81">
        <v>25756314.492651816</v>
      </c>
      <c r="AB725" s="81">
        <v>26046274.543834336</v>
      </c>
      <c r="AC725" s="81">
        <v>26325824.883659843</v>
      </c>
      <c r="AD725" s="81">
        <v>26595064.252851162</v>
      </c>
      <c r="AE725" s="81">
        <v>26854219.063049227</v>
      </c>
      <c r="AF725" s="81">
        <v>27103657.393961903</v>
      </c>
      <c r="AG725" s="81">
        <v>27343885.197172981</v>
      </c>
      <c r="AH725" s="81">
        <v>27575532.895009074</v>
      </c>
      <c r="AI725" s="81">
        <v>27799387.625511974</v>
      </c>
      <c r="AJ725" s="81">
        <v>28016398.770085912</v>
      </c>
      <c r="AK725" s="81">
        <v>28237109.11420621</v>
      </c>
      <c r="AL725" s="81">
        <v>28453380.285550807</v>
      </c>
      <c r="AM725" s="81">
        <v>28666638.402762692</v>
      </c>
      <c r="AN725" s="81">
        <v>28878485.842737842</v>
      </c>
      <c r="AO725" s="81">
        <v>29090687.408539254</v>
      </c>
      <c r="AP725" s="81">
        <v>29305204.832445059</v>
      </c>
      <c r="AQ725" s="81">
        <v>29524202.997747287</v>
      </c>
      <c r="AR725" s="81">
        <v>29750016.199979164</v>
      </c>
      <c r="AS725" s="81">
        <v>29985203.326675665</v>
      </c>
      <c r="AT725" s="81">
        <v>30232534.337894928</v>
      </c>
    </row>
    <row r="726" spans="1:46" ht="15.75">
      <c r="A726" s="81" t="s">
        <v>448</v>
      </c>
      <c r="B726" s="80">
        <v>654000</v>
      </c>
      <c r="C726" s="80" t="s">
        <v>411</v>
      </c>
      <c r="D726" s="84" t="s">
        <v>493</v>
      </c>
      <c r="E726" s="81">
        <v>16451341.962760145</v>
      </c>
      <c r="F726" s="81">
        <v>16921382.272331953</v>
      </c>
      <c r="G726" s="81">
        <v>17302530.812690668</v>
      </c>
      <c r="H726" s="81">
        <v>17689216.707497217</v>
      </c>
      <c r="I726" s="81">
        <v>18080308.694810417</v>
      </c>
      <c r="J726" s="81">
        <v>18474688.818257242</v>
      </c>
      <c r="K726" s="81">
        <v>18871238.134570099</v>
      </c>
      <c r="L726" s="81">
        <v>19268866.265102662</v>
      </c>
      <c r="M726" s="81">
        <v>19666490.637107525</v>
      </c>
      <c r="N726" s="81">
        <v>20063060.298153862</v>
      </c>
      <c r="O726" s="81">
        <v>20457547.682075836</v>
      </c>
      <c r="P726" s="81">
        <v>20848959.927092645</v>
      </c>
      <c r="Q726" s="81">
        <v>21148764.312225029</v>
      </c>
      <c r="R726" s="81">
        <v>21442134.714822125</v>
      </c>
      <c r="S726" s="81">
        <v>21728338.669126365</v>
      </c>
      <c r="T726" s="81">
        <v>22006672.820652012</v>
      </c>
      <c r="U726" s="81">
        <v>22276522.602389541</v>
      </c>
      <c r="V726" s="81">
        <v>22537345.340959232</v>
      </c>
      <c r="W726" s="81">
        <v>22788659.537038729</v>
      </c>
      <c r="X726" s="81">
        <v>23030062.965303347</v>
      </c>
      <c r="Y726" s="81">
        <v>23261251.645391792</v>
      </c>
      <c r="Z726" s="81">
        <v>23481986.96462651</v>
      </c>
      <c r="AA726" s="81">
        <v>23672496.63792792</v>
      </c>
      <c r="AB726" s="81">
        <v>23852225.263042126</v>
      </c>
      <c r="AC726" s="81">
        <v>24021264.784783289</v>
      </c>
      <c r="AD726" s="81">
        <v>24179795.163857911</v>
      </c>
      <c r="AE726" s="81">
        <v>24328103.406194419</v>
      </c>
      <c r="AF726" s="81">
        <v>24466595.487632222</v>
      </c>
      <c r="AG726" s="81">
        <v>24595784.774292879</v>
      </c>
      <c r="AH726" s="81">
        <v>24716295.804744679</v>
      </c>
      <c r="AI726" s="81">
        <v>24828892.443017796</v>
      </c>
      <c r="AJ726" s="81">
        <v>24934441.8533323</v>
      </c>
      <c r="AK726" s="81">
        <v>25042334.871834762</v>
      </c>
      <c r="AL726" s="81">
        <v>25145343.745274212</v>
      </c>
      <c r="AM726" s="81">
        <v>25244739.635013133</v>
      </c>
      <c r="AN726" s="81">
        <v>25341939.922817219</v>
      </c>
      <c r="AO726" s="81">
        <v>25438538.401797019</v>
      </c>
      <c r="AP726" s="81">
        <v>25536242.296631046</v>
      </c>
      <c r="AQ726" s="81">
        <v>25636944.5275902</v>
      </c>
      <c r="AR726" s="81">
        <v>25742703.358378038</v>
      </c>
      <c r="AS726" s="81">
        <v>25855729.636687204</v>
      </c>
      <c r="AT726" s="81">
        <v>25978408.717562694</v>
      </c>
    </row>
    <row r="727" spans="1:46" ht="15.75">
      <c r="A727" s="81" t="s">
        <v>448</v>
      </c>
      <c r="B727" s="80">
        <v>654200</v>
      </c>
      <c r="C727" s="80" t="s">
        <v>411</v>
      </c>
      <c r="D727" s="84" t="s">
        <v>492</v>
      </c>
      <c r="E727" s="81">
        <v>6591830.3529060986</v>
      </c>
      <c r="F727" s="81">
        <v>6764170.9364838395</v>
      </c>
      <c r="G727" s="81">
        <v>6897832.8589026267</v>
      </c>
      <c r="H727" s="81">
        <v>7030768.6938815527</v>
      </c>
      <c r="I727" s="81">
        <v>7162648.7245314922</v>
      </c>
      <c r="J727" s="81">
        <v>7293153.3533548145</v>
      </c>
      <c r="K727" s="81">
        <v>7421949.1485177996</v>
      </c>
      <c r="L727" s="81">
        <v>7548740.5284472182</v>
      </c>
      <c r="M727" s="81">
        <v>7673214.0811124016</v>
      </c>
      <c r="N727" s="81">
        <v>7795097.9830861036</v>
      </c>
      <c r="O727" s="81">
        <v>7914104.7218748638</v>
      </c>
      <c r="P727" s="81">
        <v>8029971.6658532815</v>
      </c>
      <c r="Q727" s="81">
        <v>8108883.4550823215</v>
      </c>
      <c r="R727" s="81">
        <v>8183915.7601356823</v>
      </c>
      <c r="S727" s="81">
        <v>8254932.1336365025</v>
      </c>
      <c r="T727" s="81">
        <v>8321780.1834539529</v>
      </c>
      <c r="U727" s="81">
        <v>8384355.6171583058</v>
      </c>
      <c r="V727" s="81">
        <v>8442575.5613193139</v>
      </c>
      <c r="W727" s="81">
        <v>8496372.2637579888</v>
      </c>
      <c r="X727" s="81">
        <v>8545715.9825995117</v>
      </c>
      <c r="Y727" s="81">
        <v>8590586.8704083078</v>
      </c>
      <c r="Z727" s="81">
        <v>8631013.0261124074</v>
      </c>
      <c r="AA727" s="81">
        <v>8659857.4508408364</v>
      </c>
      <c r="AB727" s="81">
        <v>8684396.1148857567</v>
      </c>
      <c r="AC727" s="81">
        <v>8704751.9649268575</v>
      </c>
      <c r="AD727" s="81">
        <v>8721085.6968535557</v>
      </c>
      <c r="AE727" s="81">
        <v>8733589.2607916985</v>
      </c>
      <c r="AF727" s="81">
        <v>8742478.9961419795</v>
      </c>
      <c r="AG727" s="81">
        <v>8748012.3295270149</v>
      </c>
      <c r="AH727" s="81">
        <v>8750497.2137805168</v>
      </c>
      <c r="AI727" s="81">
        <v>8750261.4263871051</v>
      </c>
      <c r="AJ727" s="81">
        <v>8747693.8914489169</v>
      </c>
      <c r="AK727" s="81">
        <v>8746122.6456708442</v>
      </c>
      <c r="AL727" s="81">
        <v>8743070.1773496456</v>
      </c>
      <c r="AM727" s="81">
        <v>8739026.5777443964</v>
      </c>
      <c r="AN727" s="81">
        <v>8734549.4044028185</v>
      </c>
      <c r="AO727" s="81">
        <v>8730223.341925662</v>
      </c>
      <c r="AP727" s="81">
        <v>8726703.6840465292</v>
      </c>
      <c r="AQ727" s="81">
        <v>8724683.991145093</v>
      </c>
      <c r="AR727" s="81">
        <v>8724905.7315495834</v>
      </c>
      <c r="AS727" s="81">
        <v>8728168.3548467644</v>
      </c>
      <c r="AT727" s="81">
        <v>8735313.1913374029</v>
      </c>
    </row>
    <row r="728" spans="1:46" ht="15.75">
      <c r="A728" s="81" t="s">
        <v>448</v>
      </c>
      <c r="B728" s="80">
        <v>654300</v>
      </c>
      <c r="C728" s="80" t="s">
        <v>411</v>
      </c>
      <c r="D728" s="84" t="s">
        <v>491</v>
      </c>
      <c r="E728" s="81">
        <v>4038785.0463307817</v>
      </c>
      <c r="F728" s="81">
        <v>4150106.87773429</v>
      </c>
      <c r="G728" s="81">
        <v>4239153.0963677047</v>
      </c>
      <c r="H728" s="81">
        <v>4329209.5626110993</v>
      </c>
      <c r="I728" s="81">
        <v>4420036.1653384352</v>
      </c>
      <c r="J728" s="81">
        <v>4511405.2010902744</v>
      </c>
      <c r="K728" s="81">
        <v>4603083.0329291932</v>
      </c>
      <c r="L728" s="81">
        <v>4694850.6773111476</v>
      </c>
      <c r="M728" s="81">
        <v>4786471.2229577331</v>
      </c>
      <c r="N728" s="81">
        <v>4877730.9360105628</v>
      </c>
      <c r="O728" s="81">
        <v>4968420.3447270216</v>
      </c>
      <c r="P728" s="81">
        <v>5058320.7750587249</v>
      </c>
      <c r="Q728" s="81">
        <v>5125911.515491697</v>
      </c>
      <c r="R728" s="81">
        <v>5191992.9143056143</v>
      </c>
      <c r="S728" s="81">
        <v>5256413.2194032334</v>
      </c>
      <c r="T728" s="81">
        <v>5319024.0164152412</v>
      </c>
      <c r="U728" s="81">
        <v>5379695.506373154</v>
      </c>
      <c r="V728" s="81">
        <v>5438294.8290133867</v>
      </c>
      <c r="W728" s="81">
        <v>5494716.5379801532</v>
      </c>
      <c r="X728" s="81">
        <v>5548868.5695662834</v>
      </c>
      <c r="Y728" s="81">
        <v>5600672.9238070101</v>
      </c>
      <c r="Z728" s="81">
        <v>5650066.3549197186</v>
      </c>
      <c r="AA728" s="81">
        <v>5692173.5830886718</v>
      </c>
      <c r="AB728" s="81">
        <v>5731769.5873148218</v>
      </c>
      <c r="AC728" s="81">
        <v>5768846.5430585239</v>
      </c>
      <c r="AD728" s="81">
        <v>5803430.281341888</v>
      </c>
      <c r="AE728" s="81">
        <v>5835548.977690435</v>
      </c>
      <c r="AF728" s="81">
        <v>5865266.0608738586</v>
      </c>
      <c r="AG728" s="81">
        <v>5892648.4024279546</v>
      </c>
      <c r="AH728" s="81">
        <v>5917816.4588760547</v>
      </c>
      <c r="AI728" s="81">
        <v>5940878.9489914076</v>
      </c>
      <c r="AJ728" s="81">
        <v>5961974.6594813336</v>
      </c>
      <c r="AK728" s="81">
        <v>5983173.3328005504</v>
      </c>
      <c r="AL728" s="81">
        <v>6002782.8548225574</v>
      </c>
      <c r="AM728" s="81">
        <v>6021011.4114285139</v>
      </c>
      <c r="AN728" s="81">
        <v>6038118.5271737175</v>
      </c>
      <c r="AO728" s="81">
        <v>6054381.5751860673</v>
      </c>
      <c r="AP728" s="81">
        <v>6070087.3205059925</v>
      </c>
      <c r="AQ728" s="81">
        <v>6085585.8332709279</v>
      </c>
      <c r="AR728" s="81">
        <v>6101229.4222055851</v>
      </c>
      <c r="AS728" s="81">
        <v>6117417.9485195959</v>
      </c>
      <c r="AT728" s="81">
        <v>6134591.1777414102</v>
      </c>
    </row>
    <row r="729" spans="1:46" ht="15.75">
      <c r="A729" s="81" t="s">
        <v>448</v>
      </c>
      <c r="B729" s="83">
        <v>659001</v>
      </c>
      <c r="C729" s="80" t="s">
        <v>411</v>
      </c>
      <c r="D729" s="82" t="s">
        <v>490</v>
      </c>
      <c r="E729" s="81">
        <v>6427980.5739034479</v>
      </c>
      <c r="F729" s="81">
        <v>6598268.8794235596</v>
      </c>
      <c r="G729" s="81">
        <v>6727121.9175232947</v>
      </c>
      <c r="H729" s="81">
        <v>6851888.8001727555</v>
      </c>
      <c r="I729" s="81">
        <v>6972523.7096224902</v>
      </c>
      <c r="J729" s="81">
        <v>7088958.4789439049</v>
      </c>
      <c r="K729" s="81">
        <v>7201151.8992898818</v>
      </c>
      <c r="L729" s="81">
        <v>7309080.9011447039</v>
      </c>
      <c r="M729" s="81">
        <v>7412709.776941034</v>
      </c>
      <c r="N729" s="81">
        <v>7512020.9752173442</v>
      </c>
      <c r="O729" s="81">
        <v>7607026.8329551853</v>
      </c>
      <c r="P729" s="81">
        <v>7697716.229555049</v>
      </c>
      <c r="Q729" s="81">
        <v>7751863.8484986359</v>
      </c>
      <c r="R729" s="81">
        <v>7801659.5361240134</v>
      </c>
      <c r="S729" s="81">
        <v>7847217.0232352121</v>
      </c>
      <c r="T729" s="81">
        <v>7888634.8989609852</v>
      </c>
      <c r="U729" s="81">
        <v>7926018.6961931847</v>
      </c>
      <c r="V729" s="81">
        <v>7959480.9826390445</v>
      </c>
      <c r="W729" s="81">
        <v>7989153.1824629474</v>
      </c>
      <c r="X729" s="81">
        <v>8015186.2007777514</v>
      </c>
      <c r="Y729" s="81">
        <v>8037727.1664357176</v>
      </c>
      <c r="Z729" s="81">
        <v>8056918.9944339413</v>
      </c>
      <c r="AA729" s="81">
        <v>8066084.4365970697</v>
      </c>
      <c r="AB729" s="81">
        <v>8072302.0173845487</v>
      </c>
      <c r="AC729" s="81">
        <v>8075769.9393585911</v>
      </c>
      <c r="AD729" s="81">
        <v>8076681.8296777457</v>
      </c>
      <c r="AE729" s="81">
        <v>8075263.961131149</v>
      </c>
      <c r="AF729" s="81">
        <v>8071725.7494081929</v>
      </c>
      <c r="AG729" s="81">
        <v>8066335.3081164276</v>
      </c>
      <c r="AH729" s="81">
        <v>8059305.9288260341</v>
      </c>
      <c r="AI729" s="81">
        <v>8050923.116930549</v>
      </c>
      <c r="AJ729" s="81">
        <v>8041429.7694887845</v>
      </c>
      <c r="AK729" s="81">
        <v>8033657.4167294549</v>
      </c>
      <c r="AL729" s="81">
        <v>8025325.6001461251</v>
      </c>
      <c r="AM729" s="81">
        <v>8016743.2943273243</v>
      </c>
      <c r="AN729" s="81">
        <v>8008215.9282471333</v>
      </c>
      <c r="AO729" s="81">
        <v>8000099.2717193291</v>
      </c>
      <c r="AP729" s="81">
        <v>7992691.6328852577</v>
      </c>
      <c r="AQ729" s="81">
        <v>7986369.2340645259</v>
      </c>
      <c r="AR729" s="81">
        <v>7981505.5774959745</v>
      </c>
      <c r="AS729" s="81">
        <v>7978456.9893249124</v>
      </c>
      <c r="AT729" s="81">
        <v>7977618.1284759548</v>
      </c>
    </row>
    <row r="730" spans="1:46" ht="15.75">
      <c r="A730" s="81" t="s">
        <v>448</v>
      </c>
      <c r="B730" s="83">
        <v>659002</v>
      </c>
      <c r="C730" s="80" t="s">
        <v>411</v>
      </c>
      <c r="D730" s="82" t="s">
        <v>489</v>
      </c>
      <c r="E730" s="81">
        <v>3712857.9469956127</v>
      </c>
      <c r="F730" s="81">
        <v>3823373.2718315693</v>
      </c>
      <c r="G730" s="81">
        <v>3910875.1814304385</v>
      </c>
      <c r="H730" s="81">
        <v>3996854.6258342159</v>
      </c>
      <c r="I730" s="81">
        <v>4081160.0032480718</v>
      </c>
      <c r="J730" s="81">
        <v>4163685.552857107</v>
      </c>
      <c r="K730" s="81">
        <v>4244294.4770173142</v>
      </c>
      <c r="L730" s="81">
        <v>4322867.7643703371</v>
      </c>
      <c r="M730" s="81">
        <v>4399305.6037457222</v>
      </c>
      <c r="N730" s="81">
        <v>4473507.8699168544</v>
      </c>
      <c r="O730" s="81">
        <v>4545374.1402696772</v>
      </c>
      <c r="P730" s="81">
        <v>4614825.2451835442</v>
      </c>
      <c r="Q730" s="81">
        <v>4662382.7232009694</v>
      </c>
      <c r="R730" s="81">
        <v>4707203.1077858089</v>
      </c>
      <c r="S730" s="81">
        <v>4749280.2061234806</v>
      </c>
      <c r="T730" s="81">
        <v>4788609.9233856332</v>
      </c>
      <c r="U730" s="81">
        <v>4825179.0181805333</v>
      </c>
      <c r="V730" s="81">
        <v>4859010.1414514463</v>
      </c>
      <c r="W730" s="81">
        <v>4890128.9697139682</v>
      </c>
      <c r="X730" s="81">
        <v>4918564.2472826745</v>
      </c>
      <c r="Y730" s="81">
        <v>4944371.2170320032</v>
      </c>
      <c r="Z730" s="81">
        <v>4967620.9168801783</v>
      </c>
      <c r="AA730" s="81">
        <v>4984154.9104660666</v>
      </c>
      <c r="AB730" s="81">
        <v>4998284.5369934915</v>
      </c>
      <c r="AC730" s="81">
        <v>5010148.1873263428</v>
      </c>
      <c r="AD730" s="81">
        <v>5019853.4783825865</v>
      </c>
      <c r="AE730" s="81">
        <v>5027561.8314686213</v>
      </c>
      <c r="AF730" s="81">
        <v>5033403.8162795035</v>
      </c>
      <c r="AG730" s="81">
        <v>5037565.0918126861</v>
      </c>
      <c r="AH730" s="81">
        <v>5040225.5469861496</v>
      </c>
      <c r="AI730" s="81">
        <v>5041609.577305885</v>
      </c>
      <c r="AJ730" s="81">
        <v>5041910.9914073981</v>
      </c>
      <c r="AK730" s="81">
        <v>5042981.4838661198</v>
      </c>
      <c r="AL730" s="81">
        <v>5043455.9561385671</v>
      </c>
      <c r="AM730" s="81">
        <v>5043628.7058796585</v>
      </c>
      <c r="AN730" s="81">
        <v>5043777.2773865396</v>
      </c>
      <c r="AO730" s="81">
        <v>5044241.2869018381</v>
      </c>
      <c r="AP730" s="81">
        <v>5045344.2083490212</v>
      </c>
      <c r="AQ730" s="81">
        <v>5047432.9431306357</v>
      </c>
      <c r="AR730" s="81">
        <v>5050905.6804287229</v>
      </c>
      <c r="AS730" s="81">
        <v>5056144.9894665368</v>
      </c>
      <c r="AT730" s="81">
        <v>5063586.0083381031</v>
      </c>
    </row>
    <row r="731" spans="1:46" ht="15.75">
      <c r="A731" s="81" t="s">
        <v>448</v>
      </c>
      <c r="B731" s="83">
        <v>659003</v>
      </c>
      <c r="C731" s="80" t="s">
        <v>411</v>
      </c>
      <c r="D731" s="82" t="s">
        <v>488</v>
      </c>
      <c r="E731" s="81">
        <v>1651870.6289673806</v>
      </c>
      <c r="F731" s="81">
        <v>1700448.3679533575</v>
      </c>
      <c r="G731" s="81">
        <v>1740967.1184305693</v>
      </c>
      <c r="H731" s="81">
        <v>1782859.9008106678</v>
      </c>
      <c r="I731" s="81">
        <v>1825934.2194774416</v>
      </c>
      <c r="J731" s="81">
        <v>1869998.0697847512</v>
      </c>
      <c r="K731" s="81">
        <v>1914867.4590695044</v>
      </c>
      <c r="L731" s="81">
        <v>1960353.9356464404</v>
      </c>
      <c r="M731" s="81">
        <v>2006278.8170388881</v>
      </c>
      <c r="N731" s="81">
        <v>2052460.3718265793</v>
      </c>
      <c r="O731" s="81">
        <v>2098721.3127969503</v>
      </c>
      <c r="P731" s="81">
        <v>2144904.1364024188</v>
      </c>
      <c r="Q731" s="81">
        <v>2181757.9170274851</v>
      </c>
      <c r="R731" s="81">
        <v>2218012.9669823502</v>
      </c>
      <c r="S731" s="81">
        <v>2253524.1154144765</v>
      </c>
      <c r="T731" s="81">
        <v>2288179.134264267</v>
      </c>
      <c r="U731" s="81">
        <v>2321862.4543899139</v>
      </c>
      <c r="V731" s="81">
        <v>2354470.4574038009</v>
      </c>
      <c r="W731" s="81">
        <v>2385935.3410276938</v>
      </c>
      <c r="X731" s="81">
        <v>2416164.4198336578</v>
      </c>
      <c r="Y731" s="81">
        <v>2445109.9215130429</v>
      </c>
      <c r="Z731" s="81">
        <v>2472731.3674199982</v>
      </c>
      <c r="AA731" s="81">
        <v>2496882.8878743583</v>
      </c>
      <c r="AB731" s="81">
        <v>2519647.1631973144</v>
      </c>
      <c r="AC731" s="81">
        <v>2541036.3797320914</v>
      </c>
      <c r="AD731" s="81">
        <v>2561088.6079148422</v>
      </c>
      <c r="AE731" s="81">
        <v>2579835.719643997</v>
      </c>
      <c r="AF731" s="81">
        <v>2597361.4349112855</v>
      </c>
      <c r="AG731" s="81">
        <v>2613744.5092940424</v>
      </c>
      <c r="AH731" s="81">
        <v>2629083.8439049846</v>
      </c>
      <c r="AI731" s="81">
        <v>2643524.7894472349</v>
      </c>
      <c r="AJ731" s="81">
        <v>2657209.2452566177</v>
      </c>
      <c r="AK731" s="81">
        <v>2671150.5933100702</v>
      </c>
      <c r="AL731" s="81">
        <v>2684714.7149631237</v>
      </c>
      <c r="AM731" s="81">
        <v>2698104.1228963742</v>
      </c>
      <c r="AN731" s="81">
        <v>2711590.2245594575</v>
      </c>
      <c r="AO731" s="81">
        <v>2725426.3366705878</v>
      </c>
      <c r="AP731" s="81">
        <v>2739927.9271587236</v>
      </c>
      <c r="AQ731" s="81">
        <v>2755402.068635405</v>
      </c>
      <c r="AR731" s="81">
        <v>2772220.1605628212</v>
      </c>
      <c r="AS731" s="81">
        <v>2790773.9804911478</v>
      </c>
      <c r="AT731" s="81">
        <v>2811457.5277991411</v>
      </c>
    </row>
    <row r="732" spans="1:46" ht="15.75">
      <c r="A732" s="81" t="s">
        <v>448</v>
      </c>
      <c r="B732" s="83">
        <v>659004</v>
      </c>
      <c r="C732" s="80" t="s">
        <v>411</v>
      </c>
      <c r="D732" s="82" t="s">
        <v>487</v>
      </c>
      <c r="E732" s="81">
        <v>3027620.1951178722</v>
      </c>
      <c r="F732" s="81">
        <v>3105817.2391433283</v>
      </c>
      <c r="G732" s="81">
        <v>3165537.8687056494</v>
      </c>
      <c r="H732" s="81">
        <v>3224287.1029462819</v>
      </c>
      <c r="I732" s="81">
        <v>3281909.1720670182</v>
      </c>
      <c r="J732" s="81">
        <v>3338277.8768172925</v>
      </c>
      <c r="K732" s="81">
        <v>3393263.0770551702</v>
      </c>
      <c r="L732" s="81">
        <v>3446748.8853533086</v>
      </c>
      <c r="M732" s="81">
        <v>3498597.9136998085</v>
      </c>
      <c r="N732" s="81">
        <v>3548724.9637778979</v>
      </c>
      <c r="O732" s="81">
        <v>3597005.812795362</v>
      </c>
      <c r="P732" s="81">
        <v>3643361.3300810102</v>
      </c>
      <c r="Q732" s="81">
        <v>3672421.1582050971</v>
      </c>
      <c r="R732" s="81">
        <v>3699324.2669414743</v>
      </c>
      <c r="S732" s="81">
        <v>3724037.7560053635</v>
      </c>
      <c r="T732" s="81">
        <v>3746539.257791508</v>
      </c>
      <c r="U732" s="81">
        <v>3766817.4110732893</v>
      </c>
      <c r="V732" s="81">
        <v>3784862.1556876982</v>
      </c>
      <c r="W732" s="81">
        <v>3800685.3102757754</v>
      </c>
      <c r="X732" s="81">
        <v>3814311.1562258108</v>
      </c>
      <c r="Y732" s="81">
        <v>3825787.4023191961</v>
      </c>
      <c r="Z732" s="81">
        <v>3835143.9212297136</v>
      </c>
      <c r="AA732" s="81">
        <v>3839205.0961581077</v>
      </c>
      <c r="AB732" s="81">
        <v>3841333.7631860883</v>
      </c>
      <c r="AC732" s="81">
        <v>3841617.9734419193</v>
      </c>
      <c r="AD732" s="81">
        <v>3840182.3430982633</v>
      </c>
      <c r="AE732" s="81">
        <v>3837167.4169690115</v>
      </c>
      <c r="AF732" s="81">
        <v>3832719.0780003662</v>
      </c>
      <c r="AG732" s="81">
        <v>3826999.7697322327</v>
      </c>
      <c r="AH732" s="81">
        <v>3820211.5027592108</v>
      </c>
      <c r="AI732" s="81">
        <v>3812540.5214642175</v>
      </c>
      <c r="AJ732" s="81">
        <v>3804225.0805217624</v>
      </c>
      <c r="AK732" s="81">
        <v>3796682.8779144734</v>
      </c>
      <c r="AL732" s="81">
        <v>3788992.7078151391</v>
      </c>
      <c r="AM732" s="81">
        <v>3781428.6254240507</v>
      </c>
      <c r="AN732" s="81">
        <v>3774297.003787409</v>
      </c>
      <c r="AO732" s="81">
        <v>3767913.7621170869</v>
      </c>
      <c r="AP732" s="81">
        <v>3762652.438668306</v>
      </c>
      <c r="AQ732" s="81">
        <v>3758873.6454054588</v>
      </c>
      <c r="AR732" s="81">
        <v>3756985.1488165804</v>
      </c>
      <c r="AS732" s="81">
        <v>3757394.2832626733</v>
      </c>
      <c r="AT732" s="81">
        <v>3760557.0911411326</v>
      </c>
    </row>
    <row r="733" spans="1:46" ht="15.75">
      <c r="A733" s="81" t="s">
        <v>448</v>
      </c>
      <c r="B733" s="83">
        <v>659005</v>
      </c>
      <c r="C733" s="80" t="s">
        <v>411</v>
      </c>
      <c r="D733" s="82" t="s">
        <v>486</v>
      </c>
      <c r="E733" s="81">
        <v>1197295.6592077392</v>
      </c>
      <c r="F733" s="81">
        <v>1226334.6525235802</v>
      </c>
      <c r="G733" s="81">
        <v>1248162.1576221678</v>
      </c>
      <c r="H733" s="81">
        <v>1269707.9108537284</v>
      </c>
      <c r="I733" s="81">
        <v>1290905.0126430506</v>
      </c>
      <c r="J733" s="81">
        <v>1311683.6490761437</v>
      </c>
      <c r="K733" s="81">
        <v>1332006.6324998164</v>
      </c>
      <c r="L733" s="81">
        <v>1351799.7131986411</v>
      </c>
      <c r="M733" s="81">
        <v>1371034.4136916131</v>
      </c>
      <c r="N733" s="81">
        <v>1389644.8203052427</v>
      </c>
      <c r="O733" s="81">
        <v>1407587.7077414214</v>
      </c>
      <c r="P733" s="81">
        <v>1424831.5184997756</v>
      </c>
      <c r="Q733" s="81">
        <v>1428817.2134456341</v>
      </c>
      <c r="R733" s="81">
        <v>1431986.5577010231</v>
      </c>
      <c r="S733" s="81">
        <v>1434328.1314798589</v>
      </c>
      <c r="T733" s="81">
        <v>1435830.493156553</v>
      </c>
      <c r="U733" s="81">
        <v>1436495.194416679</v>
      </c>
      <c r="V733" s="81">
        <v>1436324.0105491725</v>
      </c>
      <c r="W733" s="81">
        <v>1435345.2168950355</v>
      </c>
      <c r="X733" s="81">
        <v>1433548.2071710341</v>
      </c>
      <c r="Y733" s="81">
        <v>1430962.1378530383</v>
      </c>
      <c r="Z733" s="81">
        <v>1427616.8844852648</v>
      </c>
      <c r="AA733" s="81">
        <v>1424491.5252572952</v>
      </c>
      <c r="AB733" s="81">
        <v>1420673.2551574344</v>
      </c>
      <c r="AC733" s="81">
        <v>1416165.9623915872</v>
      </c>
      <c r="AD733" s="81">
        <v>1411055.4244106452</v>
      </c>
      <c r="AE733" s="81">
        <v>1405360.9948748988</v>
      </c>
      <c r="AF733" s="81">
        <v>1399157.5662235252</v>
      </c>
      <c r="AG733" s="81">
        <v>1392507.9006391733</v>
      </c>
      <c r="AH733" s="81">
        <v>1385462.2795150822</v>
      </c>
      <c r="AI733" s="81">
        <v>1378114.0034642296</v>
      </c>
      <c r="AJ733" s="81">
        <v>1370558.3689578485</v>
      </c>
      <c r="AK733" s="81">
        <v>1361682.8707317312</v>
      </c>
      <c r="AL733" s="81">
        <v>1352795.754259218</v>
      </c>
      <c r="AM733" s="81">
        <v>1343983.7400118408</v>
      </c>
      <c r="AN733" s="81">
        <v>1335349.2575856361</v>
      </c>
      <c r="AO733" s="81">
        <v>1327025.0785005803</v>
      </c>
      <c r="AP733" s="81">
        <v>1319131.7333107074</v>
      </c>
      <c r="AQ733" s="81">
        <v>1311791.6660368452</v>
      </c>
      <c r="AR733" s="81">
        <v>1305143.7473743744</v>
      </c>
      <c r="AS733" s="81">
        <v>1299343.5736724141</v>
      </c>
      <c r="AT733" s="81">
        <v>1294519.8675147092</v>
      </c>
    </row>
    <row r="734" spans="1:46" ht="15.75">
      <c r="A734" s="81" t="s">
        <v>448</v>
      </c>
      <c r="B734" s="83">
        <v>659006</v>
      </c>
      <c r="C734" s="80" t="s">
        <v>411</v>
      </c>
      <c r="D734" s="82" t="s">
        <v>485</v>
      </c>
      <c r="E734" s="81">
        <v>2322979.2760281647</v>
      </c>
      <c r="F734" s="81">
        <v>2377123.5293956855</v>
      </c>
      <c r="G734" s="81">
        <v>2416519.4259616793</v>
      </c>
      <c r="H734" s="81">
        <v>2454646.2179900873</v>
      </c>
      <c r="I734" s="81">
        <v>2491435.0700366735</v>
      </c>
      <c r="J734" s="81">
        <v>2526816.3119687252</v>
      </c>
      <c r="K734" s="81">
        <v>2560741.5058575477</v>
      </c>
      <c r="L734" s="81">
        <v>2593162.6285368362</v>
      </c>
      <c r="M734" s="81">
        <v>2624032.0899072518</v>
      </c>
      <c r="N734" s="81">
        <v>2653291.2465049834</v>
      </c>
      <c r="O734" s="81">
        <v>2680927.9434863576</v>
      </c>
      <c r="P734" s="81">
        <v>2706885.1325829844</v>
      </c>
      <c r="Q734" s="81">
        <v>2719836.3236378324</v>
      </c>
      <c r="R734" s="81">
        <v>2731093.9238705887</v>
      </c>
      <c r="S734" s="81">
        <v>2740673.041895608</v>
      </c>
      <c r="T734" s="81">
        <v>2748578.3632341148</v>
      </c>
      <c r="U734" s="81">
        <v>2754840.7627195697</v>
      </c>
      <c r="V734" s="81">
        <v>2759480.9683866152</v>
      </c>
      <c r="W734" s="81">
        <v>2762534.2454563268</v>
      </c>
      <c r="X734" s="81">
        <v>2764038.2689063577</v>
      </c>
      <c r="Y734" s="81">
        <v>2764045.9963163971</v>
      </c>
      <c r="Z734" s="81">
        <v>2762613.3197888909</v>
      </c>
      <c r="AA734" s="81">
        <v>2757443.6322242576</v>
      </c>
      <c r="AB734" s="81">
        <v>2751009.7219181219</v>
      </c>
      <c r="AC734" s="81">
        <v>2743379.8823248553</v>
      </c>
      <c r="AD734" s="81">
        <v>2734638.5921598501</v>
      </c>
      <c r="AE734" s="81">
        <v>2724887.079307152</v>
      </c>
      <c r="AF734" s="81">
        <v>2714257.4860266256</v>
      </c>
      <c r="AG734" s="81">
        <v>2702845.4708622331</v>
      </c>
      <c r="AH734" s="81">
        <v>2690777.6872545066</v>
      </c>
      <c r="AI734" s="81">
        <v>2678212.9028799385</v>
      </c>
      <c r="AJ734" s="81">
        <v>2665272.9903571224</v>
      </c>
      <c r="AK734" s="81">
        <v>2642955.0653850539</v>
      </c>
      <c r="AL734" s="81">
        <v>2620744.4205134176</v>
      </c>
      <c r="AM734" s="81">
        <v>2598830.8167222058</v>
      </c>
      <c r="AN734" s="81">
        <v>2577392.8890372752</v>
      </c>
      <c r="AO734" s="81">
        <v>2556612.1754717333</v>
      </c>
      <c r="AP734" s="81">
        <v>2536716.2904585879</v>
      </c>
      <c r="AQ734" s="81">
        <v>2517893.1241539628</v>
      </c>
      <c r="AR734" s="81">
        <v>2500362.4955151957</v>
      </c>
      <c r="AS734" s="81">
        <v>2484362.1853775848</v>
      </c>
      <c r="AT734" s="81">
        <v>2470118.9740304924</v>
      </c>
    </row>
    <row r="735" spans="1:46" ht="15.75">
      <c r="A735" s="81" t="s">
        <v>448</v>
      </c>
      <c r="B735" s="83">
        <v>659007</v>
      </c>
      <c r="C735" s="80" t="s">
        <v>411</v>
      </c>
      <c r="D735" s="82" t="s">
        <v>484</v>
      </c>
      <c r="E735" s="81">
        <v>886231.83168434713</v>
      </c>
      <c r="F735" s="81">
        <v>910022.01509840996</v>
      </c>
      <c r="G735" s="81">
        <v>928488.03509862593</v>
      </c>
      <c r="H735" s="81">
        <v>946753.19778327644</v>
      </c>
      <c r="I735" s="81">
        <v>964750.17191193521</v>
      </c>
      <c r="J735" s="81">
        <v>982430.24892920349</v>
      </c>
      <c r="K735" s="81">
        <v>999742.81814210396</v>
      </c>
      <c r="L735" s="81">
        <v>1016635.3423521188</v>
      </c>
      <c r="M735" s="81">
        <v>1033068.4388145187</v>
      </c>
      <c r="N735" s="81">
        <v>1049001.590956067</v>
      </c>
      <c r="O735" s="81">
        <v>1064377.6089388696</v>
      </c>
      <c r="P735" s="81">
        <v>1079168.7736528285</v>
      </c>
      <c r="Q735" s="81">
        <v>1088816.4732866702</v>
      </c>
      <c r="R735" s="81">
        <v>1097772.3254929231</v>
      </c>
      <c r="S735" s="81">
        <v>1106032.0768649047</v>
      </c>
      <c r="T735" s="81">
        <v>1113583.7186943283</v>
      </c>
      <c r="U735" s="81">
        <v>1120407.1172247301</v>
      </c>
      <c r="V735" s="81">
        <v>1126498.5953443744</v>
      </c>
      <c r="W735" s="81">
        <v>1131854.9029198969</v>
      </c>
      <c r="X735" s="81">
        <v>1136481.6948735358</v>
      </c>
      <c r="Y735" s="81">
        <v>1140385.3735955805</v>
      </c>
      <c r="Z735" s="81">
        <v>1143581.7241798905</v>
      </c>
      <c r="AA735" s="81">
        <v>1145114.8560089248</v>
      </c>
      <c r="AB735" s="81">
        <v>1145990.4213375784</v>
      </c>
      <c r="AC735" s="81">
        <v>1146238.0864244511</v>
      </c>
      <c r="AD735" s="81">
        <v>1145897.7309019631</v>
      </c>
      <c r="AE735" s="81">
        <v>1145010.8397545952</v>
      </c>
      <c r="AF735" s="81">
        <v>1143629.5693782535</v>
      </c>
      <c r="AG735" s="81">
        <v>1141817.1229313058</v>
      </c>
      <c r="AH735" s="81">
        <v>1139620.5515573791</v>
      </c>
      <c r="AI735" s="81">
        <v>1137134.9097099779</v>
      </c>
      <c r="AJ735" s="81">
        <v>1134411.7096905485</v>
      </c>
      <c r="AK735" s="81">
        <v>1131916.8315745466</v>
      </c>
      <c r="AL735" s="81">
        <v>1129364.812306769</v>
      </c>
      <c r="AM735" s="81">
        <v>1126862.0285783918</v>
      </c>
      <c r="AN735" s="81">
        <v>1124527.8923468369</v>
      </c>
      <c r="AO735" s="81">
        <v>1122466.1109169878</v>
      </c>
      <c r="AP735" s="81">
        <v>1120803.1377705424</v>
      </c>
      <c r="AQ735" s="81">
        <v>1119679.1047755056</v>
      </c>
      <c r="AR735" s="81">
        <v>1119248.248400551</v>
      </c>
      <c r="AS735" s="81">
        <v>1119649.2488835219</v>
      </c>
      <c r="AT735" s="81">
        <v>1121044.9240105273</v>
      </c>
    </row>
    <row r="736" spans="1:46" ht="15.75">
      <c r="A736" s="81" t="s">
        <v>448</v>
      </c>
      <c r="B736" s="83">
        <v>659008</v>
      </c>
      <c r="C736" s="80" t="s">
        <v>411</v>
      </c>
      <c r="D736" s="82" t="s">
        <v>483</v>
      </c>
      <c r="E736" s="81">
        <v>2376376.8857343765</v>
      </c>
      <c r="F736" s="81">
        <v>2431641.300542986</v>
      </c>
      <c r="G736" s="81">
        <v>2473071.1570195416</v>
      </c>
      <c r="H736" s="81">
        <v>2514342.6864719023</v>
      </c>
      <c r="I736" s="81">
        <v>2555315.1573391417</v>
      </c>
      <c r="J736" s="81">
        <v>2595830.67529346</v>
      </c>
      <c r="K736" s="81">
        <v>2635754.1126064342</v>
      </c>
      <c r="L736" s="81">
        <v>2674944.1680255719</v>
      </c>
      <c r="M736" s="81">
        <v>2713274.2345219092</v>
      </c>
      <c r="N736" s="81">
        <v>2750601.9076334587</v>
      </c>
      <c r="O736" s="81">
        <v>2786811.2591802194</v>
      </c>
      <c r="P736" s="81">
        <v>2821793.142238006</v>
      </c>
      <c r="Q736" s="81">
        <v>2843613.5915159867</v>
      </c>
      <c r="R736" s="81">
        <v>2863934.3791833748</v>
      </c>
      <c r="S736" s="81">
        <v>2882712.0380424168</v>
      </c>
      <c r="T736" s="81">
        <v>2899880.0480752499</v>
      </c>
      <c r="U736" s="81">
        <v>2915382.0935234916</v>
      </c>
      <c r="V736" s="81">
        <v>2929195.6559315217</v>
      </c>
      <c r="W736" s="81">
        <v>2941275.3691703556</v>
      </c>
      <c r="X736" s="81">
        <v>2951634.2215274768</v>
      </c>
      <c r="Y736" s="81">
        <v>2960251.3623109036</v>
      </c>
      <c r="Z736" s="81">
        <v>2967154.2670580498</v>
      </c>
      <c r="AA736" s="81">
        <v>2969837.7190795983</v>
      </c>
      <c r="AB736" s="81">
        <v>2970898.5116535346</v>
      </c>
      <c r="AC736" s="81">
        <v>2970399.4323928105</v>
      </c>
      <c r="AD736" s="81">
        <v>2968418.5020636809</v>
      </c>
      <c r="AE736" s="81">
        <v>2965049.4991391641</v>
      </c>
      <c r="AF736" s="81">
        <v>2960402.4902216592</v>
      </c>
      <c r="AG736" s="81">
        <v>2954604.3663347154</v>
      </c>
      <c r="AH736" s="81">
        <v>2947812.1361843399</v>
      </c>
      <c r="AI736" s="81">
        <v>2940201.1239501718</v>
      </c>
      <c r="AJ736" s="81">
        <v>2931939.6232527136</v>
      </c>
      <c r="AK736" s="81">
        <v>2924160.8205606495</v>
      </c>
      <c r="AL736" s="81">
        <v>2916151.8414824354</v>
      </c>
      <c r="AM736" s="81">
        <v>2908179.433506812</v>
      </c>
      <c r="AN736" s="81">
        <v>2900492.1401202083</v>
      </c>
      <c r="AO736" s="81">
        <v>2893400.207666955</v>
      </c>
      <c r="AP736" s="81">
        <v>2887209.8615101469</v>
      </c>
      <c r="AQ736" s="81">
        <v>2882250.2541126092</v>
      </c>
      <c r="AR736" s="81">
        <v>2878901.7036262313</v>
      </c>
      <c r="AS736" s="81">
        <v>2877541.7619898152</v>
      </c>
      <c r="AT736" s="81">
        <v>2878600.8644389147</v>
      </c>
    </row>
    <row r="737" spans="1:46" ht="15.75">
      <c r="A737" s="81" t="s">
        <v>448</v>
      </c>
      <c r="B737" s="83">
        <v>659009</v>
      </c>
      <c r="C737" s="80" t="s">
        <v>411</v>
      </c>
      <c r="D737" s="82" t="s">
        <v>482</v>
      </c>
      <c r="E737" s="81">
        <v>238258.66824226413</v>
      </c>
      <c r="F737" s="81">
        <v>245536.13621838664</v>
      </c>
      <c r="G737" s="81">
        <v>251707.47511101616</v>
      </c>
      <c r="H737" s="81">
        <v>258134.48951823462</v>
      </c>
      <c r="I737" s="81">
        <v>264786.14990722516</v>
      </c>
      <c r="J737" s="81">
        <v>271632.84798440785</v>
      </c>
      <c r="K737" s="81">
        <v>278643.00427019235</v>
      </c>
      <c r="L737" s="81">
        <v>285794.03273844381</v>
      </c>
      <c r="M737" s="81">
        <v>293050.78468589619</v>
      </c>
      <c r="N737" s="81">
        <v>300391.12800061994</v>
      </c>
      <c r="O737" s="81">
        <v>307784.03745580179</v>
      </c>
      <c r="P737" s="81">
        <v>315200.67064828461</v>
      </c>
      <c r="Q737" s="81">
        <v>321285.58653822279</v>
      </c>
      <c r="R737" s="81">
        <v>327312.45511743793</v>
      </c>
      <c r="S737" s="81">
        <v>333258.13439534669</v>
      </c>
      <c r="T737" s="81">
        <v>339098.71110141068</v>
      </c>
      <c r="U737" s="81">
        <v>344821.66056283761</v>
      </c>
      <c r="V737" s="81">
        <v>350405.93005039799</v>
      </c>
      <c r="W737" s="81">
        <v>355842.21508503094</v>
      </c>
      <c r="X737" s="81">
        <v>361108.50638978684</v>
      </c>
      <c r="Y737" s="81">
        <v>366203.17047394725</v>
      </c>
      <c r="Z737" s="81">
        <v>371111.93895438506</v>
      </c>
      <c r="AA737" s="81">
        <v>375509.76083786495</v>
      </c>
      <c r="AB737" s="81">
        <v>379704.91437183309</v>
      </c>
      <c r="AC737" s="81">
        <v>383704.84908423957</v>
      </c>
      <c r="AD737" s="81">
        <v>387499.85681527422</v>
      </c>
      <c r="AE737" s="81">
        <v>391106.55133315217</v>
      </c>
      <c r="AF737" s="81">
        <v>394524.39427042898</v>
      </c>
      <c r="AG737" s="81">
        <v>397761.92426319112</v>
      </c>
      <c r="AH737" s="81">
        <v>400841.63581249351</v>
      </c>
      <c r="AI737" s="81">
        <v>403768.60436778207</v>
      </c>
      <c r="AJ737" s="81">
        <v>406571.13222287764</v>
      </c>
      <c r="AK737" s="81">
        <v>409398.06104946975</v>
      </c>
      <c r="AL737" s="81">
        <v>412151.27184965764</v>
      </c>
      <c r="AM737" s="81">
        <v>414852.33625507582</v>
      </c>
      <c r="AN737" s="81">
        <v>417542.54386096733</v>
      </c>
      <c r="AO737" s="81">
        <v>420259.75484312791</v>
      </c>
      <c r="AP737" s="81">
        <v>423038.22329664882</v>
      </c>
      <c r="AQ737" s="81">
        <v>425932.7120769191</v>
      </c>
      <c r="AR737" s="81">
        <v>428984.99044941604</v>
      </c>
      <c r="AS737" s="81">
        <v>432257.82233851036</v>
      </c>
      <c r="AT737" s="81">
        <v>435805.90582284192</v>
      </c>
    </row>
    <row r="738" spans="1:46" ht="15.75">
      <c r="A738" s="81" t="s">
        <v>448</v>
      </c>
      <c r="B738" s="83">
        <v>659010</v>
      </c>
      <c r="C738" s="80" t="s">
        <v>411</v>
      </c>
      <c r="D738" s="82" t="s">
        <v>481</v>
      </c>
      <c r="E738" s="81">
        <v>2292672.785551222</v>
      </c>
      <c r="F738" s="81">
        <v>2349095.7449370958</v>
      </c>
      <c r="G738" s="81">
        <v>2391587.0976803019</v>
      </c>
      <c r="H738" s="81">
        <v>2433365.9871023609</v>
      </c>
      <c r="I738" s="81">
        <v>2474325.0370948054</v>
      </c>
      <c r="J738" s="81">
        <v>2514332.7930083419</v>
      </c>
      <c r="K738" s="81">
        <v>2553293.291982268</v>
      </c>
      <c r="L738" s="81">
        <v>2591066.3199941944</v>
      </c>
      <c r="M738" s="81">
        <v>2627579.5888893832</v>
      </c>
      <c r="N738" s="81">
        <v>2662717.0578445215</v>
      </c>
      <c r="O738" s="81">
        <v>2696391.2904095962</v>
      </c>
      <c r="P738" s="81">
        <v>2728512.9111771514</v>
      </c>
      <c r="Q738" s="81">
        <v>2747568.99230773</v>
      </c>
      <c r="R738" s="81">
        <v>2764910.0016053901</v>
      </c>
      <c r="S738" s="81">
        <v>2780487.3117014277</v>
      </c>
      <c r="T738" s="81">
        <v>2794274.4897586</v>
      </c>
      <c r="U738" s="81">
        <v>2806256.9199119443</v>
      </c>
      <c r="V738" s="81">
        <v>2816420.8109580744</v>
      </c>
      <c r="W738" s="81">
        <v>2824764.8419058579</v>
      </c>
      <c r="X738" s="81">
        <v>2831312.442235596</v>
      </c>
      <c r="Y738" s="81">
        <v>2836065.5001433701</v>
      </c>
      <c r="Z738" s="81">
        <v>2839086.9742283006</v>
      </c>
      <c r="AA738" s="81">
        <v>2838008.3576800986</v>
      </c>
      <c r="AB738" s="81">
        <v>2835321.140171703</v>
      </c>
      <c r="AC738" s="81">
        <v>2831101.4802685622</v>
      </c>
      <c r="AD738" s="81">
        <v>2825441.1569637265</v>
      </c>
      <c r="AE738" s="81">
        <v>2818472.9752854211</v>
      </c>
      <c r="AF738" s="81">
        <v>2810284.5247619986</v>
      </c>
      <c r="AG738" s="81">
        <v>2801029.9778677188</v>
      </c>
      <c r="AH738" s="81">
        <v>2790868.9338528179</v>
      </c>
      <c r="AI738" s="81">
        <v>2779953.6365267793</v>
      </c>
      <c r="AJ738" s="81">
        <v>2768493.2136468845</v>
      </c>
      <c r="AK738" s="81">
        <v>2757532.2015265441</v>
      </c>
      <c r="AL738" s="81">
        <v>2746423.7931790934</v>
      </c>
      <c r="AM738" s="81">
        <v>2735410.6037447676</v>
      </c>
      <c r="AN738" s="81">
        <v>2724729.5974380183</v>
      </c>
      <c r="AO738" s="81">
        <v>2714678.9633267196</v>
      </c>
      <c r="AP738" s="81">
        <v>2705538.8871020223</v>
      </c>
      <c r="AQ738" s="81">
        <v>2697638.9708435331</v>
      </c>
      <c r="AR738" s="81">
        <v>2691304.775926101</v>
      </c>
      <c r="AS738" s="81">
        <v>2686899.0669247527</v>
      </c>
      <c r="AT738" s="81">
        <v>2684808.982084957</v>
      </c>
    </row>
    <row r="739" spans="1:46" ht="15.75">
      <c r="A739" s="78" t="s">
        <v>449</v>
      </c>
      <c r="C739" s="80" t="s">
        <v>440</v>
      </c>
      <c r="E739" s="78">
        <v>150349883.31638053</v>
      </c>
      <c r="F739" s="78">
        <v>149154881.97233385</v>
      </c>
      <c r="G739" s="78">
        <v>147184519.02448815</v>
      </c>
      <c r="H739" s="78">
        <v>144836207.27657592</v>
      </c>
      <c r="I739" s="78">
        <v>142159029.41889358</v>
      </c>
      <c r="J739" s="78">
        <v>139198362.0600712</v>
      </c>
      <c r="K739" s="78">
        <v>135995979.07586607</v>
      </c>
      <c r="L739" s="78">
        <v>132590118.56522945</v>
      </c>
      <c r="M739" s="78">
        <v>129015600.58868121</v>
      </c>
      <c r="N739" s="78">
        <v>125303942.8803497</v>
      </c>
      <c r="O739" s="78">
        <v>121483480.65290286</v>
      </c>
      <c r="P739" s="78">
        <v>117579495.53478849</v>
      </c>
      <c r="Q739" s="78">
        <v>113825242.199403</v>
      </c>
      <c r="R739" s="78">
        <v>110028173.90276241</v>
      </c>
      <c r="S739" s="78">
        <v>106205044.59707578</v>
      </c>
      <c r="T739" s="78">
        <v>102370214.61141451</v>
      </c>
      <c r="U739" s="78">
        <v>98535835.334978476</v>
      </c>
      <c r="V739" s="78">
        <v>94711991.236253664</v>
      </c>
      <c r="W739" s="78">
        <v>90906841.831529588</v>
      </c>
      <c r="X739" s="78">
        <v>87126800.581942841</v>
      </c>
      <c r="Y739" s="78">
        <v>83376679.638217762</v>
      </c>
      <c r="Z739" s="78">
        <v>79659849.729141042</v>
      </c>
      <c r="AA739" s="78">
        <v>75053531.149055734</v>
      </c>
      <c r="AB739" s="78">
        <v>70492058.616474584</v>
      </c>
      <c r="AC739" s="78">
        <v>65975212.236139975</v>
      </c>
      <c r="AD739" s="78">
        <v>61501974.680969805</v>
      </c>
      <c r="AE739" s="78">
        <v>57070735.622484803</v>
      </c>
      <c r="AF739" s="78">
        <v>52679500.038685091</v>
      </c>
      <c r="AG739" s="78">
        <v>48326103.595075577</v>
      </c>
      <c r="AH739" s="78">
        <v>44008403.035394549</v>
      </c>
      <c r="AI739" s="78">
        <v>39724507.846683539</v>
      </c>
      <c r="AJ739" s="78">
        <v>35472966.788510211</v>
      </c>
      <c r="AK739" s="78">
        <v>35166515.65031331</v>
      </c>
      <c r="AL739" s="78">
        <v>34852037.7891296</v>
      </c>
      <c r="AM739" s="78">
        <v>34526474.758512899</v>
      </c>
      <c r="AN739" s="78">
        <v>34186463.955431432</v>
      </c>
      <c r="AO739" s="78">
        <v>33828340.723989606</v>
      </c>
      <c r="AP739" s="78">
        <v>33448155.878775623</v>
      </c>
      <c r="AQ739" s="78">
        <v>33041672.638056658</v>
      </c>
      <c r="AR739" s="78">
        <v>32604378.973222572</v>
      </c>
      <c r="AS739" s="78">
        <v>32131494.778034292</v>
      </c>
      <c r="AT739" s="78">
        <v>31617980.695975859</v>
      </c>
    </row>
    <row r="740" spans="1:46" ht="15.75">
      <c r="A740" s="78" t="s">
        <v>449</v>
      </c>
      <c r="C740" s="80" t="s">
        <v>439</v>
      </c>
      <c r="E740" s="78">
        <v>70569627.885005578</v>
      </c>
      <c r="F740" s="78">
        <v>69415828.213792384</v>
      </c>
      <c r="G740" s="78">
        <v>69334792.827462971</v>
      </c>
      <c r="H740" s="78">
        <v>69086134.051853821</v>
      </c>
      <c r="I740" s="78">
        <v>68682159.540583849</v>
      </c>
      <c r="J740" s="78">
        <v>68135012.68358703</v>
      </c>
      <c r="K740" s="78">
        <v>67456627.722097352</v>
      </c>
      <c r="L740" s="78">
        <v>66658678.662108883</v>
      </c>
      <c r="M740" s="78">
        <v>65752491.398719408</v>
      </c>
      <c r="N740" s="78">
        <v>64749020.272437073</v>
      </c>
      <c r="O740" s="78">
        <v>63658767.293305948</v>
      </c>
      <c r="P740" s="78">
        <v>62491748.86863704</v>
      </c>
      <c r="Q740" s="78">
        <v>60762669.906850241</v>
      </c>
      <c r="R740" s="78">
        <v>58973669.771489151</v>
      </c>
      <c r="S740" s="78">
        <v>57134243.110171035</v>
      </c>
      <c r="T740" s="78">
        <v>55253102.747460343</v>
      </c>
      <c r="U740" s="78">
        <v>53338208.210734822</v>
      </c>
      <c r="V740" s="78">
        <v>51396740.981411509</v>
      </c>
      <c r="W740" s="78">
        <v>49435133.164682254</v>
      </c>
      <c r="X740" s="78">
        <v>47459072.987948343</v>
      </c>
      <c r="Y740" s="78">
        <v>45473554.428501897</v>
      </c>
      <c r="Z740" s="78">
        <v>43482893.020846792</v>
      </c>
      <c r="AA740" s="78">
        <v>41618511.976261713</v>
      </c>
      <c r="AB740" s="78">
        <v>39754940.864181332</v>
      </c>
      <c r="AC740" s="78">
        <v>37894657.75060612</v>
      </c>
      <c r="AD740" s="78">
        <v>36039672.328575253</v>
      </c>
      <c r="AE740" s="78">
        <v>34191575.884215139</v>
      </c>
      <c r="AF740" s="78">
        <v>32351602.27360994</v>
      </c>
      <c r="AG740" s="78">
        <v>30520675.25544513</v>
      </c>
      <c r="AH740" s="78">
        <v>28699483.329352926</v>
      </c>
      <c r="AI740" s="78">
        <v>26888523.641877148</v>
      </c>
      <c r="AJ740" s="78">
        <v>25088180.481331367</v>
      </c>
      <c r="AK740" s="78">
        <v>23894057.133924592</v>
      </c>
      <c r="AL740" s="78">
        <v>22704989.226536877</v>
      </c>
      <c r="AM740" s="78">
        <v>21520860.91383319</v>
      </c>
      <c r="AN740" s="78">
        <v>20341580.209796291</v>
      </c>
      <c r="AO740" s="78">
        <v>19167109.421009023</v>
      </c>
      <c r="AP740" s="78">
        <v>17997513.664947312</v>
      </c>
      <c r="AQ740" s="78">
        <v>16832998.832223419</v>
      </c>
      <c r="AR740" s="78">
        <v>15673953.148045111</v>
      </c>
      <c r="AS740" s="78">
        <v>14520989.861420896</v>
      </c>
      <c r="AT740" s="78">
        <v>13374989.272732351</v>
      </c>
    </row>
    <row r="741" spans="1:46" ht="15.75">
      <c r="A741" s="78" t="s">
        <v>449</v>
      </c>
      <c r="C741" s="80" t="s">
        <v>438</v>
      </c>
      <c r="E741" s="78">
        <v>1108330493.6546729</v>
      </c>
      <c r="F741" s="78">
        <v>1096786574.7787502</v>
      </c>
      <c r="G741" s="78">
        <v>1094564414.0943472</v>
      </c>
      <c r="H741" s="78">
        <v>1091135113.0113368</v>
      </c>
      <c r="I741" s="78">
        <v>1086510074.0855396</v>
      </c>
      <c r="J741" s="78">
        <v>1080706378.0504055</v>
      </c>
      <c r="K741" s="78">
        <v>1073746399.1526649</v>
      </c>
      <c r="L741" s="78">
        <v>1065657269.7701763</v>
      </c>
      <c r="M741" s="78">
        <v>1056470674.437216</v>
      </c>
      <c r="N741" s="78">
        <v>1046222240.0765818</v>
      </c>
      <c r="O741" s="78">
        <v>1034951149.1578678</v>
      </c>
      <c r="P741" s="78">
        <v>1022699643.487415</v>
      </c>
      <c r="Q741" s="78">
        <v>1018221341.8776796</v>
      </c>
      <c r="R741" s="78">
        <v>1012941185.7410092</v>
      </c>
      <c r="S741" s="78">
        <v>1006890813.1313046</v>
      </c>
      <c r="T741" s="78">
        <v>1000103861.3011425</v>
      </c>
      <c r="U741" s="78">
        <v>992615691.24477887</v>
      </c>
      <c r="V741" s="78">
        <v>984463107.76284862</v>
      </c>
      <c r="W741" s="78">
        <v>975684099.99848175</v>
      </c>
      <c r="X741" s="78">
        <v>966317742.16584027</v>
      </c>
      <c r="Y741" s="78">
        <v>956403849.24403477</v>
      </c>
      <c r="Z741" s="78">
        <v>945982956.07035518</v>
      </c>
      <c r="AA741" s="78">
        <v>937299915.61127889</v>
      </c>
      <c r="AB741" s="78">
        <v>928188387.66448855</v>
      </c>
      <c r="AC741" s="78">
        <v>918686902.43951833</v>
      </c>
      <c r="AD741" s="78">
        <v>908834334.44129503</v>
      </c>
      <c r="AE741" s="78">
        <v>898669824.06288719</v>
      </c>
      <c r="AF741" s="78">
        <v>888232518.19544768</v>
      </c>
      <c r="AG741" s="78">
        <v>877561757.22466207</v>
      </c>
      <c r="AH741" s="78">
        <v>866696771.43161309</v>
      </c>
      <c r="AI741" s="78">
        <v>855676673.63958883</v>
      </c>
      <c r="AJ741" s="78">
        <v>844540430.66524875</v>
      </c>
      <c r="AK741" s="78">
        <v>833018265.11799979</v>
      </c>
      <c r="AL741" s="78">
        <v>821459603.41008937</v>
      </c>
      <c r="AM741" s="78">
        <v>809902692.78270304</v>
      </c>
      <c r="AN741" s="78">
        <v>798385485.94765353</v>
      </c>
      <c r="AO741" s="78">
        <v>786945365.27968621</v>
      </c>
      <c r="AP741" s="78">
        <v>775619296.70007002</v>
      </c>
      <c r="AQ741" s="78">
        <v>764443751.00931084</v>
      </c>
      <c r="AR741" s="78">
        <v>753454563.49111676</v>
      </c>
      <c r="AS741" s="78">
        <v>742687107.46266973</v>
      </c>
      <c r="AT741" s="78">
        <v>732175922.43028665</v>
      </c>
    </row>
    <row r="742" spans="1:46" ht="15.75">
      <c r="A742" s="78" t="s">
        <v>449</v>
      </c>
      <c r="C742" s="80" t="s">
        <v>437</v>
      </c>
      <c r="E742" s="78">
        <v>530108071.50833333</v>
      </c>
      <c r="F742" s="78">
        <v>529201860.5999831</v>
      </c>
      <c r="G742" s="78">
        <v>530639201.68297815</v>
      </c>
      <c r="H742" s="78">
        <v>531337432.21593547</v>
      </c>
      <c r="I742" s="78">
        <v>531306971.47099316</v>
      </c>
      <c r="J742" s="78">
        <v>530560970.78460872</v>
      </c>
      <c r="K742" s="78">
        <v>529115748.34427935</v>
      </c>
      <c r="L742" s="78">
        <v>526990010.72107303</v>
      </c>
      <c r="M742" s="78">
        <v>524205116.43870682</v>
      </c>
      <c r="N742" s="78">
        <v>520784403.06015575</v>
      </c>
      <c r="O742" s="78">
        <v>516753224.12836075</v>
      </c>
      <c r="P742" s="78">
        <v>512138601.0177561</v>
      </c>
      <c r="Q742" s="78">
        <v>510892847.93173647</v>
      </c>
      <c r="R742" s="78">
        <v>509165717.92905712</v>
      </c>
      <c r="S742" s="78">
        <v>506978237.06408983</v>
      </c>
      <c r="T742" s="78">
        <v>504352544.70624202</v>
      </c>
      <c r="U742" s="78">
        <v>501311757.89855945</v>
      </c>
      <c r="V742" s="78">
        <v>497879872.72261596</v>
      </c>
      <c r="W742" s="78">
        <v>494081403.61781138</v>
      </c>
      <c r="X742" s="78">
        <v>489941622.24179697</v>
      </c>
      <c r="Y742" s="78">
        <v>485486132.71184725</v>
      </c>
      <c r="Z742" s="78">
        <v>480740824.91309738</v>
      </c>
      <c r="AA742" s="78">
        <v>476726528.0508098</v>
      </c>
      <c r="AB742" s="78">
        <v>472472813.69222105</v>
      </c>
      <c r="AC742" s="78">
        <v>468004764.88148719</v>
      </c>
      <c r="AD742" s="78">
        <v>463347599.30256456</v>
      </c>
      <c r="AE742" s="78">
        <v>458526646.24027723</v>
      </c>
      <c r="AF742" s="78">
        <v>453567284.40841466</v>
      </c>
      <c r="AG742" s="78">
        <v>448494920.0385313</v>
      </c>
      <c r="AH742" s="78">
        <v>443334952.6580795</v>
      </c>
      <c r="AI742" s="78">
        <v>438112659.66029996</v>
      </c>
      <c r="AJ742" s="78">
        <v>432853278.76862735</v>
      </c>
      <c r="AK742" s="78">
        <v>427443017.20987439</v>
      </c>
      <c r="AL742" s="78">
        <v>422046725.39142388</v>
      </c>
      <c r="AM742" s="78">
        <v>416689204.60862249</v>
      </c>
      <c r="AN742" s="78">
        <v>411394948.99661708</v>
      </c>
      <c r="AO742" s="78">
        <v>406188230.35140228</v>
      </c>
      <c r="AP742" s="78">
        <v>401093092.14495397</v>
      </c>
      <c r="AQ742" s="78">
        <v>396133276.63815928</v>
      </c>
      <c r="AR742" s="78">
        <v>391332152.75496447</v>
      </c>
      <c r="AS742" s="78">
        <v>386712910.65982699</v>
      </c>
      <c r="AT742" s="78">
        <v>382298253.11747646</v>
      </c>
    </row>
    <row r="743" spans="1:46" ht="15.75">
      <c r="A743" s="78" t="s">
        <v>449</v>
      </c>
      <c r="C743" s="80" t="s">
        <v>436</v>
      </c>
      <c r="E743" s="78">
        <v>296766838.24874657</v>
      </c>
      <c r="F743" s="78">
        <v>301813216.88674849</v>
      </c>
      <c r="G743" s="78">
        <v>301753187.66381812</v>
      </c>
      <c r="H743" s="78">
        <v>301204685.1391117</v>
      </c>
      <c r="I743" s="78">
        <v>300185231.65400529</v>
      </c>
      <c r="J743" s="78">
        <v>298713393.4952082</v>
      </c>
      <c r="K743" s="78">
        <v>296808931.03514892</v>
      </c>
      <c r="L743" s="78">
        <v>294492318.95495856</v>
      </c>
      <c r="M743" s="78">
        <v>291784875.30266285</v>
      </c>
      <c r="N743" s="78">
        <v>288708373.11936021</v>
      </c>
      <c r="O743" s="78">
        <v>285284987.39458579</v>
      </c>
      <c r="P743" s="78">
        <v>281537125.94650525</v>
      </c>
      <c r="Q743" s="78">
        <v>279940214.70835072</v>
      </c>
      <c r="R743" s="78">
        <v>278082147.35145247</v>
      </c>
      <c r="S743" s="78">
        <v>275979096.61362332</v>
      </c>
      <c r="T743" s="78">
        <v>273647418.12848353</v>
      </c>
      <c r="U743" s="78">
        <v>271103114.09597588</v>
      </c>
      <c r="V743" s="78">
        <v>268362222.38174874</v>
      </c>
      <c r="W743" s="78">
        <v>265440430.13890058</v>
      </c>
      <c r="X743" s="78">
        <v>262353108.93484065</v>
      </c>
      <c r="Y743" s="78">
        <v>259115280.04223835</v>
      </c>
      <c r="Z743" s="78">
        <v>255741413.77547008</v>
      </c>
      <c r="AA743" s="78">
        <v>252856649.71806365</v>
      </c>
      <c r="AB743" s="78">
        <v>249860225.19791409</v>
      </c>
      <c r="AC743" s="78">
        <v>246764371.52328902</v>
      </c>
      <c r="AD743" s="78">
        <v>243580798.41115013</v>
      </c>
      <c r="AE743" s="78">
        <v>240320700.44507453</v>
      </c>
      <c r="AF743" s="78">
        <v>236994865.36606625</v>
      </c>
      <c r="AG743" s="78">
        <v>233613472.2486999</v>
      </c>
      <c r="AH743" s="78">
        <v>230186251.85458723</v>
      </c>
      <c r="AI743" s="78">
        <v>226722345.91902944</v>
      </c>
      <c r="AJ743" s="78">
        <v>223230486.0857133</v>
      </c>
      <c r="AK743" s="78">
        <v>219634953.24871671</v>
      </c>
      <c r="AL743" s="78">
        <v>216028292.77588207</v>
      </c>
      <c r="AM743" s="78">
        <v>212417819.73489025</v>
      </c>
      <c r="AN743" s="78">
        <v>208810308.8509137</v>
      </c>
      <c r="AO743" s="78">
        <v>205212051.57251719</v>
      </c>
      <c r="AP743" s="78">
        <v>201628974.78608656</v>
      </c>
      <c r="AQ743" s="78">
        <v>198066454.12938353</v>
      </c>
      <c r="AR743" s="78">
        <v>194529662.35215721</v>
      </c>
      <c r="AS743" s="78">
        <v>191023210.51101887</v>
      </c>
      <c r="AT743" s="78">
        <v>187551343.68558627</v>
      </c>
    </row>
    <row r="744" spans="1:46" ht="15.75">
      <c r="A744" s="78" t="s">
        <v>449</v>
      </c>
      <c r="C744" s="80" t="s">
        <v>435</v>
      </c>
      <c r="E744" s="78">
        <v>410569054.94140357</v>
      </c>
      <c r="F744" s="78">
        <v>379354743.69957465</v>
      </c>
      <c r="G744" s="78">
        <v>374461242.25101686</v>
      </c>
      <c r="H744" s="78">
        <v>368775441.73176748</v>
      </c>
      <c r="I744" s="78">
        <v>362348248.98375535</v>
      </c>
      <c r="J744" s="78">
        <v>355231202.11272031</v>
      </c>
      <c r="K744" s="78">
        <v>347475913.69785202</v>
      </c>
      <c r="L744" s="78">
        <v>339133970.49659157</v>
      </c>
      <c r="M744" s="78">
        <v>330256524.67796254</v>
      </c>
      <c r="N744" s="78">
        <v>320894057.62436277</v>
      </c>
      <c r="O744" s="78">
        <v>311096045.68034285</v>
      </c>
      <c r="P744" s="78">
        <v>300910618.01726413</v>
      </c>
      <c r="Q744" s="78">
        <v>295517841.98584646</v>
      </c>
      <c r="R744" s="78">
        <v>289839098.36492342</v>
      </c>
      <c r="S744" s="78">
        <v>283904164.34842598</v>
      </c>
      <c r="T744" s="78">
        <v>277742027.62994015</v>
      </c>
      <c r="U744" s="78">
        <v>271380488.90643442</v>
      </c>
      <c r="V744" s="78">
        <v>264846275.35845909</v>
      </c>
      <c r="W744" s="78">
        <v>258164769.26913926</v>
      </c>
      <c r="X744" s="78">
        <v>251360095.33693415</v>
      </c>
      <c r="Y744" s="78">
        <v>244454962.79567108</v>
      </c>
      <c r="Z744" s="78">
        <v>237470709.70730597</v>
      </c>
      <c r="AA744" s="78">
        <v>232476504.97282463</v>
      </c>
      <c r="AB744" s="78">
        <v>227420550.72231606</v>
      </c>
      <c r="AC744" s="78">
        <v>222318182.95680666</v>
      </c>
      <c r="AD744" s="78">
        <v>217183797.10509479</v>
      </c>
      <c r="AE744" s="78">
        <v>212030763.40045583</v>
      </c>
      <c r="AF744" s="78">
        <v>206871469.99400291</v>
      </c>
      <c r="AG744" s="78">
        <v>201717407.90342534</v>
      </c>
      <c r="AH744" s="78">
        <v>196579092.37426731</v>
      </c>
      <c r="AI744" s="78">
        <v>191466190.14243177</v>
      </c>
      <c r="AJ744" s="78">
        <v>186387588.51028064</v>
      </c>
      <c r="AK744" s="78">
        <v>181447771.58144349</v>
      </c>
      <c r="AL744" s="78">
        <v>176556801.87076327</v>
      </c>
      <c r="AM744" s="78">
        <v>171721201.98091042</v>
      </c>
      <c r="AN744" s="78">
        <v>166946786.20860526</v>
      </c>
      <c r="AO744" s="78">
        <v>162238858.00485545</v>
      </c>
      <c r="AP744" s="78">
        <v>157602031.66213188</v>
      </c>
      <c r="AQ744" s="78">
        <v>153040505.00743327</v>
      </c>
      <c r="AR744" s="78">
        <v>148557881.73273116</v>
      </c>
      <c r="AS744" s="78">
        <v>144157559.41630462</v>
      </c>
      <c r="AT744" s="78">
        <v>139842417.39452121</v>
      </c>
    </row>
    <row r="745" spans="1:46" ht="15.75">
      <c r="A745" s="78" t="s">
        <v>449</v>
      </c>
      <c r="C745" s="80" t="s">
        <v>434</v>
      </c>
      <c r="E745" s="78">
        <v>282998693.1762042</v>
      </c>
      <c r="F745" s="78">
        <v>285819353.29582822</v>
      </c>
      <c r="G745" s="78">
        <v>286123775.5238241</v>
      </c>
      <c r="H745" s="78">
        <v>285911532.88478595</v>
      </c>
      <c r="I745" s="78">
        <v>285205125.52123237</v>
      </c>
      <c r="J745" s="78">
        <v>284027752.41014081</v>
      </c>
      <c r="K745" s="78">
        <v>282403605.15218431</v>
      </c>
      <c r="L745" s="78">
        <v>280357370.45530534</v>
      </c>
      <c r="M745" s="78">
        <v>277914242.521559</v>
      </c>
      <c r="N745" s="78">
        <v>275099780.9910807</v>
      </c>
      <c r="O745" s="78">
        <v>271939627.31471777</v>
      </c>
      <c r="P745" s="78">
        <v>268459422.15935689</v>
      </c>
      <c r="Q745" s="78">
        <v>266847135.75875646</v>
      </c>
      <c r="R745" s="78">
        <v>264976870.49288809</v>
      </c>
      <c r="S745" s="78">
        <v>262867571.21173501</v>
      </c>
      <c r="T745" s="78">
        <v>260538071.49545416</v>
      </c>
      <c r="U745" s="78">
        <v>258006855.65352497</v>
      </c>
      <c r="V745" s="78">
        <v>255291975.13169217</v>
      </c>
      <c r="W745" s="78">
        <v>252410963.02136829</v>
      </c>
      <c r="X745" s="78">
        <v>249380742.10640085</v>
      </c>
      <c r="Y745" s="78">
        <v>246217550.95793992</v>
      </c>
      <c r="Z745" s="78">
        <v>242936917.62173638</v>
      </c>
      <c r="AA745" s="78">
        <v>240086258.59684333</v>
      </c>
      <c r="AB745" s="78">
        <v>237142908.77882713</v>
      </c>
      <c r="AC745" s="78">
        <v>234119262.30159923</v>
      </c>
      <c r="AD745" s="78">
        <v>231027011.6403788</v>
      </c>
      <c r="AE745" s="78">
        <v>227877090.13959005</v>
      </c>
      <c r="AF745" s="78">
        <v>224679515.62223613</v>
      </c>
      <c r="AG745" s="78">
        <v>221443591.50508562</v>
      </c>
      <c r="AH745" s="78">
        <v>218177849.19219032</v>
      </c>
      <c r="AI745" s="78">
        <v>214889933.67495239</v>
      </c>
      <c r="AJ745" s="78">
        <v>211586785.13716358</v>
      </c>
      <c r="AK745" s="78">
        <v>208202056.23825085</v>
      </c>
      <c r="AL745" s="78">
        <v>204814654.67980927</v>
      </c>
      <c r="AM745" s="78">
        <v>201429396.12482658</v>
      </c>
      <c r="AN745" s="78">
        <v>198050385.52143902</v>
      </c>
      <c r="AO745" s="78">
        <v>194681089.17269257</v>
      </c>
      <c r="AP745" s="78">
        <v>191324318.52722555</v>
      </c>
      <c r="AQ745" s="78">
        <v>187982321.25571164</v>
      </c>
      <c r="AR745" s="78">
        <v>184656845.91833323</v>
      </c>
      <c r="AS745" s="78">
        <v>181349052.2793082</v>
      </c>
      <c r="AT745" s="78">
        <v>178059663.72924584</v>
      </c>
    </row>
    <row r="746" spans="1:46" ht="15.75">
      <c r="A746" s="78" t="s">
        <v>449</v>
      </c>
      <c r="C746" s="80" t="s">
        <v>433</v>
      </c>
      <c r="E746" s="78">
        <v>374311479.57129711</v>
      </c>
      <c r="F746" s="78">
        <v>373694308.32945484</v>
      </c>
      <c r="G746" s="78">
        <v>373185933.57818907</v>
      </c>
      <c r="H746" s="78">
        <v>371959031.92054242</v>
      </c>
      <c r="I746" s="78">
        <v>370051184.44066721</v>
      </c>
      <c r="J746" s="78">
        <v>367500710.2884751</v>
      </c>
      <c r="K746" s="78">
        <v>364346526.48357302</v>
      </c>
      <c r="L746" s="78">
        <v>360627953.19434434</v>
      </c>
      <c r="M746" s="78">
        <v>356384322.67774916</v>
      </c>
      <c r="N746" s="78">
        <v>351654895.73052406</v>
      </c>
      <c r="O746" s="78">
        <v>346478440.22968322</v>
      </c>
      <c r="P746" s="78">
        <v>340893189.75837892</v>
      </c>
      <c r="Q746" s="78">
        <v>338109152.10922986</v>
      </c>
      <c r="R746" s="78">
        <v>335002211.47601813</v>
      </c>
      <c r="S746" s="78">
        <v>331599436.73869091</v>
      </c>
      <c r="T746" s="78">
        <v>327927182.44658065</v>
      </c>
      <c r="U746" s="78">
        <v>324011038.42423451</v>
      </c>
      <c r="V746" s="78">
        <v>319875710.00514793</v>
      </c>
      <c r="W746" s="78">
        <v>315544811.14764982</v>
      </c>
      <c r="X746" s="78">
        <v>311040944.90427989</v>
      </c>
      <c r="Y746" s="78">
        <v>306385467.33008766</v>
      </c>
      <c r="Z746" s="78">
        <v>301598576.09203416</v>
      </c>
      <c r="AA746" s="78">
        <v>297475486.14753628</v>
      </c>
      <c r="AB746" s="78">
        <v>293251024.37304723</v>
      </c>
      <c r="AC746" s="78">
        <v>288940706.66167891</v>
      </c>
      <c r="AD746" s="78">
        <v>284558970.14081156</v>
      </c>
      <c r="AE746" s="78">
        <v>280119093.26400691</v>
      </c>
      <c r="AF746" s="78">
        <v>275633125.7027213</v>
      </c>
      <c r="AG746" s="78">
        <v>271112087.60024434</v>
      </c>
      <c r="AH746" s="78">
        <v>266565876.92449468</v>
      </c>
      <c r="AI746" s="78">
        <v>262003262.59296301</v>
      </c>
      <c r="AJ746" s="78">
        <v>257432104.71989974</v>
      </c>
      <c r="AK746" s="78">
        <v>252753892.66441312</v>
      </c>
      <c r="AL746" s="78">
        <v>248081267.46999791</v>
      </c>
      <c r="AM746" s="78">
        <v>243419135.07130846</v>
      </c>
      <c r="AN746" s="78">
        <v>238771731.82224074</v>
      </c>
      <c r="AO746" s="78">
        <v>234142363.31106704</v>
      </c>
      <c r="AP746" s="78">
        <v>229533597.74629533</v>
      </c>
      <c r="AQ746" s="78">
        <v>224947376.08505216</v>
      </c>
      <c r="AR746" s="78">
        <v>220384924.65000659</v>
      </c>
      <c r="AS746" s="78">
        <v>215846945.09244642</v>
      </c>
      <c r="AT746" s="78">
        <v>211333602.77178884</v>
      </c>
    </row>
    <row r="747" spans="1:46" ht="15.75">
      <c r="A747" s="78" t="s">
        <v>449</v>
      </c>
      <c r="C747" s="80" t="s">
        <v>432</v>
      </c>
      <c r="E747" s="78">
        <v>142390736.87829494</v>
      </c>
      <c r="F747" s="78">
        <v>139303328.12929782</v>
      </c>
      <c r="G747" s="78">
        <v>139291920.51535887</v>
      </c>
      <c r="H747" s="78">
        <v>138944799.45835572</v>
      </c>
      <c r="I747" s="78">
        <v>138288805.71762827</v>
      </c>
      <c r="J747" s="78">
        <v>137350294.3810645</v>
      </c>
      <c r="K747" s="78">
        <v>136155020.06298691</v>
      </c>
      <c r="L747" s="78">
        <v>134728001.22466025</v>
      </c>
      <c r="M747" s="78">
        <v>133093384.22301467</v>
      </c>
      <c r="N747" s="78">
        <v>131274347.17849618</v>
      </c>
      <c r="O747" s="78">
        <v>129292971.41209012</v>
      </c>
      <c r="P747" s="78">
        <v>127170157.29015237</v>
      </c>
      <c r="Q747" s="78">
        <v>122603176.17071725</v>
      </c>
      <c r="R747" s="78">
        <v>117931383.72063155</v>
      </c>
      <c r="S747" s="78">
        <v>113176640.77872722</v>
      </c>
      <c r="T747" s="78">
        <v>108358580.56204069</v>
      </c>
      <c r="U747" s="78">
        <v>103494638.15158521</v>
      </c>
      <c r="V747" s="78">
        <v>98600109.145511031</v>
      </c>
      <c r="W747" s="78">
        <v>93688242.575083598</v>
      </c>
      <c r="X747" s="78">
        <v>88770325.15926975</v>
      </c>
      <c r="Y747" s="78">
        <v>83855838.508516133</v>
      </c>
      <c r="Z747" s="78">
        <v>78952561.59720695</v>
      </c>
      <c r="AA747" s="78">
        <v>74970015.389595315</v>
      </c>
      <c r="AB747" s="78">
        <v>71003297.924163163</v>
      </c>
      <c r="AC747" s="78">
        <v>67055779.804947272</v>
      </c>
      <c r="AD747" s="78">
        <v>63129879.705751307</v>
      </c>
      <c r="AE747" s="78">
        <v>59227225.47125607</v>
      </c>
      <c r="AF747" s="78">
        <v>55348794.557645105</v>
      </c>
      <c r="AG747" s="78">
        <v>51495077.037125647</v>
      </c>
      <c r="AH747" s="78">
        <v>47666240.926659584</v>
      </c>
      <c r="AI747" s="78">
        <v>43862299.042117208</v>
      </c>
      <c r="AJ747" s="78">
        <v>40083271.229088694</v>
      </c>
      <c r="AK747" s="78">
        <v>39888591.784003615</v>
      </c>
      <c r="AL747" s="78">
        <v>39682851.001616865</v>
      </c>
      <c r="AM747" s="78">
        <v>39463449.090213999</v>
      </c>
      <c r="AN747" s="78">
        <v>39227408.462507755</v>
      </c>
      <c r="AO747" s="78">
        <v>38971374.549574561</v>
      </c>
      <c r="AP747" s="78">
        <v>38691614.968925543</v>
      </c>
      <c r="AQ747" s="78">
        <v>38384024.333836697</v>
      </c>
      <c r="AR747" s="78">
        <v>38044123.658278547</v>
      </c>
      <c r="AS747" s="78">
        <v>37667057.964695737</v>
      </c>
      <c r="AT747" s="78">
        <v>37247604.957030438</v>
      </c>
    </row>
    <row r="748" spans="1:46" ht="15.75">
      <c r="A748" s="78" t="s">
        <v>449</v>
      </c>
      <c r="C748" s="80" t="s">
        <v>431</v>
      </c>
      <c r="E748" s="78">
        <v>1051161451.9648691</v>
      </c>
      <c r="F748" s="78">
        <v>1017803174.1508938</v>
      </c>
      <c r="G748" s="78">
        <v>990222689.01061392</v>
      </c>
      <c r="H748" s="78">
        <v>960825096.87207592</v>
      </c>
      <c r="I748" s="78">
        <v>929788502.8992281</v>
      </c>
      <c r="J748" s="78">
        <v>897283731.79995346</v>
      </c>
      <c r="K748" s="78">
        <v>863474086.2356534</v>
      </c>
      <c r="L748" s="78">
        <v>828514792.71097958</v>
      </c>
      <c r="M748" s="78">
        <v>792552929.78408027</v>
      </c>
      <c r="N748" s="78">
        <v>755727261.67113996</v>
      </c>
      <c r="O748" s="78">
        <v>718168103.8160708</v>
      </c>
      <c r="P748" s="78">
        <v>679997435.74825025</v>
      </c>
      <c r="Q748" s="78">
        <v>659104512.53016901</v>
      </c>
      <c r="R748" s="78">
        <v>637798786.35266185</v>
      </c>
      <c r="S748" s="78">
        <v>616145467.40060234</v>
      </c>
      <c r="T748" s="78">
        <v>594205593.77748275</v>
      </c>
      <c r="U748" s="78">
        <v>572035877.04686964</v>
      </c>
      <c r="V748" s="78">
        <v>549688869.79212058</v>
      </c>
      <c r="W748" s="78">
        <v>527213163.62172091</v>
      </c>
      <c r="X748" s="78">
        <v>504653491.97614563</v>
      </c>
      <c r="Y748" s="78">
        <v>482050981.73312569</v>
      </c>
      <c r="Z748" s="78">
        <v>459443311.79170316</v>
      </c>
      <c r="AA748" s="78">
        <v>445014592.34388822</v>
      </c>
      <c r="AB748" s="78">
        <v>430579832.7925064</v>
      </c>
      <c r="AC748" s="78">
        <v>416164796.85889488</v>
      </c>
      <c r="AD748" s="78">
        <v>401793294.95803338</v>
      </c>
      <c r="AE748" s="78">
        <v>387487314.28571981</v>
      </c>
      <c r="AF748" s="78">
        <v>373266889.90274125</v>
      </c>
      <c r="AG748" s="78">
        <v>359150215.61506361</v>
      </c>
      <c r="AH748" s="78">
        <v>345153616.04358107</v>
      </c>
      <c r="AI748" s="78">
        <v>331291516.94779319</v>
      </c>
      <c r="AJ748" s="78">
        <v>317576545.9224484</v>
      </c>
      <c r="AK748" s="78">
        <v>305135455.40782303</v>
      </c>
      <c r="AL748" s="78">
        <v>292842755.82770157</v>
      </c>
      <c r="AM748" s="78">
        <v>280706099.76600832</v>
      </c>
      <c r="AN748" s="78">
        <v>268731572.49228507</v>
      </c>
      <c r="AO748" s="78">
        <v>256923696.94342303</v>
      </c>
      <c r="AP748" s="78">
        <v>245285535.12435469</v>
      </c>
      <c r="AQ748" s="78">
        <v>233818603.95836383</v>
      </c>
      <c r="AR748" s="78">
        <v>222522945.69989878</v>
      </c>
      <c r="AS748" s="78">
        <v>211397099.81901813</v>
      </c>
      <c r="AT748" s="78">
        <v>200438198.72609311</v>
      </c>
    </row>
    <row r="749" spans="1:46" ht="15.75">
      <c r="A749" s="78" t="s">
        <v>449</v>
      </c>
      <c r="C749" s="80" t="s">
        <v>430</v>
      </c>
      <c r="E749" s="78">
        <v>1208937464.650259</v>
      </c>
      <c r="F749" s="78">
        <v>1222314765.0984907</v>
      </c>
      <c r="G749" s="78">
        <v>1191155476.0284197</v>
      </c>
      <c r="H749" s="78">
        <v>1158852272.6450715</v>
      </c>
      <c r="I749" s="78">
        <v>1125535425.1734257</v>
      </c>
      <c r="J749" s="78">
        <v>1091326982.1100979</v>
      </c>
      <c r="K749" s="78">
        <v>1056341398.4787897</v>
      </c>
      <c r="L749" s="78">
        <v>1020685651.4752065</v>
      </c>
      <c r="M749" s="78">
        <v>984459794.49127042</v>
      </c>
      <c r="N749" s="78">
        <v>947757135.34341991</v>
      </c>
      <c r="O749" s="78">
        <v>910664482.10788643</v>
      </c>
      <c r="P749" s="78">
        <v>873262518.09395278</v>
      </c>
      <c r="Q749" s="78">
        <v>851978932.1763587</v>
      </c>
      <c r="R749" s="78">
        <v>830438494.54767418</v>
      </c>
      <c r="S749" s="78">
        <v>808685724.90765965</v>
      </c>
      <c r="T749" s="78">
        <v>786762224.47973406</v>
      </c>
      <c r="U749" s="78">
        <v>764706875.3431325</v>
      </c>
      <c r="V749" s="78">
        <v>742555754.73597312</v>
      </c>
      <c r="W749" s="78">
        <v>720342592.20666373</v>
      </c>
      <c r="X749" s="78">
        <v>698098653.20714998</v>
      </c>
      <c r="Y749" s="78">
        <v>675853040.90029621</v>
      </c>
      <c r="Z749" s="78">
        <v>653632728.74678409</v>
      </c>
      <c r="AA749" s="78">
        <v>637829156.04500854</v>
      </c>
      <c r="AB749" s="78">
        <v>622027164.91393995</v>
      </c>
      <c r="AC749" s="78">
        <v>606246327.70485532</v>
      </c>
      <c r="AD749" s="78">
        <v>590505332.78304434</v>
      </c>
      <c r="AE749" s="78">
        <v>574821667.19678605</v>
      </c>
      <c r="AF749" s="78">
        <v>559211938.7279073</v>
      </c>
      <c r="AG749" s="78">
        <v>543691833.16836643</v>
      </c>
      <c r="AH749" s="78">
        <v>528276086.34189385</v>
      </c>
      <c r="AI749" s="78">
        <v>512978713.7752192</v>
      </c>
      <c r="AJ749" s="78">
        <v>497812994.29950029</v>
      </c>
      <c r="AK749" s="78">
        <v>483552460.69086486</v>
      </c>
      <c r="AL749" s="78">
        <v>469437703.07244241</v>
      </c>
      <c r="AM749" s="78">
        <v>455479894.82882726</v>
      </c>
      <c r="AN749" s="78">
        <v>441689484.00076985</v>
      </c>
      <c r="AO749" s="78">
        <v>428076469.72017598</v>
      </c>
      <c r="AP749" s="78">
        <v>414650157.41747695</v>
      </c>
      <c r="AQ749" s="78">
        <v>401419556.27179754</v>
      </c>
      <c r="AR749" s="78">
        <v>388393095.43319786</v>
      </c>
      <c r="AS749" s="78">
        <v>375578875.61151963</v>
      </c>
      <c r="AT749" s="78">
        <v>362984589.66144294</v>
      </c>
    </row>
    <row r="750" spans="1:46" ht="15.75">
      <c r="A750" s="78" t="s">
        <v>449</v>
      </c>
      <c r="C750" s="80" t="s">
        <v>429</v>
      </c>
      <c r="E750" s="78">
        <v>997431190.79600775</v>
      </c>
      <c r="F750" s="78">
        <v>983275217.73203647</v>
      </c>
      <c r="G750" s="78">
        <v>980628439.44974244</v>
      </c>
      <c r="H750" s="78">
        <v>977198319.09526217</v>
      </c>
      <c r="I750" s="78">
        <v>972952720.45059144</v>
      </c>
      <c r="J750" s="78">
        <v>967866708.21000636</v>
      </c>
      <c r="K750" s="78">
        <v>961922298.03688896</v>
      </c>
      <c r="L750" s="78">
        <v>955108105.82966316</v>
      </c>
      <c r="M750" s="78">
        <v>947419182.4185046</v>
      </c>
      <c r="N750" s="78">
        <v>938856765.75863361</v>
      </c>
      <c r="O750" s="78">
        <v>929427846.13661504</v>
      </c>
      <c r="P750" s="78">
        <v>919144994.40276349</v>
      </c>
      <c r="Q750" s="78">
        <v>915729544.64252079</v>
      </c>
      <c r="R750" s="78">
        <v>911573284.45437741</v>
      </c>
      <c r="S750" s="78">
        <v>906686291.07747364</v>
      </c>
      <c r="T750" s="78">
        <v>901082956.58179915</v>
      </c>
      <c r="U750" s="78">
        <v>894781721.37774265</v>
      </c>
      <c r="V750" s="78">
        <v>887805080.86396205</v>
      </c>
      <c r="W750" s="78">
        <v>880179232.29574466</v>
      </c>
      <c r="X750" s="78">
        <v>871933911.29644501</v>
      </c>
      <c r="Y750" s="78">
        <v>863102029.36043954</v>
      </c>
      <c r="Z750" s="78">
        <v>853719773.87460375</v>
      </c>
      <c r="AA750" s="78">
        <v>845765219.49861491</v>
      </c>
      <c r="AB750" s="78">
        <v>837334128.59783399</v>
      </c>
      <c r="AC750" s="78">
        <v>828468007.6895026</v>
      </c>
      <c r="AD750" s="78">
        <v>819211145.08249807</v>
      </c>
      <c r="AE750" s="78">
        <v>809610267.79740465</v>
      </c>
      <c r="AF750" s="78">
        <v>799714662.04758847</v>
      </c>
      <c r="AG750" s="78">
        <v>789575880.86705887</v>
      </c>
      <c r="AH750" s="78">
        <v>779247661.25382733</v>
      </c>
      <c r="AI750" s="78">
        <v>768785843.06611061</v>
      </c>
      <c r="AJ750" s="78">
        <v>758248083.01659942</v>
      </c>
      <c r="AK750" s="78">
        <v>748216363.54414189</v>
      </c>
      <c r="AL750" s="78">
        <v>738226439.60020828</v>
      </c>
      <c r="AM750" s="78">
        <v>728341085.10490561</v>
      </c>
      <c r="AN750" s="78">
        <v>718624547.18268788</v>
      </c>
      <c r="AO750" s="78">
        <v>709142449.57811642</v>
      </c>
      <c r="AP750" s="78">
        <v>699961715.77024102</v>
      </c>
      <c r="AQ750" s="78">
        <v>691150315.73953998</v>
      </c>
      <c r="AR750" s="78">
        <v>682777414.57962132</v>
      </c>
      <c r="AS750" s="78">
        <v>674913034.50634015</v>
      </c>
      <c r="AT750" s="78">
        <v>667628085.7425431</v>
      </c>
    </row>
    <row r="751" spans="1:46" ht="15.75">
      <c r="A751" s="78" t="s">
        <v>449</v>
      </c>
      <c r="C751" s="80" t="s">
        <v>428</v>
      </c>
      <c r="E751" s="78">
        <v>742432001.70153034</v>
      </c>
      <c r="F751" s="78">
        <v>689975820.01722836</v>
      </c>
      <c r="G751" s="78">
        <v>679860408.95151711</v>
      </c>
      <c r="H751" s="78">
        <v>668719622.48826659</v>
      </c>
      <c r="I751" s="78">
        <v>656620826.09935594</v>
      </c>
      <c r="J751" s="78">
        <v>643630067.38600087</v>
      </c>
      <c r="K751" s="78">
        <v>629811597.47102761</v>
      </c>
      <c r="L751" s="78">
        <v>615228011.68372583</v>
      </c>
      <c r="M751" s="78">
        <v>599939756.5875895</v>
      </c>
      <c r="N751" s="78">
        <v>584005351.92235529</v>
      </c>
      <c r="O751" s="78">
        <v>567481053.62471545</v>
      </c>
      <c r="P751" s="78">
        <v>550420955.50150561</v>
      </c>
      <c r="Q751" s="78">
        <v>541714669.70162117</v>
      </c>
      <c r="R751" s="78">
        <v>532619553.34823823</v>
      </c>
      <c r="S751" s="78">
        <v>523167423.46527106</v>
      </c>
      <c r="T751" s="78">
        <v>513388790.65415722</v>
      </c>
      <c r="U751" s="78">
        <v>503313027.33991009</v>
      </c>
      <c r="V751" s="78">
        <v>492968248.25833452</v>
      </c>
      <c r="W751" s="78">
        <v>482381444.75932717</v>
      </c>
      <c r="X751" s="78">
        <v>471578411.28738546</v>
      </c>
      <c r="Y751" s="78">
        <v>460583851.0481993</v>
      </c>
      <c r="Z751" s="78">
        <v>449421283.90059233</v>
      </c>
      <c r="AA751" s="78">
        <v>440309373.92011458</v>
      </c>
      <c r="AB751" s="78">
        <v>431064743.9181565</v>
      </c>
      <c r="AC751" s="78">
        <v>421705823.22689635</v>
      </c>
      <c r="AD751" s="78">
        <v>412250300.12193662</v>
      </c>
      <c r="AE751" s="78">
        <v>402715140.39948744</v>
      </c>
      <c r="AF751" s="78">
        <v>393116655.36220425</v>
      </c>
      <c r="AG751" s="78">
        <v>383470451.0416103</v>
      </c>
      <c r="AH751" s="78">
        <v>373791667.09385824</v>
      </c>
      <c r="AI751" s="78">
        <v>364094794.26993757</v>
      </c>
      <c r="AJ751" s="78">
        <v>354393896.37803471</v>
      </c>
      <c r="AK751" s="78">
        <v>344397505.19897622</v>
      </c>
      <c r="AL751" s="78">
        <v>334426447.35449648</v>
      </c>
      <c r="AM751" s="78">
        <v>324493628.21862113</v>
      </c>
      <c r="AN751" s="78">
        <v>314611528.10887432</v>
      </c>
      <c r="AO751" s="78">
        <v>304792392.19551027</v>
      </c>
      <c r="AP751" s="78">
        <v>295048083.59665734</v>
      </c>
      <c r="AQ751" s="78">
        <v>285390264.28815597</v>
      </c>
      <c r="AR751" s="78">
        <v>275830452.46521187</v>
      </c>
      <c r="AS751" s="78">
        <v>266379916.22147587</v>
      </c>
      <c r="AT751" s="78">
        <v>257049890.51441306</v>
      </c>
    </row>
    <row r="752" spans="1:46" ht="15.75">
      <c r="A752" s="78" t="s">
        <v>449</v>
      </c>
      <c r="C752" s="80" t="s">
        <v>427</v>
      </c>
      <c r="E752" s="78">
        <v>941398023.66633809</v>
      </c>
      <c r="F752" s="78">
        <v>918289364.37926328</v>
      </c>
      <c r="G752" s="78">
        <v>915041233.64806938</v>
      </c>
      <c r="H752" s="78">
        <v>911512139.2915169</v>
      </c>
      <c r="I752" s="78">
        <v>907618597.18108261</v>
      </c>
      <c r="J752" s="78">
        <v>903286151.08374929</v>
      </c>
      <c r="K752" s="78">
        <v>898449154.13692284</v>
      </c>
      <c r="L752" s="78">
        <v>893051012.29597795</v>
      </c>
      <c r="M752" s="78">
        <v>887043896.15320659</v>
      </c>
      <c r="N752" s="78">
        <v>880388343.2157352</v>
      </c>
      <c r="O752" s="78">
        <v>873053436.5959456</v>
      </c>
      <c r="P752" s="78">
        <v>865016095.08515394</v>
      </c>
      <c r="Q752" s="78">
        <v>863301631.8215189</v>
      </c>
      <c r="R752" s="78">
        <v>860953834.6420188</v>
      </c>
      <c r="S752" s="78">
        <v>857958257.45437515</v>
      </c>
      <c r="T752" s="78">
        <v>854306428.17253423</v>
      </c>
      <c r="U752" s="78">
        <v>849995997.25689411</v>
      </c>
      <c r="V752" s="78">
        <v>845030305.85475898</v>
      </c>
      <c r="W752" s="78">
        <v>839418324.95312822</v>
      </c>
      <c r="X752" s="78">
        <v>833174185.25335002</v>
      </c>
      <c r="Y752" s="78">
        <v>826317315.86905563</v>
      </c>
      <c r="Z752" s="78">
        <v>818871968.14182317</v>
      </c>
      <c r="AA752" s="78">
        <v>812672162.8208735</v>
      </c>
      <c r="AB752" s="78">
        <v>805945474.01965845</v>
      </c>
      <c r="AC752" s="78">
        <v>798726168.35087442</v>
      </c>
      <c r="AD752" s="78">
        <v>791052846.91594708</v>
      </c>
      <c r="AE752" s="78">
        <v>782968125.6914649</v>
      </c>
      <c r="AF752" s="78">
        <v>774518375.15542006</v>
      </c>
      <c r="AG752" s="78">
        <v>765753628.94587255</v>
      </c>
      <c r="AH752" s="78">
        <v>756727482.43642271</v>
      </c>
      <c r="AI752" s="78">
        <v>747496734.34241581</v>
      </c>
      <c r="AJ752" s="78">
        <v>738121193.02884424</v>
      </c>
      <c r="AK752" s="78">
        <v>728989665.83531213</v>
      </c>
      <c r="AL752" s="78">
        <v>719840770.40387201</v>
      </c>
      <c r="AM752" s="78">
        <v>710742667.99806631</v>
      </c>
      <c r="AN752" s="78">
        <v>701765866.6772927</v>
      </c>
      <c r="AO752" s="78">
        <v>692983099.50756478</v>
      </c>
      <c r="AP752" s="78">
        <v>684469245.94078565</v>
      </c>
      <c r="AQ752" s="78">
        <v>676300888.00848782</v>
      </c>
      <c r="AR752" s="78">
        <v>668556356.4719286</v>
      </c>
      <c r="AS752" s="78">
        <v>661315557.06125176</v>
      </c>
      <c r="AT752" s="78">
        <v>654659597.44793034</v>
      </c>
    </row>
    <row r="753" spans="1:46" ht="15.75">
      <c r="A753" s="78" t="s">
        <v>449</v>
      </c>
      <c r="C753" s="80" t="s">
        <v>145</v>
      </c>
      <c r="E753" s="78">
        <v>1417686632.4061623</v>
      </c>
      <c r="F753" s="78">
        <v>1406222493.8932707</v>
      </c>
      <c r="G753" s="78">
        <v>1394867880.5963511</v>
      </c>
      <c r="H753" s="78">
        <v>1381786186.1686625</v>
      </c>
      <c r="I753" s="78">
        <v>1367029994.067456</v>
      </c>
      <c r="J753" s="78">
        <v>1350657277.0094247</v>
      </c>
      <c r="K753" s="78">
        <v>1332731072.2820444</v>
      </c>
      <c r="L753" s="78">
        <v>1313318730.9900649</v>
      </c>
      <c r="M753" s="78">
        <v>1292491038.7823851</v>
      </c>
      <c r="N753" s="78">
        <v>1270321892.6055644</v>
      </c>
      <c r="O753" s="78">
        <v>1246887509.6051164</v>
      </c>
      <c r="P753" s="78">
        <v>1222265972.2553084</v>
      </c>
      <c r="Q753" s="78">
        <v>1212434753.811579</v>
      </c>
      <c r="R753" s="78">
        <v>1201668402.4139545</v>
      </c>
      <c r="S753" s="78">
        <v>1190013683.1096764</v>
      </c>
      <c r="T753" s="78">
        <v>1177518839.5171061</v>
      </c>
      <c r="U753" s="78">
        <v>1164233393.2727695</v>
      </c>
      <c r="V753" s="78">
        <v>1150207788.783237</v>
      </c>
      <c r="W753" s="78">
        <v>1135493155.6135893</v>
      </c>
      <c r="X753" s="78">
        <v>1120141013.9555314</v>
      </c>
      <c r="Y753" s="78">
        <v>1104203188.4964244</v>
      </c>
      <c r="Z753" s="78">
        <v>1087731475.1670122</v>
      </c>
      <c r="AA753" s="78">
        <v>1073811114.5590179</v>
      </c>
      <c r="AB753" s="78">
        <v>1059442994.9177836</v>
      </c>
      <c r="AC753" s="78">
        <v>1044674350.8760796</v>
      </c>
      <c r="AD753" s="78">
        <v>1029552184.0747125</v>
      </c>
      <c r="AE753" s="78">
        <v>1014123370.2591738</v>
      </c>
      <c r="AF753" s="78">
        <v>998434402.3822403</v>
      </c>
      <c r="AG753" s="78">
        <v>982531587.45589459</v>
      </c>
      <c r="AH753" s="78">
        <v>966460706.08179581</v>
      </c>
      <c r="AI753" s="78">
        <v>950267214.07453823</v>
      </c>
      <c r="AJ753" s="78">
        <v>933996050.47842073</v>
      </c>
      <c r="AK753" s="78">
        <v>917927364.39778531</v>
      </c>
      <c r="AL753" s="78">
        <v>901867973.2133441</v>
      </c>
      <c r="AM753" s="78">
        <v>885861067.50109434</v>
      </c>
      <c r="AN753" s="78">
        <v>869949269.82676339</v>
      </c>
      <c r="AO753" s="78">
        <v>854174617.19622588</v>
      </c>
      <c r="AP753" s="78">
        <v>838578467.00431967</v>
      </c>
      <c r="AQ753" s="78">
        <v>823201516.57001722</v>
      </c>
      <c r="AR753" s="78">
        <v>808083749.40085387</v>
      </c>
      <c r="AS753" s="78">
        <v>793264555.19854665</v>
      </c>
      <c r="AT753" s="78">
        <v>778782522.88891196</v>
      </c>
    </row>
    <row r="754" spans="1:46" ht="15.75">
      <c r="A754" s="78" t="s">
        <v>449</v>
      </c>
      <c r="C754" s="80" t="s">
        <v>426</v>
      </c>
      <c r="E754" s="78">
        <v>1702255310.7072561</v>
      </c>
      <c r="F754" s="78">
        <v>1763468349.3918755</v>
      </c>
      <c r="G754" s="78">
        <v>1765620075.0843568</v>
      </c>
      <c r="H754" s="78">
        <v>1766903601.6688182</v>
      </c>
      <c r="I754" s="78">
        <v>1767189690.1585255</v>
      </c>
      <c r="J754" s="78">
        <v>1766363632.4538333</v>
      </c>
      <c r="K754" s="78">
        <v>1764325498.3210263</v>
      </c>
      <c r="L754" s="78">
        <v>1760989547.5412385</v>
      </c>
      <c r="M754" s="78">
        <v>1756284726.0313895</v>
      </c>
      <c r="N754" s="78">
        <v>1750153918.1878629</v>
      </c>
      <c r="O754" s="78">
        <v>1742553931.3617775</v>
      </c>
      <c r="P754" s="78">
        <v>1733454990.357527</v>
      </c>
      <c r="Q754" s="78">
        <v>1734256560.6859889</v>
      </c>
      <c r="R754" s="78">
        <v>1733701087.0705616</v>
      </c>
      <c r="S754" s="78">
        <v>1731772376.1381857</v>
      </c>
      <c r="T754" s="78">
        <v>1728465418.6417899</v>
      </c>
      <c r="U754" s="78">
        <v>1723786082.927861</v>
      </c>
      <c r="V754" s="78">
        <v>1717750218.9924824</v>
      </c>
      <c r="W754" s="78">
        <v>1710383924.0322399</v>
      </c>
      <c r="X754" s="78">
        <v>1701722824.9536312</v>
      </c>
      <c r="Y754" s="78">
        <v>1691811803.7037024</v>
      </c>
      <c r="Z754" s="78">
        <v>1680704756.7024031</v>
      </c>
      <c r="AA754" s="78">
        <v>1671405540.9002805</v>
      </c>
      <c r="AB754" s="78">
        <v>1661045198.9298191</v>
      </c>
      <c r="AC754" s="78">
        <v>1649697212.8171916</v>
      </c>
      <c r="AD754" s="78">
        <v>1637442869.0052719</v>
      </c>
      <c r="AE754" s="78">
        <v>1624371087.1662314</v>
      </c>
      <c r="AF754" s="78">
        <v>1610578004.5641148</v>
      </c>
      <c r="AG754" s="78">
        <v>1596166763.8711793</v>
      </c>
      <c r="AH754" s="78">
        <v>1581247281.0058007</v>
      </c>
      <c r="AI754" s="78">
        <v>1565935887.2081909</v>
      </c>
      <c r="AJ754" s="78">
        <v>1550355128.9418592</v>
      </c>
      <c r="AK754" s="78">
        <v>1534218233.4513185</v>
      </c>
      <c r="AL754" s="78">
        <v>1518077244.3613276</v>
      </c>
      <c r="AM754" s="78">
        <v>1502071877.0313122</v>
      </c>
      <c r="AN754" s="78">
        <v>1486346832.5630827</v>
      </c>
      <c r="AO754" s="78">
        <v>1471051782.5058322</v>
      </c>
      <c r="AP754" s="78">
        <v>1456340941.1653686</v>
      </c>
      <c r="AQ754" s="78">
        <v>1442373072.8192677</v>
      </c>
      <c r="AR754" s="78">
        <v>1429310899.7368405</v>
      </c>
      <c r="AS754" s="78">
        <v>1417321256.9094212</v>
      </c>
      <c r="AT754" s="78">
        <v>1406574657.0494063</v>
      </c>
    </row>
    <row r="755" spans="1:46" ht="15.75">
      <c r="A755" s="78" t="s">
        <v>449</v>
      </c>
      <c r="C755" s="80" t="s">
        <v>425</v>
      </c>
      <c r="E755" s="78">
        <v>984527134.4532373</v>
      </c>
      <c r="F755" s="78">
        <v>1011998113.9119028</v>
      </c>
      <c r="G755" s="78">
        <v>1007485980.809755</v>
      </c>
      <c r="H755" s="78">
        <v>1001374565.7371238</v>
      </c>
      <c r="I755" s="78">
        <v>993748380.95016348</v>
      </c>
      <c r="J755" s="78">
        <v>984693413.94295084</v>
      </c>
      <c r="K755" s="78">
        <v>974295843.17934322</v>
      </c>
      <c r="L755" s="78">
        <v>962642176.21797216</v>
      </c>
      <c r="M755" s="78">
        <v>949818352.94483089</v>
      </c>
      <c r="N755" s="78">
        <v>935909351.29531848</v>
      </c>
      <c r="O755" s="78">
        <v>920998999.78692329</v>
      </c>
      <c r="P755" s="78">
        <v>905169488.08697677</v>
      </c>
      <c r="Q755" s="78">
        <v>897236721.34528446</v>
      </c>
      <c r="R755" s="78">
        <v>888571720.94958603</v>
      </c>
      <c r="S755" s="78">
        <v>879230815.39608431</v>
      </c>
      <c r="T755" s="78">
        <v>869269011.85281479</v>
      </c>
      <c r="U755" s="78">
        <v>858740413.92846382</v>
      </c>
      <c r="V755" s="78">
        <v>847697518.04792523</v>
      </c>
      <c r="W755" s="78">
        <v>836191470.26970494</v>
      </c>
      <c r="X755" s="78">
        <v>824271936.16470647</v>
      </c>
      <c r="Y755" s="78">
        <v>811986797.73897421</v>
      </c>
      <c r="Z755" s="78">
        <v>799382461.76178122</v>
      </c>
      <c r="AA755" s="78">
        <v>788643469.21027327</v>
      </c>
      <c r="AB755" s="78">
        <v>777656866.50010061</v>
      </c>
      <c r="AC755" s="78">
        <v>766462006.55603039</v>
      </c>
      <c r="AD755" s="78">
        <v>755096991.17203784</v>
      </c>
      <c r="AE755" s="78">
        <v>743598457.15432405</v>
      </c>
      <c r="AF755" s="78">
        <v>732001973.90723372</v>
      </c>
      <c r="AG755" s="78">
        <v>720341785.71592224</v>
      </c>
      <c r="AH755" s="78">
        <v>708650810.1059655</v>
      </c>
      <c r="AI755" s="78">
        <v>696960875.02568829</v>
      </c>
      <c r="AJ755" s="78">
        <v>685302621.30327177</v>
      </c>
      <c r="AK755" s="78">
        <v>673413262.60783124</v>
      </c>
      <c r="AL755" s="78">
        <v>661616862.89319587</v>
      </c>
      <c r="AM755" s="78">
        <v>649940808.00313294</v>
      </c>
      <c r="AN755" s="78">
        <v>638411704.78396606</v>
      </c>
      <c r="AO755" s="78">
        <v>627054748.5497086</v>
      </c>
      <c r="AP755" s="78">
        <v>615894701.14625704</v>
      </c>
      <c r="AQ755" s="78">
        <v>604955186.65097833</v>
      </c>
      <c r="AR755" s="78">
        <v>594259075.04990602</v>
      </c>
      <c r="AS755" s="78">
        <v>583828489.42522466</v>
      </c>
      <c r="AT755" s="78">
        <v>573684858.18050647</v>
      </c>
    </row>
    <row r="756" spans="1:46" ht="15.75">
      <c r="A756" s="78" t="s">
        <v>449</v>
      </c>
      <c r="C756" s="80" t="s">
        <v>424</v>
      </c>
      <c r="E756" s="78">
        <v>1278319370.3783262</v>
      </c>
      <c r="F756" s="78">
        <v>1260158175.6057377</v>
      </c>
      <c r="G756" s="78">
        <v>1259636885.5849113</v>
      </c>
      <c r="H756" s="78">
        <v>1258088156.5161216</v>
      </c>
      <c r="I756" s="78">
        <v>1255480062.0026045</v>
      </c>
      <c r="J756" s="78">
        <v>1251788767.790859</v>
      </c>
      <c r="K756" s="78">
        <v>1246997809.5547123</v>
      </c>
      <c r="L756" s="78">
        <v>1241098367.9293585</v>
      </c>
      <c r="M756" s="78">
        <v>1234088851.9585617</v>
      </c>
      <c r="N756" s="78">
        <v>1225974450.1177194</v>
      </c>
      <c r="O756" s="78">
        <v>1216766920.7530122</v>
      </c>
      <c r="P756" s="78">
        <v>1206484207.8769553</v>
      </c>
      <c r="Q756" s="78">
        <v>1203802072.875587</v>
      </c>
      <c r="R756" s="78">
        <v>1200189758.1007233</v>
      </c>
      <c r="S756" s="78">
        <v>1195663009.6364143</v>
      </c>
      <c r="T756" s="78">
        <v>1190242073.7121212</v>
      </c>
      <c r="U756" s="78">
        <v>1183951442.6116366</v>
      </c>
      <c r="V756" s="78">
        <v>1176819464.582489</v>
      </c>
      <c r="W756" s="78">
        <v>1168878031.3871939</v>
      </c>
      <c r="X756" s="78">
        <v>1160162264.7662899</v>
      </c>
      <c r="Y756" s="78">
        <v>1150710488.2194624</v>
      </c>
      <c r="Z756" s="78">
        <v>1140563708.2386754</v>
      </c>
      <c r="AA756" s="78">
        <v>1131959812.7829831</v>
      </c>
      <c r="AB756" s="78">
        <v>1122745977.5637851</v>
      </c>
      <c r="AC756" s="78">
        <v>1112966737.6774073</v>
      </c>
      <c r="AD756" s="78">
        <v>1102668715.8641462</v>
      </c>
      <c r="AE756" s="78">
        <v>1091900547.7175131</v>
      </c>
      <c r="AF756" s="78">
        <v>1080712495.1258297</v>
      </c>
      <c r="AG756" s="78">
        <v>1069156795.7510927</v>
      </c>
      <c r="AH756" s="78">
        <v>1057286882.4310038</v>
      </c>
      <c r="AI756" s="78">
        <v>1045157680.8846505</v>
      </c>
      <c r="AJ756" s="78">
        <v>1032825457.2469279</v>
      </c>
      <c r="AK756" s="78">
        <v>1020041614.9175646</v>
      </c>
      <c r="AL756" s="78">
        <v>1007173295.1007419</v>
      </c>
      <c r="AM756" s="78">
        <v>994279965.70804691</v>
      </c>
      <c r="AN756" s="78">
        <v>981421941.84928679</v>
      </c>
      <c r="AO756" s="78">
        <v>968660247.1810292</v>
      </c>
      <c r="AP756" s="78">
        <v>956056515.17575526</v>
      </c>
      <c r="AQ756" s="78">
        <v>943672968.97168958</v>
      </c>
      <c r="AR756" s="78">
        <v>931572311.20673299</v>
      </c>
      <c r="AS756" s="78">
        <v>919817522.17030668</v>
      </c>
      <c r="AT756" s="78">
        <v>908472023.39909244</v>
      </c>
    </row>
    <row r="757" spans="1:46" ht="15.75">
      <c r="A757" s="78" t="s">
        <v>449</v>
      </c>
      <c r="C757" s="80" t="s">
        <v>423</v>
      </c>
      <c r="E757" s="78">
        <v>817261418.2038101</v>
      </c>
      <c r="F757" s="78">
        <v>812224440.0882138</v>
      </c>
      <c r="G757" s="78">
        <v>800640030.49857545</v>
      </c>
      <c r="H757" s="78">
        <v>787217307.58557773</v>
      </c>
      <c r="I757" s="78">
        <v>772024825.85478497</v>
      </c>
      <c r="J757" s="78">
        <v>755134946.91148758</v>
      </c>
      <c r="K757" s="78">
        <v>736623729.51898515</v>
      </c>
      <c r="L757" s="78">
        <v>716570098.31186581</v>
      </c>
      <c r="M757" s="78">
        <v>695055355.07619226</v>
      </c>
      <c r="N757" s="78">
        <v>672162495.8679347</v>
      </c>
      <c r="O757" s="78">
        <v>647975725.7369777</v>
      </c>
      <c r="P757" s="78">
        <v>622579793.26866388</v>
      </c>
      <c r="Q757" s="78">
        <v>611003797.07210195</v>
      </c>
      <c r="R757" s="78">
        <v>598638478.80138481</v>
      </c>
      <c r="S757" s="78">
        <v>585531274.62898135</v>
      </c>
      <c r="T757" s="78">
        <v>571730115.44693637</v>
      </c>
      <c r="U757" s="78">
        <v>557283188.15609586</v>
      </c>
      <c r="V757" s="78">
        <v>542238699.63060987</v>
      </c>
      <c r="W757" s="78">
        <v>526644701.3585521</v>
      </c>
      <c r="X757" s="78">
        <v>510548760.21667153</v>
      </c>
      <c r="Y757" s="78">
        <v>493997818.19069171</v>
      </c>
      <c r="Z757" s="78">
        <v>477038152.17857921</v>
      </c>
      <c r="AA757" s="78">
        <v>466193703.65089089</v>
      </c>
      <c r="AB757" s="78">
        <v>455038194.6787492</v>
      </c>
      <c r="AC757" s="78">
        <v>443607120.69520307</v>
      </c>
      <c r="AD757" s="78">
        <v>431935632.71489775</v>
      </c>
      <c r="AE757" s="78">
        <v>420058315.10241175</v>
      </c>
      <c r="AF757" s="78">
        <v>408009090.76516372</v>
      </c>
      <c r="AG757" s="78">
        <v>395821124.35102546</v>
      </c>
      <c r="AH757" s="78">
        <v>383526686.41018826</v>
      </c>
      <c r="AI757" s="78">
        <v>371157071.38264066</v>
      </c>
      <c r="AJ757" s="78">
        <v>358742509.16384226</v>
      </c>
      <c r="AK757" s="78">
        <v>349891458.00263631</v>
      </c>
      <c r="AL757" s="78">
        <v>341043939.65488154</v>
      </c>
      <c r="AM757" s="78">
        <v>332220479.88218111</v>
      </c>
      <c r="AN757" s="78">
        <v>323439169.12247998</v>
      </c>
      <c r="AO757" s="78">
        <v>314715459.49751121</v>
      </c>
      <c r="AP757" s="78">
        <v>306061871.98376018</v>
      </c>
      <c r="AQ757" s="78">
        <v>297487835.67997772</v>
      </c>
      <c r="AR757" s="78">
        <v>288999494.06545413</v>
      </c>
      <c r="AS757" s="78">
        <v>280599406.19870979</v>
      </c>
      <c r="AT757" s="78">
        <v>272286464.57990479</v>
      </c>
    </row>
    <row r="758" spans="1:46" ht="15.75">
      <c r="A758" s="78" t="s">
        <v>449</v>
      </c>
      <c r="C758" s="80" t="s">
        <v>422</v>
      </c>
      <c r="E758" s="78">
        <v>1321058701.2190533</v>
      </c>
      <c r="F758" s="78">
        <v>1323521781.374115</v>
      </c>
      <c r="G758" s="78">
        <v>1327730876.1471403</v>
      </c>
      <c r="H758" s="78">
        <v>1331863260.0886917</v>
      </c>
      <c r="I758" s="78">
        <v>1335801620.4549465</v>
      </c>
      <c r="J758" s="78">
        <v>1339437319.6260622</v>
      </c>
      <c r="K758" s="78">
        <v>1342670535.4920506</v>
      </c>
      <c r="L758" s="78">
        <v>1345410279.2924013</v>
      </c>
      <c r="M758" s="78">
        <v>1347574795.567836</v>
      </c>
      <c r="N758" s="78">
        <v>1349091432.1175942</v>
      </c>
      <c r="O758" s="78">
        <v>1349896433.1238663</v>
      </c>
      <c r="P758" s="78">
        <v>1349935361.4023542</v>
      </c>
      <c r="Q758" s="78">
        <v>1353785988.497802</v>
      </c>
      <c r="R758" s="78">
        <v>1356843223.3562534</v>
      </c>
      <c r="S758" s="78">
        <v>1359071045.1207111</v>
      </c>
      <c r="T758" s="78">
        <v>1360441320.2899446</v>
      </c>
      <c r="U758" s="78">
        <v>1360934041.9902823</v>
      </c>
      <c r="V758" s="78">
        <v>1360537309.8191102</v>
      </c>
      <c r="W758" s="78">
        <v>1359246804.4567618</v>
      </c>
      <c r="X758" s="78">
        <v>1357066191.6925652</v>
      </c>
      <c r="Y758" s="78">
        <v>1354006553.5862226</v>
      </c>
      <c r="Z758" s="78">
        <v>1350086470.1645229</v>
      </c>
      <c r="AA758" s="78">
        <v>1346514178.2746952</v>
      </c>
      <c r="AB758" s="78">
        <v>1342140187.3210742</v>
      </c>
      <c r="AC758" s="78">
        <v>1337002628.9769084</v>
      </c>
      <c r="AD758" s="78">
        <v>1331147089.3665459</v>
      </c>
      <c r="AE758" s="78">
        <v>1324625484.6324618</v>
      </c>
      <c r="AF758" s="78">
        <v>1317497019.9748056</v>
      </c>
      <c r="AG758" s="78">
        <v>1309827371.5239456</v>
      </c>
      <c r="AH758" s="78">
        <v>1301688797.2546659</v>
      </c>
      <c r="AI758" s="78">
        <v>1293160112.2634425</v>
      </c>
      <c r="AJ758" s="78">
        <v>1284326455.2544768</v>
      </c>
      <c r="AK758" s="78">
        <v>1275113064.5645518</v>
      </c>
      <c r="AL758" s="78">
        <v>1265784910.8392622</v>
      </c>
      <c r="AM758" s="78">
        <v>1256445104.9864678</v>
      </c>
      <c r="AN758" s="78">
        <v>1247203309.1436005</v>
      </c>
      <c r="AO758" s="78">
        <v>1238174325.7340963</v>
      </c>
      <c r="AP758" s="78">
        <v>1229479176.3458791</v>
      </c>
      <c r="AQ758" s="78">
        <v>1221244019.770215</v>
      </c>
      <c r="AR758" s="78">
        <v>1213600348.1720998</v>
      </c>
      <c r="AS758" s="78">
        <v>1206685337.22686</v>
      </c>
      <c r="AT758" s="78">
        <v>1200640931.8556969</v>
      </c>
    </row>
    <row r="759" spans="1:46" ht="15.75">
      <c r="A759" s="78" t="s">
        <v>449</v>
      </c>
      <c r="C759" s="80" t="s">
        <v>421</v>
      </c>
      <c r="E759" s="78">
        <v>131072203.83851145</v>
      </c>
      <c r="F759" s="78">
        <v>133421531.613488</v>
      </c>
      <c r="G759" s="78">
        <v>133282904.1508209</v>
      </c>
      <c r="H759" s="78">
        <v>132942354.53158568</v>
      </c>
      <c r="I759" s="78">
        <v>132404657.46575923</v>
      </c>
      <c r="J759" s="78">
        <v>131675208.01187487</v>
      </c>
      <c r="K759" s="78">
        <v>130759978.76126799</v>
      </c>
      <c r="L759" s="78">
        <v>129665325.2043539</v>
      </c>
      <c r="M759" s="78">
        <v>128398269.17418307</v>
      </c>
      <c r="N759" s="78">
        <v>126966007.86690561</v>
      </c>
      <c r="O759" s="78">
        <v>125376093.7856966</v>
      </c>
      <c r="P759" s="78">
        <v>123636439.40582046</v>
      </c>
      <c r="Q759" s="78">
        <v>123061273.77605657</v>
      </c>
      <c r="R759" s="78">
        <v>122370857.07539628</v>
      </c>
      <c r="S759" s="78">
        <v>121570372.59019512</v>
      </c>
      <c r="T759" s="78">
        <v>120665384.0003517</v>
      </c>
      <c r="U759" s="78">
        <v>119661380.92381898</v>
      </c>
      <c r="V759" s="78">
        <v>118564018.75723888</v>
      </c>
      <c r="W759" s="78">
        <v>117379023.09881514</v>
      </c>
      <c r="X759" s="78">
        <v>116112029.70387536</v>
      </c>
      <c r="Y759" s="78">
        <v>114768813.21434335</v>
      </c>
      <c r="Z759" s="78">
        <v>113355054.54881725</v>
      </c>
      <c r="AA759" s="78">
        <v>112617792.5759436</v>
      </c>
      <c r="AB759" s="78">
        <v>111821768.51770046</v>
      </c>
      <c r="AC759" s="78">
        <v>110971618.94387554</v>
      </c>
      <c r="AD759" s="78">
        <v>110071732.89977874</v>
      </c>
      <c r="AE759" s="78">
        <v>109126584.45548783</v>
      </c>
      <c r="AF759" s="78">
        <v>108140653.513127</v>
      </c>
      <c r="AG759" s="78">
        <v>107118424.36824933</v>
      </c>
      <c r="AH759" s="78">
        <v>106064234.38183863</v>
      </c>
      <c r="AI759" s="78">
        <v>104982530.83763951</v>
      </c>
      <c r="AJ759" s="78">
        <v>103877582.7545867</v>
      </c>
      <c r="AK759" s="78">
        <v>102772004.74716689</v>
      </c>
      <c r="AL759" s="78">
        <v>101652025.63578503</v>
      </c>
      <c r="AM759" s="78">
        <v>100521640.72758405</v>
      </c>
      <c r="AN759" s="78">
        <v>99385016.702195644</v>
      </c>
      <c r="AO759" s="78">
        <v>98246285.382046372</v>
      </c>
      <c r="AP759" s="78">
        <v>97109290.622437492</v>
      </c>
      <c r="AQ759" s="78">
        <v>95977967.949821711</v>
      </c>
      <c r="AR759" s="78">
        <v>94856084.300912693</v>
      </c>
      <c r="AS759" s="78">
        <v>93747527.425638288</v>
      </c>
      <c r="AT759" s="78">
        <v>92655908.449215099</v>
      </c>
    </row>
    <row r="760" spans="1:46" ht="15.75">
      <c r="A760" s="78" t="s">
        <v>449</v>
      </c>
      <c r="C760" s="80" t="s">
        <v>420</v>
      </c>
      <c r="E760" s="78">
        <v>372301524.55386174</v>
      </c>
      <c r="F760" s="78">
        <v>366075638.85771346</v>
      </c>
      <c r="G760" s="78">
        <v>360191190.38752133</v>
      </c>
      <c r="H760" s="78">
        <v>353883051.00338846</v>
      </c>
      <c r="I760" s="78">
        <v>347159004.79966944</v>
      </c>
      <c r="J760" s="78">
        <v>340029469.86692142</v>
      </c>
      <c r="K760" s="78">
        <v>332507323.90721142</v>
      </c>
      <c r="L760" s="78">
        <v>324607607.53219861</v>
      </c>
      <c r="M760" s="78">
        <v>316347379.96435606</v>
      </c>
      <c r="N760" s="78">
        <v>307745428.87881231</v>
      </c>
      <c r="O760" s="78">
        <v>298822054.62266254</v>
      </c>
      <c r="P760" s="78">
        <v>289598881.93749768</v>
      </c>
      <c r="Q760" s="78">
        <v>284898053.33602297</v>
      </c>
      <c r="R760" s="78">
        <v>279967791.39410585</v>
      </c>
      <c r="S760" s="78">
        <v>274822493.59998709</v>
      </c>
      <c r="T760" s="78">
        <v>269477201.70892626</v>
      </c>
      <c r="U760" s="78">
        <v>263947568.89810145</v>
      </c>
      <c r="V760" s="78">
        <v>258249702.34495828</v>
      </c>
      <c r="W760" s="78">
        <v>252400061.22743672</v>
      </c>
      <c r="X760" s="78">
        <v>246415350.0994162</v>
      </c>
      <c r="Y760" s="78">
        <v>240312408.57594001</v>
      </c>
      <c r="Z760" s="78">
        <v>234108142.26489234</v>
      </c>
      <c r="AA760" s="78">
        <v>229004493.40152219</v>
      </c>
      <c r="AB760" s="78">
        <v>223825134.41092226</v>
      </c>
      <c r="AC760" s="78">
        <v>218585057.07688838</v>
      </c>
      <c r="AD760" s="78">
        <v>213299165.65205345</v>
      </c>
      <c r="AE760" s="78">
        <v>207982145.40142462</v>
      </c>
      <c r="AF760" s="78">
        <v>202648458.04858097</v>
      </c>
      <c r="AG760" s="78">
        <v>197312235.27260855</v>
      </c>
      <c r="AH760" s="78">
        <v>191987234.92255124</v>
      </c>
      <c r="AI760" s="78">
        <v>186686777.48398626</v>
      </c>
      <c r="AJ760" s="78">
        <v>181423653.35396206</v>
      </c>
      <c r="AK760" s="78">
        <v>176047935.77229327</v>
      </c>
      <c r="AL760" s="78">
        <v>170735163.31859729</v>
      </c>
      <c r="AM760" s="78">
        <v>165496198.23059008</v>
      </c>
      <c r="AN760" s="78">
        <v>160341084.37210095</v>
      </c>
      <c r="AO760" s="78">
        <v>155279025.43630525</v>
      </c>
      <c r="AP760" s="78">
        <v>150318305.60544324</v>
      </c>
      <c r="AQ760" s="78">
        <v>145466222.88882846</v>
      </c>
      <c r="AR760" s="78">
        <v>140729033.070476</v>
      </c>
      <c r="AS760" s="78">
        <v>136111892.71973988</v>
      </c>
      <c r="AT760" s="78">
        <v>131618792.03485782</v>
      </c>
    </row>
    <row r="761" spans="1:46" ht="15.75">
      <c r="A761" s="78" t="s">
        <v>449</v>
      </c>
      <c r="C761" s="80" t="s">
        <v>419</v>
      </c>
      <c r="E761" s="78">
        <v>1566219798.4173286</v>
      </c>
      <c r="F761" s="78">
        <v>1582362723.5834167</v>
      </c>
      <c r="G761" s="78">
        <v>1578868373.7523484</v>
      </c>
      <c r="H761" s="78">
        <v>1573995231.7089202</v>
      </c>
      <c r="I761" s="78">
        <v>1567742968.6781769</v>
      </c>
      <c r="J761" s="78">
        <v>1560118250.2234082</v>
      </c>
      <c r="K761" s="78">
        <v>1551133938.8323016</v>
      </c>
      <c r="L761" s="78">
        <v>1540808950.3071334</v>
      </c>
      <c r="M761" s="78">
        <v>1529167830.6575649</v>
      </c>
      <c r="N761" s="78">
        <v>1516240269.3239508</v>
      </c>
      <c r="O761" s="78">
        <v>1502060870.685704</v>
      </c>
      <c r="P761" s="78">
        <v>1486668863.2750461</v>
      </c>
      <c r="Q761" s="78">
        <v>1480565098.832787</v>
      </c>
      <c r="R761" s="78">
        <v>1473385942.8420339</v>
      </c>
      <c r="S761" s="78">
        <v>1465160522.4716876</v>
      </c>
      <c r="T761" s="78">
        <v>1455922560.4137378</v>
      </c>
      <c r="U761" s="78">
        <v>1445709767.4725523</v>
      </c>
      <c r="V761" s="78">
        <v>1434564099.6574535</v>
      </c>
      <c r="W761" s="78">
        <v>1422531243.8807273</v>
      </c>
      <c r="X761" s="78">
        <v>1409660730.0650508</v>
      </c>
      <c r="Y761" s="78">
        <v>1396005686.4392433</v>
      </c>
      <c r="Z761" s="78">
        <v>1381622540.2323847</v>
      </c>
      <c r="AA761" s="78">
        <v>1369148515.0822265</v>
      </c>
      <c r="AB761" s="78">
        <v>1356052474.1344202</v>
      </c>
      <c r="AC761" s="78">
        <v>1342397697.2981892</v>
      </c>
      <c r="AD761" s="78">
        <v>1328251145.7994225</v>
      </c>
      <c r="AE761" s="78">
        <v>1313683054.3001466</v>
      </c>
      <c r="AF761" s="78">
        <v>1298766933.3770895</v>
      </c>
      <c r="AG761" s="78">
        <v>1283579579.4044592</v>
      </c>
      <c r="AH761" s="78">
        <v>1268200964.8778498</v>
      </c>
      <c r="AI761" s="78">
        <v>1252714197.9597652</v>
      </c>
      <c r="AJ761" s="78">
        <v>1237205551.1690729</v>
      </c>
      <c r="AK761" s="78">
        <v>1221411151.3759997</v>
      </c>
      <c r="AL761" s="78">
        <v>1205780262.8143301</v>
      </c>
      <c r="AM761" s="78">
        <v>1190408158.1194808</v>
      </c>
      <c r="AN761" s="78">
        <v>1175393043.0542321</v>
      </c>
      <c r="AO761" s="78">
        <v>1160835894.0279326</v>
      </c>
      <c r="AP761" s="78">
        <v>1146840659.4825518</v>
      </c>
      <c r="AQ761" s="78">
        <v>1133513957.1504431</v>
      </c>
      <c r="AR761" s="78">
        <v>1120965253.7333872</v>
      </c>
      <c r="AS761" s="78">
        <v>1109306710.3080657</v>
      </c>
      <c r="AT761" s="78">
        <v>1098653355.2197273</v>
      </c>
    </row>
    <row r="762" spans="1:46" ht="15.75">
      <c r="A762" s="78" t="s">
        <v>449</v>
      </c>
      <c r="C762" s="80" t="s">
        <v>418</v>
      </c>
      <c r="E762" s="78">
        <v>821251803.29106629</v>
      </c>
      <c r="F762" s="78">
        <v>855279454.54288661</v>
      </c>
      <c r="G762" s="78">
        <v>856635309.91339016</v>
      </c>
      <c r="H762" s="78">
        <v>858054387.37489307</v>
      </c>
      <c r="I762" s="78">
        <v>859426111.7814424</v>
      </c>
      <c r="J762" s="78">
        <v>860648916.50513864</v>
      </c>
      <c r="K762" s="78">
        <v>861630422.17280662</v>
      </c>
      <c r="L762" s="78">
        <v>862287273.23893714</v>
      </c>
      <c r="M762" s="78">
        <v>862545496.76551247</v>
      </c>
      <c r="N762" s="78">
        <v>862339882.60925424</v>
      </c>
      <c r="O762" s="78">
        <v>861614411.47686112</v>
      </c>
      <c r="P762" s="78">
        <v>860321754.46538067</v>
      </c>
      <c r="Q762" s="78">
        <v>862312812.28201747</v>
      </c>
      <c r="R762" s="78">
        <v>863719589.11153805</v>
      </c>
      <c r="S762" s="78">
        <v>864512473.59430337</v>
      </c>
      <c r="T762" s="78">
        <v>864669456.109465</v>
      </c>
      <c r="U762" s="78">
        <v>864175684.36824334</v>
      </c>
      <c r="V762" s="78">
        <v>863023717.77908051</v>
      </c>
      <c r="W762" s="78">
        <v>861213137.35351384</v>
      </c>
      <c r="X762" s="78">
        <v>858750388.89459181</v>
      </c>
      <c r="Y762" s="78">
        <v>855648802.35530686</v>
      </c>
      <c r="Z762" s="78">
        <v>851928285.98817635</v>
      </c>
      <c r="AA762" s="78">
        <v>848612459.21016598</v>
      </c>
      <c r="AB762" s="78">
        <v>844735961.93793154</v>
      </c>
      <c r="AC762" s="78">
        <v>840335614.24943769</v>
      </c>
      <c r="AD762" s="78">
        <v>835454461.26682627</v>
      </c>
      <c r="AE762" s="78">
        <v>830141424.32810044</v>
      </c>
      <c r="AF762" s="78">
        <v>824451313.03836548</v>
      </c>
      <c r="AG762" s="78">
        <v>818444507.07876444</v>
      </c>
      <c r="AH762" s="78">
        <v>812187066.74543643</v>
      </c>
      <c r="AI762" s="78">
        <v>805750206.09335864</v>
      </c>
      <c r="AJ762" s="78">
        <v>799210716.71063352</v>
      </c>
      <c r="AK762" s="78">
        <v>792510608.16069031</v>
      </c>
      <c r="AL762" s="78">
        <v>785877192.89568722</v>
      </c>
      <c r="AM762" s="78">
        <v>779401965.09159052</v>
      </c>
      <c r="AN762" s="78">
        <v>773180845.21641517</v>
      </c>
      <c r="AO762" s="78">
        <v>767314476.00693536</v>
      </c>
      <c r="AP762" s="78">
        <v>761907629.25541627</v>
      </c>
      <c r="AQ762" s="78">
        <v>757069341.75408447</v>
      </c>
      <c r="AR762" s="78">
        <v>752912669.56772852</v>
      </c>
      <c r="AS762" s="78">
        <v>749554634.78491485</v>
      </c>
      <c r="AT762" s="78">
        <v>747115795.38762724</v>
      </c>
    </row>
    <row r="763" spans="1:46" ht="15.75">
      <c r="A763" s="78" t="s">
        <v>449</v>
      </c>
      <c r="C763" s="80" t="s">
        <v>417</v>
      </c>
      <c r="E763" s="78">
        <v>1000171196.3741057</v>
      </c>
      <c r="F763" s="78">
        <v>941073197.29488778</v>
      </c>
      <c r="G763" s="78">
        <v>942116640.21284604</v>
      </c>
      <c r="H763" s="78">
        <v>942694482.96867776</v>
      </c>
      <c r="I763" s="78">
        <v>942762320.04021084</v>
      </c>
      <c r="J763" s="78">
        <v>942280846.13926649</v>
      </c>
      <c r="K763" s="78">
        <v>941216520.06813812</v>
      </c>
      <c r="L763" s="78">
        <v>939540767.02307153</v>
      </c>
      <c r="M763" s="78">
        <v>937230482.07377434</v>
      </c>
      <c r="N763" s="78">
        <v>934267353.09236085</v>
      </c>
      <c r="O763" s="78">
        <v>930638249.67901945</v>
      </c>
      <c r="P763" s="78">
        <v>926334668.43705666</v>
      </c>
      <c r="Q763" s="78">
        <v>926535164.6771071</v>
      </c>
      <c r="R763" s="78">
        <v>926111807.35126781</v>
      </c>
      <c r="S763" s="78">
        <v>925060041.39400077</v>
      </c>
      <c r="T763" s="78">
        <v>923379305.5939647</v>
      </c>
      <c r="U763" s="78">
        <v>921072973.52543902</v>
      </c>
      <c r="V763" s="78">
        <v>918148287.57716954</v>
      </c>
      <c r="W763" s="78">
        <v>914616393.77857339</v>
      </c>
      <c r="X763" s="78">
        <v>910491970.59025335</v>
      </c>
      <c r="Y763" s="78">
        <v>905793315.0407877</v>
      </c>
      <c r="Z763" s="78">
        <v>900542127.07754064</v>
      </c>
      <c r="AA763" s="78">
        <v>896079151.93738639</v>
      </c>
      <c r="AB763" s="78">
        <v>891115400.43456268</v>
      </c>
      <c r="AC763" s="78">
        <v>885680494.68200982</v>
      </c>
      <c r="AD763" s="78">
        <v>879807392.14800918</v>
      </c>
      <c r="AE763" s="78">
        <v>873532045.13542533</v>
      </c>
      <c r="AF763" s="78">
        <v>866893419.63994825</v>
      </c>
      <c r="AG763" s="78">
        <v>859933631.21119976</v>
      </c>
      <c r="AH763" s="78">
        <v>852697687.59758675</v>
      </c>
      <c r="AI763" s="78">
        <v>845233203.13767827</v>
      </c>
      <c r="AJ763" s="78">
        <v>837590886.11637986</v>
      </c>
      <c r="AK763" s="78">
        <v>829639844.53183234</v>
      </c>
      <c r="AL763" s="78">
        <v>821621538.79840958</v>
      </c>
      <c r="AM763" s="78">
        <v>813594372.49871516</v>
      </c>
      <c r="AN763" s="78">
        <v>805619276.35862219</v>
      </c>
      <c r="AO763" s="78">
        <v>797759498.34967816</v>
      </c>
      <c r="AP763" s="78">
        <v>790080583.70567632</v>
      </c>
      <c r="AQ763" s="78">
        <v>782650266.16314936</v>
      </c>
      <c r="AR763" s="78">
        <v>775538463.12704241</v>
      </c>
      <c r="AS763" s="78">
        <v>768817264.10324585</v>
      </c>
      <c r="AT763" s="78">
        <v>762560615.54259312</v>
      </c>
    </row>
    <row r="764" spans="1:46" ht="15.75">
      <c r="A764" s="78" t="s">
        <v>449</v>
      </c>
      <c r="C764" s="80" t="s">
        <v>416</v>
      </c>
      <c r="E764" s="78">
        <v>67150728.580559775</v>
      </c>
      <c r="F764" s="78">
        <v>67417778.70159854</v>
      </c>
      <c r="G764" s="78">
        <v>68186564.757655546</v>
      </c>
      <c r="H764" s="78">
        <v>68944790.090951994</v>
      </c>
      <c r="I764" s="78">
        <v>69685368.314562529</v>
      </c>
      <c r="J764" s="78">
        <v>70401864.436889976</v>
      </c>
      <c r="K764" s="78">
        <v>71088078.377590388</v>
      </c>
      <c r="L764" s="78">
        <v>71738465.576516718</v>
      </c>
      <c r="M764" s="78">
        <v>72347768.366379231</v>
      </c>
      <c r="N764" s="78">
        <v>72911373.391243264</v>
      </c>
      <c r="O764" s="78">
        <v>73425203.791738808</v>
      </c>
      <c r="P764" s="78">
        <v>73885575.868948266</v>
      </c>
      <c r="Q764" s="78">
        <v>74632187.907691702</v>
      </c>
      <c r="R764" s="78">
        <v>75327317.835388198</v>
      </c>
      <c r="S764" s="78">
        <v>75968261.437950447</v>
      </c>
      <c r="T764" s="78">
        <v>76552726.26768069</v>
      </c>
      <c r="U764" s="78">
        <v>77078958.41608505</v>
      </c>
      <c r="V764" s="78">
        <v>77545652.427561685</v>
      </c>
      <c r="W764" s="78">
        <v>77952030.162347555</v>
      </c>
      <c r="X764" s="78">
        <v>78297674.835563526</v>
      </c>
      <c r="Y764" s="78">
        <v>78582771.319249868</v>
      </c>
      <c r="Z764" s="78">
        <v>78807838.259587079</v>
      </c>
      <c r="AA764" s="78">
        <v>79027593.8204557</v>
      </c>
      <c r="AB764" s="78">
        <v>79190325.900635108</v>
      </c>
      <c r="AC764" s="78">
        <v>79297837.500991285</v>
      </c>
      <c r="AD764" s="78">
        <v>79352174.201577395</v>
      </c>
      <c r="AE764" s="78">
        <v>79355948.721768215</v>
      </c>
      <c r="AF764" s="78">
        <v>79312135.323414192</v>
      </c>
      <c r="AG764" s="78">
        <v>79223995.743131489</v>
      </c>
      <c r="AH764" s="78">
        <v>79095204.760042816</v>
      </c>
      <c r="AI764" s="78">
        <v>78929911.339776233</v>
      </c>
      <c r="AJ764" s="78">
        <v>78732470.009264007</v>
      </c>
      <c r="AK764" s="78">
        <v>78537680.768347993</v>
      </c>
      <c r="AL764" s="78">
        <v>78320409.431233063</v>
      </c>
      <c r="AM764" s="78">
        <v>78086044.87052545</v>
      </c>
      <c r="AN764" s="78">
        <v>77840313.739947587</v>
      </c>
      <c r="AO764" s="78">
        <v>77589162.169656307</v>
      </c>
      <c r="AP764" s="78">
        <v>77338962.339294165</v>
      </c>
      <c r="AQ764" s="78">
        <v>77096347.473464504</v>
      </c>
      <c r="AR764" s="78">
        <v>76868158.952265054</v>
      </c>
      <c r="AS764" s="78">
        <v>76661729.841780379</v>
      </c>
      <c r="AT764" s="78">
        <v>76484409.898026839</v>
      </c>
    </row>
    <row r="765" spans="1:46" ht="15.75">
      <c r="A765" s="78" t="s">
        <v>449</v>
      </c>
      <c r="C765" s="80" t="s">
        <v>415</v>
      </c>
      <c r="E765" s="78">
        <v>619287816.19276392</v>
      </c>
      <c r="F765" s="78">
        <v>641230399.36195159</v>
      </c>
      <c r="G765" s="78">
        <v>640662133.0045259</v>
      </c>
      <c r="H765" s="78">
        <v>638984656.37415707</v>
      </c>
      <c r="I765" s="78">
        <v>636259776.63809323</v>
      </c>
      <c r="J765" s="78">
        <v>632549569.78069913</v>
      </c>
      <c r="K765" s="78">
        <v>627915879.2967751</v>
      </c>
      <c r="L765" s="78">
        <v>622420092.68875349</v>
      </c>
      <c r="M765" s="78">
        <v>616122845.61520863</v>
      </c>
      <c r="N765" s="78">
        <v>609083446.0773735</v>
      </c>
      <c r="O765" s="78">
        <v>601360151.88913345</v>
      </c>
      <c r="P765" s="78">
        <v>593009375.81997025</v>
      </c>
      <c r="Q765" s="78">
        <v>589106620.0380038</v>
      </c>
      <c r="R765" s="78">
        <v>584709011.07672691</v>
      </c>
      <c r="S765" s="78">
        <v>579856330.39464831</v>
      </c>
      <c r="T765" s="78">
        <v>574587031.26433909</v>
      </c>
      <c r="U765" s="78">
        <v>568938537.92697001</v>
      </c>
      <c r="V765" s="78">
        <v>562946789.51991022</v>
      </c>
      <c r="W765" s="78">
        <v>556646471.86018157</v>
      </c>
      <c r="X765" s="78">
        <v>550070750.95595157</v>
      </c>
      <c r="Y765" s="78">
        <v>543251458.06462371</v>
      </c>
      <c r="Z765" s="78">
        <v>536218831.65119588</v>
      </c>
      <c r="AA765" s="78">
        <v>530242892.27299857</v>
      </c>
      <c r="AB765" s="78">
        <v>524103117.44906616</v>
      </c>
      <c r="AC765" s="78">
        <v>517824529.25901616</v>
      </c>
      <c r="AD765" s="78">
        <v>511430776.06503338</v>
      </c>
      <c r="AE765" s="78">
        <v>504944290.9083668</v>
      </c>
      <c r="AF765" s="78">
        <v>498386479.47438371</v>
      </c>
      <c r="AG765" s="78">
        <v>491777434.72224593</v>
      </c>
      <c r="AH765" s="78">
        <v>485136238.89911479</v>
      </c>
      <c r="AI765" s="78">
        <v>478480912.24615735</v>
      </c>
      <c r="AJ765" s="78">
        <v>471828372.7241236</v>
      </c>
      <c r="AK765" s="78">
        <v>465022965.75739938</v>
      </c>
      <c r="AL765" s="78">
        <v>458252812.89298344</v>
      </c>
      <c r="AM765" s="78">
        <v>451532000.24426311</v>
      </c>
      <c r="AN765" s="78">
        <v>444873771.5031597</v>
      </c>
      <c r="AO765" s="78">
        <v>438290545.34590971</v>
      </c>
      <c r="AP765" s="78">
        <v>431793963.29027832</v>
      </c>
      <c r="AQ765" s="78">
        <v>425394908.01224756</v>
      </c>
      <c r="AR765" s="78">
        <v>419103669.7217539</v>
      </c>
      <c r="AS765" s="78">
        <v>412929792.35170996</v>
      </c>
      <c r="AT765" s="78">
        <v>406882325.67844027</v>
      </c>
    </row>
    <row r="766" spans="1:46" ht="15.75">
      <c r="A766" s="78" t="s">
        <v>449</v>
      </c>
      <c r="C766" s="80" t="s">
        <v>414</v>
      </c>
      <c r="E766" s="78">
        <v>347036295.08777493</v>
      </c>
      <c r="F766" s="78">
        <v>354537611.62266219</v>
      </c>
      <c r="G766" s="78">
        <v>357751937.45616949</v>
      </c>
      <c r="H766" s="78">
        <v>360623790.41272187</v>
      </c>
      <c r="I766" s="78">
        <v>363137558.14425445</v>
      </c>
      <c r="J766" s="78">
        <v>365279949.05184221</v>
      </c>
      <c r="K766" s="78">
        <v>367039956.16653687</v>
      </c>
      <c r="L766" s="78">
        <v>368409117.52578396</v>
      </c>
      <c r="M766" s="78">
        <v>369381322.41938841</v>
      </c>
      <c r="N766" s="78">
        <v>369953041.00594825</v>
      </c>
      <c r="O766" s="78">
        <v>370122983.6140123</v>
      </c>
      <c r="P766" s="78">
        <v>369892409.20142084</v>
      </c>
      <c r="Q766" s="78">
        <v>372040608.11480063</v>
      </c>
      <c r="R766" s="78">
        <v>373837735.60393369</v>
      </c>
      <c r="S766" s="78">
        <v>375284374.64158207</v>
      </c>
      <c r="T766" s="78">
        <v>376383509.88490421</v>
      </c>
      <c r="U766" s="78">
        <v>377140202.38265252</v>
      </c>
      <c r="V766" s="78">
        <v>377561704.80593932</v>
      </c>
      <c r="W766" s="78">
        <v>377657240.82249457</v>
      </c>
      <c r="X766" s="78">
        <v>377437968.13411468</v>
      </c>
      <c r="Y766" s="78">
        <v>376916814.29773462</v>
      </c>
      <c r="Z766" s="78">
        <v>376108454.59726971</v>
      </c>
      <c r="AA766" s="78">
        <v>375326492.17501247</v>
      </c>
      <c r="AB766" s="78">
        <v>374291917.95069462</v>
      </c>
      <c r="AC766" s="78">
        <v>373023315.31012625</v>
      </c>
      <c r="AD766" s="78">
        <v>371540708.74807513</v>
      </c>
      <c r="AE766" s="78">
        <v>369865366.41622841</v>
      </c>
      <c r="AF766" s="78">
        <v>368019710.98096067</v>
      </c>
      <c r="AG766" s="78">
        <v>366027427.96783572</v>
      </c>
      <c r="AH766" s="78">
        <v>363913240.40752667</v>
      </c>
      <c r="AI766" s="78">
        <v>361702940.85318965</v>
      </c>
      <c r="AJ766" s="78">
        <v>359423138.39403474</v>
      </c>
      <c r="AK766" s="78">
        <v>357060313.3917793</v>
      </c>
      <c r="AL766" s="78">
        <v>354684451.70860678</v>
      </c>
      <c r="AM766" s="78">
        <v>352324674.14103192</v>
      </c>
      <c r="AN766" s="78">
        <v>350011195.38695759</v>
      </c>
      <c r="AO766" s="78">
        <v>347774823.77999038</v>
      </c>
      <c r="AP766" s="78">
        <v>345646952.80434132</v>
      </c>
      <c r="AQ766" s="78">
        <v>343659723.90201145</v>
      </c>
      <c r="AR766" s="78">
        <v>341846046.41530764</v>
      </c>
      <c r="AS766" s="78">
        <v>340239224.59027797</v>
      </c>
      <c r="AT766" s="78">
        <v>338873256.63846713</v>
      </c>
    </row>
    <row r="767" spans="1:46" ht="15.75">
      <c r="A767" s="78" t="s">
        <v>449</v>
      </c>
      <c r="C767" s="80" t="s">
        <v>413</v>
      </c>
      <c r="E767" s="78">
        <v>105595748.18052496</v>
      </c>
      <c r="F767" s="78">
        <v>107642503.60331514</v>
      </c>
      <c r="G767" s="78">
        <v>108004467.24805631</v>
      </c>
      <c r="H767" s="78">
        <v>108305885.86329316</v>
      </c>
      <c r="I767" s="78">
        <v>108540462.92376392</v>
      </c>
      <c r="J767" s="78">
        <v>108702516.8515538</v>
      </c>
      <c r="K767" s="78">
        <v>108787323.95141958</v>
      </c>
      <c r="L767" s="78">
        <v>108790720.58782989</v>
      </c>
      <c r="M767" s="78">
        <v>108709469.60259356</v>
      </c>
      <c r="N767" s="78">
        <v>108541005.05268376</v>
      </c>
      <c r="O767" s="78">
        <v>108283411.7188085</v>
      </c>
      <c r="P767" s="78">
        <v>107935507.52806692</v>
      </c>
      <c r="Q767" s="78">
        <v>108097500.50428264</v>
      </c>
      <c r="R767" s="78">
        <v>108177329.40970206</v>
      </c>
      <c r="S767" s="78">
        <v>108174436.64616548</v>
      </c>
      <c r="T767" s="78">
        <v>108088830.1884333</v>
      </c>
      <c r="U767" s="78">
        <v>107921033.19887233</v>
      </c>
      <c r="V767" s="78">
        <v>107671951.92707521</v>
      </c>
      <c r="W767" s="78">
        <v>107343155.17943911</v>
      </c>
      <c r="X767" s="78">
        <v>106936590.71892795</v>
      </c>
      <c r="Y767" s="78">
        <v>106454564.95523548</v>
      </c>
      <c r="Z767" s="78">
        <v>105899992.49212794</v>
      </c>
      <c r="AA767" s="78">
        <v>105430876.85478087</v>
      </c>
      <c r="AB767" s="78">
        <v>104896070.83668706</v>
      </c>
      <c r="AC767" s="78">
        <v>104299315.57923165</v>
      </c>
      <c r="AD767" s="78">
        <v>103644707.30389133</v>
      </c>
      <c r="AE767" s="78">
        <v>102936683.6756679</v>
      </c>
      <c r="AF767" s="78">
        <v>102179991.40150018</v>
      </c>
      <c r="AG767" s="78">
        <v>101379809.98900904</v>
      </c>
      <c r="AH767" s="78">
        <v>100541487.73969869</v>
      </c>
      <c r="AI767" s="78">
        <v>99670903.360143557</v>
      </c>
      <c r="AJ767" s="78">
        <v>98773988.317779109</v>
      </c>
      <c r="AK767" s="78">
        <v>97835273.339699224</v>
      </c>
      <c r="AL767" s="78">
        <v>96883339.181680769</v>
      </c>
      <c r="AM767" s="78">
        <v>95925068.745424181</v>
      </c>
      <c r="AN767" s="78">
        <v>94967459.798180819</v>
      </c>
      <c r="AO767" s="78">
        <v>94017906.536566064</v>
      </c>
      <c r="AP767" s="78">
        <v>93083925.909900829</v>
      </c>
      <c r="AQ767" s="78">
        <v>92173218.237724349</v>
      </c>
      <c r="AR767" s="78">
        <v>91293739.064021379</v>
      </c>
      <c r="AS767" s="78">
        <v>90453591.928399697</v>
      </c>
      <c r="AT767" s="78">
        <v>89661076.347614855</v>
      </c>
    </row>
    <row r="768" spans="1:46" ht="15.75">
      <c r="A768" s="78" t="s">
        <v>449</v>
      </c>
      <c r="C768" s="80" t="s">
        <v>412</v>
      </c>
      <c r="E768" s="78">
        <v>113410166.14907774</v>
      </c>
      <c r="F768" s="78">
        <v>117545074.1976946</v>
      </c>
      <c r="G768" s="78">
        <v>117415679.49157414</v>
      </c>
      <c r="H768" s="78">
        <v>117207883.0006471</v>
      </c>
      <c r="I768" s="78">
        <v>116916812.99304304</v>
      </c>
      <c r="J768" s="78">
        <v>116538496.55831964</v>
      </c>
      <c r="K768" s="78">
        <v>116069678.52112354</v>
      </c>
      <c r="L768" s="78">
        <v>115507914.25950207</v>
      </c>
      <c r="M768" s="78">
        <v>114851372.92498496</v>
      </c>
      <c r="N768" s="78">
        <v>114099023.65263563</v>
      </c>
      <c r="O768" s="78">
        <v>113250444.13694134</v>
      </c>
      <c r="P768" s="78">
        <v>112305915.57142705</v>
      </c>
      <c r="Q768" s="78">
        <v>112114481.39890979</v>
      </c>
      <c r="R768" s="78">
        <v>111839707.92486754</v>
      </c>
      <c r="S768" s="78">
        <v>111481905.91445416</v>
      </c>
      <c r="T768" s="78">
        <v>111041897.27387597</v>
      </c>
      <c r="U768" s="78">
        <v>110521004.014268</v>
      </c>
      <c r="V768" s="78">
        <v>109920916.78322101</v>
      </c>
      <c r="W768" s="78">
        <v>109243852.52464509</v>
      </c>
      <c r="X768" s="78">
        <v>108492440.90396287</v>
      </c>
      <c r="Y768" s="78">
        <v>107669676.79466508</v>
      </c>
      <c r="Z768" s="78">
        <v>106778969.41804086</v>
      </c>
      <c r="AA768" s="78">
        <v>106041009.6896466</v>
      </c>
      <c r="AB768" s="78">
        <v>105242948.86354643</v>
      </c>
      <c r="AC768" s="78">
        <v>104388885.05256703</v>
      </c>
      <c r="AD768" s="78">
        <v>103483263.82532035</v>
      </c>
      <c r="AE768" s="78">
        <v>102530857.63403121</v>
      </c>
      <c r="AF768" s="78">
        <v>101536768.00758769</v>
      </c>
      <c r="AG768" s="78">
        <v>100506366.27352801</v>
      </c>
      <c r="AH768" s="78">
        <v>99445294.473321587</v>
      </c>
      <c r="AI768" s="78">
        <v>98359456.084549874</v>
      </c>
      <c r="AJ768" s="78">
        <v>97255120.280430317</v>
      </c>
      <c r="AK768" s="78">
        <v>96108103.928014532</v>
      </c>
      <c r="AL768" s="78">
        <v>94955844.876686767</v>
      </c>
      <c r="AM768" s="78">
        <v>93805218.300816819</v>
      </c>
      <c r="AN768" s="78">
        <v>92663263.077800378</v>
      </c>
      <c r="AO768" s="78">
        <v>91537266.021957457</v>
      </c>
      <c r="AP768" s="78">
        <v>90434631.618429616</v>
      </c>
      <c r="AQ768" s="78">
        <v>89362952.477440104</v>
      </c>
      <c r="AR768" s="78">
        <v>88329944.64560774</v>
      </c>
      <c r="AS768" s="78">
        <v>87343399.273747742</v>
      </c>
      <c r="AT768" s="78">
        <v>86411353.35579592</v>
      </c>
    </row>
    <row r="769" spans="1:46" ht="15.75">
      <c r="A769" s="78" t="s">
        <v>449</v>
      </c>
      <c r="C769" s="80" t="s">
        <v>411</v>
      </c>
      <c r="E769" s="78">
        <v>467217589.4811666</v>
      </c>
      <c r="F769" s="78">
        <v>482532697.26037496</v>
      </c>
      <c r="G769" s="78">
        <v>480325107.74598783</v>
      </c>
      <c r="H769" s="78">
        <v>477985844.03528172</v>
      </c>
      <c r="I769" s="78">
        <v>475489610.61757201</v>
      </c>
      <c r="J769" s="78">
        <v>472814400.57131028</v>
      </c>
      <c r="K769" s="78">
        <v>469940881.82013232</v>
      </c>
      <c r="L769" s="78">
        <v>466852708.35034508</v>
      </c>
      <c r="M769" s="78">
        <v>463535938.05459321</v>
      </c>
      <c r="N769" s="78">
        <v>459979574.30611676</v>
      </c>
      <c r="O769" s="78">
        <v>456174831.97698343</v>
      </c>
      <c r="P769" s="78">
        <v>452115507.26959604</v>
      </c>
      <c r="Q769" s="78">
        <v>450804014.52157074</v>
      </c>
      <c r="R769" s="78">
        <v>449256537.05778384</v>
      </c>
      <c r="S769" s="78">
        <v>447469090.76415437</v>
      </c>
      <c r="T769" s="78">
        <v>445439391.56800681</v>
      </c>
      <c r="U769" s="78">
        <v>443167000.1430707</v>
      </c>
      <c r="V769" s="78">
        <v>440653090.05564851</v>
      </c>
      <c r="W769" s="78">
        <v>437900811.98619348</v>
      </c>
      <c r="X769" s="78">
        <v>434914520.4382742</v>
      </c>
      <c r="Y769" s="78">
        <v>431700496.70423079</v>
      </c>
      <c r="Z769" s="78">
        <v>428266370.56491429</v>
      </c>
      <c r="AA769" s="78">
        <v>425538637.04400259</v>
      </c>
      <c r="AB769" s="78">
        <v>422607937.64677536</v>
      </c>
      <c r="AC769" s="78">
        <v>419485073.12327266</v>
      </c>
      <c r="AD769" s="78">
        <v>416182169.85400146</v>
      </c>
      <c r="AE769" s="78">
        <v>412712590.16358072</v>
      </c>
      <c r="AF769" s="78">
        <v>409091036.9126426</v>
      </c>
      <c r="AG769" s="78">
        <v>405333408.10754758</v>
      </c>
      <c r="AH769" s="78">
        <v>401456825.75508064</v>
      </c>
      <c r="AI769" s="78">
        <v>397479504.38779896</v>
      </c>
      <c r="AJ769" s="78">
        <v>393420720.79234201</v>
      </c>
      <c r="AK769" s="78">
        <v>389414490.79556686</v>
      </c>
      <c r="AL769" s="78">
        <v>385366454.97453821</v>
      </c>
      <c r="AM769" s="78">
        <v>381298672.06130224</v>
      </c>
      <c r="AN769" s="78">
        <v>377234307.36970651</v>
      </c>
      <c r="AO769" s="78">
        <v>373197281.05530244</v>
      </c>
      <c r="AP769" s="78">
        <v>369212143.67395461</v>
      </c>
      <c r="AQ769" s="78">
        <v>365304353.55958122</v>
      </c>
      <c r="AR769" s="78">
        <v>361499924.92485923</v>
      </c>
      <c r="AS769" s="78">
        <v>357825583.76007026</v>
      </c>
      <c r="AT769" s="78">
        <v>354308470.02932131</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DEB4-6EF5-456E-9C11-910EDA77ED98}">
  <dimension ref="A1:BC37"/>
  <sheetViews>
    <sheetView topLeftCell="U1" workbookViewId="0">
      <selection activeCell="AZ18" sqref="AZ18"/>
    </sheetView>
  </sheetViews>
  <sheetFormatPr defaultRowHeight="14.25"/>
  <cols>
    <col min="1" max="5" width="0" hidden="1" customWidth="1"/>
    <col min="6" max="9" width="9" hidden="1" customWidth="1"/>
    <col min="10" max="10" width="17.25" bestFit="1" customWidth="1"/>
    <col min="11" max="12" width="8.5" customWidth="1"/>
    <col min="13" max="14" width="8.5" style="8" customWidth="1"/>
    <col min="15" max="17" width="8.5" style="15" customWidth="1"/>
    <col min="18" max="23" width="8.5" style="8" customWidth="1"/>
    <col min="24" max="25" width="9" hidden="1" customWidth="1"/>
    <col min="26" max="33" width="0" hidden="1" customWidth="1"/>
  </cols>
  <sheetData>
    <row r="1" spans="1:55" ht="15" thickBot="1">
      <c r="A1" s="58" t="s">
        <v>0</v>
      </c>
      <c r="B1" s="60" t="s">
        <v>1</v>
      </c>
      <c r="C1" s="61"/>
      <c r="D1" s="60" t="s">
        <v>2</v>
      </c>
      <c r="E1" s="61"/>
      <c r="K1">
        <v>2017</v>
      </c>
      <c r="L1">
        <v>2018</v>
      </c>
      <c r="M1" s="8">
        <v>2019</v>
      </c>
      <c r="N1" s="8" t="s">
        <v>79</v>
      </c>
      <c r="O1" s="15">
        <v>2020</v>
      </c>
      <c r="P1" s="15">
        <v>2021</v>
      </c>
      <c r="R1" s="8">
        <v>2017</v>
      </c>
      <c r="S1" s="8">
        <v>2018</v>
      </c>
      <c r="T1" s="8">
        <v>2019</v>
      </c>
      <c r="U1" s="8" t="s">
        <v>79</v>
      </c>
      <c r="V1" s="15">
        <v>2020</v>
      </c>
      <c r="W1" s="15">
        <v>2021</v>
      </c>
      <c r="AA1" s="62" t="s">
        <v>40</v>
      </c>
      <c r="AB1" s="55" t="s">
        <v>41</v>
      </c>
      <c r="AC1" s="56"/>
      <c r="AD1" s="57"/>
      <c r="AE1" s="55" t="s">
        <v>42</v>
      </c>
      <c r="AF1" s="56"/>
      <c r="AG1" s="57"/>
      <c r="AM1" s="53" t="s">
        <v>359</v>
      </c>
      <c r="AN1" s="52" t="s">
        <v>360</v>
      </c>
      <c r="AO1" s="52"/>
      <c r="AP1" s="52"/>
      <c r="AQ1" s="52"/>
      <c r="AR1" s="52" t="s">
        <v>361</v>
      </c>
      <c r="AS1" s="52"/>
      <c r="AT1" s="52"/>
      <c r="AU1" s="52"/>
      <c r="AV1" s="54" t="s">
        <v>398</v>
      </c>
      <c r="AW1" s="52"/>
      <c r="AX1" s="52"/>
      <c r="AY1" s="52"/>
      <c r="AZ1" s="52" t="s">
        <v>399</v>
      </c>
      <c r="BA1" s="52"/>
      <c r="BB1" s="52"/>
      <c r="BC1" s="52"/>
    </row>
    <row r="2" spans="1:55" ht="29.25" thickBot="1">
      <c r="A2" s="59"/>
      <c r="B2" s="1"/>
      <c r="C2" s="2" t="s">
        <v>3</v>
      </c>
      <c r="D2" s="1"/>
      <c r="E2" s="3" t="s">
        <v>3</v>
      </c>
      <c r="K2" s="8" t="s">
        <v>38</v>
      </c>
      <c r="L2" s="8" t="s">
        <v>38</v>
      </c>
      <c r="M2" s="8" t="s">
        <v>38</v>
      </c>
      <c r="N2" s="8" t="s">
        <v>38</v>
      </c>
      <c r="O2" s="8" t="s">
        <v>38</v>
      </c>
      <c r="P2" s="8" t="s">
        <v>38</v>
      </c>
      <c r="Q2" s="8"/>
      <c r="R2" s="8" t="s">
        <v>39</v>
      </c>
      <c r="S2" s="8" t="s">
        <v>39</v>
      </c>
      <c r="T2" s="8" t="s">
        <v>39</v>
      </c>
      <c r="U2" s="8" t="s">
        <v>39</v>
      </c>
      <c r="V2" s="8" t="s">
        <v>39</v>
      </c>
      <c r="W2" s="8" t="s">
        <v>39</v>
      </c>
      <c r="AA2" s="63"/>
      <c r="AB2" s="9"/>
      <c r="AC2" s="10" t="s">
        <v>43</v>
      </c>
      <c r="AD2" s="10" t="s">
        <v>44</v>
      </c>
      <c r="AE2" s="9"/>
      <c r="AF2" s="10" t="s">
        <v>43</v>
      </c>
      <c r="AG2" s="10" t="s">
        <v>45</v>
      </c>
      <c r="AM2" s="53"/>
      <c r="AN2" s="43" t="s">
        <v>397</v>
      </c>
      <c r="AO2" s="43" t="s">
        <v>396</v>
      </c>
      <c r="AP2" s="43" t="s">
        <v>362</v>
      </c>
      <c r="AQ2" s="43" t="s">
        <v>363</v>
      </c>
      <c r="AR2" s="43" t="s">
        <v>397</v>
      </c>
      <c r="AS2" s="43" t="s">
        <v>396</v>
      </c>
      <c r="AT2" s="43" t="s">
        <v>362</v>
      </c>
      <c r="AU2" s="43" t="s">
        <v>363</v>
      </c>
      <c r="AV2" s="43" t="s">
        <v>397</v>
      </c>
      <c r="AW2" s="43" t="s">
        <v>396</v>
      </c>
      <c r="AX2" s="43" t="s">
        <v>362</v>
      </c>
      <c r="AY2" s="43" t="s">
        <v>363</v>
      </c>
      <c r="AZ2" s="43" t="s">
        <v>397</v>
      </c>
      <c r="BA2" s="43" t="s">
        <v>396</v>
      </c>
      <c r="BB2" s="43" t="s">
        <v>362</v>
      </c>
      <c r="BC2" s="43" t="s">
        <v>363</v>
      </c>
    </row>
    <row r="3" spans="1:55" ht="16.5" thickBot="1">
      <c r="A3" s="4" t="s">
        <v>4</v>
      </c>
      <c r="B3" s="5">
        <v>21582</v>
      </c>
      <c r="C3" s="5">
        <v>14875</v>
      </c>
      <c r="D3" s="5">
        <v>1152</v>
      </c>
      <c r="E3" s="5">
        <v>708</v>
      </c>
      <c r="F3">
        <f>B3-C3</f>
        <v>6707</v>
      </c>
      <c r="G3">
        <f>D3-E3</f>
        <v>444</v>
      </c>
      <c r="H3">
        <f>B3-D3</f>
        <v>20430</v>
      </c>
      <c r="J3" t="s">
        <v>80</v>
      </c>
      <c r="K3">
        <f>AJ3-R3</f>
        <v>9384</v>
      </c>
      <c r="L3">
        <f>AK3-S3</f>
        <v>12406</v>
      </c>
      <c r="M3" s="8">
        <f>C3-E3</f>
        <v>14167</v>
      </c>
      <c r="N3" s="8">
        <f>C3</f>
        <v>14875</v>
      </c>
      <c r="O3" s="15">
        <f>AF3-AC3</f>
        <v>17287.87</v>
      </c>
      <c r="P3" s="15">
        <f>AF3</f>
        <v>19847.939999999999</v>
      </c>
      <c r="R3" s="8">
        <v>3658</v>
      </c>
      <c r="S3" s="8">
        <v>5027</v>
      </c>
      <c r="T3" s="8">
        <f t="shared" ref="T3:T15" si="0">F3-G3</f>
        <v>6263</v>
      </c>
      <c r="U3" s="8">
        <f>B3-C3</f>
        <v>6707</v>
      </c>
      <c r="V3" s="15">
        <f>AG3-AD3</f>
        <v>7822.9</v>
      </c>
      <c r="W3" s="15">
        <f>AG3</f>
        <v>10750.8</v>
      </c>
      <c r="X3" s="14"/>
      <c r="Y3" s="14"/>
      <c r="Z3">
        <v>5488</v>
      </c>
      <c r="AA3" s="11" t="s">
        <v>46</v>
      </c>
      <c r="AB3" s="12">
        <v>5488</v>
      </c>
      <c r="AC3" s="12">
        <v>2560.0700000000002</v>
      </c>
      <c r="AD3" s="12">
        <v>2927.9</v>
      </c>
      <c r="AE3" s="12">
        <v>30598.7</v>
      </c>
      <c r="AF3" s="12">
        <v>19847.939999999999</v>
      </c>
      <c r="AG3" s="12">
        <v>10750.8</v>
      </c>
      <c r="AJ3">
        <v>13042</v>
      </c>
      <c r="AK3">
        <v>17433</v>
      </c>
      <c r="AM3" s="45" t="s">
        <v>364</v>
      </c>
      <c r="AN3" s="44">
        <v>7827</v>
      </c>
      <c r="AO3" s="47">
        <v>6180</v>
      </c>
      <c r="AP3" s="46">
        <v>5027</v>
      </c>
      <c r="AQ3" s="46">
        <v>3658</v>
      </c>
      <c r="AR3" s="46">
        <v>679</v>
      </c>
      <c r="AS3" s="46">
        <v>538</v>
      </c>
      <c r="AT3" s="46">
        <v>388</v>
      </c>
      <c r="AU3" s="46">
        <v>154</v>
      </c>
      <c r="AV3" s="49">
        <f>AR3*10000/(AN3*8760)</f>
        <v>9.9030810687510101E-2</v>
      </c>
      <c r="AW3" s="49">
        <f t="shared" ref="AW3:AY3" si="1">AS3*10000/(AO3*8760)</f>
        <v>9.9377872353002022E-2</v>
      </c>
      <c r="AX3" s="49">
        <f t="shared" si="1"/>
        <v>8.8108687970802416E-2</v>
      </c>
      <c r="AY3" s="49">
        <f t="shared" si="1"/>
        <v>4.8058799004371482E-2</v>
      </c>
      <c r="AZ3" s="50">
        <f>AR3*10000/AN3</f>
        <v>867.50990162258847</v>
      </c>
      <c r="BA3" s="50">
        <f t="shared" ref="BA3:BC3" si="2">AS3*10000/AO3</f>
        <v>870.55016181229769</v>
      </c>
      <c r="BB3" s="50">
        <f t="shared" si="2"/>
        <v>771.83210662422914</v>
      </c>
      <c r="BC3" s="50">
        <f t="shared" si="2"/>
        <v>420.99507927829416</v>
      </c>
    </row>
    <row r="4" spans="1:55" ht="16.5" thickBot="1">
      <c r="A4" s="6" t="s">
        <v>5</v>
      </c>
      <c r="B4" s="7">
        <v>60</v>
      </c>
      <c r="C4" s="7">
        <v>5</v>
      </c>
      <c r="D4" s="7">
        <v>9</v>
      </c>
      <c r="E4" s="7">
        <v>0</v>
      </c>
      <c r="F4">
        <f t="shared" ref="F4:F35" si="3">B4-C4</f>
        <v>55</v>
      </c>
      <c r="G4">
        <f t="shared" ref="G4:G35" si="4">D4-E4</f>
        <v>9</v>
      </c>
      <c r="H4">
        <f t="shared" ref="H4:H35" si="5">B4-D4</f>
        <v>51</v>
      </c>
      <c r="J4" t="s">
        <v>81</v>
      </c>
      <c r="K4">
        <f t="shared" ref="K4:K35" si="6">AJ4-R4</f>
        <v>3</v>
      </c>
      <c r="L4">
        <f t="shared" ref="L4:L35" si="7">AK4-S4</f>
        <v>5</v>
      </c>
      <c r="M4" s="8">
        <f t="shared" ref="M4:M15" si="8">C4-E4</f>
        <v>5</v>
      </c>
      <c r="N4" s="8">
        <f t="shared" ref="N4:N15" si="9">C4</f>
        <v>5</v>
      </c>
      <c r="O4" s="15">
        <f t="shared" ref="O4:O15" si="10">AF4-AC4</f>
        <v>5.0999999999999996</v>
      </c>
      <c r="P4" s="15">
        <f t="shared" ref="P4:P15" si="11">AF4</f>
        <v>5.0999999999999996</v>
      </c>
      <c r="R4" s="8">
        <v>22</v>
      </c>
      <c r="S4" s="8">
        <v>35</v>
      </c>
      <c r="T4" s="8">
        <f t="shared" si="0"/>
        <v>46</v>
      </c>
      <c r="U4" s="8">
        <f t="shared" ref="U4:U15" si="12">B4-C4</f>
        <v>55</v>
      </c>
      <c r="V4" s="15">
        <f t="shared" ref="V4:V15" si="13">AG4-AD4</f>
        <v>56.4</v>
      </c>
      <c r="W4" s="15">
        <f t="shared" ref="W4:W15" si="14">AG4</f>
        <v>75</v>
      </c>
      <c r="X4" s="14"/>
      <c r="Y4" s="14"/>
      <c r="Z4">
        <v>18.600000000000001</v>
      </c>
      <c r="AA4" s="13" t="s">
        <v>47</v>
      </c>
      <c r="AB4" s="12">
        <v>18.600000000000001</v>
      </c>
      <c r="AC4" s="12">
        <v>0</v>
      </c>
      <c r="AD4" s="12">
        <v>18.600000000000001</v>
      </c>
      <c r="AE4" s="12">
        <v>80.099999999999994</v>
      </c>
      <c r="AF4" s="12">
        <v>5.0999999999999996</v>
      </c>
      <c r="AG4" s="12">
        <v>75</v>
      </c>
      <c r="AJ4">
        <v>25</v>
      </c>
      <c r="AK4">
        <v>40</v>
      </c>
      <c r="AM4" s="45" t="s">
        <v>365</v>
      </c>
      <c r="AN4" s="44">
        <v>56</v>
      </c>
      <c r="AO4" s="47">
        <v>46</v>
      </c>
      <c r="AP4" s="46">
        <v>35</v>
      </c>
      <c r="AQ4" s="46">
        <v>22</v>
      </c>
      <c r="AR4" s="46">
        <v>5</v>
      </c>
      <c r="AS4" s="46">
        <v>4</v>
      </c>
      <c r="AT4" s="46">
        <v>2</v>
      </c>
      <c r="AU4" s="46">
        <v>1</v>
      </c>
      <c r="AV4" s="49">
        <f t="shared" ref="AV4:AV26" si="15">AR4*10000/(AN4*8760)</f>
        <v>0.10192433137638617</v>
      </c>
      <c r="AW4" s="49">
        <f t="shared" ref="AW4:AW27" si="16">AS4*10000/(AO4*8760)</f>
        <v>9.9265435775263047E-2</v>
      </c>
      <c r="AX4" s="49">
        <f t="shared" ref="AX4:AX27" si="17">AT4*10000/(AP4*8760)</f>
        <v>6.5231572080887146E-2</v>
      </c>
      <c r="AY4" s="49">
        <f t="shared" ref="AY4:AY26" si="18">AU4*10000/(AQ4*8760)</f>
        <v>5.1888750518887507E-2</v>
      </c>
      <c r="AZ4" s="50">
        <f t="shared" ref="AZ4:AZ34" si="19">AR4*10000/AN4</f>
        <v>892.85714285714289</v>
      </c>
      <c r="BA4" s="50">
        <f t="shared" ref="BA4:BA34" si="20">AS4*10000/AO4</f>
        <v>869.56521739130437</v>
      </c>
      <c r="BB4" s="50">
        <f t="shared" ref="BB4:BB34" si="21">AT4*10000/AP4</f>
        <v>571.42857142857144</v>
      </c>
      <c r="BC4" s="50">
        <f t="shared" ref="BC4:BC34" si="22">AU4*10000/AQ4</f>
        <v>454.54545454545456</v>
      </c>
    </row>
    <row r="5" spans="1:55" ht="16.5" thickBot="1">
      <c r="A5" s="6" t="s">
        <v>6</v>
      </c>
      <c r="B5" s="7">
        <v>151</v>
      </c>
      <c r="C5" s="7">
        <v>110</v>
      </c>
      <c r="D5" s="7">
        <v>9</v>
      </c>
      <c r="E5" s="7">
        <v>6</v>
      </c>
      <c r="F5">
        <f t="shared" si="3"/>
        <v>41</v>
      </c>
      <c r="G5">
        <f t="shared" si="4"/>
        <v>3</v>
      </c>
      <c r="H5">
        <f t="shared" si="5"/>
        <v>142</v>
      </c>
      <c r="J5" t="s">
        <v>82</v>
      </c>
      <c r="K5">
        <f t="shared" si="6"/>
        <v>53</v>
      </c>
      <c r="L5">
        <f t="shared" si="7"/>
        <v>97</v>
      </c>
      <c r="M5" s="8">
        <f t="shared" si="8"/>
        <v>104</v>
      </c>
      <c r="N5" s="8">
        <f t="shared" si="9"/>
        <v>110</v>
      </c>
      <c r="O5" s="15">
        <f t="shared" si="10"/>
        <v>118.83999999999999</v>
      </c>
      <c r="P5" s="15">
        <f t="shared" si="11"/>
        <v>118.85</v>
      </c>
      <c r="R5" s="8">
        <v>15</v>
      </c>
      <c r="S5" s="8">
        <v>31</v>
      </c>
      <c r="T5" s="8">
        <f t="shared" si="0"/>
        <v>38</v>
      </c>
      <c r="U5" s="8">
        <f t="shared" si="12"/>
        <v>41</v>
      </c>
      <c r="V5" s="15">
        <f t="shared" si="13"/>
        <v>44.7</v>
      </c>
      <c r="W5" s="15">
        <f t="shared" si="14"/>
        <v>58.9</v>
      </c>
      <c r="X5" s="14"/>
      <c r="Y5" s="14"/>
      <c r="Z5">
        <v>14.2</v>
      </c>
      <c r="AA5" s="13" t="s">
        <v>48</v>
      </c>
      <c r="AB5" s="12">
        <v>14.2</v>
      </c>
      <c r="AC5" s="12">
        <v>0.01</v>
      </c>
      <c r="AD5" s="12">
        <v>14.2</v>
      </c>
      <c r="AE5" s="12">
        <v>177.8</v>
      </c>
      <c r="AF5" s="12">
        <v>118.85</v>
      </c>
      <c r="AG5" s="12">
        <v>58.9</v>
      </c>
      <c r="AJ5">
        <v>68</v>
      </c>
      <c r="AK5">
        <v>128</v>
      </c>
      <c r="AM5" s="45" t="s">
        <v>366</v>
      </c>
      <c r="AN5" s="44">
        <v>45</v>
      </c>
      <c r="AO5" s="47">
        <v>38</v>
      </c>
      <c r="AP5" s="46">
        <v>31</v>
      </c>
      <c r="AQ5" s="46">
        <v>15</v>
      </c>
      <c r="AR5" s="46">
        <v>4</v>
      </c>
      <c r="AS5" s="46">
        <v>3</v>
      </c>
      <c r="AT5" s="46">
        <v>2</v>
      </c>
      <c r="AU5" s="46">
        <v>1</v>
      </c>
      <c r="AV5" s="49">
        <f t="shared" si="15"/>
        <v>0.10147133434804667</v>
      </c>
      <c r="AW5" s="49">
        <f t="shared" si="16"/>
        <v>9.0122566690699346E-2</v>
      </c>
      <c r="AX5" s="49">
        <f t="shared" si="17"/>
        <v>7.3648549123582263E-2</v>
      </c>
      <c r="AY5" s="49">
        <f t="shared" si="18"/>
        <v>7.6103500761035003E-2</v>
      </c>
      <c r="AZ5" s="50">
        <f t="shared" si="19"/>
        <v>888.88888888888891</v>
      </c>
      <c r="BA5" s="50">
        <f t="shared" si="20"/>
        <v>789.47368421052636</v>
      </c>
      <c r="BB5" s="50">
        <f t="shared" si="21"/>
        <v>645.16129032258061</v>
      </c>
      <c r="BC5" s="50">
        <f t="shared" si="22"/>
        <v>666.66666666666663</v>
      </c>
    </row>
    <row r="6" spans="1:55" ht="16.5" thickBot="1">
      <c r="A6" s="6" t="s">
        <v>7</v>
      </c>
      <c r="B6" s="7">
        <v>1571</v>
      </c>
      <c r="C6" s="7">
        <v>1018</v>
      </c>
      <c r="D6" s="7">
        <v>97</v>
      </c>
      <c r="E6" s="7">
        <v>56</v>
      </c>
      <c r="F6">
        <f t="shared" si="3"/>
        <v>553</v>
      </c>
      <c r="G6">
        <f t="shared" si="4"/>
        <v>41</v>
      </c>
      <c r="H6">
        <f t="shared" si="5"/>
        <v>1474</v>
      </c>
      <c r="J6" t="s">
        <v>83</v>
      </c>
      <c r="K6">
        <f t="shared" si="6"/>
        <v>517</v>
      </c>
      <c r="L6">
        <f t="shared" si="7"/>
        <v>856</v>
      </c>
      <c r="M6" s="8">
        <f t="shared" si="8"/>
        <v>962</v>
      </c>
      <c r="N6" s="8">
        <f t="shared" si="9"/>
        <v>1018</v>
      </c>
      <c r="O6" s="15">
        <f t="shared" si="10"/>
        <v>1445.52</v>
      </c>
      <c r="P6" s="15">
        <f t="shared" si="11"/>
        <v>1658.84</v>
      </c>
      <c r="R6" s="8">
        <v>351</v>
      </c>
      <c r="S6" s="8">
        <v>378</v>
      </c>
      <c r="T6" s="8">
        <f t="shared" si="0"/>
        <v>512</v>
      </c>
      <c r="U6" s="8">
        <f t="shared" si="12"/>
        <v>553</v>
      </c>
      <c r="V6" s="15">
        <f t="shared" si="13"/>
        <v>745.8</v>
      </c>
      <c r="W6" s="15">
        <f t="shared" si="14"/>
        <v>1262.5</v>
      </c>
      <c r="X6" s="14"/>
      <c r="Y6" s="14"/>
      <c r="Z6">
        <v>730</v>
      </c>
      <c r="AA6" s="13" t="s">
        <v>49</v>
      </c>
      <c r="AB6" s="12">
        <v>730</v>
      </c>
      <c r="AC6" s="12">
        <v>213.32</v>
      </c>
      <c r="AD6" s="12">
        <v>516.70000000000005</v>
      </c>
      <c r="AE6" s="12">
        <v>2921.3</v>
      </c>
      <c r="AF6" s="12">
        <v>1658.84</v>
      </c>
      <c r="AG6" s="12">
        <v>1262.5</v>
      </c>
      <c r="AJ6">
        <v>868</v>
      </c>
      <c r="AK6">
        <v>1234</v>
      </c>
      <c r="AM6" s="45" t="s">
        <v>367</v>
      </c>
      <c r="AN6" s="44">
        <v>747</v>
      </c>
      <c r="AO6" s="47">
        <v>513</v>
      </c>
      <c r="AP6" s="46">
        <v>378</v>
      </c>
      <c r="AQ6" s="46">
        <v>351</v>
      </c>
      <c r="AR6" s="46">
        <v>70</v>
      </c>
      <c r="AS6" s="46">
        <v>53</v>
      </c>
      <c r="AT6" s="46">
        <v>32</v>
      </c>
      <c r="AU6" s="46">
        <v>11</v>
      </c>
      <c r="AV6" s="49">
        <f t="shared" si="15"/>
        <v>0.10697279223438656</v>
      </c>
      <c r="AW6" s="49">
        <f t="shared" si="16"/>
        <v>0.11793817369400161</v>
      </c>
      <c r="AX6" s="49">
        <f t="shared" si="17"/>
        <v>9.6639366045758734E-2</v>
      </c>
      <c r="AY6" s="49">
        <f t="shared" si="18"/>
        <v>3.5775149930401075E-2</v>
      </c>
      <c r="AZ6" s="50">
        <f t="shared" si="19"/>
        <v>937.08165997322624</v>
      </c>
      <c r="BA6" s="50">
        <f t="shared" si="20"/>
        <v>1033.1384015594542</v>
      </c>
      <c r="BB6" s="50">
        <f t="shared" si="21"/>
        <v>846.56084656084658</v>
      </c>
      <c r="BC6" s="50">
        <f t="shared" si="22"/>
        <v>313.39031339031339</v>
      </c>
    </row>
    <row r="7" spans="1:55" ht="16.5" thickBot="1">
      <c r="A7" s="6" t="s">
        <v>8</v>
      </c>
      <c r="B7" s="7">
        <v>1198</v>
      </c>
      <c r="C7" s="7">
        <v>963</v>
      </c>
      <c r="D7" s="7">
        <v>110</v>
      </c>
      <c r="E7" s="7">
        <v>106</v>
      </c>
      <c r="F7">
        <f t="shared" si="3"/>
        <v>235</v>
      </c>
      <c r="G7">
        <f t="shared" si="4"/>
        <v>4</v>
      </c>
      <c r="H7">
        <f t="shared" si="5"/>
        <v>1088</v>
      </c>
      <c r="J7" t="s">
        <v>84</v>
      </c>
      <c r="K7">
        <f t="shared" si="6"/>
        <v>530</v>
      </c>
      <c r="L7">
        <f t="shared" si="7"/>
        <v>681</v>
      </c>
      <c r="M7" s="8">
        <f t="shared" si="8"/>
        <v>857</v>
      </c>
      <c r="N7" s="8">
        <f t="shared" si="9"/>
        <v>963</v>
      </c>
      <c r="O7" s="15">
        <f t="shared" si="10"/>
        <v>1028.32</v>
      </c>
      <c r="P7" s="15">
        <f t="shared" si="11"/>
        <v>1101.8399999999999</v>
      </c>
      <c r="R7" s="8">
        <v>60</v>
      </c>
      <c r="S7" s="8">
        <v>183</v>
      </c>
      <c r="T7" s="8">
        <f t="shared" si="0"/>
        <v>231</v>
      </c>
      <c r="U7" s="8">
        <f t="shared" si="12"/>
        <v>235</v>
      </c>
      <c r="V7" s="15">
        <f t="shared" si="13"/>
        <v>280.2</v>
      </c>
      <c r="W7" s="15">
        <f t="shared" si="14"/>
        <v>355.9</v>
      </c>
      <c r="X7" s="14"/>
      <c r="Y7" s="14"/>
      <c r="AA7" s="13" t="s">
        <v>50</v>
      </c>
      <c r="AB7" s="12">
        <v>149.19999999999999</v>
      </c>
      <c r="AC7" s="12">
        <v>73.52</v>
      </c>
      <c r="AD7" s="12">
        <v>75.7</v>
      </c>
      <c r="AE7" s="12">
        <v>1457.7</v>
      </c>
      <c r="AF7" s="12">
        <v>1101.8399999999999</v>
      </c>
      <c r="AG7" s="12">
        <v>355.9</v>
      </c>
      <c r="AJ7">
        <v>590</v>
      </c>
      <c r="AK7">
        <v>864</v>
      </c>
      <c r="AM7" s="45" t="s">
        <v>368</v>
      </c>
      <c r="AN7" s="44">
        <v>280</v>
      </c>
      <c r="AO7" s="47">
        <v>231</v>
      </c>
      <c r="AP7" s="46">
        <v>183</v>
      </c>
      <c r="AQ7" s="46">
        <v>60</v>
      </c>
      <c r="AR7" s="46">
        <v>31</v>
      </c>
      <c r="AS7" s="46">
        <v>25</v>
      </c>
      <c r="AT7" s="46">
        <v>14</v>
      </c>
      <c r="AU7" s="46">
        <v>5</v>
      </c>
      <c r="AV7" s="49">
        <f t="shared" si="15"/>
        <v>0.12638617090671886</v>
      </c>
      <c r="AW7" s="49">
        <f t="shared" si="16"/>
        <v>0.12354464409258929</v>
      </c>
      <c r="AX7" s="49">
        <f t="shared" si="17"/>
        <v>8.7331886119220506E-2</v>
      </c>
      <c r="AY7" s="49">
        <f t="shared" si="18"/>
        <v>9.5129375951293754E-2</v>
      </c>
      <c r="AZ7" s="50">
        <f t="shared" si="19"/>
        <v>1107.1428571428571</v>
      </c>
      <c r="BA7" s="50">
        <f t="shared" si="20"/>
        <v>1082.2510822510822</v>
      </c>
      <c r="BB7" s="50">
        <f t="shared" si="21"/>
        <v>765.0273224043716</v>
      </c>
      <c r="BC7" s="50">
        <f t="shared" si="22"/>
        <v>833.33333333333337</v>
      </c>
    </row>
    <row r="8" spans="1:55" ht="16.5" thickBot="1">
      <c r="A8" s="6" t="s">
        <v>9</v>
      </c>
      <c r="B8" s="7">
        <v>1131</v>
      </c>
      <c r="C8" s="7">
        <v>1048</v>
      </c>
      <c r="D8" s="7">
        <v>50</v>
      </c>
      <c r="E8" s="7">
        <v>47</v>
      </c>
      <c r="F8">
        <f t="shared" si="3"/>
        <v>83</v>
      </c>
      <c r="G8">
        <f t="shared" si="4"/>
        <v>3</v>
      </c>
      <c r="H8">
        <f t="shared" si="5"/>
        <v>1081</v>
      </c>
      <c r="J8" t="s">
        <v>85</v>
      </c>
      <c r="K8">
        <f t="shared" si="6"/>
        <v>741</v>
      </c>
      <c r="L8">
        <f t="shared" si="7"/>
        <v>933</v>
      </c>
      <c r="M8" s="8">
        <f t="shared" si="8"/>
        <v>1001</v>
      </c>
      <c r="N8" s="8">
        <f t="shared" si="9"/>
        <v>1048</v>
      </c>
      <c r="O8" s="15">
        <f t="shared" si="10"/>
        <v>1138</v>
      </c>
      <c r="P8" s="15">
        <f t="shared" si="11"/>
        <v>1299.5</v>
      </c>
      <c r="R8" s="8">
        <v>2</v>
      </c>
      <c r="S8" s="8">
        <v>13</v>
      </c>
      <c r="T8" s="8">
        <f t="shared" si="0"/>
        <v>80</v>
      </c>
      <c r="U8" s="8">
        <f t="shared" si="12"/>
        <v>83</v>
      </c>
      <c r="V8" s="15">
        <f t="shared" si="13"/>
        <v>90.1</v>
      </c>
      <c r="W8" s="15">
        <f t="shared" si="14"/>
        <v>102.5</v>
      </c>
      <c r="X8" s="14"/>
      <c r="Y8" s="14"/>
      <c r="AA8" s="12" t="s">
        <v>52</v>
      </c>
      <c r="AB8" s="12">
        <v>173.9</v>
      </c>
      <c r="AC8" s="12">
        <v>161.5</v>
      </c>
      <c r="AD8" s="12">
        <v>12.4</v>
      </c>
      <c r="AE8" s="12">
        <v>1402</v>
      </c>
      <c r="AF8" s="12">
        <v>1299.5</v>
      </c>
      <c r="AG8" s="12">
        <v>102.5</v>
      </c>
      <c r="AJ8">
        <v>743</v>
      </c>
      <c r="AK8">
        <v>946</v>
      </c>
      <c r="AM8" s="45" t="s">
        <v>369</v>
      </c>
      <c r="AN8" s="44">
        <v>88</v>
      </c>
      <c r="AO8" s="47">
        <v>51</v>
      </c>
      <c r="AP8" s="46">
        <v>13</v>
      </c>
      <c r="AQ8" s="46">
        <v>2</v>
      </c>
      <c r="AR8" s="46">
        <v>13</v>
      </c>
      <c r="AS8" s="46">
        <v>3</v>
      </c>
      <c r="AT8" s="46">
        <v>1</v>
      </c>
      <c r="AU8" s="46">
        <v>0.3</v>
      </c>
      <c r="AV8" s="49">
        <f t="shared" si="15"/>
        <v>0.16863843918638438</v>
      </c>
      <c r="AW8" s="49">
        <f t="shared" si="16"/>
        <v>6.7150147730325002E-2</v>
      </c>
      <c r="AX8" s="49">
        <f t="shared" si="17"/>
        <v>8.7811731647348082E-2</v>
      </c>
      <c r="AY8" s="49">
        <f t="shared" si="18"/>
        <v>0.17123287671232876</v>
      </c>
      <c r="AZ8" s="50">
        <f t="shared" si="19"/>
        <v>1477.2727272727273</v>
      </c>
      <c r="BA8" s="50">
        <f t="shared" si="20"/>
        <v>588.23529411764707</v>
      </c>
      <c r="BB8" s="50">
        <f t="shared" si="21"/>
        <v>769.23076923076928</v>
      </c>
      <c r="BC8" s="50">
        <f t="shared" si="22"/>
        <v>1500</v>
      </c>
    </row>
    <row r="9" spans="1:55" ht="16.5" thickBot="1">
      <c r="A9" s="6" t="s">
        <v>10</v>
      </c>
      <c r="B9" s="7">
        <v>369</v>
      </c>
      <c r="C9" s="7">
        <v>268</v>
      </c>
      <c r="D9" s="7">
        <v>26</v>
      </c>
      <c r="E9" s="7">
        <v>22</v>
      </c>
      <c r="F9">
        <f t="shared" si="3"/>
        <v>101</v>
      </c>
      <c r="G9">
        <f t="shared" si="4"/>
        <v>4</v>
      </c>
      <c r="H9">
        <f t="shared" si="5"/>
        <v>343</v>
      </c>
      <c r="J9" t="s">
        <v>86</v>
      </c>
      <c r="K9">
        <f t="shared" si="6"/>
        <v>185</v>
      </c>
      <c r="L9">
        <f t="shared" si="7"/>
        <v>219</v>
      </c>
      <c r="M9" s="8">
        <f t="shared" si="8"/>
        <v>246</v>
      </c>
      <c r="N9" s="8">
        <f t="shared" si="9"/>
        <v>268</v>
      </c>
      <c r="O9" s="15">
        <f t="shared" si="10"/>
        <v>281.89</v>
      </c>
      <c r="P9" s="15">
        <f t="shared" si="11"/>
        <v>317.5</v>
      </c>
      <c r="R9" s="8">
        <v>38</v>
      </c>
      <c r="S9" s="8">
        <v>83</v>
      </c>
      <c r="T9" s="8">
        <f t="shared" si="0"/>
        <v>97</v>
      </c>
      <c r="U9" s="8">
        <f t="shared" si="12"/>
        <v>101</v>
      </c>
      <c r="V9" s="15">
        <f t="shared" si="13"/>
        <v>117.9</v>
      </c>
      <c r="W9" s="15">
        <f t="shared" si="14"/>
        <v>160</v>
      </c>
      <c r="X9" s="14"/>
      <c r="Y9" s="14"/>
      <c r="AA9" s="13" t="s">
        <v>53</v>
      </c>
      <c r="AB9" s="12">
        <v>77.7</v>
      </c>
      <c r="AC9" s="12">
        <v>35.61</v>
      </c>
      <c r="AD9" s="12">
        <v>42.1</v>
      </c>
      <c r="AE9" s="12">
        <v>477.5</v>
      </c>
      <c r="AF9" s="12">
        <v>317.5</v>
      </c>
      <c r="AG9" s="12">
        <v>160</v>
      </c>
      <c r="AJ9">
        <v>223</v>
      </c>
      <c r="AK9">
        <v>302</v>
      </c>
      <c r="AM9" s="45" t="s">
        <v>370</v>
      </c>
      <c r="AN9" s="44">
        <v>118</v>
      </c>
      <c r="AO9" s="47">
        <v>97</v>
      </c>
      <c r="AP9" s="46">
        <v>83</v>
      </c>
      <c r="AQ9" s="46">
        <v>38</v>
      </c>
      <c r="AR9" s="46">
        <v>12</v>
      </c>
      <c r="AS9" s="46">
        <v>10</v>
      </c>
      <c r="AT9" s="46">
        <v>7</v>
      </c>
      <c r="AU9" s="46">
        <v>3</v>
      </c>
      <c r="AV9" s="49">
        <f t="shared" si="15"/>
        <v>0.11609008590666357</v>
      </c>
      <c r="AW9" s="49">
        <f t="shared" si="16"/>
        <v>0.1176858259191263</v>
      </c>
      <c r="AX9" s="49">
        <f t="shared" si="17"/>
        <v>9.6275513010947902E-2</v>
      </c>
      <c r="AY9" s="49">
        <f t="shared" si="18"/>
        <v>9.0122566690699346E-2</v>
      </c>
      <c r="AZ9" s="50">
        <f t="shared" si="19"/>
        <v>1016.9491525423729</v>
      </c>
      <c r="BA9" s="50">
        <f t="shared" si="20"/>
        <v>1030.9278350515465</v>
      </c>
      <c r="BB9" s="50">
        <f t="shared" si="21"/>
        <v>843.37349397590367</v>
      </c>
      <c r="BC9" s="50">
        <f t="shared" si="22"/>
        <v>789.47368421052636</v>
      </c>
    </row>
    <row r="10" spans="1:55" ht="16.5" thickBot="1">
      <c r="A10" s="6" t="s">
        <v>11</v>
      </c>
      <c r="B10" s="7">
        <v>326</v>
      </c>
      <c r="C10" s="7">
        <v>255</v>
      </c>
      <c r="D10" s="7">
        <v>52</v>
      </c>
      <c r="E10" s="7">
        <v>50</v>
      </c>
      <c r="F10">
        <f t="shared" si="3"/>
        <v>71</v>
      </c>
      <c r="G10">
        <f t="shared" si="4"/>
        <v>2</v>
      </c>
      <c r="H10">
        <f t="shared" si="5"/>
        <v>274</v>
      </c>
      <c r="J10" t="s">
        <v>87</v>
      </c>
      <c r="K10">
        <f t="shared" si="6"/>
        <v>107</v>
      </c>
      <c r="L10">
        <f t="shared" si="7"/>
        <v>203</v>
      </c>
      <c r="M10" s="8">
        <f t="shared" si="8"/>
        <v>205</v>
      </c>
      <c r="N10" s="8">
        <f t="shared" si="9"/>
        <v>255</v>
      </c>
      <c r="O10" s="15">
        <f t="shared" si="10"/>
        <v>260.91000000000003</v>
      </c>
      <c r="P10" s="15">
        <f t="shared" si="11"/>
        <v>265.79000000000002</v>
      </c>
      <c r="R10" s="8">
        <v>52</v>
      </c>
      <c r="S10" s="8">
        <v>62</v>
      </c>
      <c r="T10" s="8">
        <f t="shared" si="0"/>
        <v>69</v>
      </c>
      <c r="U10" s="8">
        <f t="shared" si="12"/>
        <v>71</v>
      </c>
      <c r="V10" s="15">
        <f t="shared" si="13"/>
        <v>76</v>
      </c>
      <c r="W10" s="15">
        <f t="shared" si="14"/>
        <v>80.099999999999994</v>
      </c>
      <c r="X10" s="14"/>
      <c r="Y10" s="14"/>
      <c r="AA10" s="13" t="s">
        <v>54</v>
      </c>
      <c r="AB10" s="12">
        <v>9</v>
      </c>
      <c r="AC10" s="12">
        <v>4.88</v>
      </c>
      <c r="AD10" s="12">
        <v>4.0999999999999996</v>
      </c>
      <c r="AE10" s="12">
        <v>345.9</v>
      </c>
      <c r="AF10" s="12">
        <v>265.79000000000002</v>
      </c>
      <c r="AG10" s="12">
        <v>80.099999999999994</v>
      </c>
      <c r="AJ10">
        <v>159</v>
      </c>
      <c r="AK10">
        <v>265</v>
      </c>
      <c r="AM10" s="45" t="s">
        <v>371</v>
      </c>
      <c r="AN10" s="44">
        <v>76</v>
      </c>
      <c r="AO10" s="47">
        <v>69</v>
      </c>
      <c r="AP10" s="46">
        <v>62</v>
      </c>
      <c r="AQ10" s="46">
        <v>52</v>
      </c>
      <c r="AR10" s="46">
        <v>9</v>
      </c>
      <c r="AS10" s="46">
        <v>9</v>
      </c>
      <c r="AT10" s="46">
        <v>7</v>
      </c>
      <c r="AU10" s="46">
        <v>2</v>
      </c>
      <c r="AV10" s="49">
        <f t="shared" si="15"/>
        <v>0.13518385003604902</v>
      </c>
      <c r="AW10" s="49">
        <f t="shared" si="16"/>
        <v>0.14889815366289458</v>
      </c>
      <c r="AX10" s="49">
        <f t="shared" si="17"/>
        <v>0.12888496096626897</v>
      </c>
      <c r="AY10" s="49">
        <f t="shared" si="18"/>
        <v>4.3905865823674041E-2</v>
      </c>
      <c r="AZ10" s="50">
        <f t="shared" si="19"/>
        <v>1184.2105263157894</v>
      </c>
      <c r="BA10" s="50">
        <f t="shared" si="20"/>
        <v>1304.3478260869565</v>
      </c>
      <c r="BB10" s="50">
        <f t="shared" si="21"/>
        <v>1129.0322580645161</v>
      </c>
      <c r="BC10" s="50">
        <f t="shared" si="22"/>
        <v>384.61538461538464</v>
      </c>
    </row>
    <row r="11" spans="1:55" ht="16.5" thickBot="1">
      <c r="A11" s="6" t="s">
        <v>12</v>
      </c>
      <c r="B11" s="7">
        <v>287</v>
      </c>
      <c r="C11" s="7">
        <v>205</v>
      </c>
      <c r="D11" s="7">
        <v>12</v>
      </c>
      <c r="E11" s="7">
        <v>10</v>
      </c>
      <c r="F11">
        <f t="shared" si="3"/>
        <v>82</v>
      </c>
      <c r="G11">
        <f t="shared" si="4"/>
        <v>2</v>
      </c>
      <c r="H11">
        <f t="shared" si="5"/>
        <v>275</v>
      </c>
      <c r="J11" t="s">
        <v>88</v>
      </c>
      <c r="K11">
        <f t="shared" si="6"/>
        <v>64</v>
      </c>
      <c r="L11">
        <f t="shared" si="7"/>
        <v>141</v>
      </c>
      <c r="M11" s="8">
        <f t="shared" si="8"/>
        <v>195</v>
      </c>
      <c r="N11" s="8">
        <f t="shared" si="9"/>
        <v>205</v>
      </c>
      <c r="O11" s="15">
        <f t="shared" si="10"/>
        <v>234.99</v>
      </c>
      <c r="P11" s="15">
        <f t="shared" si="11"/>
        <v>329.99</v>
      </c>
      <c r="R11" s="8">
        <v>30</v>
      </c>
      <c r="S11" s="8">
        <v>74</v>
      </c>
      <c r="T11" s="8">
        <f t="shared" si="0"/>
        <v>80</v>
      </c>
      <c r="U11" s="8">
        <f t="shared" si="12"/>
        <v>82</v>
      </c>
      <c r="V11" s="15">
        <f t="shared" si="13"/>
        <v>82.7</v>
      </c>
      <c r="W11" s="15">
        <f t="shared" si="14"/>
        <v>89.8</v>
      </c>
      <c r="X11" s="14"/>
      <c r="Y11" s="14"/>
      <c r="AA11" s="12" t="s">
        <v>55</v>
      </c>
      <c r="AB11" s="12">
        <v>102.1</v>
      </c>
      <c r="AC11" s="12">
        <v>95</v>
      </c>
      <c r="AD11" s="12">
        <v>7.1</v>
      </c>
      <c r="AE11" s="12">
        <v>419.8</v>
      </c>
      <c r="AF11" s="12">
        <v>329.99</v>
      </c>
      <c r="AG11" s="12">
        <v>89.8</v>
      </c>
      <c r="AJ11">
        <v>94</v>
      </c>
      <c r="AK11">
        <v>215</v>
      </c>
      <c r="AM11" s="45" t="s">
        <v>372</v>
      </c>
      <c r="AN11" s="44">
        <v>83</v>
      </c>
      <c r="AO11" s="47">
        <v>79</v>
      </c>
      <c r="AP11" s="46">
        <v>74</v>
      </c>
      <c r="AQ11" s="46">
        <v>30</v>
      </c>
      <c r="AR11" s="46">
        <v>10</v>
      </c>
      <c r="AS11" s="46">
        <v>9</v>
      </c>
      <c r="AT11" s="46">
        <v>5</v>
      </c>
      <c r="AU11" s="46">
        <v>1</v>
      </c>
      <c r="AV11" s="49">
        <f t="shared" si="15"/>
        <v>0.137536447158497</v>
      </c>
      <c r="AW11" s="49">
        <f t="shared" si="16"/>
        <v>0.13005028611062944</v>
      </c>
      <c r="AX11" s="49">
        <f t="shared" si="17"/>
        <v>7.7131926446994944E-2</v>
      </c>
      <c r="AY11" s="49">
        <f t="shared" si="18"/>
        <v>3.8051750380517502E-2</v>
      </c>
      <c r="AZ11" s="50">
        <f t="shared" si="19"/>
        <v>1204.8192771084337</v>
      </c>
      <c r="BA11" s="50">
        <f t="shared" si="20"/>
        <v>1139.2405063291139</v>
      </c>
      <c r="BB11" s="50">
        <f t="shared" si="21"/>
        <v>675.67567567567562</v>
      </c>
      <c r="BC11" s="50">
        <f t="shared" si="22"/>
        <v>333.33333333333331</v>
      </c>
    </row>
    <row r="12" spans="1:55" ht="16.5" thickBot="1">
      <c r="A12" s="6" t="s">
        <v>13</v>
      </c>
      <c r="B12" s="7">
        <v>117</v>
      </c>
      <c r="C12" s="7">
        <v>6</v>
      </c>
      <c r="D12" s="7">
        <v>8</v>
      </c>
      <c r="E12" s="7">
        <v>0</v>
      </c>
      <c r="F12">
        <f t="shared" si="3"/>
        <v>111</v>
      </c>
      <c r="G12">
        <f t="shared" si="4"/>
        <v>8</v>
      </c>
      <c r="H12">
        <f t="shared" si="5"/>
        <v>109</v>
      </c>
      <c r="J12" t="s">
        <v>89</v>
      </c>
      <c r="K12">
        <f t="shared" si="6"/>
        <v>-1</v>
      </c>
      <c r="L12">
        <f t="shared" si="7"/>
        <v>7</v>
      </c>
      <c r="M12" s="8">
        <f t="shared" si="8"/>
        <v>6</v>
      </c>
      <c r="N12" s="8">
        <f t="shared" si="9"/>
        <v>6</v>
      </c>
      <c r="O12" s="15">
        <f t="shared" si="10"/>
        <v>19.7</v>
      </c>
      <c r="P12" s="15">
        <f t="shared" si="11"/>
        <v>24.09</v>
      </c>
      <c r="R12" s="8">
        <v>59</v>
      </c>
      <c r="S12" s="8">
        <v>82</v>
      </c>
      <c r="T12" s="8">
        <f t="shared" si="0"/>
        <v>103</v>
      </c>
      <c r="U12" s="8">
        <f t="shared" si="12"/>
        <v>111</v>
      </c>
      <c r="V12" s="15">
        <f t="shared" si="13"/>
        <v>116.89999999999999</v>
      </c>
      <c r="W12" s="15">
        <f t="shared" si="14"/>
        <v>144.19999999999999</v>
      </c>
      <c r="X12" s="14"/>
      <c r="Y12" s="14"/>
      <c r="AA12" s="13" t="s">
        <v>56</v>
      </c>
      <c r="AB12" s="12">
        <v>31.7</v>
      </c>
      <c r="AC12" s="12">
        <v>4.3899999999999997</v>
      </c>
      <c r="AD12" s="12">
        <v>27.3</v>
      </c>
      <c r="AE12" s="12">
        <v>168.3</v>
      </c>
      <c r="AF12" s="12">
        <v>24.09</v>
      </c>
      <c r="AG12" s="12">
        <v>144.19999999999999</v>
      </c>
      <c r="AJ12">
        <v>58</v>
      </c>
      <c r="AK12">
        <v>89</v>
      </c>
      <c r="AM12" s="45" t="s">
        <v>373</v>
      </c>
      <c r="AN12" s="44">
        <v>117</v>
      </c>
      <c r="AO12" s="47">
        <v>102</v>
      </c>
      <c r="AP12" s="46">
        <v>82</v>
      </c>
      <c r="AQ12" s="46">
        <v>59</v>
      </c>
      <c r="AR12" s="46">
        <v>9</v>
      </c>
      <c r="AS12" s="46">
        <v>7</v>
      </c>
      <c r="AT12" s="46">
        <v>5</v>
      </c>
      <c r="AU12" s="46">
        <v>2</v>
      </c>
      <c r="AV12" s="49">
        <f t="shared" si="15"/>
        <v>8.7811731647348082E-2</v>
      </c>
      <c r="AW12" s="49">
        <f t="shared" si="16"/>
        <v>7.8341839018712514E-2</v>
      </c>
      <c r="AX12" s="49">
        <f t="shared" si="17"/>
        <v>6.9606860452166172E-2</v>
      </c>
      <c r="AY12" s="49">
        <f t="shared" si="18"/>
        <v>3.8696695302221189E-2</v>
      </c>
      <c r="AZ12" s="50">
        <f t="shared" si="19"/>
        <v>769.23076923076928</v>
      </c>
      <c r="BA12" s="50">
        <f t="shared" si="20"/>
        <v>686.27450980392155</v>
      </c>
      <c r="BB12" s="50">
        <f t="shared" si="21"/>
        <v>609.7560975609756</v>
      </c>
      <c r="BC12" s="50">
        <f t="shared" si="22"/>
        <v>338.9830508474576</v>
      </c>
    </row>
    <row r="13" spans="1:55" ht="16.5" thickBot="1">
      <c r="A13" s="6" t="s">
        <v>14</v>
      </c>
      <c r="B13" s="7">
        <v>1599</v>
      </c>
      <c r="C13" s="7">
        <v>883</v>
      </c>
      <c r="D13" s="7">
        <v>113</v>
      </c>
      <c r="E13" s="7">
        <v>62</v>
      </c>
      <c r="F13">
        <f t="shared" si="3"/>
        <v>716</v>
      </c>
      <c r="G13">
        <f t="shared" si="4"/>
        <v>51</v>
      </c>
      <c r="H13">
        <f t="shared" si="5"/>
        <v>1486</v>
      </c>
      <c r="J13" t="s">
        <v>90</v>
      </c>
      <c r="K13">
        <f t="shared" si="6"/>
        <v>580</v>
      </c>
      <c r="L13">
        <f t="shared" si="7"/>
        <v>792</v>
      </c>
      <c r="M13" s="8">
        <f t="shared" si="8"/>
        <v>821</v>
      </c>
      <c r="N13" s="8">
        <f t="shared" si="9"/>
        <v>883</v>
      </c>
      <c r="O13" s="15">
        <f t="shared" si="10"/>
        <v>895.91000000000008</v>
      </c>
      <c r="P13" s="15">
        <f t="shared" si="11"/>
        <v>941.08</v>
      </c>
      <c r="R13" s="8">
        <v>327</v>
      </c>
      <c r="S13" s="8">
        <v>540</v>
      </c>
      <c r="T13" s="8">
        <f t="shared" si="0"/>
        <v>665</v>
      </c>
      <c r="U13" s="8">
        <f t="shared" si="12"/>
        <v>716</v>
      </c>
      <c r="V13" s="15">
        <f t="shared" si="13"/>
        <v>788.09999999999991</v>
      </c>
      <c r="W13" s="15">
        <f t="shared" si="14"/>
        <v>974.9</v>
      </c>
      <c r="X13" s="14"/>
      <c r="Y13" s="14"/>
      <c r="AA13" s="13" t="s">
        <v>57</v>
      </c>
      <c r="AB13" s="12">
        <v>232</v>
      </c>
      <c r="AC13" s="12">
        <v>45.17</v>
      </c>
      <c r="AD13" s="12">
        <v>186.8</v>
      </c>
      <c r="AE13" s="12">
        <v>1916</v>
      </c>
      <c r="AF13" s="12">
        <v>941.08</v>
      </c>
      <c r="AG13" s="12">
        <v>974.9</v>
      </c>
      <c r="AJ13">
        <v>907</v>
      </c>
      <c r="AK13">
        <v>1332</v>
      </c>
      <c r="AM13" s="45" t="s">
        <v>374</v>
      </c>
      <c r="AN13" s="44">
        <v>788</v>
      </c>
      <c r="AO13" s="47">
        <v>664</v>
      </c>
      <c r="AP13" s="46">
        <v>540</v>
      </c>
      <c r="AQ13" s="46">
        <v>327</v>
      </c>
      <c r="AR13" s="46">
        <v>61</v>
      </c>
      <c r="AS13" s="46">
        <v>53</v>
      </c>
      <c r="AT13" s="46">
        <v>40</v>
      </c>
      <c r="AU13" s="46">
        <v>19</v>
      </c>
      <c r="AV13" s="49">
        <f t="shared" si="15"/>
        <v>8.8368912685719586E-2</v>
      </c>
      <c r="AW13" s="49">
        <f t="shared" si="16"/>
        <v>9.111789624250427E-2</v>
      </c>
      <c r="AX13" s="49">
        <f t="shared" si="17"/>
        <v>8.4559445290038893E-2</v>
      </c>
      <c r="AY13" s="49">
        <f t="shared" si="18"/>
        <v>6.6328739195397488E-2</v>
      </c>
      <c r="AZ13" s="50">
        <f t="shared" si="19"/>
        <v>774.11167512690361</v>
      </c>
      <c r="BA13" s="50">
        <f t="shared" si="20"/>
        <v>798.19277108433732</v>
      </c>
      <c r="BB13" s="50">
        <f t="shared" si="21"/>
        <v>740.74074074074076</v>
      </c>
      <c r="BC13" s="50">
        <f t="shared" si="22"/>
        <v>581.03975535168195</v>
      </c>
    </row>
    <row r="14" spans="1:55" ht="16.5" thickBot="1">
      <c r="A14" s="6" t="s">
        <v>15</v>
      </c>
      <c r="B14" s="7">
        <v>1409</v>
      </c>
      <c r="C14" s="7">
        <v>428</v>
      </c>
      <c r="D14" s="7">
        <v>70</v>
      </c>
      <c r="E14" s="7">
        <v>14</v>
      </c>
      <c r="F14">
        <f t="shared" si="3"/>
        <v>981</v>
      </c>
      <c r="G14">
        <f t="shared" si="4"/>
        <v>56</v>
      </c>
      <c r="H14">
        <f t="shared" si="5"/>
        <v>1339</v>
      </c>
      <c r="J14" t="s">
        <v>91</v>
      </c>
      <c r="K14">
        <f t="shared" si="6"/>
        <v>315</v>
      </c>
      <c r="L14">
        <f t="shared" si="7"/>
        <v>361</v>
      </c>
      <c r="M14" s="8">
        <f t="shared" si="8"/>
        <v>414</v>
      </c>
      <c r="N14" s="8">
        <f t="shared" si="9"/>
        <v>428</v>
      </c>
      <c r="O14" s="15">
        <f t="shared" si="10"/>
        <v>412.16999999999996</v>
      </c>
      <c r="P14" s="15">
        <f t="shared" si="11"/>
        <v>577.03</v>
      </c>
      <c r="R14" s="8">
        <v>499</v>
      </c>
      <c r="S14" s="8">
        <v>777</v>
      </c>
      <c r="T14" s="8">
        <f t="shared" si="0"/>
        <v>925</v>
      </c>
      <c r="U14" s="8">
        <f t="shared" si="12"/>
        <v>981</v>
      </c>
      <c r="V14" s="15">
        <f t="shared" si="13"/>
        <v>1067.2</v>
      </c>
      <c r="W14" s="15">
        <f t="shared" si="14"/>
        <v>1264.8</v>
      </c>
      <c r="X14" s="14"/>
      <c r="Y14" s="14"/>
      <c r="AA14" s="13" t="s">
        <v>58</v>
      </c>
      <c r="AB14" s="12">
        <v>362.5</v>
      </c>
      <c r="AC14" s="12">
        <v>164.86</v>
      </c>
      <c r="AD14" s="12">
        <v>197.6</v>
      </c>
      <c r="AE14" s="12">
        <v>1841.8</v>
      </c>
      <c r="AF14" s="12">
        <v>577.03</v>
      </c>
      <c r="AG14" s="12">
        <v>1264.8</v>
      </c>
      <c r="AJ14">
        <v>814</v>
      </c>
      <c r="AK14">
        <v>1138</v>
      </c>
      <c r="AM14" s="45" t="s">
        <v>375</v>
      </c>
      <c r="AN14" s="44">
        <v>1067</v>
      </c>
      <c r="AO14" s="47">
        <v>925</v>
      </c>
      <c r="AP14" s="46">
        <v>777</v>
      </c>
      <c r="AQ14" s="46">
        <v>499</v>
      </c>
      <c r="AR14" s="46">
        <v>88</v>
      </c>
      <c r="AS14" s="46">
        <v>75</v>
      </c>
      <c r="AT14" s="46">
        <v>63</v>
      </c>
      <c r="AU14" s="46">
        <v>31</v>
      </c>
      <c r="AV14" s="49">
        <f t="shared" si="15"/>
        <v>9.4148660735301037E-2</v>
      </c>
      <c r="AW14" s="49">
        <f t="shared" si="16"/>
        <v>9.2558311736393922E-2</v>
      </c>
      <c r="AX14" s="49">
        <f t="shared" si="17"/>
        <v>9.2558311736393922E-2</v>
      </c>
      <c r="AY14" s="49">
        <f t="shared" si="18"/>
        <v>7.0918091891545645E-2</v>
      </c>
      <c r="AZ14" s="50">
        <f t="shared" si="19"/>
        <v>824.74226804123714</v>
      </c>
      <c r="BA14" s="50">
        <f t="shared" si="20"/>
        <v>810.81081081081084</v>
      </c>
      <c r="BB14" s="50">
        <f t="shared" si="21"/>
        <v>810.81081081081084</v>
      </c>
      <c r="BC14" s="50">
        <f t="shared" si="22"/>
        <v>621.24248496993982</v>
      </c>
    </row>
    <row r="15" spans="1:55" ht="16.5" thickBot="1">
      <c r="A15" s="6" t="s">
        <v>16</v>
      </c>
      <c r="B15" s="7">
        <v>1272</v>
      </c>
      <c r="C15" s="7">
        <v>774</v>
      </c>
      <c r="D15" s="7">
        <v>19</v>
      </c>
      <c r="E15" s="7">
        <v>1</v>
      </c>
      <c r="F15">
        <f t="shared" si="3"/>
        <v>498</v>
      </c>
      <c r="G15">
        <f t="shared" si="4"/>
        <v>18</v>
      </c>
      <c r="H15">
        <f t="shared" si="5"/>
        <v>1253</v>
      </c>
      <c r="J15" t="s">
        <v>92</v>
      </c>
      <c r="K15">
        <f t="shared" si="6"/>
        <v>565</v>
      </c>
      <c r="L15">
        <f t="shared" si="7"/>
        <v>677</v>
      </c>
      <c r="M15" s="8">
        <f t="shared" si="8"/>
        <v>773</v>
      </c>
      <c r="N15" s="8">
        <f t="shared" si="9"/>
        <v>774</v>
      </c>
      <c r="O15" s="15">
        <f t="shared" si="10"/>
        <v>825.56</v>
      </c>
      <c r="P15" s="15">
        <f t="shared" si="11"/>
        <v>947.02</v>
      </c>
      <c r="R15" s="8">
        <v>323</v>
      </c>
      <c r="S15" s="8">
        <v>441</v>
      </c>
      <c r="T15" s="8">
        <f t="shared" si="0"/>
        <v>480</v>
      </c>
      <c r="U15" s="8">
        <f t="shared" si="12"/>
        <v>498</v>
      </c>
      <c r="V15" s="15">
        <f t="shared" si="13"/>
        <v>544.09999999999991</v>
      </c>
      <c r="W15" s="15">
        <f t="shared" si="14"/>
        <v>759.8</v>
      </c>
      <c r="X15" s="14"/>
      <c r="Y15" s="14"/>
      <c r="AA15" s="13" t="s">
        <v>59</v>
      </c>
      <c r="AB15" s="12">
        <v>337.2</v>
      </c>
      <c r="AC15" s="12">
        <v>121.46</v>
      </c>
      <c r="AD15" s="12">
        <v>215.7</v>
      </c>
      <c r="AE15" s="12">
        <v>1706.8</v>
      </c>
      <c r="AF15" s="12">
        <v>947.02</v>
      </c>
      <c r="AG15" s="12">
        <v>759.8</v>
      </c>
      <c r="AJ15">
        <v>888</v>
      </c>
      <c r="AK15">
        <v>1118</v>
      </c>
      <c r="AM15" s="45" t="s">
        <v>376</v>
      </c>
      <c r="AN15" s="44">
        <v>544</v>
      </c>
      <c r="AO15" s="47">
        <v>480</v>
      </c>
      <c r="AP15" s="46">
        <v>441</v>
      </c>
      <c r="AQ15" s="46">
        <v>323</v>
      </c>
      <c r="AR15" s="46">
        <v>45</v>
      </c>
      <c r="AS15" s="46">
        <v>46</v>
      </c>
      <c r="AT15" s="46">
        <v>36</v>
      </c>
      <c r="AU15" s="46">
        <v>18</v>
      </c>
      <c r="AV15" s="49">
        <f t="shared" si="15"/>
        <v>9.4429895245769543E-2</v>
      </c>
      <c r="AW15" s="49">
        <f t="shared" si="16"/>
        <v>0.10939878234398782</v>
      </c>
      <c r="AX15" s="49">
        <f t="shared" si="17"/>
        <v>9.3187960115553067E-2</v>
      </c>
      <c r="AY15" s="49">
        <f t="shared" si="18"/>
        <v>6.3615929428728957E-2</v>
      </c>
      <c r="AZ15" s="50">
        <f t="shared" si="19"/>
        <v>827.20588235294122</v>
      </c>
      <c r="BA15" s="50">
        <f t="shared" si="20"/>
        <v>958.33333333333337</v>
      </c>
      <c r="BB15" s="50">
        <f t="shared" si="21"/>
        <v>816.32653061224494</v>
      </c>
      <c r="BC15" s="50">
        <f t="shared" si="22"/>
        <v>557.27554179566562</v>
      </c>
    </row>
    <row r="16" spans="1:55" ht="16.5" thickBot="1">
      <c r="A16" s="6" t="s">
        <v>17</v>
      </c>
      <c r="B16" s="7">
        <v>179</v>
      </c>
      <c r="C16" s="7">
        <v>38</v>
      </c>
      <c r="D16" s="7">
        <v>10</v>
      </c>
      <c r="E16" s="7">
        <v>0</v>
      </c>
      <c r="F16">
        <f t="shared" si="3"/>
        <v>141</v>
      </c>
      <c r="G16">
        <f t="shared" si="4"/>
        <v>10</v>
      </c>
      <c r="H16">
        <f t="shared" si="5"/>
        <v>169</v>
      </c>
      <c r="J16" t="s">
        <v>93</v>
      </c>
      <c r="K16">
        <f t="shared" si="6"/>
        <v>-17</v>
      </c>
      <c r="L16">
        <f t="shared" si="7"/>
        <v>37</v>
      </c>
      <c r="M16" s="8">
        <f t="shared" ref="M16:M35" si="23">C16-E16</f>
        <v>38</v>
      </c>
      <c r="N16" s="8">
        <f t="shared" ref="N16:N35" si="24">C16</f>
        <v>38</v>
      </c>
      <c r="O16" s="15">
        <f t="shared" ref="O16:O35" si="25">AF16-AC16</f>
        <v>37.799999999999997</v>
      </c>
      <c r="P16" s="15">
        <f t="shared" ref="P16:P35" si="26">AF16</f>
        <v>39.159999999999997</v>
      </c>
      <c r="R16" s="8">
        <v>109</v>
      </c>
      <c r="S16" s="8">
        <v>111</v>
      </c>
      <c r="T16" s="8">
        <f t="shared" ref="T16:T35" si="27">F16-G16</f>
        <v>131</v>
      </c>
      <c r="U16" s="8">
        <f t="shared" ref="U16:U35" si="28">B16-C16</f>
        <v>141</v>
      </c>
      <c r="V16" s="15">
        <f t="shared" ref="V16:V35" si="29">AG16-AD16</f>
        <v>164.3</v>
      </c>
      <c r="W16" s="15">
        <f t="shared" ref="W16:W35" si="30">AG16</f>
        <v>237.9</v>
      </c>
      <c r="X16" s="14"/>
      <c r="Y16" s="14"/>
      <c r="AA16" s="13" t="s">
        <v>60</v>
      </c>
      <c r="AB16" s="12">
        <v>75</v>
      </c>
      <c r="AC16" s="12">
        <v>1.36</v>
      </c>
      <c r="AD16" s="12">
        <v>73.599999999999994</v>
      </c>
      <c r="AE16" s="12">
        <v>277</v>
      </c>
      <c r="AF16" s="12">
        <v>39.159999999999997</v>
      </c>
      <c r="AG16" s="12">
        <v>237.9</v>
      </c>
      <c r="AJ16">
        <v>92</v>
      </c>
      <c r="AK16">
        <v>148</v>
      </c>
      <c r="AM16" s="45" t="s">
        <v>377</v>
      </c>
      <c r="AN16" s="44">
        <v>164</v>
      </c>
      <c r="AO16" s="47">
        <v>131</v>
      </c>
      <c r="AP16" s="46">
        <v>111</v>
      </c>
      <c r="AQ16" s="43">
        <v>109</v>
      </c>
      <c r="AR16" s="43">
        <v>15</v>
      </c>
      <c r="AS16" s="43">
        <v>11</v>
      </c>
      <c r="AT16" s="46">
        <v>9</v>
      </c>
      <c r="AU16" s="46">
        <v>3</v>
      </c>
      <c r="AV16" s="49">
        <f t="shared" si="15"/>
        <v>0.10441029067824925</v>
      </c>
      <c r="AW16" s="49">
        <f t="shared" si="16"/>
        <v>9.585555439367005E-2</v>
      </c>
      <c r="AX16" s="49">
        <f t="shared" si="17"/>
        <v>9.2558311736393922E-2</v>
      </c>
      <c r="AY16" s="49">
        <f t="shared" si="18"/>
        <v>3.1418876460977754E-2</v>
      </c>
      <c r="AZ16" s="50">
        <f t="shared" si="19"/>
        <v>914.63414634146341</v>
      </c>
      <c r="BA16" s="50">
        <f t="shared" si="20"/>
        <v>839.69465648854964</v>
      </c>
      <c r="BB16" s="50">
        <f t="shared" si="21"/>
        <v>810.81081081081084</v>
      </c>
      <c r="BC16" s="50">
        <f t="shared" si="22"/>
        <v>275.22935779816515</v>
      </c>
    </row>
    <row r="17" spans="1:55" ht="16.5" thickBot="1">
      <c r="A17" s="6" t="s">
        <v>18</v>
      </c>
      <c r="B17" s="7">
        <v>678</v>
      </c>
      <c r="C17" s="7">
        <v>394</v>
      </c>
      <c r="D17" s="7">
        <v>48</v>
      </c>
      <c r="E17" s="7">
        <v>27</v>
      </c>
      <c r="F17">
        <f t="shared" si="3"/>
        <v>284</v>
      </c>
      <c r="G17">
        <f t="shared" si="4"/>
        <v>21</v>
      </c>
      <c r="H17">
        <f t="shared" si="5"/>
        <v>630</v>
      </c>
      <c r="J17" t="s">
        <v>94</v>
      </c>
      <c r="K17">
        <f t="shared" si="6"/>
        <v>277</v>
      </c>
      <c r="L17">
        <f t="shared" si="7"/>
        <v>294</v>
      </c>
      <c r="M17" s="8">
        <f t="shared" si="23"/>
        <v>367</v>
      </c>
      <c r="N17" s="8">
        <f t="shared" si="24"/>
        <v>394</v>
      </c>
      <c r="O17" s="15">
        <f t="shared" si="25"/>
        <v>476.66</v>
      </c>
      <c r="P17" s="15">
        <f t="shared" si="26"/>
        <v>551.95000000000005</v>
      </c>
      <c r="R17" s="8">
        <v>172</v>
      </c>
      <c r="S17" s="8">
        <v>242</v>
      </c>
      <c r="T17" s="8">
        <f t="shared" si="27"/>
        <v>263</v>
      </c>
      <c r="U17" s="8">
        <f t="shared" si="28"/>
        <v>284</v>
      </c>
      <c r="V17" s="15">
        <f t="shared" si="29"/>
        <v>299.2</v>
      </c>
      <c r="W17" s="15">
        <f t="shared" si="30"/>
        <v>359.2</v>
      </c>
      <c r="X17" s="14"/>
      <c r="Y17" s="14"/>
      <c r="AA17" s="13" t="s">
        <v>61</v>
      </c>
      <c r="AB17" s="12">
        <v>135.30000000000001</v>
      </c>
      <c r="AC17" s="12">
        <v>75.290000000000006</v>
      </c>
      <c r="AD17" s="12">
        <v>60</v>
      </c>
      <c r="AE17" s="12">
        <v>911.1</v>
      </c>
      <c r="AF17" s="12">
        <v>551.95000000000005</v>
      </c>
      <c r="AG17" s="12">
        <v>359.2</v>
      </c>
      <c r="AJ17">
        <v>449</v>
      </c>
      <c r="AK17">
        <v>536</v>
      </c>
      <c r="AM17" s="45" t="s">
        <v>378</v>
      </c>
      <c r="AN17" s="44">
        <v>299</v>
      </c>
      <c r="AO17" s="47">
        <v>262</v>
      </c>
      <c r="AP17" s="46">
        <v>242</v>
      </c>
      <c r="AQ17" s="46">
        <v>172</v>
      </c>
      <c r="AR17" s="46">
        <v>26</v>
      </c>
      <c r="AS17" s="46">
        <v>24</v>
      </c>
      <c r="AT17" s="46">
        <v>21</v>
      </c>
      <c r="AU17" s="46">
        <v>8</v>
      </c>
      <c r="AV17" s="49">
        <f t="shared" si="15"/>
        <v>9.9265435775263047E-2</v>
      </c>
      <c r="AW17" s="49">
        <f t="shared" si="16"/>
        <v>0.10456969570218551</v>
      </c>
      <c r="AX17" s="49">
        <f t="shared" si="17"/>
        <v>9.9060341899694329E-2</v>
      </c>
      <c r="AY17" s="49">
        <f t="shared" si="18"/>
        <v>5.3095465647233726E-2</v>
      </c>
      <c r="AZ17" s="50">
        <f t="shared" si="19"/>
        <v>869.56521739130437</v>
      </c>
      <c r="BA17" s="50">
        <f t="shared" si="20"/>
        <v>916.03053435114509</v>
      </c>
      <c r="BB17" s="50">
        <f t="shared" si="21"/>
        <v>867.76859504132233</v>
      </c>
      <c r="BC17" s="50">
        <f t="shared" si="22"/>
        <v>465.11627906976742</v>
      </c>
    </row>
    <row r="18" spans="1:55" ht="16.5" thickBot="1">
      <c r="A18" s="6" t="s">
        <v>19</v>
      </c>
      <c r="B18" s="7">
        <v>1801</v>
      </c>
      <c r="C18" s="7">
        <v>739</v>
      </c>
      <c r="D18" s="7">
        <v>181</v>
      </c>
      <c r="E18" s="7">
        <v>62</v>
      </c>
      <c r="F18">
        <f t="shared" si="3"/>
        <v>1062</v>
      </c>
      <c r="G18">
        <f t="shared" si="4"/>
        <v>119</v>
      </c>
      <c r="H18">
        <f t="shared" si="5"/>
        <v>1620</v>
      </c>
      <c r="J18" t="s">
        <v>95</v>
      </c>
      <c r="K18">
        <f t="shared" si="6"/>
        <v>578</v>
      </c>
      <c r="L18">
        <f t="shared" si="7"/>
        <v>648</v>
      </c>
      <c r="M18" s="8">
        <f t="shared" si="23"/>
        <v>677</v>
      </c>
      <c r="N18" s="8">
        <f t="shared" si="24"/>
        <v>739</v>
      </c>
      <c r="O18" s="15">
        <f t="shared" si="25"/>
        <v>805.02</v>
      </c>
      <c r="P18" s="15">
        <f t="shared" si="26"/>
        <v>1008.97</v>
      </c>
      <c r="R18" s="8">
        <v>474</v>
      </c>
      <c r="S18" s="8">
        <v>713</v>
      </c>
      <c r="T18" s="8">
        <f t="shared" si="27"/>
        <v>943</v>
      </c>
      <c r="U18" s="8">
        <f t="shared" si="28"/>
        <v>1062</v>
      </c>
      <c r="V18" s="15">
        <f t="shared" si="29"/>
        <v>1467.4</v>
      </c>
      <c r="W18" s="15">
        <f t="shared" si="30"/>
        <v>2334.4</v>
      </c>
      <c r="X18" s="14"/>
      <c r="Y18" s="14"/>
      <c r="AA18" s="13" t="s">
        <v>51</v>
      </c>
      <c r="AB18" s="12">
        <v>1070.9000000000001</v>
      </c>
      <c r="AC18" s="12">
        <v>203.95</v>
      </c>
      <c r="AD18" s="12">
        <v>867</v>
      </c>
      <c r="AE18" s="12">
        <v>3343.4</v>
      </c>
      <c r="AF18" s="12">
        <v>1008.97</v>
      </c>
      <c r="AG18" s="12">
        <v>2334.4</v>
      </c>
      <c r="AJ18">
        <v>1052</v>
      </c>
      <c r="AK18">
        <v>1361</v>
      </c>
      <c r="AM18" s="45" t="s">
        <v>379</v>
      </c>
      <c r="AN18" s="44">
        <v>1467</v>
      </c>
      <c r="AO18" s="47">
        <v>942</v>
      </c>
      <c r="AP18" s="46">
        <v>713</v>
      </c>
      <c r="AQ18" s="46">
        <v>474</v>
      </c>
      <c r="AR18" s="46">
        <v>117</v>
      </c>
      <c r="AS18" s="46">
        <v>80</v>
      </c>
      <c r="AT18" s="46">
        <v>60</v>
      </c>
      <c r="AU18" s="46">
        <v>20</v>
      </c>
      <c r="AV18" s="49">
        <f t="shared" si="15"/>
        <v>9.1044065327618565E-2</v>
      </c>
      <c r="AW18" s="49">
        <f t="shared" si="16"/>
        <v>9.6947134727433132E-2</v>
      </c>
      <c r="AX18" s="49">
        <f t="shared" si="17"/>
        <v>9.6063324943802958E-2</v>
      </c>
      <c r="AY18" s="49">
        <f t="shared" si="18"/>
        <v>4.816677263356646E-2</v>
      </c>
      <c r="AZ18" s="50">
        <f t="shared" si="19"/>
        <v>797.54601226993861</v>
      </c>
      <c r="BA18" s="50">
        <f t="shared" si="20"/>
        <v>849.25690021231424</v>
      </c>
      <c r="BB18" s="50">
        <f t="shared" si="21"/>
        <v>841.51472650771393</v>
      </c>
      <c r="BC18" s="50">
        <f t="shared" si="22"/>
        <v>421.94092827004221</v>
      </c>
    </row>
    <row r="19" spans="1:55" ht="16.5" thickBot="1">
      <c r="A19" s="6" t="s">
        <v>20</v>
      </c>
      <c r="B19" s="7">
        <v>1089</v>
      </c>
      <c r="C19" s="7">
        <v>600</v>
      </c>
      <c r="D19" s="7">
        <v>35</v>
      </c>
      <c r="E19" s="7">
        <v>0</v>
      </c>
      <c r="F19">
        <f t="shared" si="3"/>
        <v>489</v>
      </c>
      <c r="G19">
        <f t="shared" si="4"/>
        <v>35</v>
      </c>
      <c r="H19">
        <f t="shared" si="5"/>
        <v>1054</v>
      </c>
      <c r="J19" t="s">
        <v>96</v>
      </c>
      <c r="K19">
        <f t="shared" si="6"/>
        <v>492</v>
      </c>
      <c r="L19">
        <f t="shared" si="7"/>
        <v>600</v>
      </c>
      <c r="M19" s="8">
        <f t="shared" si="23"/>
        <v>600</v>
      </c>
      <c r="N19" s="8">
        <f t="shared" si="24"/>
        <v>600</v>
      </c>
      <c r="O19" s="15">
        <f t="shared" si="25"/>
        <v>603.84999999999991</v>
      </c>
      <c r="P19" s="15">
        <f t="shared" si="26"/>
        <v>625.79999999999995</v>
      </c>
      <c r="R19" s="8">
        <v>211</v>
      </c>
      <c r="S19" s="8">
        <v>391</v>
      </c>
      <c r="T19" s="8">
        <f t="shared" si="27"/>
        <v>454</v>
      </c>
      <c r="U19" s="8">
        <f t="shared" si="28"/>
        <v>489</v>
      </c>
      <c r="V19" s="15">
        <f t="shared" si="29"/>
        <v>570.79999999999995</v>
      </c>
      <c r="W19" s="15">
        <f t="shared" si="30"/>
        <v>929.8</v>
      </c>
      <c r="X19" s="14"/>
      <c r="Y19" s="14"/>
      <c r="AA19" s="13" t="s">
        <v>62</v>
      </c>
      <c r="AB19" s="12">
        <v>381</v>
      </c>
      <c r="AC19" s="12">
        <v>21.95</v>
      </c>
      <c r="AD19" s="12">
        <v>359</v>
      </c>
      <c r="AE19" s="12">
        <v>1555.6</v>
      </c>
      <c r="AF19" s="12">
        <v>625.79999999999995</v>
      </c>
      <c r="AG19" s="12">
        <v>929.8</v>
      </c>
      <c r="AJ19">
        <v>703</v>
      </c>
      <c r="AK19">
        <v>991</v>
      </c>
      <c r="AM19" s="45" t="s">
        <v>380</v>
      </c>
      <c r="AN19" s="44">
        <v>571</v>
      </c>
      <c r="AO19" s="47">
        <v>454</v>
      </c>
      <c r="AP19" s="46">
        <v>391</v>
      </c>
      <c r="AQ19" s="46">
        <v>211</v>
      </c>
      <c r="AR19" s="46">
        <v>49</v>
      </c>
      <c r="AS19" s="46">
        <v>38</v>
      </c>
      <c r="AT19" s="46">
        <v>27</v>
      </c>
      <c r="AU19" s="46">
        <v>4</v>
      </c>
      <c r="AV19" s="49">
        <f t="shared" si="15"/>
        <v>9.7961599053171158E-2</v>
      </c>
      <c r="AW19" s="49">
        <f t="shared" si="16"/>
        <v>9.5548448092048363E-2</v>
      </c>
      <c r="AX19" s="49">
        <f t="shared" si="17"/>
        <v>7.8828434292120664E-2</v>
      </c>
      <c r="AY19" s="49">
        <f t="shared" si="18"/>
        <v>2.1640805903611851E-2</v>
      </c>
      <c r="AZ19" s="50">
        <f t="shared" si="19"/>
        <v>858.14360770577935</v>
      </c>
      <c r="BA19" s="50">
        <f t="shared" si="20"/>
        <v>837.00440528634363</v>
      </c>
      <c r="BB19" s="50">
        <f t="shared" si="21"/>
        <v>690.53708439897696</v>
      </c>
      <c r="BC19" s="50">
        <f t="shared" si="22"/>
        <v>189.57345971563981</v>
      </c>
    </row>
    <row r="20" spans="1:55" ht="16.5" thickBot="1">
      <c r="A20" s="6" t="s">
        <v>21</v>
      </c>
      <c r="B20" s="7">
        <v>647</v>
      </c>
      <c r="C20" s="7">
        <v>440</v>
      </c>
      <c r="D20" s="7">
        <v>26</v>
      </c>
      <c r="E20" s="7">
        <v>20</v>
      </c>
      <c r="F20">
        <f t="shared" si="3"/>
        <v>207</v>
      </c>
      <c r="G20">
        <f t="shared" si="4"/>
        <v>6</v>
      </c>
      <c r="H20">
        <f t="shared" si="5"/>
        <v>621</v>
      </c>
      <c r="J20" t="s">
        <v>97</v>
      </c>
      <c r="K20">
        <f t="shared" si="6"/>
        <v>236</v>
      </c>
      <c r="L20">
        <f t="shared" si="7"/>
        <v>335</v>
      </c>
      <c r="M20" s="8">
        <f t="shared" si="23"/>
        <v>420</v>
      </c>
      <c r="N20" s="8">
        <f t="shared" si="24"/>
        <v>440</v>
      </c>
      <c r="O20" s="15">
        <f t="shared" si="25"/>
        <v>485.65999999999997</v>
      </c>
      <c r="P20" s="15">
        <f t="shared" si="26"/>
        <v>713</v>
      </c>
      <c r="R20" s="8">
        <v>177</v>
      </c>
      <c r="S20" s="8">
        <v>175</v>
      </c>
      <c r="T20" s="8">
        <f t="shared" si="27"/>
        <v>201</v>
      </c>
      <c r="U20" s="8">
        <f t="shared" si="28"/>
        <v>207</v>
      </c>
      <c r="V20" s="15">
        <f t="shared" si="29"/>
        <v>211.9</v>
      </c>
      <c r="W20" s="15">
        <f t="shared" si="30"/>
        <v>239.6</v>
      </c>
      <c r="X20" s="14"/>
      <c r="Y20" s="14"/>
      <c r="AA20" s="13" t="s">
        <v>63</v>
      </c>
      <c r="AB20" s="12">
        <v>255</v>
      </c>
      <c r="AC20" s="12">
        <v>227.34</v>
      </c>
      <c r="AD20" s="12">
        <v>27.7</v>
      </c>
      <c r="AE20" s="12">
        <v>952.6</v>
      </c>
      <c r="AF20" s="12">
        <v>713</v>
      </c>
      <c r="AG20" s="12">
        <v>239.6</v>
      </c>
      <c r="AJ20">
        <v>413</v>
      </c>
      <c r="AK20">
        <v>510</v>
      </c>
      <c r="AM20" s="45" t="s">
        <v>381</v>
      </c>
      <c r="AN20" s="44">
        <v>212</v>
      </c>
      <c r="AO20" s="47">
        <v>202</v>
      </c>
      <c r="AP20" s="46">
        <v>175</v>
      </c>
      <c r="AQ20" s="46">
        <v>177</v>
      </c>
      <c r="AR20" s="46">
        <v>19</v>
      </c>
      <c r="AS20" s="46">
        <v>17</v>
      </c>
      <c r="AT20" s="46">
        <v>13</v>
      </c>
      <c r="AU20" s="46">
        <v>5</v>
      </c>
      <c r="AV20" s="49">
        <f t="shared" si="15"/>
        <v>0.10230895149478762</v>
      </c>
      <c r="AW20" s="49">
        <f t="shared" si="16"/>
        <v>9.6071250960712506E-2</v>
      </c>
      <c r="AX20" s="49">
        <f t="shared" si="17"/>
        <v>8.4801043705153289E-2</v>
      </c>
      <c r="AY20" s="49">
        <f t="shared" si="18"/>
        <v>3.2247246085184325E-2</v>
      </c>
      <c r="AZ20" s="50">
        <f t="shared" si="19"/>
        <v>896.22641509433959</v>
      </c>
      <c r="BA20" s="50">
        <f t="shared" si="20"/>
        <v>841.58415841584156</v>
      </c>
      <c r="BB20" s="50">
        <f t="shared" si="21"/>
        <v>742.85714285714289</v>
      </c>
      <c r="BC20" s="50">
        <f t="shared" si="22"/>
        <v>282.4858757062147</v>
      </c>
    </row>
    <row r="21" spans="1:55" ht="16.5" thickBot="1">
      <c r="A21" s="6" t="s">
        <v>22</v>
      </c>
      <c r="B21" s="7">
        <v>360</v>
      </c>
      <c r="C21" s="7">
        <v>169</v>
      </c>
      <c r="D21" s="7">
        <v>16</v>
      </c>
      <c r="E21" s="7">
        <v>14</v>
      </c>
      <c r="F21">
        <f t="shared" si="3"/>
        <v>191</v>
      </c>
      <c r="G21">
        <f t="shared" si="4"/>
        <v>2</v>
      </c>
      <c r="H21">
        <f t="shared" si="5"/>
        <v>344</v>
      </c>
      <c r="J21" t="s">
        <v>98</v>
      </c>
      <c r="K21">
        <f t="shared" si="6"/>
        <v>86</v>
      </c>
      <c r="L21">
        <f t="shared" si="7"/>
        <v>126</v>
      </c>
      <c r="M21" s="8">
        <f t="shared" si="23"/>
        <v>155</v>
      </c>
      <c r="N21" s="8">
        <f t="shared" si="24"/>
        <v>169</v>
      </c>
      <c r="O21" s="15">
        <f t="shared" si="25"/>
        <v>190.62</v>
      </c>
      <c r="P21" s="15">
        <f t="shared" si="26"/>
        <v>220.15</v>
      </c>
      <c r="R21" s="8">
        <v>90</v>
      </c>
      <c r="S21" s="8">
        <v>166</v>
      </c>
      <c r="T21" s="8">
        <f t="shared" si="27"/>
        <v>189</v>
      </c>
      <c r="U21" s="8">
        <f t="shared" si="28"/>
        <v>191</v>
      </c>
      <c r="V21" s="15">
        <f t="shared" si="29"/>
        <v>200.1</v>
      </c>
      <c r="W21" s="15">
        <f t="shared" si="30"/>
        <v>231</v>
      </c>
      <c r="X21" s="14"/>
      <c r="Y21" s="14"/>
      <c r="AA21" s="13" t="s">
        <v>64</v>
      </c>
      <c r="AB21" s="12">
        <v>60.5</v>
      </c>
      <c r="AC21" s="12">
        <v>29.53</v>
      </c>
      <c r="AD21" s="12">
        <v>30.9</v>
      </c>
      <c r="AE21" s="12">
        <v>451.1</v>
      </c>
      <c r="AF21" s="12">
        <v>220.15</v>
      </c>
      <c r="AG21" s="12">
        <v>231</v>
      </c>
      <c r="AJ21">
        <v>176</v>
      </c>
      <c r="AK21">
        <v>292</v>
      </c>
      <c r="AM21" s="45" t="s">
        <v>382</v>
      </c>
      <c r="AN21" s="44">
        <v>200</v>
      </c>
      <c r="AO21" s="47">
        <v>189</v>
      </c>
      <c r="AP21" s="46">
        <v>166</v>
      </c>
      <c r="AQ21" s="46">
        <v>90</v>
      </c>
      <c r="AR21" s="46">
        <v>14</v>
      </c>
      <c r="AS21" s="46">
        <v>13</v>
      </c>
      <c r="AT21" s="46">
        <v>10</v>
      </c>
      <c r="AU21" s="46">
        <v>4</v>
      </c>
      <c r="AV21" s="49">
        <f t="shared" si="15"/>
        <v>7.9908675799086754E-2</v>
      </c>
      <c r="AW21" s="49">
        <f t="shared" si="16"/>
        <v>7.8519484912178972E-2</v>
      </c>
      <c r="AX21" s="49">
        <f t="shared" si="17"/>
        <v>6.87682235792485E-2</v>
      </c>
      <c r="AY21" s="49">
        <f t="shared" si="18"/>
        <v>5.0735667174023336E-2</v>
      </c>
      <c r="AZ21" s="50">
        <f t="shared" si="19"/>
        <v>700</v>
      </c>
      <c r="BA21" s="50">
        <f t="shared" si="20"/>
        <v>687.83068783068779</v>
      </c>
      <c r="BB21" s="50">
        <f t="shared" si="21"/>
        <v>602.40963855421683</v>
      </c>
      <c r="BC21" s="50">
        <f t="shared" si="22"/>
        <v>444.44444444444446</v>
      </c>
    </row>
    <row r="22" spans="1:55" ht="16.5" thickBot="1">
      <c r="A22" s="6" t="s">
        <v>23</v>
      </c>
      <c r="B22" s="7">
        <v>697</v>
      </c>
      <c r="C22" s="7">
        <v>371</v>
      </c>
      <c r="D22" s="7">
        <v>87</v>
      </c>
      <c r="E22" s="7">
        <v>69</v>
      </c>
      <c r="F22">
        <f t="shared" si="3"/>
        <v>326</v>
      </c>
      <c r="G22">
        <f t="shared" si="4"/>
        <v>18</v>
      </c>
      <c r="H22">
        <f t="shared" si="5"/>
        <v>610</v>
      </c>
      <c r="J22" t="s">
        <v>99</v>
      </c>
      <c r="K22">
        <f t="shared" si="6"/>
        <v>210</v>
      </c>
      <c r="L22">
        <f t="shared" si="7"/>
        <v>318</v>
      </c>
      <c r="M22" s="8">
        <f t="shared" si="23"/>
        <v>302</v>
      </c>
      <c r="N22" s="8">
        <f t="shared" si="24"/>
        <v>371</v>
      </c>
      <c r="O22" s="15">
        <f t="shared" si="25"/>
        <v>408.82</v>
      </c>
      <c r="P22" s="15">
        <f t="shared" si="26"/>
        <v>508.2</v>
      </c>
      <c r="R22" s="8">
        <v>122</v>
      </c>
      <c r="S22" s="8">
        <v>209</v>
      </c>
      <c r="T22" s="8">
        <f t="shared" si="27"/>
        <v>308</v>
      </c>
      <c r="U22" s="8">
        <f t="shared" si="28"/>
        <v>326</v>
      </c>
      <c r="V22" s="15">
        <f t="shared" si="29"/>
        <v>384.9</v>
      </c>
      <c r="W22" s="15">
        <f t="shared" si="30"/>
        <v>511.9</v>
      </c>
      <c r="X22" s="14"/>
      <c r="Y22" s="14"/>
      <c r="AA22" s="13" t="s">
        <v>74</v>
      </c>
      <c r="AB22" s="12">
        <v>226.4</v>
      </c>
      <c r="AC22" s="12">
        <v>99.38</v>
      </c>
      <c r="AD22" s="12">
        <v>127</v>
      </c>
      <c r="AE22" s="12">
        <v>1020.1</v>
      </c>
      <c r="AF22" s="12">
        <v>508.2</v>
      </c>
      <c r="AG22" s="12">
        <v>511.9</v>
      </c>
      <c r="AJ22">
        <v>332</v>
      </c>
      <c r="AK22">
        <v>527</v>
      </c>
      <c r="AM22" s="45" t="s">
        <v>383</v>
      </c>
      <c r="AN22" s="44">
        <v>385</v>
      </c>
      <c r="AO22" s="47">
        <v>256</v>
      </c>
      <c r="AP22" s="46">
        <v>209</v>
      </c>
      <c r="AQ22" s="46">
        <v>122</v>
      </c>
      <c r="AR22" s="46">
        <v>32</v>
      </c>
      <c r="AS22" s="46">
        <v>22</v>
      </c>
      <c r="AT22" s="46">
        <v>15</v>
      </c>
      <c r="AU22" s="46">
        <v>8</v>
      </c>
      <c r="AV22" s="49">
        <f t="shared" si="15"/>
        <v>9.4882286663108578E-2</v>
      </c>
      <c r="AW22" s="49">
        <f t="shared" si="16"/>
        <v>9.8102168949771695E-2</v>
      </c>
      <c r="AX22" s="49">
        <f t="shared" si="17"/>
        <v>8.1929606082453962E-2</v>
      </c>
      <c r="AY22" s="49">
        <f t="shared" si="18"/>
        <v>7.4855902387903281E-2</v>
      </c>
      <c r="AZ22" s="50">
        <f t="shared" si="19"/>
        <v>831.16883116883116</v>
      </c>
      <c r="BA22" s="50">
        <f t="shared" si="20"/>
        <v>859.375</v>
      </c>
      <c r="BB22" s="50">
        <f t="shared" si="21"/>
        <v>717.7033492822967</v>
      </c>
      <c r="BC22" s="50">
        <f t="shared" si="22"/>
        <v>655.73770491803282</v>
      </c>
    </row>
    <row r="23" spans="1:55" ht="16.5" thickBot="1">
      <c r="A23" s="6" t="s">
        <v>24</v>
      </c>
      <c r="B23" s="7">
        <v>165</v>
      </c>
      <c r="C23" s="7">
        <v>132</v>
      </c>
      <c r="D23" s="7">
        <v>30</v>
      </c>
      <c r="E23" s="7">
        <v>27</v>
      </c>
      <c r="F23">
        <f t="shared" si="3"/>
        <v>33</v>
      </c>
      <c r="G23">
        <f t="shared" si="4"/>
        <v>3</v>
      </c>
      <c r="H23">
        <f t="shared" si="5"/>
        <v>135</v>
      </c>
      <c r="J23" t="s">
        <v>100</v>
      </c>
      <c r="K23">
        <f t="shared" si="6"/>
        <v>-295</v>
      </c>
      <c r="L23">
        <f t="shared" si="7"/>
        <v>95</v>
      </c>
      <c r="M23" s="8">
        <f t="shared" si="23"/>
        <v>105</v>
      </c>
      <c r="N23" s="8">
        <f t="shared" si="24"/>
        <v>132</v>
      </c>
      <c r="O23" s="15">
        <f t="shared" si="25"/>
        <v>162.46000000000004</v>
      </c>
      <c r="P23" s="15">
        <f t="shared" si="26"/>
        <v>259.16000000000003</v>
      </c>
      <c r="R23" s="8">
        <v>373</v>
      </c>
      <c r="S23" s="8">
        <v>29</v>
      </c>
      <c r="T23" s="8">
        <f t="shared" si="27"/>
        <v>30</v>
      </c>
      <c r="U23" s="8">
        <f t="shared" si="28"/>
        <v>33</v>
      </c>
      <c r="V23" s="15">
        <f t="shared" si="29"/>
        <v>42.7</v>
      </c>
      <c r="W23" s="15">
        <f t="shared" si="30"/>
        <v>52.6</v>
      </c>
      <c r="X23" s="14"/>
      <c r="Y23" s="14"/>
      <c r="AA23" s="13" t="s">
        <v>75</v>
      </c>
      <c r="AB23" s="12">
        <v>106.6</v>
      </c>
      <c r="AC23" s="12">
        <v>96.7</v>
      </c>
      <c r="AD23" s="12">
        <v>9.9</v>
      </c>
      <c r="AE23" s="12">
        <v>311.7</v>
      </c>
      <c r="AF23" s="12">
        <v>259.16000000000003</v>
      </c>
      <c r="AG23" s="12">
        <v>52.6</v>
      </c>
      <c r="AJ23">
        <v>78</v>
      </c>
      <c r="AK23">
        <v>124</v>
      </c>
      <c r="AM23" s="45" t="s">
        <v>384</v>
      </c>
      <c r="AN23" s="44">
        <v>40</v>
      </c>
      <c r="AO23" s="47">
        <v>29</v>
      </c>
      <c r="AP23" s="46">
        <v>29</v>
      </c>
      <c r="AQ23" s="46">
        <v>373</v>
      </c>
      <c r="AR23" s="46">
        <v>3</v>
      </c>
      <c r="AS23" s="46">
        <v>2</v>
      </c>
      <c r="AT23" s="46">
        <v>1</v>
      </c>
      <c r="AU23" s="46">
        <v>1</v>
      </c>
      <c r="AV23" s="49">
        <f t="shared" si="15"/>
        <v>8.5616438356164379E-2</v>
      </c>
      <c r="AW23" s="49">
        <f t="shared" si="16"/>
        <v>7.8727759407967252E-2</v>
      </c>
      <c r="AX23" s="49">
        <f t="shared" si="17"/>
        <v>3.9363879703983626E-2</v>
      </c>
      <c r="AY23" s="49">
        <f t="shared" si="18"/>
        <v>3.0604624970925606E-3</v>
      </c>
      <c r="AZ23" s="50">
        <f t="shared" si="19"/>
        <v>750</v>
      </c>
      <c r="BA23" s="50">
        <f t="shared" si="20"/>
        <v>689.65517241379314</v>
      </c>
      <c r="BB23" s="50">
        <f t="shared" si="21"/>
        <v>344.82758620689657</v>
      </c>
      <c r="BC23" s="50">
        <f t="shared" si="22"/>
        <v>26.809651474530831</v>
      </c>
    </row>
    <row r="24" spans="1:55" ht="16.5" thickBot="1">
      <c r="A24" s="6" t="s">
        <v>25</v>
      </c>
      <c r="B24" s="7">
        <v>140</v>
      </c>
      <c r="C24" s="7">
        <v>127</v>
      </c>
      <c r="D24" s="7">
        <v>0</v>
      </c>
      <c r="E24" s="7">
        <v>0</v>
      </c>
      <c r="F24">
        <f t="shared" si="3"/>
        <v>13</v>
      </c>
      <c r="G24">
        <f t="shared" si="4"/>
        <v>0</v>
      </c>
      <c r="H24">
        <f t="shared" si="5"/>
        <v>140</v>
      </c>
      <c r="J24" t="s">
        <v>101</v>
      </c>
      <c r="K24">
        <f t="shared" si="6"/>
        <v>32</v>
      </c>
      <c r="L24">
        <f t="shared" si="7"/>
        <v>123</v>
      </c>
      <c r="M24" s="8">
        <f t="shared" si="23"/>
        <v>127</v>
      </c>
      <c r="N24" s="8">
        <f t="shared" si="24"/>
        <v>127</v>
      </c>
      <c r="O24" s="15">
        <f t="shared" si="25"/>
        <v>108.00999999999999</v>
      </c>
      <c r="P24" s="15">
        <f t="shared" si="26"/>
        <v>127.1</v>
      </c>
      <c r="R24" s="8">
        <v>11</v>
      </c>
      <c r="S24" s="8">
        <v>13</v>
      </c>
      <c r="T24" s="8">
        <f t="shared" si="27"/>
        <v>13</v>
      </c>
      <c r="U24" s="8">
        <f t="shared" si="28"/>
        <v>13</v>
      </c>
      <c r="V24" s="15">
        <f t="shared" si="29"/>
        <v>12.599999999999998</v>
      </c>
      <c r="W24" s="15">
        <f t="shared" si="30"/>
        <v>19.399999999999999</v>
      </c>
      <c r="X24" s="14"/>
      <c r="Y24" s="14"/>
      <c r="AA24" s="13" t="s">
        <v>76</v>
      </c>
      <c r="AB24" s="12">
        <v>25.9</v>
      </c>
      <c r="AC24" s="12">
        <v>19.09</v>
      </c>
      <c r="AD24" s="12">
        <v>6.8</v>
      </c>
      <c r="AE24" s="12">
        <v>146.5</v>
      </c>
      <c r="AF24" s="12">
        <v>127.1</v>
      </c>
      <c r="AG24" s="12">
        <v>19.399999999999999</v>
      </c>
      <c r="AJ24">
        <v>43</v>
      </c>
      <c r="AK24">
        <v>136</v>
      </c>
      <c r="AM24" s="45" t="s">
        <v>385</v>
      </c>
      <c r="AN24" s="44">
        <v>16</v>
      </c>
      <c r="AO24" s="47">
        <v>13</v>
      </c>
      <c r="AP24" s="46">
        <v>13</v>
      </c>
      <c r="AQ24" s="46">
        <v>11</v>
      </c>
      <c r="AR24" s="46">
        <v>1</v>
      </c>
      <c r="AS24" s="46">
        <v>1</v>
      </c>
      <c r="AT24" s="46">
        <v>1</v>
      </c>
      <c r="AU24" s="46">
        <v>0.2</v>
      </c>
      <c r="AV24" s="49">
        <f t="shared" si="15"/>
        <v>7.1347031963470323E-2</v>
      </c>
      <c r="AW24" s="49">
        <f t="shared" si="16"/>
        <v>8.7811731647348082E-2</v>
      </c>
      <c r="AX24" s="49">
        <f t="shared" si="17"/>
        <v>8.7811731647348082E-2</v>
      </c>
      <c r="AY24" s="49">
        <f t="shared" si="18"/>
        <v>2.0755500207555001E-2</v>
      </c>
      <c r="AZ24" s="50">
        <f t="shared" si="19"/>
        <v>625</v>
      </c>
      <c r="BA24" s="50">
        <f t="shared" si="20"/>
        <v>769.23076923076928</v>
      </c>
      <c r="BB24" s="50">
        <f t="shared" si="21"/>
        <v>769.23076923076928</v>
      </c>
      <c r="BC24" s="50">
        <f t="shared" si="22"/>
        <v>181.81818181818181</v>
      </c>
    </row>
    <row r="25" spans="1:55" ht="16.5" thickBot="1">
      <c r="A25" s="6" t="s">
        <v>26</v>
      </c>
      <c r="B25" s="7">
        <v>65</v>
      </c>
      <c r="C25" s="7">
        <v>58</v>
      </c>
      <c r="D25" s="7">
        <v>0</v>
      </c>
      <c r="E25" s="7">
        <v>0</v>
      </c>
      <c r="F25">
        <f t="shared" si="3"/>
        <v>7</v>
      </c>
      <c r="G25">
        <f t="shared" si="4"/>
        <v>0</v>
      </c>
      <c r="H25">
        <f t="shared" si="5"/>
        <v>65</v>
      </c>
      <c r="J25" t="s">
        <v>102</v>
      </c>
      <c r="K25">
        <f t="shared" si="6"/>
        <v>0</v>
      </c>
      <c r="L25">
        <f t="shared" si="7"/>
        <v>0</v>
      </c>
      <c r="M25" s="8">
        <f t="shared" si="23"/>
        <v>58</v>
      </c>
      <c r="N25" s="8">
        <f>C25</f>
        <v>58</v>
      </c>
      <c r="O25" s="15">
        <f>AF25-AC25</f>
        <v>49.17</v>
      </c>
      <c r="P25" s="15">
        <f t="shared" si="26"/>
        <v>54.17</v>
      </c>
      <c r="R25" s="8">
        <v>12</v>
      </c>
      <c r="S25" s="8">
        <v>43</v>
      </c>
      <c r="T25" s="8">
        <f t="shared" si="27"/>
        <v>7</v>
      </c>
      <c r="U25" s="8">
        <f t="shared" si="28"/>
        <v>7</v>
      </c>
      <c r="V25" s="15">
        <f t="shared" si="29"/>
        <v>7.3999999999999995</v>
      </c>
      <c r="W25" s="15">
        <f t="shared" si="30"/>
        <v>9.1999999999999993</v>
      </c>
      <c r="X25" s="14"/>
      <c r="Y25" s="14"/>
      <c r="AA25" s="13" t="s">
        <v>65</v>
      </c>
      <c r="AB25" s="12">
        <v>6.8</v>
      </c>
      <c r="AC25" s="12">
        <v>5</v>
      </c>
      <c r="AD25" s="12">
        <v>1.8</v>
      </c>
      <c r="AE25" s="12">
        <v>63.4</v>
      </c>
      <c r="AF25" s="12">
        <v>54.17</v>
      </c>
      <c r="AG25" s="12">
        <v>9.1999999999999993</v>
      </c>
      <c r="AJ25">
        <v>12</v>
      </c>
      <c r="AK25">
        <v>43</v>
      </c>
      <c r="AM25" s="45" t="s">
        <v>386</v>
      </c>
      <c r="AN25" s="44">
        <v>7</v>
      </c>
      <c r="AO25" s="47">
        <v>65</v>
      </c>
      <c r="AP25" s="46">
        <v>43</v>
      </c>
      <c r="AQ25" s="46">
        <v>12</v>
      </c>
      <c r="AR25" s="46">
        <v>0.4</v>
      </c>
      <c r="AS25" s="46">
        <v>3</v>
      </c>
      <c r="AT25" s="46">
        <v>2</v>
      </c>
      <c r="AU25" s="46">
        <v>0.2</v>
      </c>
      <c r="AV25" s="49">
        <f t="shared" si="15"/>
        <v>6.5231572080887146E-2</v>
      </c>
      <c r="AW25" s="49">
        <f t="shared" si="16"/>
        <v>5.2687038988408853E-2</v>
      </c>
      <c r="AX25" s="49">
        <f t="shared" si="17"/>
        <v>5.3095465647233726E-2</v>
      </c>
      <c r="AY25" s="49">
        <f t="shared" si="18"/>
        <v>1.9025875190258751E-2</v>
      </c>
      <c r="AZ25" s="50">
        <f t="shared" si="19"/>
        <v>571.42857142857144</v>
      </c>
      <c r="BA25" s="50">
        <f t="shared" si="20"/>
        <v>461.53846153846155</v>
      </c>
      <c r="BB25" s="50">
        <f t="shared" si="21"/>
        <v>465.11627906976742</v>
      </c>
      <c r="BC25" s="50">
        <f t="shared" si="22"/>
        <v>166.66666666666666</v>
      </c>
    </row>
    <row r="26" spans="1:55" ht="16.5" thickBot="1">
      <c r="A26" s="6" t="s">
        <v>27</v>
      </c>
      <c r="B26" s="7">
        <v>189</v>
      </c>
      <c r="C26" s="7">
        <v>169</v>
      </c>
      <c r="D26" s="7">
        <v>1</v>
      </c>
      <c r="E26" s="7">
        <v>0</v>
      </c>
      <c r="F26">
        <f t="shared" si="3"/>
        <v>20</v>
      </c>
      <c r="G26">
        <f t="shared" si="4"/>
        <v>1</v>
      </c>
      <c r="H26">
        <f t="shared" si="5"/>
        <v>188</v>
      </c>
      <c r="J26" t="s">
        <v>103</v>
      </c>
      <c r="K26">
        <f t="shared" si="6"/>
        <v>116</v>
      </c>
      <c r="L26">
        <f t="shared" si="7"/>
        <v>168</v>
      </c>
      <c r="M26" s="8">
        <f t="shared" si="23"/>
        <v>169</v>
      </c>
      <c r="N26" s="8">
        <f t="shared" si="24"/>
        <v>169</v>
      </c>
      <c r="O26" s="15">
        <f t="shared" si="25"/>
        <v>169.01</v>
      </c>
      <c r="P26" s="15">
        <f t="shared" si="26"/>
        <v>169.01</v>
      </c>
      <c r="R26" s="8">
        <v>19</v>
      </c>
      <c r="S26" s="8">
        <v>13</v>
      </c>
      <c r="T26" s="8">
        <f t="shared" si="27"/>
        <v>19</v>
      </c>
      <c r="U26" s="8">
        <f t="shared" si="28"/>
        <v>20</v>
      </c>
      <c r="V26" s="15">
        <f t="shared" si="29"/>
        <v>22.099999999999998</v>
      </c>
      <c r="W26" s="15">
        <f t="shared" si="30"/>
        <v>26.9</v>
      </c>
      <c r="X26" s="14"/>
      <c r="Y26" s="14"/>
      <c r="AA26" s="13" t="s">
        <v>66</v>
      </c>
      <c r="AB26" s="12">
        <v>4.8</v>
      </c>
      <c r="AC26" s="12">
        <v>0</v>
      </c>
      <c r="AD26" s="12">
        <v>4.8</v>
      </c>
      <c r="AE26" s="12">
        <v>195.9</v>
      </c>
      <c r="AF26" s="12">
        <v>169.01</v>
      </c>
      <c r="AG26" s="12">
        <v>26.9</v>
      </c>
      <c r="AJ26">
        <v>135</v>
      </c>
      <c r="AK26">
        <v>181</v>
      </c>
      <c r="AM26" s="45" t="s">
        <v>387</v>
      </c>
      <c r="AN26" s="44">
        <v>22</v>
      </c>
      <c r="AO26" s="47">
        <v>19</v>
      </c>
      <c r="AP26" s="46">
        <v>13</v>
      </c>
      <c r="AQ26" s="46">
        <v>19</v>
      </c>
      <c r="AR26" s="46">
        <v>2</v>
      </c>
      <c r="AS26" s="46">
        <v>2</v>
      </c>
      <c r="AT26" s="46">
        <v>1</v>
      </c>
      <c r="AU26" s="46">
        <v>1</v>
      </c>
      <c r="AV26" s="49">
        <f t="shared" si="15"/>
        <v>0.10377750103777501</v>
      </c>
      <c r="AW26" s="49">
        <f t="shared" si="16"/>
        <v>0.12016342225426579</v>
      </c>
      <c r="AX26" s="49">
        <f t="shared" si="17"/>
        <v>8.7811731647348082E-2</v>
      </c>
      <c r="AY26" s="49">
        <f t="shared" si="18"/>
        <v>6.0081711127132897E-2</v>
      </c>
      <c r="AZ26" s="50">
        <f t="shared" si="19"/>
        <v>909.09090909090912</v>
      </c>
      <c r="BA26" s="50">
        <f t="shared" si="20"/>
        <v>1052.6315789473683</v>
      </c>
      <c r="BB26" s="50">
        <f t="shared" si="21"/>
        <v>769.23076923076928</v>
      </c>
      <c r="BC26" s="50">
        <f t="shared" si="22"/>
        <v>526.31578947368416</v>
      </c>
    </row>
    <row r="27" spans="1:55" ht="16.5" thickBot="1">
      <c r="A27" s="6" t="s">
        <v>28</v>
      </c>
      <c r="B27" s="7">
        <v>537</v>
      </c>
      <c r="C27" s="7">
        <v>518</v>
      </c>
      <c r="D27" s="7">
        <v>27</v>
      </c>
      <c r="E27" s="7">
        <v>27</v>
      </c>
      <c r="F27">
        <f t="shared" si="3"/>
        <v>19</v>
      </c>
      <c r="G27">
        <f t="shared" si="4"/>
        <v>0</v>
      </c>
      <c r="H27">
        <f t="shared" si="5"/>
        <v>510</v>
      </c>
      <c r="J27" t="s">
        <v>104</v>
      </c>
      <c r="K27">
        <f t="shared" si="6"/>
        <v>135</v>
      </c>
      <c r="L27">
        <f t="shared" si="7"/>
        <v>161</v>
      </c>
      <c r="M27" s="8">
        <f t="shared" si="23"/>
        <v>491</v>
      </c>
      <c r="N27" s="8">
        <f t="shared" si="24"/>
        <v>518</v>
      </c>
      <c r="O27" s="15">
        <f t="shared" si="25"/>
        <v>970.66999999999985</v>
      </c>
      <c r="P27" s="15">
        <f t="shared" si="26"/>
        <v>1117.5999999999999</v>
      </c>
      <c r="S27" s="8">
        <v>17</v>
      </c>
      <c r="T27" s="8">
        <f t="shared" si="27"/>
        <v>19</v>
      </c>
      <c r="U27" s="8">
        <f t="shared" si="28"/>
        <v>19</v>
      </c>
      <c r="V27" s="15">
        <f t="shared" si="29"/>
        <v>19</v>
      </c>
      <c r="W27" s="15">
        <f t="shared" si="30"/>
        <v>19.399999999999999</v>
      </c>
      <c r="X27" s="14"/>
      <c r="Y27" s="14"/>
      <c r="AA27" s="13" t="s">
        <v>77</v>
      </c>
      <c r="AB27" s="12">
        <v>147.30000000000001</v>
      </c>
      <c r="AC27" s="12">
        <v>146.93</v>
      </c>
      <c r="AD27" s="12">
        <v>0.4</v>
      </c>
      <c r="AE27" s="12">
        <v>1137</v>
      </c>
      <c r="AF27" s="12">
        <v>1117.5999999999999</v>
      </c>
      <c r="AG27" s="12">
        <v>19.399999999999999</v>
      </c>
      <c r="AJ27">
        <v>135</v>
      </c>
      <c r="AK27">
        <v>178</v>
      </c>
      <c r="AM27" s="45" t="s">
        <v>388</v>
      </c>
      <c r="AN27" s="44">
        <v>19</v>
      </c>
      <c r="AO27" s="47">
        <v>19</v>
      </c>
      <c r="AP27" s="46">
        <v>17</v>
      </c>
      <c r="AQ27" s="47"/>
      <c r="AR27" s="47">
        <v>1</v>
      </c>
      <c r="AS27" s="47">
        <v>1</v>
      </c>
      <c r="AT27" s="46">
        <v>1</v>
      </c>
      <c r="AU27" s="47"/>
      <c r="AV27" s="49">
        <f>AR27*10000/(AN27*8760)</f>
        <v>6.0081711127132897E-2</v>
      </c>
      <c r="AW27" s="49">
        <f t="shared" si="16"/>
        <v>6.0081711127132897E-2</v>
      </c>
      <c r="AX27" s="49">
        <f t="shared" si="17"/>
        <v>6.7150147730325002E-2</v>
      </c>
      <c r="AY27" s="49"/>
      <c r="AZ27" s="50">
        <f t="shared" si="19"/>
        <v>526.31578947368416</v>
      </c>
      <c r="BA27" s="50">
        <f t="shared" si="20"/>
        <v>526.31578947368416</v>
      </c>
      <c r="BB27" s="50">
        <f t="shared" si="21"/>
        <v>588.23529411764707</v>
      </c>
      <c r="BC27" s="50"/>
    </row>
    <row r="28" spans="1:55" ht="16.5" thickBot="1">
      <c r="A28" s="6" t="s">
        <v>29</v>
      </c>
      <c r="B28" s="7">
        <v>389</v>
      </c>
      <c r="C28" s="7">
        <v>352</v>
      </c>
      <c r="D28" s="7">
        <v>14</v>
      </c>
      <c r="E28" s="7">
        <v>2</v>
      </c>
      <c r="F28">
        <f t="shared" si="3"/>
        <v>37</v>
      </c>
      <c r="G28">
        <f t="shared" si="4"/>
        <v>12</v>
      </c>
      <c r="H28">
        <f t="shared" si="5"/>
        <v>375</v>
      </c>
      <c r="J28" t="s">
        <v>105</v>
      </c>
      <c r="K28">
        <f t="shared" si="6"/>
        <v>237.5</v>
      </c>
      <c r="L28">
        <f t="shared" si="7"/>
        <v>312</v>
      </c>
      <c r="M28" s="8">
        <f t="shared" si="23"/>
        <v>350</v>
      </c>
      <c r="N28" s="8">
        <f t="shared" si="24"/>
        <v>352</v>
      </c>
      <c r="O28" s="15">
        <f t="shared" si="25"/>
        <v>295.43</v>
      </c>
      <c r="P28" s="15">
        <f t="shared" si="26"/>
        <v>349.91</v>
      </c>
      <c r="R28" s="8">
        <v>0.5</v>
      </c>
      <c r="S28" s="8">
        <v>14</v>
      </c>
      <c r="T28" s="8">
        <f t="shared" si="27"/>
        <v>25</v>
      </c>
      <c r="U28" s="8">
        <f t="shared" si="28"/>
        <v>37</v>
      </c>
      <c r="V28" s="15">
        <f t="shared" si="29"/>
        <v>38.400000000000006</v>
      </c>
      <c r="W28" s="15">
        <f t="shared" si="30"/>
        <v>47.2</v>
      </c>
      <c r="X28" s="14"/>
      <c r="Y28" s="14"/>
      <c r="AA28" s="13" t="s">
        <v>78</v>
      </c>
      <c r="AB28" s="12">
        <v>63.3</v>
      </c>
      <c r="AC28" s="12">
        <v>54.48</v>
      </c>
      <c r="AD28" s="12">
        <v>8.8000000000000007</v>
      </c>
      <c r="AE28" s="12">
        <v>397.1</v>
      </c>
      <c r="AF28" s="12">
        <v>349.91</v>
      </c>
      <c r="AG28" s="12">
        <v>47.2</v>
      </c>
      <c r="AJ28">
        <v>238</v>
      </c>
      <c r="AK28">
        <v>326</v>
      </c>
      <c r="AM28" s="45" t="s">
        <v>389</v>
      </c>
      <c r="AN28" s="44">
        <v>38</v>
      </c>
      <c r="AO28" s="47">
        <v>25</v>
      </c>
      <c r="AP28" s="46">
        <v>14</v>
      </c>
      <c r="AQ28" s="46">
        <v>0.5</v>
      </c>
      <c r="AR28" s="46">
        <v>3</v>
      </c>
      <c r="AS28" s="46">
        <v>2</v>
      </c>
      <c r="AT28" s="46">
        <v>1</v>
      </c>
      <c r="AU28" s="46">
        <v>0.3</v>
      </c>
      <c r="AV28" s="49">
        <f t="shared" ref="AV28:AV34" si="31">AR28*10000/(AN28*8760)</f>
        <v>9.0122566690699346E-2</v>
      </c>
      <c r="AW28" s="49">
        <f t="shared" ref="AW28:AW34" si="32">AS28*10000/(AO28*8760)</f>
        <v>9.1324200913242004E-2</v>
      </c>
      <c r="AX28" s="49">
        <f t="shared" ref="AX28:AX34" si="33">AT28*10000/(AP28*8760)</f>
        <v>8.1539465101108932E-2</v>
      </c>
      <c r="AY28" s="49">
        <f t="shared" ref="AY28:AY34" si="34">AU28*10000/(AQ28*8760)</f>
        <v>0.68493150684931503</v>
      </c>
      <c r="AZ28" s="50">
        <f t="shared" si="19"/>
        <v>789.47368421052636</v>
      </c>
      <c r="BA28" s="50">
        <f t="shared" si="20"/>
        <v>800</v>
      </c>
      <c r="BB28" s="50">
        <f t="shared" si="21"/>
        <v>714.28571428571433</v>
      </c>
      <c r="BC28" s="50">
        <f t="shared" si="22"/>
        <v>6000</v>
      </c>
    </row>
    <row r="29" spans="1:55" ht="16.5" thickBot="1">
      <c r="A29" s="6" t="s">
        <v>30</v>
      </c>
      <c r="B29" s="7">
        <v>128</v>
      </c>
      <c r="C29" s="7">
        <v>128</v>
      </c>
      <c r="D29" s="7">
        <v>18</v>
      </c>
      <c r="E29" s="7">
        <v>18</v>
      </c>
      <c r="F29">
        <f t="shared" si="3"/>
        <v>0</v>
      </c>
      <c r="G29">
        <f t="shared" si="4"/>
        <v>0</v>
      </c>
      <c r="H29">
        <f t="shared" si="5"/>
        <v>110</v>
      </c>
      <c r="J29" t="s">
        <v>106</v>
      </c>
      <c r="K29">
        <f t="shared" si="6"/>
        <v>79</v>
      </c>
      <c r="L29">
        <f t="shared" si="7"/>
        <v>98</v>
      </c>
      <c r="M29" s="8">
        <f t="shared" si="23"/>
        <v>110</v>
      </c>
      <c r="N29" s="8">
        <f t="shared" si="24"/>
        <v>128</v>
      </c>
      <c r="O29" s="15">
        <f t="shared" si="25"/>
        <v>136.26</v>
      </c>
      <c r="P29" s="15">
        <f t="shared" si="26"/>
        <v>136.51</v>
      </c>
      <c r="T29" s="8">
        <f t="shared" si="27"/>
        <v>0</v>
      </c>
      <c r="U29" s="8">
        <f t="shared" si="28"/>
        <v>0</v>
      </c>
      <c r="V29" s="15">
        <f t="shared" si="29"/>
        <v>0</v>
      </c>
      <c r="W29" s="15">
        <f t="shared" si="30"/>
        <v>2.2000000000000002</v>
      </c>
      <c r="X29" s="14"/>
      <c r="Y29" s="14"/>
      <c r="AA29" s="13" t="s">
        <v>73</v>
      </c>
      <c r="AB29" s="12">
        <v>2.4</v>
      </c>
      <c r="AC29" s="12">
        <v>0.25</v>
      </c>
      <c r="AD29" s="12">
        <v>2.2000000000000002</v>
      </c>
      <c r="AE29" s="12">
        <v>138.9</v>
      </c>
      <c r="AF29" s="12">
        <v>136.51</v>
      </c>
      <c r="AG29" s="12">
        <v>2.2000000000000002</v>
      </c>
      <c r="AJ29">
        <v>79</v>
      </c>
      <c r="AK29">
        <v>98</v>
      </c>
      <c r="AM29" s="45" t="s">
        <v>390</v>
      </c>
      <c r="AN29" s="44"/>
      <c r="AO29" s="48"/>
      <c r="AP29" s="48"/>
      <c r="AQ29" s="48"/>
      <c r="AR29" s="48"/>
      <c r="AS29" s="48"/>
      <c r="AT29" s="48"/>
      <c r="AU29" s="48"/>
      <c r="AV29" s="49"/>
      <c r="AW29" s="49"/>
      <c r="AX29" s="49"/>
      <c r="AY29" s="49"/>
      <c r="AZ29" s="50"/>
      <c r="BA29" s="50"/>
      <c r="BB29" s="50"/>
      <c r="BC29" s="50"/>
    </row>
    <row r="30" spans="1:55" ht="16.5" thickBot="1">
      <c r="A30" s="6" t="s">
        <v>31</v>
      </c>
      <c r="B30" s="7">
        <v>953</v>
      </c>
      <c r="C30" s="7">
        <v>781</v>
      </c>
      <c r="D30" s="7">
        <v>13</v>
      </c>
      <c r="E30" s="7">
        <v>3</v>
      </c>
      <c r="F30">
        <f t="shared" si="3"/>
        <v>172</v>
      </c>
      <c r="G30">
        <f t="shared" si="4"/>
        <v>10</v>
      </c>
      <c r="H30">
        <f t="shared" si="5"/>
        <v>940</v>
      </c>
      <c r="J30" t="s">
        <v>84</v>
      </c>
      <c r="K30">
        <f t="shared" si="6"/>
        <v>484</v>
      </c>
      <c r="L30">
        <f t="shared" si="7"/>
        <v>640</v>
      </c>
      <c r="M30" s="8">
        <f t="shared" si="23"/>
        <v>778</v>
      </c>
      <c r="N30" s="8">
        <f t="shared" si="24"/>
        <v>781</v>
      </c>
      <c r="O30" s="15">
        <f t="shared" si="25"/>
        <v>893.42</v>
      </c>
      <c r="P30" s="15">
        <f t="shared" si="26"/>
        <v>1102.82</v>
      </c>
      <c r="R30" s="8">
        <v>51</v>
      </c>
      <c r="S30" s="8">
        <v>76</v>
      </c>
      <c r="T30" s="8">
        <f t="shared" si="27"/>
        <v>162</v>
      </c>
      <c r="U30" s="8">
        <f t="shared" si="28"/>
        <v>172</v>
      </c>
      <c r="V30" s="15">
        <f t="shared" si="29"/>
        <v>190.70000000000002</v>
      </c>
      <c r="W30" s="15">
        <f t="shared" si="30"/>
        <v>210.9</v>
      </c>
      <c r="X30" s="14"/>
      <c r="Y30" s="14"/>
      <c r="AA30" s="13" t="s">
        <v>67</v>
      </c>
      <c r="AB30" s="12">
        <v>229.6</v>
      </c>
      <c r="AC30" s="12">
        <v>209.4</v>
      </c>
      <c r="AD30" s="12">
        <v>20.2</v>
      </c>
      <c r="AE30" s="12">
        <v>1313.7</v>
      </c>
      <c r="AF30" s="12">
        <v>1102.82</v>
      </c>
      <c r="AG30" s="12">
        <v>210.9</v>
      </c>
      <c r="AJ30">
        <v>535</v>
      </c>
      <c r="AK30">
        <v>716</v>
      </c>
      <c r="AM30" s="45" t="s">
        <v>391</v>
      </c>
      <c r="AN30" s="44">
        <v>194</v>
      </c>
      <c r="AO30" s="47">
        <v>102</v>
      </c>
      <c r="AP30" s="46">
        <v>76</v>
      </c>
      <c r="AQ30" s="46">
        <v>51</v>
      </c>
      <c r="AR30" s="46">
        <v>16</v>
      </c>
      <c r="AS30" s="46">
        <v>9</v>
      </c>
      <c r="AT30" s="46">
        <v>6</v>
      </c>
      <c r="AU30" s="46">
        <v>2</v>
      </c>
      <c r="AV30" s="49">
        <f t="shared" si="31"/>
        <v>9.4148660735301037E-2</v>
      </c>
      <c r="AW30" s="49">
        <f t="shared" si="32"/>
        <v>0.10072522159548751</v>
      </c>
      <c r="AX30" s="49">
        <f t="shared" si="33"/>
        <v>9.0122566690699346E-2</v>
      </c>
      <c r="AY30" s="49">
        <f t="shared" si="34"/>
        <v>4.4766765153550006E-2</v>
      </c>
      <c r="AZ30" s="50">
        <f t="shared" si="19"/>
        <v>824.74226804123714</v>
      </c>
      <c r="BA30" s="50">
        <f t="shared" si="20"/>
        <v>882.35294117647061</v>
      </c>
      <c r="BB30" s="50">
        <f t="shared" si="21"/>
        <v>789.47368421052636</v>
      </c>
      <c r="BC30" s="50">
        <f t="shared" si="22"/>
        <v>392.15686274509807</v>
      </c>
    </row>
    <row r="31" spans="1:55" ht="16.5" thickBot="1">
      <c r="A31" s="6" t="s">
        <v>32</v>
      </c>
      <c r="B31" s="7">
        <v>911</v>
      </c>
      <c r="C31" s="7">
        <v>838</v>
      </c>
      <c r="D31" s="7">
        <v>4</v>
      </c>
      <c r="E31" s="7">
        <v>2</v>
      </c>
      <c r="F31">
        <f t="shared" si="3"/>
        <v>73</v>
      </c>
      <c r="G31">
        <f t="shared" si="4"/>
        <v>2</v>
      </c>
      <c r="H31">
        <f t="shared" si="5"/>
        <v>907</v>
      </c>
      <c r="J31" t="s">
        <v>107</v>
      </c>
      <c r="K31">
        <f t="shared" si="6"/>
        <v>768</v>
      </c>
      <c r="L31">
        <f t="shared" si="7"/>
        <v>790</v>
      </c>
      <c r="M31" s="8">
        <f t="shared" si="23"/>
        <v>836</v>
      </c>
      <c r="N31" s="8">
        <f t="shared" si="24"/>
        <v>838</v>
      </c>
      <c r="O31" s="15">
        <f t="shared" si="25"/>
        <v>891.32</v>
      </c>
      <c r="P31" s="15">
        <f t="shared" si="26"/>
        <v>1047.6500000000001</v>
      </c>
      <c r="R31" s="8">
        <v>18</v>
      </c>
      <c r="S31" s="8">
        <v>49</v>
      </c>
      <c r="T31" s="8">
        <f t="shared" si="27"/>
        <v>71</v>
      </c>
      <c r="U31" s="8">
        <f t="shared" si="28"/>
        <v>73</v>
      </c>
      <c r="V31" s="15">
        <f t="shared" si="29"/>
        <v>74</v>
      </c>
      <c r="W31" s="15">
        <f t="shared" si="30"/>
        <v>77.099999999999994</v>
      </c>
      <c r="X31" s="14"/>
      <c r="Y31" s="14"/>
      <c r="AA31" s="13" t="s">
        <v>68</v>
      </c>
      <c r="AB31" s="12">
        <v>159.5</v>
      </c>
      <c r="AC31" s="12">
        <v>156.33000000000001</v>
      </c>
      <c r="AD31" s="12">
        <v>3.1</v>
      </c>
      <c r="AE31" s="12">
        <v>1124.8</v>
      </c>
      <c r="AF31" s="12">
        <v>1047.6500000000001</v>
      </c>
      <c r="AG31" s="12">
        <v>77.099999999999994</v>
      </c>
      <c r="AJ31">
        <v>786</v>
      </c>
      <c r="AK31">
        <v>839</v>
      </c>
      <c r="AM31" s="45" t="s">
        <v>392</v>
      </c>
      <c r="AN31" s="44">
        <v>74</v>
      </c>
      <c r="AO31" s="47">
        <v>71</v>
      </c>
      <c r="AP31" s="46">
        <v>49</v>
      </c>
      <c r="AQ31" s="46">
        <v>18</v>
      </c>
      <c r="AR31" s="46">
        <v>9</v>
      </c>
      <c r="AS31" s="46">
        <v>6</v>
      </c>
      <c r="AT31" s="46">
        <v>2</v>
      </c>
      <c r="AU31" s="46">
        <v>1</v>
      </c>
      <c r="AV31" s="49">
        <f t="shared" si="31"/>
        <v>0.1388374676045909</v>
      </c>
      <c r="AW31" s="49">
        <f t="shared" si="32"/>
        <v>9.6469226316804935E-2</v>
      </c>
      <c r="AX31" s="49">
        <f t="shared" si="33"/>
        <v>4.6593980057776534E-2</v>
      </c>
      <c r="AY31" s="49">
        <f t="shared" si="34"/>
        <v>6.3419583967529169E-2</v>
      </c>
      <c r="AZ31" s="50">
        <f t="shared" si="19"/>
        <v>1216.2162162162163</v>
      </c>
      <c r="BA31" s="50">
        <f t="shared" si="20"/>
        <v>845.07042253521126</v>
      </c>
      <c r="BB31" s="50">
        <f t="shared" si="21"/>
        <v>408.16326530612247</v>
      </c>
      <c r="BC31" s="50">
        <f t="shared" si="22"/>
        <v>555.55555555555554</v>
      </c>
    </row>
    <row r="32" spans="1:55" ht="16.5" thickBot="1">
      <c r="A32" s="6" t="s">
        <v>33</v>
      </c>
      <c r="B32" s="7">
        <v>1102</v>
      </c>
      <c r="C32" s="7">
        <v>1086</v>
      </c>
      <c r="D32" s="7">
        <v>1</v>
      </c>
      <c r="E32" s="7">
        <v>0</v>
      </c>
      <c r="F32">
        <f t="shared" si="3"/>
        <v>16</v>
      </c>
      <c r="G32">
        <f t="shared" si="4"/>
        <v>1</v>
      </c>
      <c r="H32">
        <f t="shared" si="5"/>
        <v>1101</v>
      </c>
      <c r="J32" t="s">
        <v>108</v>
      </c>
      <c r="K32">
        <f t="shared" si="6"/>
        <v>786</v>
      </c>
      <c r="L32">
        <f t="shared" si="7"/>
        <v>952</v>
      </c>
      <c r="M32" s="8">
        <f t="shared" si="23"/>
        <v>1086</v>
      </c>
      <c r="N32" s="8">
        <f t="shared" si="24"/>
        <v>1086</v>
      </c>
      <c r="O32" s="15">
        <f t="shared" si="25"/>
        <v>1532.09</v>
      </c>
      <c r="P32" s="15">
        <f t="shared" si="26"/>
        <v>1594.77</v>
      </c>
      <c r="R32" s="8">
        <v>5</v>
      </c>
      <c r="S32" s="8">
        <v>10</v>
      </c>
      <c r="T32" s="8">
        <f t="shared" si="27"/>
        <v>15</v>
      </c>
      <c r="U32" s="8">
        <f t="shared" si="28"/>
        <v>16</v>
      </c>
      <c r="V32" s="15">
        <f t="shared" si="29"/>
        <v>15.7</v>
      </c>
      <c r="W32" s="15">
        <f t="shared" si="30"/>
        <v>16</v>
      </c>
      <c r="X32" s="14"/>
      <c r="Y32" s="14"/>
      <c r="AA32" s="13" t="s">
        <v>69</v>
      </c>
      <c r="AB32" s="12">
        <v>63</v>
      </c>
      <c r="AC32" s="12">
        <v>62.68</v>
      </c>
      <c r="AD32" s="12">
        <v>0.3</v>
      </c>
      <c r="AE32" s="12">
        <v>1610.8</v>
      </c>
      <c r="AF32" s="12">
        <v>1594.77</v>
      </c>
      <c r="AG32" s="12">
        <v>16</v>
      </c>
      <c r="AJ32">
        <v>791</v>
      </c>
      <c r="AK32">
        <v>962</v>
      </c>
      <c r="AM32" s="45" t="s">
        <v>393</v>
      </c>
      <c r="AN32" s="44">
        <v>17</v>
      </c>
      <c r="AO32" s="47">
        <v>15</v>
      </c>
      <c r="AP32" s="46">
        <v>10</v>
      </c>
      <c r="AQ32" s="46">
        <v>5</v>
      </c>
      <c r="AR32" s="46">
        <v>2</v>
      </c>
      <c r="AS32" s="46">
        <v>2</v>
      </c>
      <c r="AT32" s="46">
        <v>1</v>
      </c>
      <c r="AU32" s="46">
        <v>0.3</v>
      </c>
      <c r="AV32" s="49">
        <f t="shared" si="31"/>
        <v>0.13430029546065</v>
      </c>
      <c r="AW32" s="49">
        <f t="shared" si="32"/>
        <v>0.15220700152207001</v>
      </c>
      <c r="AX32" s="49">
        <f t="shared" si="33"/>
        <v>0.11415525114155251</v>
      </c>
      <c r="AY32" s="49">
        <f t="shared" si="34"/>
        <v>6.8493150684931503E-2</v>
      </c>
      <c r="AZ32" s="50">
        <f t="shared" si="19"/>
        <v>1176.4705882352941</v>
      </c>
      <c r="BA32" s="50">
        <f t="shared" si="20"/>
        <v>1333.3333333333333</v>
      </c>
      <c r="BB32" s="50">
        <f t="shared" si="21"/>
        <v>1000</v>
      </c>
      <c r="BC32" s="50">
        <f t="shared" si="22"/>
        <v>600</v>
      </c>
    </row>
    <row r="33" spans="1:55" ht="16.5" thickBot="1">
      <c r="A33" s="6" t="s">
        <v>34</v>
      </c>
      <c r="B33" s="7">
        <v>983</v>
      </c>
      <c r="C33" s="7">
        <v>908</v>
      </c>
      <c r="D33" s="7">
        <v>65</v>
      </c>
      <c r="E33" s="7">
        <v>64</v>
      </c>
      <c r="F33">
        <f t="shared" si="3"/>
        <v>75</v>
      </c>
      <c r="G33">
        <f t="shared" si="4"/>
        <v>1</v>
      </c>
      <c r="H33">
        <f t="shared" si="5"/>
        <v>918</v>
      </c>
      <c r="J33" t="s">
        <v>109</v>
      </c>
      <c r="K33">
        <f t="shared" si="6"/>
        <v>587</v>
      </c>
      <c r="L33">
        <f t="shared" si="7"/>
        <v>761</v>
      </c>
      <c r="M33" s="8">
        <f t="shared" si="23"/>
        <v>844</v>
      </c>
      <c r="N33" s="8">
        <f t="shared" si="24"/>
        <v>908</v>
      </c>
      <c r="O33" s="15">
        <f t="shared" si="25"/>
        <v>1121.9599999999998</v>
      </c>
      <c r="P33" s="15">
        <f t="shared" si="26"/>
        <v>1303.3599999999999</v>
      </c>
      <c r="R33" s="8">
        <v>33</v>
      </c>
      <c r="S33" s="8">
        <v>55</v>
      </c>
      <c r="T33" s="8">
        <f t="shared" si="27"/>
        <v>74</v>
      </c>
      <c r="U33" s="8">
        <f t="shared" si="28"/>
        <v>75</v>
      </c>
      <c r="V33" s="15">
        <f t="shared" si="29"/>
        <v>75.199999999999989</v>
      </c>
      <c r="W33" s="15">
        <f t="shared" si="30"/>
        <v>80.599999999999994</v>
      </c>
      <c r="X33" s="14"/>
      <c r="Y33" s="14"/>
      <c r="AA33" s="13" t="s">
        <v>70</v>
      </c>
      <c r="AB33" s="12">
        <v>186.8</v>
      </c>
      <c r="AC33" s="12">
        <v>181.4</v>
      </c>
      <c r="AD33" s="12">
        <v>5.4</v>
      </c>
      <c r="AE33" s="12">
        <v>1384</v>
      </c>
      <c r="AF33" s="12">
        <v>1303.3599999999999</v>
      </c>
      <c r="AG33" s="12">
        <v>80.599999999999994</v>
      </c>
      <c r="AJ33">
        <v>620</v>
      </c>
      <c r="AK33">
        <v>816</v>
      </c>
      <c r="AM33" s="45" t="s">
        <v>394</v>
      </c>
      <c r="AN33" s="44">
        <v>75</v>
      </c>
      <c r="AO33" s="47">
        <v>74</v>
      </c>
      <c r="AP33" s="46">
        <v>55</v>
      </c>
      <c r="AQ33" s="46">
        <v>33</v>
      </c>
      <c r="AR33" s="46">
        <v>10</v>
      </c>
      <c r="AS33" s="46">
        <v>8</v>
      </c>
      <c r="AT33" s="46">
        <v>4</v>
      </c>
      <c r="AU33" s="46">
        <v>3</v>
      </c>
      <c r="AV33" s="49">
        <f t="shared" si="31"/>
        <v>0.15220700152207001</v>
      </c>
      <c r="AW33" s="49">
        <f t="shared" si="32"/>
        <v>0.12341108231519191</v>
      </c>
      <c r="AX33" s="49">
        <f t="shared" si="33"/>
        <v>8.3022000830220002E-2</v>
      </c>
      <c r="AY33" s="49">
        <f t="shared" si="34"/>
        <v>0.10377750103777501</v>
      </c>
      <c r="AZ33" s="50">
        <f t="shared" si="19"/>
        <v>1333.3333333333333</v>
      </c>
      <c r="BA33" s="50">
        <f t="shared" si="20"/>
        <v>1081.081081081081</v>
      </c>
      <c r="BB33" s="50">
        <f t="shared" si="21"/>
        <v>727.27272727272725</v>
      </c>
      <c r="BC33" s="50">
        <f t="shared" si="22"/>
        <v>909.09090909090912</v>
      </c>
    </row>
    <row r="34" spans="1:55" ht="29.25" thickBot="1">
      <c r="A34" s="6" t="s">
        <v>35</v>
      </c>
      <c r="B34" s="7">
        <v>1042</v>
      </c>
      <c r="C34" s="7">
        <v>1027</v>
      </c>
      <c r="D34" s="7">
        <v>1</v>
      </c>
      <c r="E34" s="7">
        <v>0</v>
      </c>
      <c r="F34">
        <f t="shared" si="3"/>
        <v>15</v>
      </c>
      <c r="G34">
        <f t="shared" si="4"/>
        <v>1</v>
      </c>
      <c r="H34">
        <f t="shared" si="5"/>
        <v>1041</v>
      </c>
      <c r="J34" t="s">
        <v>110</v>
      </c>
      <c r="K34">
        <f t="shared" si="6"/>
        <v>933</v>
      </c>
      <c r="L34">
        <f t="shared" si="7"/>
        <v>976</v>
      </c>
      <c r="M34" s="8">
        <f t="shared" si="23"/>
        <v>1027</v>
      </c>
      <c r="N34" s="8">
        <f t="shared" si="24"/>
        <v>1027</v>
      </c>
      <c r="O34" s="15">
        <f t="shared" si="25"/>
        <v>1205.48</v>
      </c>
      <c r="P34" s="15">
        <f t="shared" si="26"/>
        <v>1254.78</v>
      </c>
      <c r="R34" s="8">
        <v>1</v>
      </c>
      <c r="S34" s="8">
        <v>2</v>
      </c>
      <c r="T34" s="8">
        <f t="shared" si="27"/>
        <v>14</v>
      </c>
      <c r="U34" s="8">
        <f t="shared" si="28"/>
        <v>15</v>
      </c>
      <c r="V34" s="15">
        <f t="shared" si="29"/>
        <v>16.7</v>
      </c>
      <c r="W34" s="15">
        <f t="shared" si="30"/>
        <v>17.2</v>
      </c>
      <c r="X34" s="14"/>
      <c r="Y34" s="14"/>
      <c r="AA34" s="13" t="s">
        <v>71</v>
      </c>
      <c r="AB34" s="12">
        <v>49.8</v>
      </c>
      <c r="AC34" s="12">
        <v>49.3</v>
      </c>
      <c r="AD34" s="12">
        <v>0.5</v>
      </c>
      <c r="AE34" s="12">
        <v>1272</v>
      </c>
      <c r="AF34" s="12">
        <v>1254.78</v>
      </c>
      <c r="AG34" s="12">
        <v>17.2</v>
      </c>
      <c r="AJ34">
        <v>934</v>
      </c>
      <c r="AK34">
        <v>978</v>
      </c>
      <c r="AM34" s="45" t="s">
        <v>395</v>
      </c>
      <c r="AN34" s="44">
        <v>16</v>
      </c>
      <c r="AO34" s="47">
        <v>15</v>
      </c>
      <c r="AP34" s="46">
        <v>2</v>
      </c>
      <c r="AQ34" s="46">
        <v>1</v>
      </c>
      <c r="AR34" s="46">
        <v>2</v>
      </c>
      <c r="AS34" s="46">
        <v>1</v>
      </c>
      <c r="AT34" s="47">
        <v>0.1</v>
      </c>
      <c r="AU34" s="43">
        <v>0.01</v>
      </c>
      <c r="AV34" s="49">
        <f t="shared" si="31"/>
        <v>0.14269406392694065</v>
      </c>
      <c r="AW34" s="49">
        <f t="shared" si="32"/>
        <v>7.6103500761035003E-2</v>
      </c>
      <c r="AX34" s="49">
        <f t="shared" si="33"/>
        <v>5.7077625570776253E-2</v>
      </c>
      <c r="AY34" s="49">
        <f t="shared" si="34"/>
        <v>1.1415525114155251E-2</v>
      </c>
      <c r="AZ34" s="50">
        <f t="shared" si="19"/>
        <v>1250</v>
      </c>
      <c r="BA34" s="50">
        <f t="shared" si="20"/>
        <v>666.66666666666663</v>
      </c>
      <c r="BB34" s="50">
        <f t="shared" si="21"/>
        <v>500</v>
      </c>
      <c r="BC34" s="50">
        <f t="shared" si="22"/>
        <v>100</v>
      </c>
    </row>
    <row r="35" spans="1:55" ht="16.5" thickBot="1">
      <c r="A35" s="6" t="s">
        <v>36</v>
      </c>
      <c r="B35" s="7">
        <v>39</v>
      </c>
      <c r="C35" s="7">
        <v>39</v>
      </c>
      <c r="D35" s="7">
        <v>0</v>
      </c>
      <c r="E35" s="7">
        <v>0</v>
      </c>
      <c r="F35">
        <f t="shared" si="3"/>
        <v>0</v>
      </c>
      <c r="G35">
        <f t="shared" si="4"/>
        <v>0</v>
      </c>
      <c r="H35">
        <f t="shared" si="5"/>
        <v>39</v>
      </c>
      <c r="J35" t="s">
        <v>111</v>
      </c>
      <c r="K35">
        <f t="shared" si="6"/>
        <v>0</v>
      </c>
      <c r="L35">
        <f t="shared" si="7"/>
        <v>0</v>
      </c>
      <c r="M35" s="8">
        <f t="shared" si="23"/>
        <v>39</v>
      </c>
      <c r="N35" s="8">
        <f t="shared" si="24"/>
        <v>39</v>
      </c>
      <c r="O35" s="15">
        <f t="shared" si="25"/>
        <v>77.2</v>
      </c>
      <c r="P35" s="15">
        <f t="shared" si="26"/>
        <v>77.2</v>
      </c>
      <c r="T35" s="8">
        <f t="shared" si="27"/>
        <v>0</v>
      </c>
      <c r="U35" s="8">
        <f t="shared" si="28"/>
        <v>0</v>
      </c>
      <c r="V35" s="15">
        <f t="shared" si="29"/>
        <v>0</v>
      </c>
      <c r="W35" s="15">
        <f t="shared" si="30"/>
        <v>0</v>
      </c>
      <c r="X35" s="14"/>
      <c r="Y35" s="14"/>
      <c r="AA35" s="12" t="s">
        <v>72</v>
      </c>
      <c r="AB35" s="12">
        <v>0</v>
      </c>
      <c r="AC35" s="12">
        <v>0</v>
      </c>
      <c r="AD35" s="12">
        <v>0</v>
      </c>
      <c r="AE35" s="12">
        <v>77.2</v>
      </c>
      <c r="AF35" s="12">
        <v>77.2</v>
      </c>
      <c r="AG35" s="12">
        <v>0</v>
      </c>
    </row>
    <row r="37" spans="1:55">
      <c r="K37" s="8">
        <f t="shared" ref="K37:P37" si="35">K3-SUM(K4:K34)</f>
        <v>0.5</v>
      </c>
      <c r="L37" s="8">
        <f t="shared" si="35"/>
        <v>0</v>
      </c>
      <c r="M37" s="8">
        <f t="shared" si="35"/>
        <v>38</v>
      </c>
      <c r="N37" s="8">
        <f t="shared" si="35"/>
        <v>37</v>
      </c>
      <c r="O37" s="8">
        <f t="shared" si="35"/>
        <v>77.25</v>
      </c>
      <c r="P37" s="8">
        <f t="shared" si="35"/>
        <v>77.240000000001601</v>
      </c>
      <c r="R37" s="8">
        <f t="shared" ref="R37:W37" si="36">R3-SUM(R4:R34)</f>
        <v>1.5</v>
      </c>
      <c r="S37" s="8">
        <f t="shared" si="36"/>
        <v>0</v>
      </c>
      <c r="T37" s="8">
        <f t="shared" si="36"/>
        <v>-1</v>
      </c>
      <c r="U37" s="8">
        <f t="shared" si="36"/>
        <v>0</v>
      </c>
      <c r="V37" s="8">
        <f t="shared" si="36"/>
        <v>-0.2999999999992724</v>
      </c>
      <c r="W37" s="8">
        <f t="shared" si="36"/>
        <v>-0.10000000000218279</v>
      </c>
    </row>
  </sheetData>
  <mergeCells count="11">
    <mergeCell ref="AE1:AG1"/>
    <mergeCell ref="A1:A2"/>
    <mergeCell ref="B1:C1"/>
    <mergeCell ref="D1:E1"/>
    <mergeCell ref="AA1:AA2"/>
    <mergeCell ref="AB1:AD1"/>
    <mergeCell ref="AZ1:BC1"/>
    <mergeCell ref="AM1:AM2"/>
    <mergeCell ref="AN1:AQ1"/>
    <mergeCell ref="AR1:AU1"/>
    <mergeCell ref="AV1:AY1"/>
  </mergeCells>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CBA0-B16A-4266-A2ED-97A6CCC3E607}">
  <dimension ref="A1:AY73"/>
  <sheetViews>
    <sheetView workbookViewId="0">
      <selection activeCell="L25" sqref="L25:L26"/>
    </sheetView>
  </sheetViews>
  <sheetFormatPr defaultRowHeight="14.25"/>
  <cols>
    <col min="1" max="1" width="21.375" bestFit="1" customWidth="1"/>
    <col min="2" max="37" width="9.25" customWidth="1"/>
  </cols>
  <sheetData>
    <row r="1" spans="1:51">
      <c r="B1">
        <v>201901</v>
      </c>
      <c r="C1">
        <v>201902</v>
      </c>
      <c r="D1">
        <v>201903</v>
      </c>
      <c r="E1">
        <v>201904</v>
      </c>
      <c r="F1">
        <v>201905</v>
      </c>
      <c r="G1">
        <v>201906</v>
      </c>
      <c r="H1">
        <v>201907</v>
      </c>
      <c r="I1">
        <v>201908</v>
      </c>
      <c r="J1">
        <v>201909</v>
      </c>
      <c r="K1">
        <v>201910</v>
      </c>
      <c r="L1">
        <v>201911</v>
      </c>
      <c r="M1">
        <v>201912</v>
      </c>
      <c r="N1">
        <v>202001</v>
      </c>
      <c r="O1">
        <v>202002</v>
      </c>
      <c r="P1">
        <v>202003</v>
      </c>
      <c r="Q1">
        <v>202004</v>
      </c>
      <c r="R1">
        <v>202005</v>
      </c>
      <c r="S1">
        <v>202006</v>
      </c>
      <c r="T1">
        <v>202007</v>
      </c>
      <c r="U1">
        <v>202008</v>
      </c>
      <c r="V1">
        <v>202009</v>
      </c>
      <c r="W1">
        <v>202010</v>
      </c>
      <c r="X1">
        <v>202011</v>
      </c>
      <c r="Y1">
        <v>202012</v>
      </c>
      <c r="Z1">
        <v>202101</v>
      </c>
      <c r="AA1">
        <v>202102</v>
      </c>
      <c r="AB1">
        <v>202103</v>
      </c>
      <c r="AC1">
        <v>202104</v>
      </c>
      <c r="AD1">
        <v>202105</v>
      </c>
      <c r="AE1">
        <v>202106</v>
      </c>
      <c r="AF1">
        <v>202107</v>
      </c>
      <c r="AG1">
        <v>202108</v>
      </c>
      <c r="AH1">
        <v>202109</v>
      </c>
      <c r="AI1">
        <v>202110</v>
      </c>
      <c r="AJ1">
        <v>202111</v>
      </c>
      <c r="AK1">
        <v>202112</v>
      </c>
      <c r="AN1">
        <v>1</v>
      </c>
      <c r="AO1">
        <v>2</v>
      </c>
      <c r="AP1">
        <v>3</v>
      </c>
      <c r="AQ1">
        <v>4</v>
      </c>
      <c r="AR1">
        <v>5</v>
      </c>
      <c r="AS1">
        <v>6</v>
      </c>
      <c r="AT1">
        <v>7</v>
      </c>
      <c r="AU1">
        <v>8</v>
      </c>
      <c r="AV1">
        <v>9</v>
      </c>
      <c r="AW1">
        <v>10</v>
      </c>
      <c r="AX1">
        <v>11</v>
      </c>
      <c r="AY1">
        <v>12</v>
      </c>
    </row>
    <row r="2" spans="1:51">
      <c r="A2" t="s">
        <v>5</v>
      </c>
      <c r="B2" s="16"/>
      <c r="C2" s="16"/>
      <c r="D2" s="16"/>
      <c r="E2" s="16"/>
      <c r="F2" s="16"/>
      <c r="G2" s="16">
        <v>0.35</v>
      </c>
      <c r="H2" s="16">
        <v>6.3896999999999995E-2</v>
      </c>
      <c r="I2" s="16">
        <v>0.23173350000000001</v>
      </c>
      <c r="J2" s="16">
        <v>0.247972</v>
      </c>
      <c r="K2" s="16">
        <v>0.88824400000000003</v>
      </c>
      <c r="L2" s="16"/>
      <c r="M2" s="16"/>
      <c r="N2" s="16">
        <v>4.0062E-2</v>
      </c>
      <c r="O2" s="16">
        <v>0</v>
      </c>
      <c r="P2" s="16">
        <v>3.0690000000000001E-3</v>
      </c>
      <c r="Q2" s="16">
        <v>2.1942E-2</v>
      </c>
      <c r="R2" s="16">
        <v>5.8973999999999999E-2</v>
      </c>
      <c r="S2" s="16">
        <v>9.0848999999999999E-2</v>
      </c>
      <c r="T2" s="16">
        <v>6.5411999999999998E-2</v>
      </c>
      <c r="U2" s="16">
        <f>U38-T38</f>
        <v>0.13880100000000006</v>
      </c>
      <c r="V2" s="16">
        <v>0.1535</v>
      </c>
      <c r="W2" s="16">
        <v>0.12809999999999999</v>
      </c>
      <c r="X2" s="16">
        <v>0.21609999999999999</v>
      </c>
      <c r="Y2" s="16"/>
      <c r="Z2" s="16">
        <v>0.17860000000000001</v>
      </c>
      <c r="AA2" s="16">
        <v>7.3800000000000004E-2</v>
      </c>
      <c r="AB2" s="16">
        <v>0.1198</v>
      </c>
      <c r="AC2" s="16">
        <v>0.2117</v>
      </c>
      <c r="AD2" s="16">
        <v>0.3528</v>
      </c>
      <c r="AE2" s="16">
        <v>0.3831</v>
      </c>
      <c r="AF2" s="16">
        <v>0.83489999999999998</v>
      </c>
      <c r="AG2" s="16">
        <v>0.41289999999999999</v>
      </c>
      <c r="AH2" s="16">
        <v>0.90939999999999999</v>
      </c>
      <c r="AI2" s="16">
        <v>0.53069999999999995</v>
      </c>
      <c r="AJ2" s="16">
        <v>1.6774</v>
      </c>
      <c r="AK2" s="16">
        <v>5.2767999999999997</v>
      </c>
      <c r="AN2" s="16"/>
      <c r="AO2" s="16"/>
      <c r="AP2" s="16"/>
      <c r="AQ2" s="16"/>
      <c r="AR2" s="16"/>
      <c r="AS2" s="16">
        <v>18.520800000000001</v>
      </c>
      <c r="AT2" s="16">
        <v>19.7179</v>
      </c>
      <c r="AU2" s="16">
        <v>26.513200000000001</v>
      </c>
      <c r="AV2" s="16">
        <v>37.5837</v>
      </c>
      <c r="AW2" s="16">
        <v>44.478115099999997</v>
      </c>
      <c r="AX2" s="16"/>
      <c r="AY2" s="16"/>
    </row>
    <row r="3" spans="1:51">
      <c r="A3" t="s">
        <v>6</v>
      </c>
      <c r="B3" s="16"/>
      <c r="C3" s="16"/>
      <c r="D3" s="16"/>
      <c r="E3" s="16"/>
      <c r="F3" s="16"/>
      <c r="G3" s="16">
        <v>0.04</v>
      </c>
      <c r="H3" s="16">
        <v>0.41099999999999998</v>
      </c>
      <c r="I3" s="16">
        <v>5.6101999999999999E-2</v>
      </c>
      <c r="J3" s="16">
        <v>2.5725000000000001E-2</v>
      </c>
      <c r="K3" s="16">
        <v>0.15013599999999999</v>
      </c>
      <c r="L3" s="16"/>
      <c r="M3" s="16"/>
      <c r="N3" s="16">
        <v>8.0000000000000004E-4</v>
      </c>
      <c r="O3" s="16">
        <v>0</v>
      </c>
      <c r="P3" s="16">
        <v>0</v>
      </c>
      <c r="Q3" s="16">
        <v>3.3800000000000002E-3</v>
      </c>
      <c r="R3" s="16">
        <v>2.3999999999999998E-3</v>
      </c>
      <c r="S3" s="16">
        <v>9.5999999999999992E-3</v>
      </c>
      <c r="T3" s="16">
        <v>0.14732999999999999</v>
      </c>
      <c r="U3" s="16">
        <f t="shared" ref="U3:U35" si="0">U39-T39</f>
        <v>0.15512399999999998</v>
      </c>
      <c r="V3" s="16">
        <v>0.13730000000000001</v>
      </c>
      <c r="W3" s="16">
        <v>0.15140000000000001</v>
      </c>
      <c r="X3" s="16">
        <v>0.41849999999999998</v>
      </c>
      <c r="Y3" s="16"/>
      <c r="Z3" s="16">
        <v>4.3799999999999999E-2</v>
      </c>
      <c r="AA3" s="16">
        <v>4.8899999999999999E-2</v>
      </c>
      <c r="AB3" s="16">
        <v>6.2799999999999995E-2</v>
      </c>
      <c r="AC3" s="16">
        <v>0.15160000000000001</v>
      </c>
      <c r="AD3" s="16">
        <v>0.2041</v>
      </c>
      <c r="AE3" s="16">
        <v>0.28210000000000002</v>
      </c>
      <c r="AF3" s="16">
        <v>0.18809999999999999</v>
      </c>
      <c r="AG3" s="16">
        <v>0.29239999999999999</v>
      </c>
      <c r="AH3" s="16">
        <v>0.32129999999999997</v>
      </c>
      <c r="AI3" s="16">
        <v>0.24829999999999999</v>
      </c>
      <c r="AJ3" s="16">
        <v>0.34739999999999999</v>
      </c>
      <c r="AK3" s="16">
        <v>0.59509999999999996</v>
      </c>
      <c r="AN3">
        <v>4.7263237</v>
      </c>
      <c r="AO3">
        <v>0.42160550000000002</v>
      </c>
      <c r="AP3">
        <v>4.6102480000000003</v>
      </c>
      <c r="AQ3">
        <v>17.147776</v>
      </c>
      <c r="AR3">
        <v>25.4394065</v>
      </c>
      <c r="AS3">
        <v>32.997843899999999</v>
      </c>
      <c r="AT3">
        <v>38.548428199999996</v>
      </c>
      <c r="AU3">
        <v>45.486209670000022</v>
      </c>
      <c r="AV3">
        <v>57.950899999999997</v>
      </c>
      <c r="AW3">
        <v>56.765900000000002</v>
      </c>
      <c r="AX3">
        <v>173.20519999999999</v>
      </c>
    </row>
    <row r="4" spans="1:51">
      <c r="A4" t="s">
        <v>7</v>
      </c>
      <c r="B4" s="16"/>
      <c r="C4" s="16"/>
      <c r="D4" s="16"/>
      <c r="E4" s="16"/>
      <c r="F4" s="16"/>
      <c r="G4" s="16">
        <v>9.1087819999999997</v>
      </c>
      <c r="H4" s="16">
        <v>7.6130659999999999</v>
      </c>
      <c r="I4" s="16">
        <v>12.893203</v>
      </c>
      <c r="J4" s="16">
        <v>17.390082</v>
      </c>
      <c r="K4" s="16">
        <v>12.927215</v>
      </c>
      <c r="L4" s="16"/>
      <c r="M4" s="16"/>
      <c r="N4" s="16">
        <v>2.6241186999999999</v>
      </c>
      <c r="O4" s="16">
        <v>0.1307875</v>
      </c>
      <c r="P4" s="16">
        <v>1.5698509</v>
      </c>
      <c r="Q4" s="16">
        <v>9.6245204999999991</v>
      </c>
      <c r="R4" s="16">
        <v>12.905168</v>
      </c>
      <c r="S4" s="16">
        <v>16.837641699999999</v>
      </c>
      <c r="T4" s="16">
        <v>17.363185699999999</v>
      </c>
      <c r="U4" s="16">
        <f t="shared" si="0"/>
        <v>23.966926999999998</v>
      </c>
      <c r="V4" s="16">
        <v>31.2149</v>
      </c>
      <c r="W4" s="16">
        <v>35.116199999999999</v>
      </c>
      <c r="X4" s="16">
        <v>64.083500000000001</v>
      </c>
      <c r="Y4" s="16"/>
      <c r="Z4" s="16">
        <v>5.9675000000000002</v>
      </c>
      <c r="AA4" s="16">
        <v>4.1371000000000002</v>
      </c>
      <c r="AB4" s="16">
        <v>17.183599999999998</v>
      </c>
      <c r="AC4" s="16">
        <v>37.224400000000003</v>
      </c>
      <c r="AD4" s="16">
        <v>37.738199999999999</v>
      </c>
      <c r="AE4" s="16">
        <v>45.652299999999997</v>
      </c>
      <c r="AF4" s="16">
        <v>44.8371</v>
      </c>
      <c r="AG4" s="16">
        <v>49.7806</v>
      </c>
      <c r="AH4" s="16">
        <v>57.899900000000002</v>
      </c>
      <c r="AI4" s="16">
        <v>46.118099999999998</v>
      </c>
      <c r="AJ4" s="16">
        <v>64.477199999999996</v>
      </c>
      <c r="AK4" s="16">
        <v>123.05710000000001</v>
      </c>
      <c r="AN4">
        <v>12.035</v>
      </c>
      <c r="AO4">
        <v>13.348800000000001</v>
      </c>
      <c r="AP4">
        <v>28.145700000000001</v>
      </c>
      <c r="AQ4">
        <v>55.813600000000001</v>
      </c>
      <c r="AR4">
        <v>63.384900000000002</v>
      </c>
      <c r="AS4">
        <v>67.203400000000002</v>
      </c>
      <c r="AT4">
        <v>65.569400000000002</v>
      </c>
      <c r="AU4">
        <v>67.8232</v>
      </c>
      <c r="AV4">
        <v>69.904399999999995</v>
      </c>
      <c r="AW4">
        <v>64.360100000000003</v>
      </c>
      <c r="AX4">
        <v>88.13</v>
      </c>
      <c r="AY4">
        <v>157.9777</v>
      </c>
    </row>
    <row r="5" spans="1:51">
      <c r="A5" t="s">
        <v>112</v>
      </c>
      <c r="B5" s="16"/>
      <c r="C5" s="16"/>
      <c r="D5" s="16"/>
      <c r="E5" s="16"/>
      <c r="F5" s="16"/>
      <c r="G5" s="16">
        <v>6.9587820000000002</v>
      </c>
      <c r="H5" s="16">
        <v>7.2</v>
      </c>
      <c r="I5" s="16">
        <v>10.837400000000001</v>
      </c>
      <c r="J5" s="16">
        <v>15.113118999999999</v>
      </c>
      <c r="K5" s="16">
        <v>11.017200000000001</v>
      </c>
      <c r="L5" s="16"/>
      <c r="M5" s="16"/>
      <c r="N5" s="16">
        <v>2.5451666999999998</v>
      </c>
      <c r="O5" s="16">
        <v>0.12406250000000001</v>
      </c>
      <c r="P5" s="16">
        <v>1.3597949</v>
      </c>
      <c r="Q5" s="16">
        <v>8.960305</v>
      </c>
      <c r="R5" s="16">
        <v>11.930059</v>
      </c>
      <c r="S5" s="16">
        <v>15.475211699999999</v>
      </c>
      <c r="T5" s="16">
        <v>15.8954722</v>
      </c>
      <c r="U5" s="16">
        <f t="shared" si="0"/>
        <v>22.714627960000001</v>
      </c>
      <c r="V5" s="16">
        <v>28.750800000000002</v>
      </c>
      <c r="W5" s="16">
        <v>32.082700000000003</v>
      </c>
      <c r="X5" s="16">
        <v>55.759099999999997</v>
      </c>
      <c r="Y5" s="16"/>
      <c r="Z5" s="16">
        <v>5.4017999999999997</v>
      </c>
      <c r="AA5" s="16">
        <v>3.4495</v>
      </c>
      <c r="AB5" s="16">
        <v>16.2044</v>
      </c>
      <c r="AC5" s="16">
        <v>34.490499999999997</v>
      </c>
      <c r="AD5" s="16">
        <v>33.538200000000003</v>
      </c>
      <c r="AE5" s="16">
        <v>41.294499999999999</v>
      </c>
      <c r="AF5" s="16">
        <v>39.290799999999997</v>
      </c>
      <c r="AG5" s="16">
        <v>43.176499999999997</v>
      </c>
      <c r="AH5" s="16">
        <v>51.535299999999999</v>
      </c>
      <c r="AI5" s="16">
        <v>40.959099999999999</v>
      </c>
      <c r="AJ5" s="16">
        <v>58.085299999999997</v>
      </c>
      <c r="AK5" s="16">
        <v>109.535</v>
      </c>
    </row>
    <row r="6" spans="1:51">
      <c r="A6" t="s">
        <v>113</v>
      </c>
      <c r="B6" s="16"/>
      <c r="C6" s="16"/>
      <c r="D6" s="16"/>
      <c r="E6" s="16"/>
      <c r="F6" s="16"/>
      <c r="G6" s="16">
        <v>2.15</v>
      </c>
      <c r="H6" s="16">
        <v>0.41366199999999997</v>
      </c>
      <c r="I6" s="16">
        <v>2.055803</v>
      </c>
      <c r="J6" s="16">
        <v>2.2769629999999998</v>
      </c>
      <c r="K6" s="16">
        <v>1.910015</v>
      </c>
      <c r="L6" s="16"/>
      <c r="M6" s="16"/>
      <c r="N6" s="16">
        <v>7.8951999999999994E-2</v>
      </c>
      <c r="O6" s="16">
        <v>6.7250000000000001E-3</v>
      </c>
      <c r="P6" s="16">
        <v>0.21005599999999999</v>
      </c>
      <c r="Q6" s="16">
        <v>0.66421549999999996</v>
      </c>
      <c r="R6" s="16">
        <v>0.975109</v>
      </c>
      <c r="S6" s="16">
        <v>1.36243</v>
      </c>
      <c r="T6" s="16">
        <v>1.4677134999999999</v>
      </c>
      <c r="U6" s="16">
        <f t="shared" si="0"/>
        <v>1.2521990000000001</v>
      </c>
      <c r="V6" s="16">
        <v>2.4641999999999999</v>
      </c>
      <c r="W6" s="16">
        <v>3.0335000000000001</v>
      </c>
      <c r="X6" s="16">
        <v>8.3245000000000005</v>
      </c>
      <c r="Y6" s="16"/>
      <c r="Z6" s="16">
        <v>0.56569999999999998</v>
      </c>
      <c r="AA6" s="16">
        <v>0.6875</v>
      </c>
      <c r="AB6" s="16">
        <v>0.97919999999999996</v>
      </c>
      <c r="AC6" s="16">
        <v>2.7339000000000002</v>
      </c>
      <c r="AD6" s="16">
        <v>4.2</v>
      </c>
      <c r="AE6" s="16">
        <v>4.3578000000000001</v>
      </c>
      <c r="AF6" s="16">
        <v>5.5461999999999998</v>
      </c>
      <c r="AG6" s="16">
        <v>6.6040999999999999</v>
      </c>
      <c r="AH6" s="16">
        <v>6.3646000000000003</v>
      </c>
      <c r="AI6" s="16">
        <v>5.1589999999999998</v>
      </c>
      <c r="AJ6" s="16">
        <v>6.3917999999999999</v>
      </c>
      <c r="AK6" s="16">
        <v>13.522</v>
      </c>
    </row>
    <row r="7" spans="1:51">
      <c r="A7" t="s">
        <v>8</v>
      </c>
      <c r="B7" s="16"/>
      <c r="C7" s="16"/>
      <c r="D7" s="16"/>
      <c r="E7" s="16"/>
      <c r="F7" s="16"/>
      <c r="G7" s="16">
        <v>1.679881</v>
      </c>
      <c r="H7" s="16">
        <v>1.289771</v>
      </c>
      <c r="I7" s="16">
        <v>2.1793110000000002</v>
      </c>
      <c r="J7" s="16">
        <v>4.2711196999999999</v>
      </c>
      <c r="K7" s="16">
        <v>7.5039974999999997</v>
      </c>
      <c r="L7" s="16"/>
      <c r="M7" s="16"/>
      <c r="N7" s="16">
        <v>9.7212999999999994E-2</v>
      </c>
      <c r="O7" s="16">
        <v>3.0000000000000001E-3</v>
      </c>
      <c r="P7" s="16">
        <v>9.4661499999999996E-2</v>
      </c>
      <c r="Q7" s="16">
        <v>0.4809445</v>
      </c>
      <c r="R7" s="16">
        <v>1.5066409999999999</v>
      </c>
      <c r="S7" s="16">
        <v>2.8574449999999998</v>
      </c>
      <c r="T7" s="16">
        <v>3.8275771000000001</v>
      </c>
      <c r="U7" s="16">
        <f t="shared" si="0"/>
        <v>4.6087178999999985</v>
      </c>
      <c r="V7" s="16">
        <v>5.8826000000000001</v>
      </c>
      <c r="W7" s="16">
        <v>6.0877999999999997</v>
      </c>
      <c r="X7" s="16">
        <v>20.3292</v>
      </c>
      <c r="Y7" s="16"/>
      <c r="Z7" s="16">
        <v>0.81230000000000002</v>
      </c>
      <c r="AA7" s="16">
        <v>0.38440000000000002</v>
      </c>
      <c r="AB7" s="16">
        <v>1.0245</v>
      </c>
      <c r="AC7" s="16">
        <v>2.3393999999999999</v>
      </c>
      <c r="AD7" s="16">
        <v>4.2832999999999997</v>
      </c>
      <c r="AE7" s="16">
        <v>5.8872999999999998</v>
      </c>
      <c r="AF7" s="16">
        <v>6.7126999999999999</v>
      </c>
      <c r="AG7" s="16">
        <v>7.0305999999999997</v>
      </c>
      <c r="AH7" s="16">
        <v>7.2380000000000004</v>
      </c>
      <c r="AI7" s="16">
        <v>5.9760999999999997</v>
      </c>
      <c r="AJ7" s="16">
        <v>9.9275000000000002</v>
      </c>
      <c r="AK7" s="16">
        <v>22.6447</v>
      </c>
    </row>
    <row r="8" spans="1:51">
      <c r="A8" t="s">
        <v>9</v>
      </c>
      <c r="B8" s="16"/>
      <c r="C8" s="16"/>
      <c r="D8" s="16"/>
      <c r="E8" s="16"/>
      <c r="F8" s="16"/>
      <c r="G8" s="16">
        <v>0.20424600000000001</v>
      </c>
      <c r="H8" s="16">
        <v>0.11902</v>
      </c>
      <c r="I8" s="16">
        <v>4.4381999999999998E-2</v>
      </c>
      <c r="J8" s="16">
        <v>0.17711299999999999</v>
      </c>
      <c r="K8" s="16">
        <v>1.6970670000000001</v>
      </c>
      <c r="L8" s="16"/>
      <c r="M8" s="16"/>
      <c r="N8" s="16">
        <v>6.5763000000000002E-2</v>
      </c>
      <c r="O8" s="16">
        <v>0</v>
      </c>
      <c r="P8" s="16">
        <v>8.0000000000000004E-4</v>
      </c>
      <c r="Q8" s="16">
        <v>3.5855999999999999E-2</v>
      </c>
      <c r="R8" s="16">
        <v>1.8319999999999999E-2</v>
      </c>
      <c r="S8" s="16">
        <v>0.12870500000000001</v>
      </c>
      <c r="T8" s="16">
        <v>4.7120000000000002E-2</v>
      </c>
      <c r="U8" s="16">
        <f t="shared" si="0"/>
        <v>9.2936000000000019E-2</v>
      </c>
      <c r="V8" s="16">
        <v>0.34129999999999999</v>
      </c>
      <c r="W8" s="16">
        <v>0.15609999999999999</v>
      </c>
      <c r="X8" s="16">
        <v>1.0987</v>
      </c>
      <c r="Y8" s="16"/>
      <c r="Z8" s="16">
        <v>7.2599999999999998E-2</v>
      </c>
      <c r="AA8" s="16">
        <v>0.106</v>
      </c>
      <c r="AB8" s="16">
        <v>8.6999999999999994E-3</v>
      </c>
      <c r="AC8" s="16">
        <v>0.1003</v>
      </c>
      <c r="AD8" s="16">
        <v>0.11749999999999999</v>
      </c>
      <c r="AE8" s="16">
        <v>6.3399999999999998E-2</v>
      </c>
      <c r="AF8" s="16">
        <v>0.2646</v>
      </c>
      <c r="AG8" s="16">
        <v>0.14910000000000001</v>
      </c>
      <c r="AH8" s="16">
        <v>0.1323</v>
      </c>
      <c r="AI8" s="16">
        <v>0.55200000000000005</v>
      </c>
      <c r="AJ8" s="16">
        <v>0.79059999999999997</v>
      </c>
      <c r="AK8" s="16">
        <v>2.9517000000000002</v>
      </c>
    </row>
    <row r="9" spans="1:51">
      <c r="A9" t="s">
        <v>114</v>
      </c>
      <c r="B9" s="16"/>
      <c r="C9" s="16"/>
      <c r="D9" s="16"/>
      <c r="E9" s="16"/>
      <c r="F9" s="16"/>
      <c r="G9" s="16">
        <v>1.6000000000000001E-3</v>
      </c>
      <c r="H9" s="16">
        <v>3.0000000000000001E-3</v>
      </c>
      <c r="I9" s="16">
        <v>8.3999999999999995E-3</v>
      </c>
      <c r="J9" s="16">
        <v>1.5E-3</v>
      </c>
      <c r="K9" s="16">
        <v>2.6671E-2</v>
      </c>
      <c r="L9" s="16"/>
      <c r="M9" s="16"/>
      <c r="N9" s="16">
        <v>5.3499999999999999E-2</v>
      </c>
      <c r="O9" s="16">
        <v>0</v>
      </c>
      <c r="P9" s="16">
        <v>0</v>
      </c>
      <c r="Q9" s="16">
        <v>9.1000000000000004E-3</v>
      </c>
      <c r="R9" s="16">
        <v>1.0499999999999999E-3</v>
      </c>
      <c r="S9" s="16">
        <v>5.8560000000000001E-2</v>
      </c>
      <c r="T9" s="16">
        <v>8.2699999999999996E-3</v>
      </c>
      <c r="U9" s="16">
        <f t="shared" si="0"/>
        <v>1.591999999999999E-2</v>
      </c>
      <c r="V9" s="16">
        <v>9.6799999999999997E-2</v>
      </c>
      <c r="W9" s="16">
        <v>2.8500000000000001E-2</v>
      </c>
      <c r="X9" s="16">
        <v>0.48380000000000001</v>
      </c>
      <c r="Y9" s="16"/>
      <c r="Z9" s="16">
        <v>6.1600000000000002E-2</v>
      </c>
      <c r="AA9" s="16">
        <v>7.0499999999999993E-2</v>
      </c>
      <c r="AB9" s="16">
        <v>6.4999999999999997E-3</v>
      </c>
      <c r="AC9" s="16">
        <v>8.7999999999999995E-2</v>
      </c>
      <c r="AD9" s="16">
        <v>1.6299999999999999E-2</v>
      </c>
      <c r="AE9" s="16">
        <v>4.0599999999999997E-2</v>
      </c>
      <c r="AF9" s="16">
        <v>0.23710000000000001</v>
      </c>
      <c r="AG9" s="16">
        <v>3.2500000000000001E-2</v>
      </c>
      <c r="AH9" s="16">
        <v>6.54E-2</v>
      </c>
      <c r="AI9" s="16">
        <v>0.1404</v>
      </c>
      <c r="AJ9" s="16">
        <v>0.19819999999999999</v>
      </c>
      <c r="AK9" s="16">
        <v>0.28100000000000003</v>
      </c>
    </row>
    <row r="10" spans="1:51">
      <c r="A10" t="s">
        <v>115</v>
      </c>
      <c r="B10" s="16"/>
      <c r="C10" s="16"/>
      <c r="D10" s="16"/>
      <c r="E10" s="16"/>
      <c r="F10" s="16"/>
      <c r="G10" s="16">
        <v>0.20264599999999999</v>
      </c>
      <c r="H10" s="16">
        <v>0.11602</v>
      </c>
      <c r="I10" s="16">
        <v>3.5982E-2</v>
      </c>
      <c r="J10" s="16">
        <v>0.17561299999999999</v>
      </c>
      <c r="K10" s="16">
        <v>1.670396</v>
      </c>
      <c r="L10" s="16"/>
      <c r="M10" s="16"/>
      <c r="N10" s="16">
        <v>1.2263E-2</v>
      </c>
      <c r="O10" s="16">
        <v>0</v>
      </c>
      <c r="P10" s="16">
        <v>8.0000000000000004E-4</v>
      </c>
      <c r="Q10" s="16">
        <v>2.6755999999999999E-2</v>
      </c>
      <c r="R10" s="16">
        <v>1.7270000000000001E-2</v>
      </c>
      <c r="S10" s="16">
        <v>7.0144999999999999E-2</v>
      </c>
      <c r="T10" s="16">
        <v>3.8850000000000003E-2</v>
      </c>
      <c r="U10" s="16">
        <f t="shared" si="0"/>
        <v>7.7015999999999973E-2</v>
      </c>
      <c r="V10" s="16">
        <v>0.2445</v>
      </c>
      <c r="W10" s="16">
        <v>0.12759999999999999</v>
      </c>
      <c r="X10" s="16">
        <v>0.6149</v>
      </c>
      <c r="Y10" s="16"/>
      <c r="Z10" s="16">
        <v>1.0999999999999999E-2</v>
      </c>
      <c r="AA10" s="16">
        <v>3.5499999999999997E-2</v>
      </c>
      <c r="AB10" s="16">
        <v>2.2000000000000001E-3</v>
      </c>
      <c r="AC10" s="16">
        <v>1.23E-2</v>
      </c>
      <c r="AD10" s="16">
        <v>0.1013</v>
      </c>
      <c r="AE10" s="16">
        <v>2.2800000000000001E-2</v>
      </c>
      <c r="AF10" s="16">
        <v>2.7400000000000001E-2</v>
      </c>
      <c r="AG10" s="16">
        <v>0.1166</v>
      </c>
      <c r="AH10" s="16">
        <v>6.6900000000000001E-2</v>
      </c>
      <c r="AI10" s="16">
        <v>0.41160000000000002</v>
      </c>
      <c r="AJ10" s="16">
        <v>0.59240000000000004</v>
      </c>
      <c r="AK10" s="16">
        <v>2.6707000000000001</v>
      </c>
    </row>
    <row r="11" spans="1:51">
      <c r="A11" t="s">
        <v>10</v>
      </c>
      <c r="B11" s="16"/>
      <c r="C11" s="16"/>
      <c r="D11" s="16"/>
      <c r="E11" s="16"/>
      <c r="F11" s="16"/>
      <c r="G11" s="16">
        <v>0.87580000000000002</v>
      </c>
      <c r="H11" s="16">
        <v>0.40550000000000003</v>
      </c>
      <c r="I11" s="16">
        <v>0.701206</v>
      </c>
      <c r="J11" s="16">
        <v>1.007487</v>
      </c>
      <c r="K11" s="16">
        <v>1.3574550000000001</v>
      </c>
      <c r="L11" s="16"/>
      <c r="M11" s="16"/>
      <c r="N11" s="16">
        <v>1.1195E-2</v>
      </c>
      <c r="O11" s="16">
        <v>4.1700000000000001E-3</v>
      </c>
      <c r="P11" s="16">
        <v>7.4900000000000001E-3</v>
      </c>
      <c r="Q11" s="16">
        <v>7.8299999999999995E-2</v>
      </c>
      <c r="R11" s="16">
        <v>0.25486500000000001</v>
      </c>
      <c r="S11" s="16">
        <v>0.79390150000000004</v>
      </c>
      <c r="T11" s="16">
        <v>1.488858</v>
      </c>
      <c r="U11" s="16">
        <f t="shared" si="0"/>
        <v>1.3783204999999992</v>
      </c>
      <c r="V11" s="16">
        <v>1.7547999999999999</v>
      </c>
      <c r="W11" s="16">
        <v>2.3567</v>
      </c>
      <c r="X11" s="16">
        <v>6.5392999999999999</v>
      </c>
      <c r="Y11" s="16"/>
      <c r="Z11" s="16">
        <v>0.10100000000000001</v>
      </c>
      <c r="AA11" s="16">
        <v>7.1099999999999997E-2</v>
      </c>
      <c r="AB11" s="16">
        <v>6.8500000000000005E-2</v>
      </c>
      <c r="AC11" s="16">
        <v>0.56110000000000004</v>
      </c>
      <c r="AD11" s="16">
        <v>4.2</v>
      </c>
      <c r="AE11" s="16">
        <v>2.0447000000000002</v>
      </c>
      <c r="AF11" s="16">
        <v>1.847</v>
      </c>
      <c r="AG11" s="16">
        <v>2.5360999999999998</v>
      </c>
      <c r="AH11" s="16">
        <v>3.14</v>
      </c>
      <c r="AI11" s="16">
        <v>1.028</v>
      </c>
      <c r="AJ11" s="16">
        <v>4.1059000000000001</v>
      </c>
      <c r="AK11" s="16">
        <v>11.6456</v>
      </c>
    </row>
    <row r="12" spans="1:51">
      <c r="A12" t="s">
        <v>11</v>
      </c>
      <c r="B12" s="16"/>
      <c r="C12" s="16"/>
      <c r="D12" s="16"/>
      <c r="E12" s="16"/>
      <c r="F12" s="16"/>
      <c r="G12" s="16">
        <v>0.41360799999999998</v>
      </c>
      <c r="H12" s="16">
        <v>0.133081</v>
      </c>
      <c r="I12" s="16">
        <v>0.31049399999999999</v>
      </c>
      <c r="J12" s="16">
        <v>0.61711400000000005</v>
      </c>
      <c r="K12" s="16">
        <v>0.78738399999999997</v>
      </c>
      <c r="L12" s="16"/>
      <c r="M12" s="16"/>
      <c r="N12" s="16">
        <v>3.64E-3</v>
      </c>
      <c r="O12" s="16">
        <v>0.145563</v>
      </c>
      <c r="P12" s="16">
        <v>1.9536000000000001E-2</v>
      </c>
      <c r="Q12" s="16">
        <v>7.3165999999999995E-2</v>
      </c>
      <c r="R12" s="16">
        <v>0.42522199999999999</v>
      </c>
      <c r="S12" s="16">
        <v>0.13702900000000001</v>
      </c>
      <c r="T12" s="16">
        <v>0.34655249999999999</v>
      </c>
      <c r="U12" s="16">
        <f t="shared" si="0"/>
        <v>0.60619149999999999</v>
      </c>
      <c r="V12" s="16">
        <v>0.68259999999999998</v>
      </c>
      <c r="W12" s="16">
        <v>0.66139999999999999</v>
      </c>
      <c r="X12" s="16">
        <v>2.9643000000000002</v>
      </c>
      <c r="Y12" s="16"/>
      <c r="Z12" s="16">
        <v>5.5899999999999998E-2</v>
      </c>
      <c r="AA12" s="16">
        <v>2.6800000000000001E-2</v>
      </c>
      <c r="AB12" s="16">
        <v>2.0400000000000001E-2</v>
      </c>
      <c r="AC12" s="16">
        <v>0.1176</v>
      </c>
      <c r="AD12" s="16">
        <v>8.5599999999999996E-2</v>
      </c>
      <c r="AE12" s="16">
        <v>0.24529999999999999</v>
      </c>
      <c r="AF12" s="16">
        <v>0.314</v>
      </c>
      <c r="AG12" s="16">
        <v>0.40639999999999998</v>
      </c>
      <c r="AH12" s="16">
        <v>0.37740000000000001</v>
      </c>
      <c r="AI12" s="16">
        <v>0.35039999999999999</v>
      </c>
      <c r="AJ12" s="16">
        <v>0.38490000000000002</v>
      </c>
      <c r="AK12" s="16">
        <v>2.6021999999999998</v>
      </c>
    </row>
    <row r="13" spans="1:51">
      <c r="A13" t="s">
        <v>12</v>
      </c>
      <c r="B13" s="16"/>
      <c r="C13" s="16"/>
      <c r="D13" s="16"/>
      <c r="E13" s="16"/>
      <c r="F13" s="16"/>
      <c r="G13" s="16">
        <v>6.8000000000000005E-2</v>
      </c>
      <c r="H13" s="16">
        <v>3.8399999999999997E-2</v>
      </c>
      <c r="I13" s="16">
        <v>0.12909999999999999</v>
      </c>
      <c r="J13" s="16">
        <v>0.51954599999999995</v>
      </c>
      <c r="K13" s="16">
        <v>0.3276</v>
      </c>
      <c r="L13" s="16"/>
      <c r="M13" s="16"/>
      <c r="N13" s="16">
        <v>1.2E-2</v>
      </c>
      <c r="O13" s="16">
        <v>8.9999999999999998E-4</v>
      </c>
      <c r="P13" s="16">
        <v>5.0000000000000001E-4</v>
      </c>
      <c r="Q13" s="16">
        <v>5.4260000000000003E-2</v>
      </c>
      <c r="R13" s="16">
        <v>4.3027999999999997E-2</v>
      </c>
      <c r="S13" s="16">
        <v>5.1908000000000003E-2</v>
      </c>
      <c r="T13" s="16">
        <v>6.8205000000000002E-2</v>
      </c>
      <c r="U13" s="16">
        <f t="shared" si="0"/>
        <v>0.10361900000000002</v>
      </c>
      <c r="V13" s="16">
        <v>6.0100000000000001E-2</v>
      </c>
      <c r="W13" s="16">
        <v>0.2</v>
      </c>
      <c r="X13" s="16">
        <v>1.0297000000000001</v>
      </c>
      <c r="Y13" s="16"/>
      <c r="Z13" s="16">
        <v>2.7799999999999998E-2</v>
      </c>
      <c r="AA13" s="16">
        <v>0</v>
      </c>
      <c r="AB13" s="16">
        <v>4.4999999999999998E-2</v>
      </c>
      <c r="AC13" s="16">
        <v>3.1099999999999999E-2</v>
      </c>
      <c r="AD13" s="16">
        <v>4.1200000000000001E-2</v>
      </c>
      <c r="AE13" s="16">
        <v>6.9400000000000003E-2</v>
      </c>
      <c r="AF13" s="16">
        <v>7.1800000000000003E-2</v>
      </c>
      <c r="AG13" s="16">
        <v>0.13100000000000001</v>
      </c>
      <c r="AH13" s="16">
        <v>9.1499999999999998E-2</v>
      </c>
      <c r="AI13" s="16">
        <v>0.21709999999999999</v>
      </c>
      <c r="AJ13" s="16">
        <v>0.26619999999999999</v>
      </c>
      <c r="AK13" s="16">
        <v>1.1843999999999999</v>
      </c>
    </row>
    <row r="14" spans="1:51">
      <c r="A14" t="s">
        <v>13</v>
      </c>
      <c r="B14" s="16"/>
      <c r="C14" s="16"/>
      <c r="D14" s="16"/>
      <c r="E14" s="16"/>
      <c r="F14" s="16"/>
      <c r="G14" s="16">
        <v>0.22</v>
      </c>
      <c r="H14" s="16">
        <v>0.20549999999999999</v>
      </c>
      <c r="I14" s="16">
        <v>0.22720000000000001</v>
      </c>
      <c r="J14" s="16">
        <v>0.15060000000000001</v>
      </c>
      <c r="K14" s="16">
        <v>0.33450000000000002</v>
      </c>
      <c r="L14" s="16"/>
      <c r="M14" s="16"/>
      <c r="N14" s="16">
        <v>4.6544000000000002E-2</v>
      </c>
      <c r="O14" s="16">
        <v>0</v>
      </c>
      <c r="P14" s="16">
        <v>1.8565000000000002E-2</v>
      </c>
      <c r="Q14" s="16">
        <v>4.5902199999999997E-2</v>
      </c>
      <c r="R14" s="16">
        <v>7.2679499999999994E-2</v>
      </c>
      <c r="S14" s="16">
        <v>0.1440565</v>
      </c>
      <c r="T14" s="16">
        <v>0.16416230000000001</v>
      </c>
      <c r="U14" s="16">
        <f t="shared" si="0"/>
        <v>0.14909050000000001</v>
      </c>
      <c r="V14" s="16">
        <v>0.184</v>
      </c>
      <c r="W14" s="16">
        <v>0.12039999999999999</v>
      </c>
      <c r="X14" s="16">
        <v>0.34350000000000003</v>
      </c>
      <c r="Y14" s="16"/>
      <c r="Z14" s="16">
        <v>6.1699999999999998E-2</v>
      </c>
      <c r="AA14" s="16">
        <v>3.6499999999999998E-2</v>
      </c>
      <c r="AB14" s="16">
        <v>4.53E-2</v>
      </c>
      <c r="AC14" s="16">
        <v>0.10829999999999999</v>
      </c>
      <c r="AD14" s="16">
        <v>0.13750000000000001</v>
      </c>
      <c r="AE14" s="16">
        <v>0.13289999999999999</v>
      </c>
      <c r="AF14" s="16">
        <v>0.14949999999999999</v>
      </c>
      <c r="AG14" s="16">
        <v>0.1676</v>
      </c>
      <c r="AH14" s="16">
        <v>0.18759999999999999</v>
      </c>
      <c r="AI14" s="16">
        <v>7.1599999999999997E-2</v>
      </c>
      <c r="AJ14" s="16">
        <v>0.27060000000000001</v>
      </c>
      <c r="AK14" s="16">
        <v>0.47170000000000001</v>
      </c>
    </row>
    <row r="15" spans="1:51">
      <c r="A15" t="s">
        <v>14</v>
      </c>
      <c r="B15" s="16"/>
      <c r="C15" s="16"/>
      <c r="D15" s="16"/>
      <c r="E15" s="16"/>
      <c r="F15" s="16"/>
      <c r="G15" s="16">
        <v>2.0777600000000001</v>
      </c>
      <c r="H15" s="16">
        <v>1.8031638999999999</v>
      </c>
      <c r="I15" s="16">
        <v>3.4270960000000001</v>
      </c>
      <c r="J15" s="16">
        <v>3.6969945000000002</v>
      </c>
      <c r="K15" s="16">
        <v>3.6943895000000002</v>
      </c>
      <c r="L15" s="16"/>
      <c r="M15" s="16"/>
      <c r="N15" s="16">
        <v>0.33230559999999998</v>
      </c>
      <c r="O15" s="16">
        <v>9.6380000000000007E-3</v>
      </c>
      <c r="P15" s="16">
        <v>0.386241</v>
      </c>
      <c r="Q15" s="16">
        <v>1.3082674999999999</v>
      </c>
      <c r="R15" s="16">
        <v>1.754988</v>
      </c>
      <c r="S15" s="16">
        <v>1.9712099999999999</v>
      </c>
      <c r="T15" s="16">
        <v>2.2841789000000001</v>
      </c>
      <c r="U15" s="16">
        <f t="shared" si="0"/>
        <v>2.2189055</v>
      </c>
      <c r="V15" s="16">
        <v>3.0691000000000002</v>
      </c>
      <c r="W15" s="16">
        <v>2.9262999999999999</v>
      </c>
      <c r="X15" s="16">
        <v>6.9188000000000001</v>
      </c>
      <c r="Y15" s="16"/>
      <c r="Z15" s="16">
        <v>0.30549999999999999</v>
      </c>
      <c r="AA15" s="16">
        <v>0.6522</v>
      </c>
      <c r="AB15" s="16">
        <v>1.891</v>
      </c>
      <c r="AC15" s="16">
        <v>3.0392999999999999</v>
      </c>
      <c r="AD15" s="16">
        <v>2.6703999999999999</v>
      </c>
      <c r="AE15" s="16">
        <v>2.859</v>
      </c>
      <c r="AF15" s="16">
        <v>4.0384000000000002</v>
      </c>
      <c r="AG15" s="16">
        <v>3.0402</v>
      </c>
      <c r="AH15" s="16">
        <v>3.6080000000000001</v>
      </c>
      <c r="AI15" s="16">
        <v>3.6764000000000001</v>
      </c>
      <c r="AJ15" s="16">
        <v>4.9271000000000003</v>
      </c>
      <c r="AK15" s="16">
        <v>13.068099999999999</v>
      </c>
    </row>
    <row r="16" spans="1:51">
      <c r="A16" t="s">
        <v>15</v>
      </c>
      <c r="B16" s="16"/>
      <c r="C16" s="16"/>
      <c r="D16" s="16"/>
      <c r="E16" s="16"/>
      <c r="F16" s="16"/>
      <c r="G16" s="16">
        <v>3.8210199999999999</v>
      </c>
      <c r="H16" s="16">
        <v>2.9891999999999999</v>
      </c>
      <c r="I16" s="16">
        <v>3.4746000000000001</v>
      </c>
      <c r="J16" s="16">
        <v>4.1094999999999997</v>
      </c>
      <c r="K16" s="16">
        <v>5.3719999999999999</v>
      </c>
      <c r="L16" s="16"/>
      <c r="M16" s="16"/>
      <c r="N16" s="16">
        <v>1.0887465000000001</v>
      </c>
      <c r="O16" s="16">
        <v>1.36165E-2</v>
      </c>
      <c r="P16" s="16">
        <v>0.77632350000000006</v>
      </c>
      <c r="Q16" s="16">
        <v>1.7573965</v>
      </c>
      <c r="R16" s="16">
        <v>2.0520770000000002</v>
      </c>
      <c r="S16" s="16">
        <v>2.6506145000000001</v>
      </c>
      <c r="T16" s="16">
        <v>2.5063612000000002</v>
      </c>
      <c r="U16" s="16">
        <f t="shared" si="0"/>
        <v>2.7453643000000003</v>
      </c>
      <c r="V16" s="16">
        <v>2.2441</v>
      </c>
      <c r="W16" s="16">
        <v>2.2235</v>
      </c>
      <c r="X16" s="16">
        <v>5.7008999999999999</v>
      </c>
      <c r="Y16" s="16"/>
      <c r="Z16" s="16">
        <v>0.87390000000000001</v>
      </c>
      <c r="AA16" s="16">
        <v>0.33639999999999998</v>
      </c>
      <c r="AB16" s="16">
        <v>0.74509999999999998</v>
      </c>
      <c r="AC16" s="16">
        <v>1.7078</v>
      </c>
      <c r="AD16" s="16">
        <v>1.3472999999999999</v>
      </c>
      <c r="AE16" s="16">
        <v>1.7208000000000001</v>
      </c>
      <c r="AF16" s="16">
        <v>1.6720999999999999</v>
      </c>
      <c r="AG16" s="16">
        <v>1.7316</v>
      </c>
      <c r="AH16" s="16">
        <v>2.7864</v>
      </c>
      <c r="AI16" s="16">
        <v>1.1857</v>
      </c>
      <c r="AJ16" s="16">
        <v>1.5615000000000001</v>
      </c>
      <c r="AK16" s="16">
        <v>2.6349</v>
      </c>
    </row>
    <row r="17" spans="1:37">
      <c r="A17" t="s">
        <v>16</v>
      </c>
      <c r="B17" s="16"/>
      <c r="C17" s="16"/>
      <c r="D17" s="16"/>
      <c r="E17" s="16"/>
      <c r="F17" s="16"/>
      <c r="G17" s="16">
        <v>1.59</v>
      </c>
      <c r="H17" s="16">
        <v>1.6172200000000001</v>
      </c>
      <c r="I17" s="16">
        <v>2.2410700000000001</v>
      </c>
      <c r="J17" s="16">
        <v>3.8033730000000001</v>
      </c>
      <c r="K17" s="16">
        <v>2.5986530000000001</v>
      </c>
      <c r="L17" s="16"/>
      <c r="M17" s="16"/>
      <c r="N17" s="16">
        <v>0.53263700000000003</v>
      </c>
      <c r="O17" s="16">
        <v>2.6502999999999999E-2</v>
      </c>
      <c r="P17" s="16">
        <v>0.82397799999999999</v>
      </c>
      <c r="Q17" s="16">
        <v>2.1780105000000001</v>
      </c>
      <c r="R17" s="16">
        <v>2.6608900000000002</v>
      </c>
      <c r="S17" s="16">
        <v>2.6506145000000001</v>
      </c>
      <c r="T17" s="16">
        <v>2.9103995</v>
      </c>
      <c r="U17" s="16">
        <f t="shared" si="0"/>
        <v>3.2159675000000032</v>
      </c>
      <c r="V17" s="16">
        <v>4.0095000000000001</v>
      </c>
      <c r="W17" s="16">
        <v>5.3841999999999999</v>
      </c>
      <c r="X17" s="16">
        <v>10.5205</v>
      </c>
      <c r="Y17" s="16"/>
      <c r="Z17" s="16">
        <v>1.7242</v>
      </c>
      <c r="AA17" s="16">
        <v>1.6981999999999999</v>
      </c>
      <c r="AB17" s="16">
        <v>3.6326000000000001</v>
      </c>
      <c r="AC17" s="16">
        <v>6.6353999999999997</v>
      </c>
      <c r="AD17" s="16">
        <v>7.1125999999999996</v>
      </c>
      <c r="AE17" s="16">
        <v>8.1016999999999992</v>
      </c>
      <c r="AF17" s="16">
        <v>7.9333999999999998</v>
      </c>
      <c r="AG17" s="16">
        <v>10.480399999999999</v>
      </c>
      <c r="AH17" s="16">
        <v>14.612399999999999</v>
      </c>
      <c r="AI17" s="16">
        <v>15.6656</v>
      </c>
      <c r="AJ17" s="16">
        <v>24.484500000000001</v>
      </c>
      <c r="AK17" s="16">
        <v>35.286200000000001</v>
      </c>
    </row>
    <row r="18" spans="1:37">
      <c r="A18" t="s">
        <v>17</v>
      </c>
      <c r="B18" s="16"/>
      <c r="C18" s="16"/>
      <c r="D18" s="16"/>
      <c r="E18" s="16"/>
      <c r="F18" s="16"/>
      <c r="G18" s="16">
        <v>0.47948099999999999</v>
      </c>
      <c r="H18" s="16">
        <v>0.78269999999999995</v>
      </c>
      <c r="I18" s="16">
        <v>1.2474000000000001</v>
      </c>
      <c r="J18" s="16">
        <v>2.3031999999999999</v>
      </c>
      <c r="K18" s="16">
        <v>2.2728000000000002</v>
      </c>
      <c r="L18" s="16"/>
      <c r="M18" s="16"/>
      <c r="N18" s="16">
        <v>0.1916311</v>
      </c>
      <c r="O18" s="16">
        <v>2.0213499999999999E-2</v>
      </c>
      <c r="P18" s="16">
        <v>0.24569949999999999</v>
      </c>
      <c r="Q18" s="16">
        <v>0.6455225</v>
      </c>
      <c r="R18" s="16">
        <v>1.0073624999999999</v>
      </c>
      <c r="S18" s="16">
        <v>1.6177569999999999</v>
      </c>
      <c r="T18" s="16">
        <v>2.3501230999999998</v>
      </c>
      <c r="U18" s="16">
        <f t="shared" si="0"/>
        <v>2.4115068000000006</v>
      </c>
      <c r="V18" s="16">
        <v>2.8574000000000002</v>
      </c>
      <c r="W18" s="16">
        <v>2.4506000000000001</v>
      </c>
      <c r="X18" s="16">
        <v>5.9550000000000001</v>
      </c>
      <c r="Y18" s="16"/>
      <c r="Z18" s="16">
        <v>0.3664</v>
      </c>
      <c r="AA18" s="16">
        <v>0.50729999999999997</v>
      </c>
      <c r="AB18" s="16">
        <v>0.66910000000000003</v>
      </c>
      <c r="AC18" s="16">
        <v>1.5960000000000001</v>
      </c>
      <c r="AD18" s="16">
        <v>2.1213000000000002</v>
      </c>
      <c r="AE18" s="16">
        <v>3.0150999999999999</v>
      </c>
      <c r="AF18" s="16">
        <v>4.9699</v>
      </c>
      <c r="AG18" s="16">
        <v>5.0143000000000004</v>
      </c>
      <c r="AH18" s="16">
        <v>6.3034999999999997</v>
      </c>
      <c r="AI18" s="16">
        <v>4.8906000000000001</v>
      </c>
      <c r="AJ18" s="16">
        <v>6.3266999999999998</v>
      </c>
      <c r="AK18" s="16">
        <v>11.6806</v>
      </c>
    </row>
    <row r="19" spans="1:37">
      <c r="A19" t="s">
        <v>18</v>
      </c>
      <c r="B19" s="16"/>
      <c r="C19" s="16"/>
      <c r="D19" s="16"/>
      <c r="E19" s="16"/>
      <c r="F19" s="16"/>
      <c r="G19" s="16">
        <v>0.85</v>
      </c>
      <c r="H19" s="16">
        <v>0.49490000000000001</v>
      </c>
      <c r="I19" s="16">
        <v>1.2746999999999999</v>
      </c>
      <c r="J19" s="16">
        <v>1.3528</v>
      </c>
      <c r="K19" s="16">
        <v>2.1524999999999999</v>
      </c>
      <c r="L19" s="16"/>
      <c r="M19" s="16"/>
      <c r="N19" s="16">
        <v>0.263909</v>
      </c>
      <c r="O19" s="16">
        <v>2.988E-2</v>
      </c>
      <c r="P19" s="16">
        <v>0.148262</v>
      </c>
      <c r="Q19" s="16">
        <v>0.47405799999999998</v>
      </c>
      <c r="R19" s="16">
        <v>0.84870900000000005</v>
      </c>
      <c r="S19" s="16">
        <v>1.0493385</v>
      </c>
      <c r="T19" s="16">
        <v>1.566737</v>
      </c>
      <c r="U19" s="16">
        <f t="shared" si="0"/>
        <v>1.4013665</v>
      </c>
      <c r="V19" s="16">
        <v>1.6899</v>
      </c>
      <c r="W19" s="16">
        <v>1.6598999999999999</v>
      </c>
      <c r="X19" s="16">
        <v>5.6977000000000002</v>
      </c>
      <c r="Y19" s="16"/>
      <c r="Z19" s="16">
        <v>0.53129999999999999</v>
      </c>
      <c r="AA19" s="16">
        <v>0.49020000000000002</v>
      </c>
      <c r="AB19" s="16">
        <v>0.92020000000000002</v>
      </c>
      <c r="AC19" s="16">
        <v>2.1099000000000001</v>
      </c>
      <c r="AD19" s="16">
        <v>2.3317000000000001</v>
      </c>
      <c r="AE19" s="16">
        <v>3.6781000000000001</v>
      </c>
      <c r="AF19" s="16">
        <v>4.1882999999999999</v>
      </c>
      <c r="AG19" s="16">
        <v>4.6162000000000001</v>
      </c>
      <c r="AH19" s="16">
        <v>5.5831</v>
      </c>
      <c r="AI19" s="16">
        <v>5.0449000000000002</v>
      </c>
      <c r="AJ19" s="16">
        <v>6.03</v>
      </c>
      <c r="AK19" s="16">
        <v>13.4564</v>
      </c>
    </row>
    <row r="20" spans="1:37">
      <c r="A20" t="s">
        <v>19</v>
      </c>
      <c r="B20" s="16"/>
      <c r="C20" s="16"/>
      <c r="D20" s="16"/>
      <c r="E20" s="16"/>
      <c r="F20" s="16"/>
      <c r="G20" s="16">
        <v>18.520800000000001</v>
      </c>
      <c r="H20" s="16">
        <v>19.7179</v>
      </c>
      <c r="I20" s="16">
        <v>26.513200000000001</v>
      </c>
      <c r="J20" s="16">
        <v>37.5837</v>
      </c>
      <c r="K20" s="16">
        <v>44.478115099999997</v>
      </c>
      <c r="L20" s="19"/>
      <c r="M20" s="19"/>
      <c r="N20" s="16">
        <v>4.7263237</v>
      </c>
      <c r="O20" s="16">
        <v>0.42160550000000002</v>
      </c>
      <c r="P20" s="16">
        <v>4.6102480000000003</v>
      </c>
      <c r="Q20" s="16">
        <v>17.147776</v>
      </c>
      <c r="R20" s="16">
        <v>25.4394065</v>
      </c>
      <c r="S20" s="16">
        <v>32.997843899999999</v>
      </c>
      <c r="T20" s="16">
        <v>38.548428199999996</v>
      </c>
      <c r="U20" s="16">
        <f t="shared" si="0"/>
        <v>45.486209670000022</v>
      </c>
      <c r="V20" s="16">
        <v>57.950899999999997</v>
      </c>
      <c r="W20" s="16">
        <v>56.765900000000002</v>
      </c>
      <c r="X20" s="16">
        <v>173.20519999999999</v>
      </c>
      <c r="Y20" s="16"/>
      <c r="Z20" s="16">
        <v>12.035</v>
      </c>
      <c r="AA20" s="16">
        <v>13.348800000000001</v>
      </c>
      <c r="AB20" s="16">
        <v>28.145700000000001</v>
      </c>
      <c r="AC20" s="16">
        <v>55.813600000000001</v>
      </c>
      <c r="AD20" s="16">
        <v>63.384900000000002</v>
      </c>
      <c r="AE20" s="16">
        <v>67.203400000000002</v>
      </c>
      <c r="AF20" s="16">
        <v>65.569400000000002</v>
      </c>
      <c r="AG20" s="16">
        <v>67.8232</v>
      </c>
      <c r="AH20" s="16">
        <v>69.904399999999995</v>
      </c>
      <c r="AI20" s="16">
        <v>64.360100000000003</v>
      </c>
      <c r="AJ20" s="16">
        <v>88.13</v>
      </c>
      <c r="AK20" s="16">
        <v>157.9777</v>
      </c>
    </row>
    <row r="21" spans="1:37">
      <c r="A21" t="s">
        <v>20</v>
      </c>
      <c r="B21" s="16"/>
      <c r="C21" s="16"/>
      <c r="D21" s="16"/>
      <c r="E21" s="16"/>
      <c r="F21" s="16"/>
      <c r="G21" s="16">
        <v>3.9899110000000002</v>
      </c>
      <c r="H21" s="16">
        <v>6.1993</v>
      </c>
      <c r="I21" s="16">
        <v>7.2633000000000001</v>
      </c>
      <c r="J21" s="16">
        <v>10.139699999999999</v>
      </c>
      <c r="K21" s="16">
        <v>7.0479000000000003</v>
      </c>
      <c r="L21" s="16"/>
      <c r="M21" s="16"/>
      <c r="N21" s="16">
        <v>2.0353965000000001</v>
      </c>
      <c r="O21" s="16">
        <v>0.1361685</v>
      </c>
      <c r="P21" s="16">
        <v>2.3036127</v>
      </c>
      <c r="Q21" s="16">
        <v>5.1021979999999996</v>
      </c>
      <c r="R21" s="16">
        <v>8.1400053000000003</v>
      </c>
      <c r="S21" s="16">
        <v>9.1970828000000004</v>
      </c>
      <c r="T21" s="16">
        <v>11.2035825</v>
      </c>
      <c r="U21" s="16">
        <f t="shared" si="0"/>
        <v>10.374053700000005</v>
      </c>
      <c r="V21" s="16">
        <v>13.3619</v>
      </c>
      <c r="W21" s="16">
        <v>12.2759</v>
      </c>
      <c r="X21" s="16">
        <v>30.814599999999999</v>
      </c>
      <c r="Y21" s="16"/>
      <c r="Z21" s="16">
        <v>5.1143999999999998</v>
      </c>
      <c r="AA21" s="16">
        <v>4.8555999999999999</v>
      </c>
      <c r="AB21" s="16">
        <v>10.9216</v>
      </c>
      <c r="AC21" s="16">
        <v>19.512499999999999</v>
      </c>
      <c r="AD21" s="16">
        <v>23.942299999999999</v>
      </c>
      <c r="AE21" s="16">
        <v>25.599900000000002</v>
      </c>
      <c r="AF21" s="16">
        <v>25.758900000000001</v>
      </c>
      <c r="AG21" s="16">
        <v>23.664999999999999</v>
      </c>
      <c r="AH21" s="16">
        <v>32.304200000000002</v>
      </c>
      <c r="AI21" s="16">
        <v>36.179099999999998</v>
      </c>
      <c r="AJ21" s="16">
        <v>60.134300000000003</v>
      </c>
      <c r="AK21" s="16">
        <v>81.358500000000006</v>
      </c>
    </row>
    <row r="22" spans="1:37">
      <c r="A22" t="s">
        <v>21</v>
      </c>
      <c r="B22" s="16"/>
      <c r="C22" s="16"/>
      <c r="D22" s="16"/>
      <c r="E22" s="16"/>
      <c r="F22" s="16"/>
      <c r="G22" s="16">
        <v>7.0000000000000007E-2</v>
      </c>
      <c r="H22" s="16">
        <v>0.37</v>
      </c>
      <c r="I22" s="16">
        <v>0.66774500000000003</v>
      </c>
      <c r="J22" s="16">
        <v>0.75208059999999999</v>
      </c>
      <c r="K22" s="16">
        <v>0.7861515</v>
      </c>
      <c r="L22" s="16"/>
      <c r="M22" s="16"/>
      <c r="N22" s="16">
        <v>9.1981999999999994E-2</v>
      </c>
      <c r="O22" s="16">
        <v>0</v>
      </c>
      <c r="P22" s="16">
        <v>3.725E-3</v>
      </c>
      <c r="Q22" s="16">
        <v>8.0893499999999993E-2</v>
      </c>
      <c r="R22" s="16">
        <v>0.17787600000000001</v>
      </c>
      <c r="S22" s="16">
        <v>0.22573199999999999</v>
      </c>
      <c r="T22" s="16">
        <v>0.2498435</v>
      </c>
      <c r="U22" s="16">
        <f t="shared" si="0"/>
        <v>0.32843599999999995</v>
      </c>
      <c r="V22" s="16">
        <v>0.6532</v>
      </c>
      <c r="W22" s="16">
        <v>0.23769999999999999</v>
      </c>
      <c r="X22" s="16">
        <v>0.93469999999999998</v>
      </c>
      <c r="Y22" s="16"/>
      <c r="Z22" s="16">
        <v>0.38879999999999998</v>
      </c>
      <c r="AA22" s="16">
        <v>0.13</v>
      </c>
      <c r="AB22" s="16">
        <v>0.21490000000000001</v>
      </c>
      <c r="AC22" s="16">
        <v>0.20219999999999999</v>
      </c>
      <c r="AD22" s="16">
        <v>0.43269999999999997</v>
      </c>
      <c r="AE22" s="16">
        <v>0.51980000000000004</v>
      </c>
      <c r="AF22" s="16">
        <v>0.51880000000000004</v>
      </c>
      <c r="AG22" s="16">
        <v>0.52129999999999999</v>
      </c>
      <c r="AH22" s="16">
        <v>0.66149999999999998</v>
      </c>
      <c r="AI22" s="16">
        <v>0.52529999999999999</v>
      </c>
      <c r="AJ22" s="16">
        <v>0.82609999999999995</v>
      </c>
      <c r="AK22" s="16">
        <v>2.1848999999999998</v>
      </c>
    </row>
    <row r="23" spans="1:37">
      <c r="A23" t="s">
        <v>22</v>
      </c>
      <c r="B23" s="16"/>
      <c r="C23" s="16"/>
      <c r="D23" s="16"/>
      <c r="E23" s="16"/>
      <c r="F23" s="16"/>
      <c r="G23" s="16">
        <v>0.57760800000000001</v>
      </c>
      <c r="H23" s="16">
        <v>1.3045</v>
      </c>
      <c r="I23" s="16">
        <v>0.46820000000000001</v>
      </c>
      <c r="J23" s="16">
        <v>0.56859999999999999</v>
      </c>
      <c r="K23" s="16">
        <v>1.1127625000000001</v>
      </c>
      <c r="L23" s="16"/>
      <c r="M23" s="16"/>
      <c r="N23" s="16">
        <v>0.18729999999999999</v>
      </c>
      <c r="O23" s="16">
        <v>3.2899999999999999E-2</v>
      </c>
      <c r="P23" s="16">
        <v>0.12039999999999999</v>
      </c>
      <c r="Q23" s="16">
        <v>0.2969</v>
      </c>
      <c r="R23" s="16">
        <v>0.54000999999999999</v>
      </c>
      <c r="S23" s="16">
        <v>0.43930000000000002</v>
      </c>
      <c r="T23" s="16">
        <v>0.73140000000000005</v>
      </c>
      <c r="U23" s="16">
        <f t="shared" si="0"/>
        <v>0.69248999999999983</v>
      </c>
      <c r="V23" s="16">
        <v>0.58450000000000002</v>
      </c>
      <c r="W23" s="16">
        <v>0.7641</v>
      </c>
      <c r="X23" s="16">
        <v>2.9051</v>
      </c>
      <c r="Y23" s="16"/>
      <c r="Z23" s="16">
        <v>0.39500000000000002</v>
      </c>
      <c r="AA23" s="16">
        <v>0.2492</v>
      </c>
      <c r="AB23" s="16">
        <v>0.46289999999999998</v>
      </c>
      <c r="AC23" s="16">
        <v>0.7853</v>
      </c>
      <c r="AD23" s="16">
        <v>0.84279999999999999</v>
      </c>
      <c r="AE23" s="16">
        <v>1.3031999999999999</v>
      </c>
      <c r="AF23" s="16">
        <v>1.4451000000000001</v>
      </c>
      <c r="AG23" s="16">
        <v>1.5876999999999999</v>
      </c>
      <c r="AH23" s="16">
        <v>2.3338999999999999</v>
      </c>
      <c r="AI23" s="16">
        <v>1.8666</v>
      </c>
      <c r="AJ23" s="16">
        <v>2.2483</v>
      </c>
      <c r="AK23" s="16">
        <v>5.4855</v>
      </c>
    </row>
    <row r="24" spans="1:37">
      <c r="A24" t="s">
        <v>26</v>
      </c>
      <c r="B24" s="16"/>
      <c r="C24" s="16"/>
      <c r="D24" s="16"/>
      <c r="E24" s="16"/>
      <c r="F24" s="16"/>
      <c r="G24" s="16">
        <v>2.9790000000000001E-2</v>
      </c>
      <c r="H24" s="16">
        <v>1.0244E-2</v>
      </c>
      <c r="I24" s="16">
        <v>6.6333000000000003E-2</v>
      </c>
      <c r="J24" s="16">
        <v>4.0599999999999997E-2</v>
      </c>
      <c r="K24" s="16">
        <v>2.6010999999999999E-2</v>
      </c>
      <c r="L24" s="16"/>
      <c r="M24" s="16"/>
      <c r="N24" s="16">
        <v>1.918E-3</v>
      </c>
      <c r="O24" s="16">
        <v>0</v>
      </c>
      <c r="P24" s="16">
        <v>5.6259999999999999E-3</v>
      </c>
      <c r="Q24" s="16">
        <v>1.9723999999999998E-2</v>
      </c>
      <c r="R24" s="16">
        <v>5.3090000000000004E-3</v>
      </c>
      <c r="S24" s="16">
        <v>2.8344000000000001E-2</v>
      </c>
      <c r="T24" s="16">
        <v>2.2388999999999999E-2</v>
      </c>
      <c r="U24" s="16">
        <f t="shared" si="0"/>
        <v>3.2476999999999978E-2</v>
      </c>
      <c r="V24" s="16">
        <v>6.1999999999999998E-3</v>
      </c>
      <c r="W24" s="16">
        <v>2.18E-2</v>
      </c>
      <c r="X24" s="16">
        <v>1.4E-2</v>
      </c>
      <c r="Y24" s="16"/>
      <c r="Z24" s="16">
        <v>1.5800000000000002E-2</v>
      </c>
      <c r="AA24" s="16">
        <v>2.3999999999999998E-3</v>
      </c>
      <c r="AB24" s="16">
        <v>9.5999999999999992E-3</v>
      </c>
      <c r="AC24" s="16">
        <v>1.78E-2</v>
      </c>
      <c r="AD24" s="16">
        <v>2.5899999999999999E-2</v>
      </c>
      <c r="AE24" s="16">
        <v>1.8200000000000001E-2</v>
      </c>
      <c r="AF24" s="16">
        <v>3.3399999999999999E-2</v>
      </c>
      <c r="AG24" s="16">
        <v>2.2700000000000001E-2</v>
      </c>
      <c r="AH24" s="16">
        <v>2.1399999999999999E-2</v>
      </c>
      <c r="AI24" s="16">
        <v>3.2899999999999999E-2</v>
      </c>
      <c r="AJ24" s="16">
        <v>4.2700000000000002E-2</v>
      </c>
      <c r="AK24" s="16">
        <v>7.5399999999999995E-2</v>
      </c>
    </row>
    <row r="25" spans="1:37">
      <c r="A25" t="s">
        <v>27</v>
      </c>
      <c r="B25" s="16"/>
      <c r="C25" s="16"/>
      <c r="D25" s="16"/>
      <c r="E25" s="16"/>
      <c r="F25" s="16"/>
      <c r="G25" s="16">
        <v>4.5100000000000001E-2</v>
      </c>
      <c r="H25" s="16">
        <v>0.39269150000000003</v>
      </c>
      <c r="I25" s="16">
        <v>6.7653000000000005E-2</v>
      </c>
      <c r="J25" s="16">
        <v>0.13931099999999999</v>
      </c>
      <c r="K25" s="16">
        <v>0.24292</v>
      </c>
      <c r="L25" s="16"/>
      <c r="M25" s="16"/>
      <c r="N25" s="16">
        <v>5.2872000000000002E-2</v>
      </c>
      <c r="O25" s="16">
        <v>2.8E-3</v>
      </c>
      <c r="P25" s="16">
        <v>1.729E-2</v>
      </c>
      <c r="Q25" s="16">
        <v>5.3574999999999998E-2</v>
      </c>
      <c r="R25" s="16">
        <v>9.3432000000000001E-2</v>
      </c>
      <c r="S25" s="16">
        <v>0.161192</v>
      </c>
      <c r="T25" s="16">
        <v>0.16961999999999999</v>
      </c>
      <c r="U25" s="16">
        <f t="shared" si="0"/>
        <v>0.1814690000000001</v>
      </c>
      <c r="V25" s="16">
        <v>0.1158</v>
      </c>
      <c r="W25" s="16">
        <v>7.6799999999999993E-2</v>
      </c>
      <c r="X25" s="16">
        <v>0.65380000000000005</v>
      </c>
      <c r="Y25" s="16"/>
      <c r="Z25" s="16">
        <v>4.1099999999999998E-2</v>
      </c>
      <c r="AA25" s="16">
        <v>6.1699999999999998E-2</v>
      </c>
      <c r="AB25" s="16">
        <v>0.1096</v>
      </c>
      <c r="AC25" s="16">
        <v>0.31590000000000001</v>
      </c>
      <c r="AD25" s="16">
        <v>0.24690000000000001</v>
      </c>
      <c r="AE25" s="16">
        <v>0.1794</v>
      </c>
      <c r="AF25" s="16">
        <v>0.25519999999999998</v>
      </c>
      <c r="AG25" s="16">
        <v>0.37130000000000002</v>
      </c>
      <c r="AH25" s="16">
        <v>0.27410000000000001</v>
      </c>
      <c r="AI25" s="16">
        <v>0.1777</v>
      </c>
      <c r="AJ25" s="16">
        <v>0.87880000000000003</v>
      </c>
      <c r="AK25" s="16">
        <v>0.6633</v>
      </c>
    </row>
    <row r="26" spans="1:37">
      <c r="A26" t="s">
        <v>31</v>
      </c>
      <c r="B26" s="16"/>
      <c r="C26" s="16"/>
      <c r="D26" s="16"/>
      <c r="E26" s="16"/>
      <c r="F26" s="16"/>
      <c r="G26" s="16">
        <v>0.522532</v>
      </c>
      <c r="H26" s="16">
        <v>0.69259700000000002</v>
      </c>
      <c r="I26" s="16">
        <v>0.96323599999999998</v>
      </c>
      <c r="J26" s="16">
        <v>1.0876034999999999</v>
      </c>
      <c r="K26" s="16">
        <v>1.3524769999999999</v>
      </c>
      <c r="L26" s="16"/>
      <c r="M26" s="16"/>
      <c r="N26" s="16">
        <v>6.9535E-2</v>
      </c>
      <c r="O26" s="16">
        <v>1.7766000000000001E-2</v>
      </c>
      <c r="P26" s="16">
        <v>2.3517E-2</v>
      </c>
      <c r="Q26" s="16">
        <v>0.244308</v>
      </c>
      <c r="R26" s="16">
        <v>0.91848700000000005</v>
      </c>
      <c r="S26" s="16">
        <v>1.5463317999999999</v>
      </c>
      <c r="T26" s="16">
        <v>1.3042016999999999</v>
      </c>
      <c r="U26" s="16">
        <f t="shared" si="0"/>
        <v>2.0667651999999999</v>
      </c>
      <c r="V26" s="16">
        <v>1.4907999999999999</v>
      </c>
      <c r="W26" s="16">
        <v>1.3628</v>
      </c>
      <c r="X26" s="16">
        <v>4.1326999999999998</v>
      </c>
      <c r="Y26" s="16"/>
      <c r="Z26" s="16">
        <v>4.4699999999999997E-2</v>
      </c>
      <c r="AA26" s="16">
        <v>4.4400000000000002E-2</v>
      </c>
      <c r="AB26" s="16">
        <v>0.28149999999999997</v>
      </c>
      <c r="AC26" s="16">
        <v>0.70489999999999997</v>
      </c>
      <c r="AD26" s="16">
        <v>1.0837000000000001</v>
      </c>
      <c r="AE26" s="16">
        <v>1.7690999999999999</v>
      </c>
      <c r="AF26" s="16">
        <v>1.4676</v>
      </c>
      <c r="AG26" s="16">
        <v>1.623</v>
      </c>
      <c r="AH26" s="16">
        <v>1.7329000000000001</v>
      </c>
      <c r="AI26" s="16">
        <v>1.3692</v>
      </c>
      <c r="AJ26" s="16">
        <v>2.4459</v>
      </c>
      <c r="AK26" s="16">
        <v>4.7523999999999997</v>
      </c>
    </row>
    <row r="27" spans="1:37">
      <c r="A27" t="s">
        <v>32</v>
      </c>
      <c r="B27" s="16"/>
      <c r="C27" s="16"/>
      <c r="D27" s="16"/>
      <c r="E27" s="16"/>
      <c r="F27" s="16"/>
      <c r="G27" s="16">
        <v>0.114453</v>
      </c>
      <c r="H27" s="16">
        <v>6.1310000000000003E-2</v>
      </c>
      <c r="I27" s="16">
        <v>0.11790050000000001</v>
      </c>
      <c r="J27" s="16">
        <v>0.162048</v>
      </c>
      <c r="K27" s="16">
        <v>0.67823900000000004</v>
      </c>
      <c r="L27" s="16"/>
      <c r="M27" s="16"/>
      <c r="N27" s="16">
        <v>5.3600000000000002E-3</v>
      </c>
      <c r="O27" s="16">
        <v>0</v>
      </c>
      <c r="P27" s="16">
        <v>9.1999999999999998E-3</v>
      </c>
      <c r="Q27" s="16">
        <v>1.2456E-2</v>
      </c>
      <c r="R27" s="16">
        <v>2.9318E-2</v>
      </c>
      <c r="S27" s="16">
        <v>3.6549999999999999E-2</v>
      </c>
      <c r="T27" s="16">
        <v>5.2658000000000003E-2</v>
      </c>
      <c r="U27" s="16">
        <f t="shared" si="0"/>
        <v>7.9357999999999984E-2</v>
      </c>
      <c r="V27" s="16">
        <v>5.4399999999999997E-2</v>
      </c>
      <c r="W27" s="16">
        <v>0.14910000000000001</v>
      </c>
      <c r="X27" s="16">
        <v>0.29909999999999998</v>
      </c>
      <c r="Y27" s="16"/>
      <c r="Z27" s="16">
        <v>2.35E-2</v>
      </c>
      <c r="AA27" s="16">
        <v>3.0000000000000001E-3</v>
      </c>
      <c r="AB27" s="16">
        <v>2.6800000000000001E-2</v>
      </c>
      <c r="AC27" s="16">
        <v>8.3000000000000004E-2</v>
      </c>
      <c r="AD27" s="16">
        <v>3.8100000000000002E-2</v>
      </c>
      <c r="AE27" s="16">
        <v>5.3699999999999998E-2</v>
      </c>
      <c r="AF27" s="16">
        <v>9.9199999999999997E-2</v>
      </c>
      <c r="AG27" s="16">
        <v>0.1176</v>
      </c>
      <c r="AH27" s="16">
        <v>8.8800000000000004E-2</v>
      </c>
      <c r="AI27" s="16">
        <v>6.5000000000000002E-2</v>
      </c>
      <c r="AJ27" s="16">
        <v>0.16109999999999999</v>
      </c>
      <c r="AK27" s="16">
        <v>0.29509999999999997</v>
      </c>
    </row>
    <row r="28" spans="1:37">
      <c r="A28" t="s">
        <v>33</v>
      </c>
      <c r="B28" s="16"/>
      <c r="C28" s="16"/>
      <c r="D28" s="16"/>
      <c r="E28" s="16"/>
      <c r="F28" s="16"/>
      <c r="G28" s="16">
        <v>0.1711</v>
      </c>
      <c r="H28" s="16">
        <v>2.8000000000000001E-2</v>
      </c>
      <c r="I28" s="16">
        <v>1.5E-3</v>
      </c>
      <c r="J28" s="16">
        <v>1.9E-2</v>
      </c>
      <c r="K28" s="16">
        <v>6.676E-2</v>
      </c>
      <c r="L28" s="16"/>
      <c r="M28" s="16"/>
      <c r="N28" s="16">
        <v>0</v>
      </c>
      <c r="O28" s="16">
        <v>1.1999999999999999E-3</v>
      </c>
      <c r="P28" s="16">
        <v>0.31895499999999999</v>
      </c>
      <c r="Q28" s="16">
        <v>1.3823999999999999E-2</v>
      </c>
      <c r="R28" s="16">
        <v>8.3099999999999997E-3</v>
      </c>
      <c r="S28" s="16">
        <v>1.7066000000000001E-2</v>
      </c>
      <c r="T28" s="16">
        <v>8.8819999999999993E-3</v>
      </c>
      <c r="U28" s="16">
        <f t="shared" si="0"/>
        <v>6.4629999999999965E-3</v>
      </c>
      <c r="V28" s="16">
        <v>2.1700000000000001E-2</v>
      </c>
      <c r="W28" s="16">
        <v>7.4000000000000003E-3</v>
      </c>
      <c r="X28" s="16">
        <v>0.10979999999999999</v>
      </c>
      <c r="Y28" s="16"/>
      <c r="Z28" s="16">
        <v>1.1999999999999999E-3</v>
      </c>
      <c r="AA28" s="16">
        <v>5.0000000000000001E-4</v>
      </c>
      <c r="AB28" s="16">
        <v>1.0500000000000001E-2</v>
      </c>
      <c r="AC28" s="16">
        <v>1.35E-2</v>
      </c>
      <c r="AD28" s="16">
        <v>1.35E-2</v>
      </c>
      <c r="AE28" s="16">
        <v>3.7900000000000003E-2</v>
      </c>
      <c r="AF28" s="16">
        <v>4.2500000000000003E-2</v>
      </c>
      <c r="AG28" s="16">
        <v>6.1800000000000001E-2</v>
      </c>
      <c r="AH28" s="16">
        <v>3.1699999999999999E-2</v>
      </c>
      <c r="AI28" s="16">
        <v>4.3499999999999997E-2</v>
      </c>
      <c r="AJ28" s="16">
        <v>3.1300000000000001E-2</v>
      </c>
      <c r="AK28" s="16">
        <v>6.3899999999999998E-2</v>
      </c>
    </row>
    <row r="29" spans="1:37">
      <c r="A29" t="s">
        <v>34</v>
      </c>
      <c r="B29" s="16"/>
      <c r="C29" s="16"/>
      <c r="D29" s="16"/>
      <c r="E29" s="16"/>
      <c r="F29" s="16"/>
      <c r="G29" s="16">
        <v>7.3982000000000006E-2</v>
      </c>
      <c r="H29" s="16">
        <v>3.0200000000000001E-2</v>
      </c>
      <c r="I29" s="16">
        <v>3.4770000000000002E-2</v>
      </c>
      <c r="J29" s="16">
        <v>5.8749999999999997E-2</v>
      </c>
      <c r="K29" s="16">
        <v>0.23844000000000001</v>
      </c>
      <c r="L29" s="16"/>
      <c r="M29" s="16"/>
      <c r="N29" s="16">
        <v>2E-3</v>
      </c>
      <c r="O29" s="16">
        <v>0</v>
      </c>
      <c r="P29" s="16">
        <v>9.4000000000000004E-3</v>
      </c>
      <c r="Q29" s="16">
        <v>1.1999999999999999E-3</v>
      </c>
      <c r="R29" s="16">
        <v>0</v>
      </c>
      <c r="S29" s="16">
        <v>2.3033999999999999E-2</v>
      </c>
      <c r="T29" s="16">
        <v>4.4630000000000003E-2</v>
      </c>
      <c r="U29" s="16">
        <f t="shared" si="0"/>
        <v>3.9735999999999994E-2</v>
      </c>
      <c r="V29" s="16">
        <v>1.89E-2</v>
      </c>
      <c r="W29" s="16">
        <v>4.6100000000000002E-2</v>
      </c>
      <c r="X29" s="16">
        <v>0.14749999999999999</v>
      </c>
      <c r="Y29" s="16"/>
      <c r="Z29" s="16">
        <v>1.5E-3</v>
      </c>
      <c r="AA29" s="16">
        <v>1.4E-3</v>
      </c>
      <c r="AB29" s="16">
        <v>4.0000000000000001E-3</v>
      </c>
      <c r="AC29" s="16">
        <v>1.6999999999999999E-3</v>
      </c>
      <c r="AD29" s="16">
        <v>2.18E-2</v>
      </c>
      <c r="AE29" s="16">
        <v>1.18E-2</v>
      </c>
      <c r="AF29" s="16">
        <v>2.5000000000000001E-2</v>
      </c>
      <c r="AG29" s="16">
        <v>7.7000000000000002E-3</v>
      </c>
      <c r="AH29" s="16">
        <v>2.6499999999999999E-2</v>
      </c>
      <c r="AI29" s="16">
        <v>4.2500000000000003E-2</v>
      </c>
      <c r="AJ29" s="16">
        <v>0.48799999999999999</v>
      </c>
      <c r="AK29" s="16">
        <v>0.1128</v>
      </c>
    </row>
    <row r="30" spans="1:37">
      <c r="A30" t="s">
        <v>116</v>
      </c>
      <c r="B30" s="16"/>
      <c r="C30" s="16"/>
      <c r="D30" s="16"/>
      <c r="E30" s="16"/>
      <c r="F30" s="16"/>
      <c r="G30" s="16">
        <v>1.9300000000000001E-2</v>
      </c>
      <c r="H30" s="16">
        <v>1.2500000000000001E-2</v>
      </c>
      <c r="I30" s="16">
        <v>2.4500000000000001E-2</v>
      </c>
      <c r="J30" s="16">
        <v>1.4999999999999999E-2</v>
      </c>
      <c r="K30" s="16">
        <v>2.8156E-2</v>
      </c>
      <c r="L30" s="16"/>
      <c r="M30" s="16"/>
      <c r="N30" s="16">
        <v>1.2999999999999999E-3</v>
      </c>
      <c r="O30" s="16">
        <v>0</v>
      </c>
      <c r="P30" s="16">
        <v>0</v>
      </c>
      <c r="Q30" s="16">
        <v>0</v>
      </c>
      <c r="R30" s="16">
        <v>2.2599999999999999E-2</v>
      </c>
      <c r="S30" s="16">
        <v>0</v>
      </c>
      <c r="T30" s="16">
        <v>8.9800000000000001E-3</v>
      </c>
      <c r="U30" s="16">
        <f t="shared" si="0"/>
        <v>0.23072000000000001</v>
      </c>
      <c r="V30" s="16">
        <v>1.9099999999999999E-2</v>
      </c>
      <c r="W30" s="16">
        <v>0.1348</v>
      </c>
      <c r="X30" s="16">
        <v>0.18</v>
      </c>
      <c r="Y30" s="16"/>
      <c r="Z30" s="16">
        <v>0.1515</v>
      </c>
      <c r="AA30" s="16">
        <v>0</v>
      </c>
      <c r="AB30" s="16">
        <v>0</v>
      </c>
      <c r="AC30" s="16">
        <v>1.1000000000000001E-3</v>
      </c>
      <c r="AD30" s="16">
        <v>3.0000000000000001E-3</v>
      </c>
      <c r="AE30" s="16">
        <v>0</v>
      </c>
      <c r="AF30" s="16">
        <v>1.4E-2</v>
      </c>
      <c r="AG30" s="16">
        <v>4.0000000000000001E-3</v>
      </c>
      <c r="AH30" s="16">
        <v>0</v>
      </c>
      <c r="AI30" s="16">
        <v>4.0000000000000001E-3</v>
      </c>
      <c r="AJ30" s="16">
        <v>1.4500000000000001E-2</v>
      </c>
      <c r="AK30" s="16">
        <v>0.20860000000000001</v>
      </c>
    </row>
    <row r="31" spans="1:37">
      <c r="A31" t="s">
        <v>23</v>
      </c>
      <c r="B31" s="16"/>
      <c r="C31" s="16"/>
      <c r="D31" s="16"/>
      <c r="E31" s="16"/>
      <c r="F31" s="16"/>
      <c r="G31" s="16">
        <v>1.3559000000000001</v>
      </c>
      <c r="H31" s="16">
        <v>0.87790000000000001</v>
      </c>
      <c r="I31" s="16">
        <v>1.1134999999999999</v>
      </c>
      <c r="J31" s="16">
        <v>1.3995</v>
      </c>
      <c r="K31" s="16">
        <v>2.5939999999999999</v>
      </c>
      <c r="L31" s="16"/>
      <c r="M31" s="16"/>
      <c r="N31" s="16">
        <v>0.40441850000000001</v>
      </c>
      <c r="O31" s="16">
        <v>3.4647999999999998E-2</v>
      </c>
      <c r="P31" s="16">
        <v>0.25046400000000002</v>
      </c>
      <c r="Q31" s="16">
        <v>0.41432950000000002</v>
      </c>
      <c r="R31" s="16">
        <v>0.53866199999999997</v>
      </c>
      <c r="S31" s="16">
        <v>0.94012799999999996</v>
      </c>
      <c r="T31" s="16">
        <v>1.0618125</v>
      </c>
      <c r="U31" s="16">
        <f t="shared" si="0"/>
        <v>1.2222755000000003</v>
      </c>
      <c r="V31" s="16">
        <v>1.3488</v>
      </c>
      <c r="W31" s="16">
        <v>1.6452</v>
      </c>
      <c r="X31" s="16">
        <v>3.5468000000000002</v>
      </c>
      <c r="Y31" s="16"/>
      <c r="Z31" s="16">
        <v>1.3471</v>
      </c>
      <c r="AA31" s="16">
        <v>0.65900000000000003</v>
      </c>
      <c r="AB31" s="16">
        <v>0.76770000000000005</v>
      </c>
      <c r="AC31" s="16">
        <v>1.3387</v>
      </c>
      <c r="AD31" s="16">
        <v>1.3959999999999999</v>
      </c>
      <c r="AE31" s="16">
        <v>1.7292000000000001</v>
      </c>
      <c r="AF31" s="16">
        <v>2.3342000000000001</v>
      </c>
      <c r="AG31" s="16">
        <v>2.5655999999999999</v>
      </c>
      <c r="AH31" s="16">
        <v>3.1139000000000001</v>
      </c>
      <c r="AI31" s="16">
        <v>2.6278000000000001</v>
      </c>
      <c r="AJ31" s="16">
        <v>4.4317000000000002</v>
      </c>
      <c r="AK31" s="16">
        <v>7.7104999999999997</v>
      </c>
    </row>
    <row r="32" spans="1:37">
      <c r="A32" t="s">
        <v>24</v>
      </c>
      <c r="B32" s="16"/>
      <c r="C32" s="16"/>
      <c r="D32" s="16"/>
      <c r="E32" s="16"/>
      <c r="F32" s="16"/>
      <c r="G32" s="16">
        <v>7.0349999999999996E-2</v>
      </c>
      <c r="H32" s="16">
        <v>0.17580000000000001</v>
      </c>
      <c r="I32" s="16">
        <v>0.46279999999999999</v>
      </c>
      <c r="J32" s="16">
        <v>0.21990000000000001</v>
      </c>
      <c r="K32" s="16">
        <v>0.30874800000000002</v>
      </c>
      <c r="L32" s="16"/>
      <c r="M32" s="16"/>
      <c r="N32" s="16">
        <v>5.0226E-2</v>
      </c>
      <c r="O32" s="16">
        <v>1.09E-2</v>
      </c>
      <c r="P32" s="16">
        <v>2.6780499999999999E-2</v>
      </c>
      <c r="Q32" s="16">
        <v>7.8228000000000006E-2</v>
      </c>
      <c r="R32" s="16">
        <v>6.2392999999999997E-2</v>
      </c>
      <c r="S32" s="16">
        <v>5.4774999999999997E-2</v>
      </c>
      <c r="T32" s="16">
        <v>7.1300000000000002E-2</v>
      </c>
      <c r="U32" s="16">
        <f t="shared" si="0"/>
        <v>6.5483499999999972E-2</v>
      </c>
      <c r="V32" s="16">
        <v>0.14180000000000001</v>
      </c>
      <c r="W32" s="16">
        <v>0.14119999999999999</v>
      </c>
      <c r="X32" s="16">
        <v>0.36309999999999998</v>
      </c>
      <c r="Y32" s="16"/>
      <c r="Z32" s="16">
        <v>0.1082</v>
      </c>
      <c r="AA32" s="16">
        <v>5.2900000000000003E-2</v>
      </c>
      <c r="AB32" s="16">
        <v>6.3799999999999996E-2</v>
      </c>
      <c r="AC32" s="16">
        <v>0.1244</v>
      </c>
      <c r="AD32" s="16">
        <v>0.1353</v>
      </c>
      <c r="AE32" s="16">
        <v>0.1517</v>
      </c>
      <c r="AF32" s="16">
        <v>0.2331</v>
      </c>
      <c r="AG32" s="16">
        <v>0.23019999999999999</v>
      </c>
      <c r="AH32" s="16">
        <v>0.28520000000000001</v>
      </c>
      <c r="AI32" s="16">
        <v>0.22409999999999999</v>
      </c>
      <c r="AJ32" s="16">
        <v>0.32329999999999998</v>
      </c>
      <c r="AK32" s="16">
        <v>0.60140000000000005</v>
      </c>
    </row>
    <row r="33" spans="1:37">
      <c r="A33" t="s">
        <v>29</v>
      </c>
      <c r="B33" s="16"/>
      <c r="C33" s="16"/>
      <c r="D33" s="16"/>
      <c r="E33" s="16"/>
      <c r="F33" s="16"/>
      <c r="G33" s="16">
        <v>3.73E-2</v>
      </c>
      <c r="H33" s="16">
        <v>0.15640000000000001</v>
      </c>
      <c r="I33" s="16">
        <v>3.9600000000000003E-2</v>
      </c>
      <c r="J33" s="16">
        <v>3.85E-2</v>
      </c>
      <c r="K33" s="16">
        <v>0.1217</v>
      </c>
      <c r="L33" s="16"/>
      <c r="M33" s="16"/>
      <c r="N33" s="16">
        <v>2.5399999999999999E-2</v>
      </c>
      <c r="O33" s="16">
        <v>7.8700000000000003E-3</v>
      </c>
      <c r="P33" s="16">
        <v>1.9400000000000001E-2</v>
      </c>
      <c r="Q33" s="16">
        <v>7.3499999999999998E-3</v>
      </c>
      <c r="R33" s="16">
        <v>2.7179999999999999E-2</v>
      </c>
      <c r="S33" s="16">
        <v>6.2350000000000003E-2</v>
      </c>
      <c r="T33" s="16">
        <v>9.1999999999999998E-3</v>
      </c>
      <c r="U33" s="16">
        <f t="shared" si="0"/>
        <v>-0.30104500000000001</v>
      </c>
      <c r="V33" s="16">
        <v>4.7000000000000002E-3</v>
      </c>
      <c r="W33" s="16">
        <v>5.1700000000000003E-2</v>
      </c>
      <c r="X33" s="16">
        <v>0.1358</v>
      </c>
      <c r="Y33" s="16"/>
      <c r="Z33" s="16">
        <v>2.29E-2</v>
      </c>
      <c r="AA33" s="16">
        <v>4.6800000000000001E-2</v>
      </c>
      <c r="AB33" s="16">
        <v>8.3000000000000001E-3</v>
      </c>
      <c r="AC33" s="16">
        <v>6.2399999999999997E-2</v>
      </c>
      <c r="AD33" s="16">
        <v>1.04E-2</v>
      </c>
      <c r="AE33" s="16">
        <v>8.9399999999999993E-2</v>
      </c>
      <c r="AF33" s="16">
        <v>6.8699999999999997E-2</v>
      </c>
      <c r="AG33" s="16">
        <v>9.4299999999999995E-2</v>
      </c>
      <c r="AH33" s="16">
        <v>0.15559999999999999</v>
      </c>
      <c r="AI33" s="16">
        <v>7.9100000000000004E-2</v>
      </c>
      <c r="AJ33" s="16">
        <v>0.13170000000000001</v>
      </c>
      <c r="AK33" s="16">
        <v>0.27560000000000001</v>
      </c>
    </row>
    <row r="34" spans="1:37">
      <c r="A34" t="s">
        <v>28</v>
      </c>
      <c r="B34" s="16"/>
      <c r="C34" s="16"/>
      <c r="D34" s="16"/>
      <c r="E34" s="16"/>
      <c r="F34" s="16"/>
      <c r="G34" s="16">
        <v>1.6160000000000001E-2</v>
      </c>
      <c r="H34" s="16">
        <v>8.4220000000000007E-3</v>
      </c>
      <c r="I34" s="16">
        <v>1.49E-3</v>
      </c>
      <c r="J34" s="16">
        <v>4.0000000000000001E-3</v>
      </c>
      <c r="K34" s="16">
        <v>8.2400000000000008E-3</v>
      </c>
      <c r="L34" s="16"/>
      <c r="M34" s="16"/>
      <c r="N34" s="16">
        <v>9.7999999999999997E-3</v>
      </c>
      <c r="O34" s="16">
        <v>0</v>
      </c>
      <c r="P34" s="16">
        <v>2.8E-3</v>
      </c>
      <c r="Q34" s="16">
        <v>5.0000000000000002E-5</v>
      </c>
      <c r="R34" s="16">
        <v>6.1999999999999998E-3</v>
      </c>
      <c r="S34" s="16">
        <v>1E-3</v>
      </c>
      <c r="T34" s="16">
        <v>1.3310000000000001E-2</v>
      </c>
      <c r="U34" s="16">
        <f t="shared" si="0"/>
        <v>3.7529999999999994E-3</v>
      </c>
      <c r="V34" s="16">
        <v>5.7999999999999996E-3</v>
      </c>
      <c r="W34" s="16">
        <v>0.03</v>
      </c>
      <c r="X34" s="16">
        <v>6.1000000000000004E-3</v>
      </c>
      <c r="Y34" s="16"/>
      <c r="Z34" s="16">
        <v>2.1899999999999999E-2</v>
      </c>
      <c r="AA34" s="16">
        <v>0</v>
      </c>
      <c r="AB34" s="16">
        <v>6.1000000000000004E-3</v>
      </c>
      <c r="AC34" s="16">
        <v>1.9900000000000001E-2</v>
      </c>
      <c r="AD34" s="16">
        <v>2.2700000000000001E-2</v>
      </c>
      <c r="AE34" s="16">
        <v>2.1399999999999999E-2</v>
      </c>
      <c r="AF34" s="16">
        <v>1.4E-2</v>
      </c>
      <c r="AG34" s="16">
        <v>2.98E-2</v>
      </c>
      <c r="AH34" s="16">
        <v>1.0800000000000001E-2</v>
      </c>
      <c r="AI34" s="16">
        <v>5.3E-3</v>
      </c>
      <c r="AJ34" s="16">
        <v>2.7E-2</v>
      </c>
      <c r="AK34" s="16">
        <v>4.7500000000000001E-2</v>
      </c>
    </row>
    <row r="35" spans="1:37">
      <c r="A35" t="s">
        <v>25</v>
      </c>
      <c r="B35" s="16"/>
      <c r="C35" s="16"/>
      <c r="D35" s="16"/>
      <c r="E35" s="16"/>
      <c r="F35" s="16"/>
      <c r="G35" s="16">
        <v>1.2713E-2</v>
      </c>
      <c r="H35" s="16">
        <v>0.387322</v>
      </c>
      <c r="I35" s="16">
        <v>3.5334499999999998E-2</v>
      </c>
      <c r="J35" s="16">
        <v>0.12593699999999999</v>
      </c>
      <c r="K35" s="16">
        <v>0.28097549999999999</v>
      </c>
      <c r="L35" s="16"/>
      <c r="M35" s="16"/>
      <c r="N35" s="16">
        <v>1.6884E-2</v>
      </c>
      <c r="O35" s="16">
        <v>2.3E-2</v>
      </c>
      <c r="P35" s="16">
        <v>1.4303E-2</v>
      </c>
      <c r="Q35" s="16">
        <v>6.0200000000000002E-3</v>
      </c>
      <c r="R35" s="16">
        <v>1.9539000000000001E-2</v>
      </c>
      <c r="S35" s="16">
        <v>2.9770000000000001E-2</v>
      </c>
      <c r="T35" s="16">
        <v>3.8793000000000001E-2</v>
      </c>
      <c r="U35" s="16">
        <f t="shared" si="0"/>
        <v>8.5791000000000034E-2</v>
      </c>
      <c r="V35" s="16">
        <v>4.0899999999999999E-2</v>
      </c>
      <c r="W35" s="16">
        <v>0.10340000000000001</v>
      </c>
      <c r="X35" s="16">
        <v>0.45660000000000001</v>
      </c>
      <c r="Y35" s="16"/>
      <c r="Z35" s="16">
        <v>2.7199999999999998E-2</v>
      </c>
      <c r="AA35" s="16">
        <v>8.6300000000000002E-2</v>
      </c>
      <c r="AB35" s="16">
        <v>1.61E-2</v>
      </c>
      <c r="AC35" s="16">
        <v>4.24E-2</v>
      </c>
      <c r="AD35" s="16">
        <v>6.6799999999999998E-2</v>
      </c>
      <c r="AE35" s="16">
        <v>3.3300000000000003E-2</v>
      </c>
      <c r="AF35" s="16">
        <v>3.1800000000000002E-2</v>
      </c>
      <c r="AG35" s="16">
        <v>7.4899999999999994E-2</v>
      </c>
      <c r="AH35" s="16">
        <v>9.0800000000000006E-2</v>
      </c>
      <c r="AI35" s="16">
        <v>0.10879999999999999</v>
      </c>
      <c r="AJ35" s="16">
        <v>0.11260000000000001</v>
      </c>
      <c r="AK35" s="16">
        <v>0.61280000000000001</v>
      </c>
    </row>
    <row r="37" spans="1:37">
      <c r="B37">
        <v>201901</v>
      </c>
      <c r="C37">
        <v>201902</v>
      </c>
      <c r="D37">
        <v>201903</v>
      </c>
      <c r="E37">
        <v>201904</v>
      </c>
      <c r="F37">
        <v>201905</v>
      </c>
      <c r="G37">
        <v>201906</v>
      </c>
      <c r="H37">
        <v>201907</v>
      </c>
      <c r="I37">
        <v>201908</v>
      </c>
      <c r="J37">
        <v>201909</v>
      </c>
      <c r="K37">
        <v>201910</v>
      </c>
      <c r="L37">
        <v>201911</v>
      </c>
      <c r="M37">
        <v>201912</v>
      </c>
      <c r="N37">
        <v>202001</v>
      </c>
      <c r="O37">
        <v>202002</v>
      </c>
      <c r="P37">
        <v>202003</v>
      </c>
      <c r="Q37">
        <v>202004</v>
      </c>
      <c r="R37">
        <v>202005</v>
      </c>
      <c r="S37">
        <v>202006</v>
      </c>
      <c r="T37">
        <v>202007</v>
      </c>
      <c r="U37">
        <v>202008</v>
      </c>
      <c r="V37">
        <v>202009</v>
      </c>
      <c r="W37">
        <v>202010</v>
      </c>
      <c r="X37">
        <v>202011</v>
      </c>
      <c r="Y37">
        <v>202012</v>
      </c>
      <c r="Z37">
        <v>202101</v>
      </c>
      <c r="AA37">
        <v>202102</v>
      </c>
      <c r="AB37">
        <v>202103</v>
      </c>
      <c r="AC37">
        <v>202104</v>
      </c>
      <c r="AD37">
        <v>202105</v>
      </c>
      <c r="AE37">
        <v>202106</v>
      </c>
      <c r="AF37">
        <v>202107</v>
      </c>
      <c r="AG37">
        <v>202108</v>
      </c>
      <c r="AH37">
        <v>202109</v>
      </c>
      <c r="AI37">
        <v>202110</v>
      </c>
      <c r="AJ37">
        <v>202111</v>
      </c>
      <c r="AK37">
        <v>202112</v>
      </c>
    </row>
    <row r="38" spans="1:37">
      <c r="A38" t="s">
        <v>5</v>
      </c>
      <c r="B38" s="16"/>
      <c r="C38" s="16"/>
      <c r="D38" s="16"/>
      <c r="E38" s="16"/>
      <c r="F38" s="16">
        <v>3.15</v>
      </c>
      <c r="G38" s="16">
        <f t="shared" ref="G38:G71" si="1">H38-H2</f>
        <v>3.5005269999999999</v>
      </c>
      <c r="H38" s="16">
        <v>3.5644239999999998</v>
      </c>
      <c r="I38" s="16">
        <v>4.0771135000000003</v>
      </c>
      <c r="J38" s="16">
        <f t="shared" ref="J38:K57" si="2">I38+J2</f>
        <v>4.3250855000000001</v>
      </c>
      <c r="K38" s="16">
        <f t="shared" si="2"/>
        <v>5.2133295000000004</v>
      </c>
      <c r="L38" s="16"/>
      <c r="M38" s="16"/>
      <c r="N38" s="16">
        <f t="shared" ref="N38:P57" si="3">M38+N2</f>
        <v>4.0062E-2</v>
      </c>
      <c r="O38" s="16">
        <f t="shared" si="3"/>
        <v>4.0062E-2</v>
      </c>
      <c r="P38" s="16">
        <f t="shared" si="3"/>
        <v>4.3131000000000003E-2</v>
      </c>
      <c r="Q38" s="16">
        <v>6.5073000000000006E-2</v>
      </c>
      <c r="R38" s="16">
        <v>0.124047</v>
      </c>
      <c r="S38" s="16">
        <v>0.21648700000000001</v>
      </c>
      <c r="T38" s="16">
        <v>0.284999</v>
      </c>
      <c r="U38" s="16">
        <f t="shared" ref="U38:U71" si="4">V38-V2</f>
        <v>0.42380000000000007</v>
      </c>
      <c r="V38" s="16">
        <v>0.57730000000000004</v>
      </c>
      <c r="W38" s="16">
        <v>0.70530000000000004</v>
      </c>
      <c r="X38" s="16">
        <v>0.9214</v>
      </c>
      <c r="Y38" s="16"/>
      <c r="Z38" s="16">
        <f>Z2</f>
        <v>0.17860000000000001</v>
      </c>
      <c r="AA38" s="16">
        <f t="shared" ref="AA38:AD57" si="5">Z38+AA2</f>
        <v>0.25240000000000001</v>
      </c>
      <c r="AB38" s="16">
        <f t="shared" si="5"/>
        <v>0.37220000000000003</v>
      </c>
      <c r="AC38" s="16">
        <f t="shared" si="5"/>
        <v>0.58390000000000009</v>
      </c>
      <c r="AD38" s="16">
        <f t="shared" si="5"/>
        <v>0.93670000000000009</v>
      </c>
      <c r="AE38" s="16">
        <v>1.3199000000000001</v>
      </c>
      <c r="AF38" s="16">
        <v>2.1547999999999998</v>
      </c>
      <c r="AG38" s="16">
        <v>2.5676999999999999</v>
      </c>
      <c r="AH38" s="16">
        <v>3.4891000000000001</v>
      </c>
      <c r="AI38" s="16">
        <v>4.0625999999999998</v>
      </c>
      <c r="AJ38" s="16">
        <v>5.8045</v>
      </c>
      <c r="AK38" s="16">
        <v>11.526400000000001</v>
      </c>
    </row>
    <row r="39" spans="1:37">
      <c r="A39" t="s">
        <v>6</v>
      </c>
      <c r="B39" s="16"/>
      <c r="C39" s="16"/>
      <c r="D39" s="16"/>
      <c r="E39" s="16"/>
      <c r="F39" s="16">
        <v>0.13</v>
      </c>
      <c r="G39" s="16">
        <f t="shared" si="1"/>
        <v>0.16899999999999998</v>
      </c>
      <c r="H39" s="16">
        <v>0.57999999999999996</v>
      </c>
      <c r="I39" s="16">
        <v>0.63547750000000003</v>
      </c>
      <c r="J39" s="16">
        <f t="shared" si="2"/>
        <v>0.66120250000000003</v>
      </c>
      <c r="K39" s="16">
        <f t="shared" si="2"/>
        <v>0.81133849999999996</v>
      </c>
      <c r="L39" s="16"/>
      <c r="M39" s="16"/>
      <c r="N39" s="16">
        <f t="shared" si="3"/>
        <v>8.0000000000000004E-4</v>
      </c>
      <c r="O39" s="16">
        <f t="shared" si="3"/>
        <v>8.0000000000000004E-4</v>
      </c>
      <c r="P39" s="16">
        <f t="shared" si="3"/>
        <v>8.0000000000000004E-4</v>
      </c>
      <c r="Q39" s="16">
        <v>6.2750000000000002E-3</v>
      </c>
      <c r="R39" s="16">
        <v>8.6750000000000004E-3</v>
      </c>
      <c r="S39" s="16">
        <v>3.5075000000000002E-2</v>
      </c>
      <c r="T39" s="16">
        <v>0.33877600000000002</v>
      </c>
      <c r="U39" s="16">
        <f t="shared" si="4"/>
        <v>0.49390000000000001</v>
      </c>
      <c r="V39" s="16">
        <v>0.63119999999999998</v>
      </c>
      <c r="W39" s="16">
        <v>0.78259999999999996</v>
      </c>
      <c r="X39" s="16">
        <v>1.2011000000000001</v>
      </c>
      <c r="Y39" s="16"/>
      <c r="Z39" s="16">
        <f t="shared" ref="Z39:Z71" si="6">Z3</f>
        <v>4.3799999999999999E-2</v>
      </c>
      <c r="AA39" s="16">
        <f t="shared" si="5"/>
        <v>9.2700000000000005E-2</v>
      </c>
      <c r="AB39" s="16">
        <f t="shared" si="5"/>
        <v>0.1555</v>
      </c>
      <c r="AC39" s="16">
        <f t="shared" si="5"/>
        <v>0.30710000000000004</v>
      </c>
      <c r="AD39" s="16">
        <f t="shared" si="5"/>
        <v>0.5112000000000001</v>
      </c>
      <c r="AE39" s="16">
        <v>0.79330000000000001</v>
      </c>
      <c r="AF39" s="16">
        <v>0.98150000000000004</v>
      </c>
      <c r="AG39" s="16">
        <v>1.2739</v>
      </c>
      <c r="AH39" s="16">
        <v>1.5951</v>
      </c>
      <c r="AI39" s="16">
        <v>1.8434999999999999</v>
      </c>
      <c r="AJ39" s="16">
        <v>2.1909000000000001</v>
      </c>
      <c r="AK39" s="16">
        <v>2.7858999999999998</v>
      </c>
    </row>
    <row r="40" spans="1:37">
      <c r="A40" t="s">
        <v>7</v>
      </c>
      <c r="B40" s="16"/>
      <c r="C40" s="16"/>
      <c r="D40" s="16"/>
      <c r="E40" s="16"/>
      <c r="F40" s="16">
        <v>23.748840000000001</v>
      </c>
      <c r="G40" s="16">
        <f t="shared" si="1"/>
        <v>32.856579999999994</v>
      </c>
      <c r="H40" s="16">
        <v>40.469645999999997</v>
      </c>
      <c r="I40" s="16">
        <v>53.362828</v>
      </c>
      <c r="J40" s="16">
        <f t="shared" si="2"/>
        <v>70.75291</v>
      </c>
      <c r="K40" s="16">
        <f t="shared" si="2"/>
        <v>83.680125000000004</v>
      </c>
      <c r="L40" s="16"/>
      <c r="M40" s="16"/>
      <c r="N40" s="16">
        <f t="shared" si="3"/>
        <v>2.6241186999999999</v>
      </c>
      <c r="O40" s="16">
        <f t="shared" si="3"/>
        <v>2.7549061999999997</v>
      </c>
      <c r="P40" s="16">
        <f t="shared" si="3"/>
        <v>4.3247570999999994</v>
      </c>
      <c r="Q40" s="16">
        <v>13.9492776</v>
      </c>
      <c r="R40" s="16">
        <v>26.854445599999998</v>
      </c>
      <c r="S40" s="16">
        <v>43.692087299999997</v>
      </c>
      <c r="T40" s="16">
        <v>61.055273</v>
      </c>
      <c r="U40" s="16">
        <f t="shared" si="4"/>
        <v>85.022199999999998</v>
      </c>
      <c r="V40" s="16">
        <v>116.2371</v>
      </c>
      <c r="W40" s="16">
        <v>151.35339999999999</v>
      </c>
      <c r="X40" s="16">
        <v>215.44749999999999</v>
      </c>
      <c r="Y40" s="16"/>
      <c r="Z40" s="16">
        <f t="shared" si="6"/>
        <v>5.9675000000000002</v>
      </c>
      <c r="AA40" s="16">
        <f t="shared" si="5"/>
        <v>10.104600000000001</v>
      </c>
      <c r="AB40" s="16">
        <f t="shared" si="5"/>
        <v>27.2882</v>
      </c>
      <c r="AC40" s="16">
        <f t="shared" si="5"/>
        <v>64.512600000000006</v>
      </c>
      <c r="AD40" s="16">
        <f t="shared" si="5"/>
        <v>102.2508</v>
      </c>
      <c r="AE40" s="16">
        <v>147.90309999999999</v>
      </c>
      <c r="AF40" s="16">
        <v>192.74010000000001</v>
      </c>
      <c r="AG40" s="16">
        <v>242.5224</v>
      </c>
      <c r="AH40" s="16">
        <v>300.42230000000001</v>
      </c>
      <c r="AI40" s="16">
        <v>346.54039999999998</v>
      </c>
      <c r="AJ40" s="16">
        <v>411.01760000000002</v>
      </c>
      <c r="AK40" s="16">
        <v>534.07460000000003</v>
      </c>
    </row>
    <row r="41" spans="1:37">
      <c r="A41" t="s">
        <v>112</v>
      </c>
      <c r="B41" s="16"/>
      <c r="C41" s="16"/>
      <c r="D41" s="16"/>
      <c r="E41" s="16"/>
      <c r="F41" s="16">
        <v>19.008839999999999</v>
      </c>
      <c r="G41" s="16">
        <f t="shared" si="1"/>
        <v>25.970000000000002</v>
      </c>
      <c r="H41" s="16">
        <v>33.17</v>
      </c>
      <c r="I41" s="16">
        <v>44.004399999999997</v>
      </c>
      <c r="J41" s="16">
        <f t="shared" si="2"/>
        <v>59.117518999999994</v>
      </c>
      <c r="K41" s="16">
        <f t="shared" si="2"/>
        <v>70.13471899999999</v>
      </c>
      <c r="L41" s="16"/>
      <c r="M41" s="16"/>
      <c r="N41" s="16">
        <f t="shared" si="3"/>
        <v>2.5451666999999998</v>
      </c>
      <c r="O41" s="16">
        <f t="shared" si="3"/>
        <v>2.6692291999999997</v>
      </c>
      <c r="P41" s="16">
        <f t="shared" si="3"/>
        <v>4.0290241</v>
      </c>
      <c r="Q41" s="16">
        <v>12.989329100000001</v>
      </c>
      <c r="R41" s="16">
        <v>24.919388099999999</v>
      </c>
      <c r="S41" s="16">
        <v>40.394599839999998</v>
      </c>
      <c r="T41" s="16">
        <v>56.290072039999998</v>
      </c>
      <c r="U41" s="16">
        <f t="shared" si="4"/>
        <v>79.0047</v>
      </c>
      <c r="V41" s="16">
        <v>107.7555</v>
      </c>
      <c r="W41" s="16">
        <v>139.8382</v>
      </c>
      <c r="X41" s="16">
        <v>195.6079</v>
      </c>
      <c r="Y41" s="16"/>
      <c r="Z41" s="16">
        <f t="shared" si="6"/>
        <v>5.4017999999999997</v>
      </c>
      <c r="AA41" s="16">
        <f t="shared" si="5"/>
        <v>8.8513000000000002</v>
      </c>
      <c r="AB41" s="16">
        <f t="shared" si="5"/>
        <v>25.055700000000002</v>
      </c>
      <c r="AC41" s="16">
        <f t="shared" si="5"/>
        <v>59.546199999999999</v>
      </c>
      <c r="AD41" s="16">
        <f t="shared" si="5"/>
        <v>93.084400000000002</v>
      </c>
      <c r="AE41" s="16">
        <v>134.37889999999999</v>
      </c>
      <c r="AF41" s="16">
        <v>173.66970000000001</v>
      </c>
      <c r="AG41" s="16">
        <v>216.84790000000001</v>
      </c>
      <c r="AH41" s="16">
        <v>268.38319999999999</v>
      </c>
      <c r="AI41" s="16">
        <v>309.34230000000002</v>
      </c>
      <c r="AJ41" s="16">
        <v>367.42770000000002</v>
      </c>
      <c r="AK41" s="16">
        <v>476.96269999999998</v>
      </c>
    </row>
    <row r="42" spans="1:37">
      <c r="A42" t="s">
        <v>113</v>
      </c>
      <c r="B42" s="16"/>
      <c r="C42" s="16"/>
      <c r="D42" s="16"/>
      <c r="E42" s="16"/>
      <c r="F42" s="16">
        <v>4.74</v>
      </c>
      <c r="G42" s="16">
        <f t="shared" si="1"/>
        <v>6.8889630000000004</v>
      </c>
      <c r="H42" s="16">
        <v>7.3026249999999999</v>
      </c>
      <c r="I42" s="16">
        <v>9.358428</v>
      </c>
      <c r="J42" s="16">
        <f t="shared" si="2"/>
        <v>11.635391</v>
      </c>
      <c r="K42" s="16">
        <f t="shared" si="2"/>
        <v>13.545406</v>
      </c>
      <c r="L42" s="16"/>
      <c r="M42" s="16"/>
      <c r="N42" s="16">
        <f t="shared" si="3"/>
        <v>7.8951999999999994E-2</v>
      </c>
      <c r="O42" s="16">
        <f t="shared" si="3"/>
        <v>8.5676999999999989E-2</v>
      </c>
      <c r="P42" s="16">
        <f t="shared" si="3"/>
        <v>0.29573299999999997</v>
      </c>
      <c r="Q42" s="16">
        <v>0.95994849999999998</v>
      </c>
      <c r="R42" s="16">
        <v>1.9350575000000001</v>
      </c>
      <c r="S42" s="16">
        <v>3.2974874999999999</v>
      </c>
      <c r="T42" s="16">
        <v>4.7652010000000002</v>
      </c>
      <c r="U42" s="16">
        <f t="shared" si="4"/>
        <v>6.0174000000000003</v>
      </c>
      <c r="V42" s="16">
        <v>8.4816000000000003</v>
      </c>
      <c r="W42" s="16">
        <v>11.5151</v>
      </c>
      <c r="X42" s="16">
        <v>19.839600000000001</v>
      </c>
      <c r="Y42" s="16"/>
      <c r="Z42" s="16">
        <f t="shared" si="6"/>
        <v>0.56569999999999998</v>
      </c>
      <c r="AA42" s="16">
        <f t="shared" si="5"/>
        <v>1.2532000000000001</v>
      </c>
      <c r="AB42" s="16">
        <f t="shared" si="5"/>
        <v>2.2324000000000002</v>
      </c>
      <c r="AC42" s="16">
        <f t="shared" si="5"/>
        <v>4.9663000000000004</v>
      </c>
      <c r="AD42" s="16">
        <f t="shared" si="5"/>
        <v>9.1662999999999997</v>
      </c>
      <c r="AE42" s="16">
        <v>13.5242</v>
      </c>
      <c r="AF42" s="16">
        <v>19.070399999999999</v>
      </c>
      <c r="AG42" s="16">
        <v>25.674499999999998</v>
      </c>
      <c r="AH42" s="16">
        <v>32.039099999999998</v>
      </c>
      <c r="AI42" s="16">
        <v>37.198099999999997</v>
      </c>
      <c r="AJ42" s="16">
        <v>43.5899</v>
      </c>
      <c r="AK42" s="16">
        <v>57.111899999999999</v>
      </c>
    </row>
    <row r="43" spans="1:37">
      <c r="A43" t="s">
        <v>8</v>
      </c>
      <c r="B43" s="16"/>
      <c r="C43" s="16"/>
      <c r="D43" s="16"/>
      <c r="E43" s="16"/>
      <c r="F43" s="16">
        <v>10.160970000000001</v>
      </c>
      <c r="G43" s="16">
        <f t="shared" si="1"/>
        <v>11.8408505</v>
      </c>
      <c r="H43" s="16">
        <v>13.1306215</v>
      </c>
      <c r="I43" s="16">
        <v>15.4142875</v>
      </c>
      <c r="J43" s="16">
        <f t="shared" si="2"/>
        <v>19.6854072</v>
      </c>
      <c r="K43" s="16">
        <f t="shared" si="2"/>
        <v>27.189404700000001</v>
      </c>
      <c r="L43" s="16"/>
      <c r="M43" s="16"/>
      <c r="N43" s="16">
        <f t="shared" si="3"/>
        <v>9.7212999999999994E-2</v>
      </c>
      <c r="O43" s="16">
        <f t="shared" si="3"/>
        <v>0.100213</v>
      </c>
      <c r="P43" s="16">
        <f t="shared" si="3"/>
        <v>0.19487450000000001</v>
      </c>
      <c r="Q43" s="16">
        <v>0.67581899999999995</v>
      </c>
      <c r="R43" s="16">
        <v>2.1824599999999998</v>
      </c>
      <c r="S43" s="16">
        <v>5.0399050000000001</v>
      </c>
      <c r="T43" s="16">
        <v>8.8674821000000001</v>
      </c>
      <c r="U43" s="16">
        <f t="shared" si="4"/>
        <v>13.476199999999999</v>
      </c>
      <c r="V43" s="16">
        <v>19.358799999999999</v>
      </c>
      <c r="W43" s="16">
        <v>25.475999999999999</v>
      </c>
      <c r="X43" s="16">
        <v>45.805199999999999</v>
      </c>
      <c r="Y43" s="16"/>
      <c r="Z43" s="16">
        <f t="shared" si="6"/>
        <v>0.81230000000000002</v>
      </c>
      <c r="AA43" s="16">
        <f t="shared" si="5"/>
        <v>1.1967000000000001</v>
      </c>
      <c r="AB43" s="16">
        <f t="shared" si="5"/>
        <v>2.2212000000000001</v>
      </c>
      <c r="AC43" s="16">
        <f t="shared" si="5"/>
        <v>4.5606</v>
      </c>
      <c r="AD43" s="16">
        <f t="shared" si="5"/>
        <v>8.8438999999999997</v>
      </c>
      <c r="AE43" s="16">
        <v>14.731299999999999</v>
      </c>
      <c r="AF43" s="16">
        <v>21.443899999999999</v>
      </c>
      <c r="AG43" s="16">
        <v>28.474499999999999</v>
      </c>
      <c r="AH43" s="16">
        <v>35.712499999999999</v>
      </c>
      <c r="AI43" s="16">
        <v>41.688600000000001</v>
      </c>
      <c r="AJ43" s="16">
        <v>51.616100000000003</v>
      </c>
      <c r="AK43" s="16">
        <v>74.291499999999999</v>
      </c>
    </row>
    <row r="44" spans="1:37">
      <c r="A44" t="s">
        <v>9</v>
      </c>
      <c r="B44" s="16"/>
      <c r="C44" s="16"/>
      <c r="D44" s="16"/>
      <c r="E44" s="16"/>
      <c r="F44" s="16">
        <v>1.7025840000000001</v>
      </c>
      <c r="G44" s="16">
        <f t="shared" si="1"/>
        <v>1.9068300000000002</v>
      </c>
      <c r="H44" s="16">
        <v>2.0258500000000002</v>
      </c>
      <c r="I44" s="16">
        <v>2.0702319999999999</v>
      </c>
      <c r="J44" s="16">
        <f t="shared" si="2"/>
        <v>2.2473449999999997</v>
      </c>
      <c r="K44" s="16">
        <f t="shared" si="2"/>
        <v>3.9444119999999998</v>
      </c>
      <c r="L44" s="16"/>
      <c r="M44" s="16"/>
      <c r="N44" s="16">
        <f t="shared" si="3"/>
        <v>6.5763000000000002E-2</v>
      </c>
      <c r="O44" s="16">
        <f t="shared" si="3"/>
        <v>6.5763000000000002E-2</v>
      </c>
      <c r="P44" s="16">
        <f t="shared" si="3"/>
        <v>6.6562999999999997E-2</v>
      </c>
      <c r="Q44" s="16">
        <v>0.102419</v>
      </c>
      <c r="R44" s="16">
        <v>0.120739</v>
      </c>
      <c r="S44" s="16">
        <v>0.25124400000000002</v>
      </c>
      <c r="T44" s="16">
        <v>0.29836400000000002</v>
      </c>
      <c r="U44" s="16">
        <f t="shared" si="4"/>
        <v>0.39130000000000004</v>
      </c>
      <c r="V44" s="16">
        <v>0.73260000000000003</v>
      </c>
      <c r="W44" s="16">
        <v>0.89080000000000004</v>
      </c>
      <c r="X44" s="16">
        <v>1.9903999999999999</v>
      </c>
      <c r="Y44" s="16"/>
      <c r="Z44" s="16">
        <f t="shared" si="6"/>
        <v>7.2599999999999998E-2</v>
      </c>
      <c r="AA44" s="16">
        <f t="shared" si="5"/>
        <v>0.17859999999999998</v>
      </c>
      <c r="AB44" s="16">
        <f t="shared" si="5"/>
        <v>0.18729999999999997</v>
      </c>
      <c r="AC44" s="16">
        <f t="shared" si="5"/>
        <v>0.28759999999999997</v>
      </c>
      <c r="AD44" s="16">
        <f t="shared" si="5"/>
        <v>0.40509999999999996</v>
      </c>
      <c r="AE44" s="16">
        <v>0.46860000000000002</v>
      </c>
      <c r="AF44" s="16">
        <v>0.74490000000000001</v>
      </c>
      <c r="AG44" s="16">
        <v>0.89529999999999998</v>
      </c>
      <c r="AH44" s="16">
        <v>1.0376000000000001</v>
      </c>
      <c r="AI44" s="16">
        <v>1.6026</v>
      </c>
      <c r="AJ44" s="16">
        <v>2.3984000000000001</v>
      </c>
      <c r="AK44" s="16">
        <v>5.3501000000000003</v>
      </c>
    </row>
    <row r="45" spans="1:37">
      <c r="A45" t="s">
        <v>114</v>
      </c>
      <c r="B45" s="16"/>
      <c r="C45" s="16"/>
      <c r="D45" s="16"/>
      <c r="E45" s="16"/>
      <c r="F45" s="16">
        <v>0.12918299999999999</v>
      </c>
      <c r="G45" s="16">
        <f t="shared" si="1"/>
        <v>0.13078300000000001</v>
      </c>
      <c r="H45" s="16">
        <v>0.13378300000000001</v>
      </c>
      <c r="I45" s="16">
        <v>0.142183</v>
      </c>
      <c r="J45" s="16">
        <f t="shared" si="2"/>
        <v>0.14368300000000001</v>
      </c>
      <c r="K45" s="16">
        <f t="shared" si="2"/>
        <v>0.17035400000000001</v>
      </c>
      <c r="L45" s="16"/>
      <c r="M45" s="16"/>
      <c r="N45" s="16">
        <f t="shared" si="3"/>
        <v>5.3499999999999999E-2</v>
      </c>
      <c r="O45" s="16">
        <f t="shared" si="3"/>
        <v>5.3499999999999999E-2</v>
      </c>
      <c r="P45" s="16">
        <f t="shared" si="3"/>
        <v>5.3499999999999999E-2</v>
      </c>
      <c r="Q45" s="16">
        <v>6.2600000000000003E-2</v>
      </c>
      <c r="R45" s="16">
        <v>6.3649999999999998E-2</v>
      </c>
      <c r="S45" s="16">
        <v>0.12401</v>
      </c>
      <c r="T45" s="16">
        <v>0.13228000000000001</v>
      </c>
      <c r="U45" s="16">
        <f t="shared" si="4"/>
        <v>0.1482</v>
      </c>
      <c r="V45" s="16">
        <v>0.245</v>
      </c>
      <c r="W45" s="16">
        <v>0.27560000000000001</v>
      </c>
      <c r="X45" s="16">
        <v>0.75939999999999996</v>
      </c>
      <c r="Y45" s="16"/>
      <c r="Z45" s="16">
        <f t="shared" si="6"/>
        <v>6.1600000000000002E-2</v>
      </c>
      <c r="AA45" s="16">
        <f t="shared" si="5"/>
        <v>0.1321</v>
      </c>
      <c r="AB45" s="16">
        <f t="shared" si="5"/>
        <v>0.1386</v>
      </c>
      <c r="AC45" s="16">
        <f t="shared" si="5"/>
        <v>0.2266</v>
      </c>
      <c r="AD45" s="16">
        <f t="shared" si="5"/>
        <v>0.2429</v>
      </c>
      <c r="AE45" s="16">
        <v>0.28349999999999997</v>
      </c>
      <c r="AF45" s="16">
        <v>0.5323</v>
      </c>
      <c r="AG45" s="16">
        <v>0.56610000000000005</v>
      </c>
      <c r="AH45" s="16">
        <v>0.64159999999999995</v>
      </c>
      <c r="AI45" s="16">
        <v>0.79500000000000004</v>
      </c>
      <c r="AJ45" s="16">
        <v>0.99619999999999997</v>
      </c>
      <c r="AK45" s="16">
        <v>1.2771999999999999</v>
      </c>
    </row>
    <row r="46" spans="1:37">
      <c r="A46" t="s">
        <v>115</v>
      </c>
      <c r="B46" s="16"/>
      <c r="C46" s="16"/>
      <c r="D46" s="16"/>
      <c r="E46" s="16"/>
      <c r="F46" s="16">
        <v>1.573401</v>
      </c>
      <c r="G46" s="16">
        <f t="shared" si="1"/>
        <v>1.7760469999999999</v>
      </c>
      <c r="H46" s="16">
        <v>1.8920669999999999</v>
      </c>
      <c r="I46" s="16">
        <v>1.9280489999999999</v>
      </c>
      <c r="J46" s="16">
        <f t="shared" si="2"/>
        <v>2.1036619999999999</v>
      </c>
      <c r="K46" s="16">
        <f t="shared" si="2"/>
        <v>3.7740580000000001</v>
      </c>
      <c r="L46" s="16"/>
      <c r="M46" s="16"/>
      <c r="N46" s="16">
        <f t="shared" si="3"/>
        <v>1.2263E-2</v>
      </c>
      <c r="O46" s="16">
        <f t="shared" si="3"/>
        <v>1.2263E-2</v>
      </c>
      <c r="P46" s="16">
        <f t="shared" si="3"/>
        <v>1.3063E-2</v>
      </c>
      <c r="Q46" s="16">
        <v>3.9819E-2</v>
      </c>
      <c r="R46" s="16">
        <v>5.7089000000000001E-2</v>
      </c>
      <c r="S46" s="16">
        <v>0.12723400000000001</v>
      </c>
      <c r="T46" s="16">
        <v>0.16608400000000001</v>
      </c>
      <c r="U46" s="16">
        <f t="shared" si="4"/>
        <v>0.24309999999999998</v>
      </c>
      <c r="V46" s="16">
        <v>0.48759999999999998</v>
      </c>
      <c r="W46" s="16">
        <v>0.61519999999999997</v>
      </c>
      <c r="X46" s="16">
        <v>1.2310000000000001</v>
      </c>
      <c r="Y46" s="16"/>
      <c r="Z46" s="16">
        <f t="shared" si="6"/>
        <v>1.0999999999999999E-2</v>
      </c>
      <c r="AA46" s="16">
        <f t="shared" si="5"/>
        <v>4.65E-2</v>
      </c>
      <c r="AB46" s="16">
        <f t="shared" si="5"/>
        <v>4.87E-2</v>
      </c>
      <c r="AC46" s="16">
        <f t="shared" si="5"/>
        <v>6.0999999999999999E-2</v>
      </c>
      <c r="AD46" s="16">
        <f t="shared" si="5"/>
        <v>0.1623</v>
      </c>
      <c r="AE46" s="16">
        <v>0.18509999999999999</v>
      </c>
      <c r="AF46" s="16">
        <v>0.21260000000000001</v>
      </c>
      <c r="AG46" s="16">
        <v>0.3291</v>
      </c>
      <c r="AH46" s="16">
        <v>0.39600000000000002</v>
      </c>
      <c r="AI46" s="16">
        <v>0.80759999999999998</v>
      </c>
      <c r="AJ46" s="16">
        <v>1.4021999999999999</v>
      </c>
      <c r="AK46" s="16">
        <v>4.0728999999999997</v>
      </c>
    </row>
    <row r="47" spans="1:37">
      <c r="A47" t="s">
        <v>10</v>
      </c>
      <c r="B47" s="16"/>
      <c r="C47" s="16"/>
      <c r="D47" s="16"/>
      <c r="E47" s="16"/>
      <c r="F47" s="16">
        <v>2.4834999999999998</v>
      </c>
      <c r="G47" s="16">
        <f t="shared" si="1"/>
        <v>3.3593000000000002</v>
      </c>
      <c r="H47" s="16">
        <v>3.7648000000000001</v>
      </c>
      <c r="I47" s="16">
        <v>4.4659630000000003</v>
      </c>
      <c r="J47" s="16">
        <f t="shared" si="2"/>
        <v>5.4734500000000006</v>
      </c>
      <c r="K47" s="16">
        <f t="shared" si="2"/>
        <v>6.8309050000000004</v>
      </c>
      <c r="L47" s="16"/>
      <c r="M47" s="16"/>
      <c r="N47" s="16">
        <f t="shared" si="3"/>
        <v>1.1195E-2</v>
      </c>
      <c r="O47" s="16">
        <f t="shared" si="3"/>
        <v>1.5365E-2</v>
      </c>
      <c r="P47" s="16">
        <f t="shared" si="3"/>
        <v>2.2855E-2</v>
      </c>
      <c r="Q47" s="16">
        <v>0.10115499999999999</v>
      </c>
      <c r="R47" s="16">
        <v>0.35602</v>
      </c>
      <c r="S47" s="16">
        <v>1.1499215</v>
      </c>
      <c r="T47" s="16">
        <v>2.6387795000000001</v>
      </c>
      <c r="U47" s="16">
        <f t="shared" si="4"/>
        <v>4.0170999999999992</v>
      </c>
      <c r="V47" s="16">
        <v>5.7718999999999996</v>
      </c>
      <c r="W47" s="16">
        <v>8.1286000000000005</v>
      </c>
      <c r="X47" s="16">
        <v>14.667899999999999</v>
      </c>
      <c r="Y47" s="16"/>
      <c r="Z47" s="16">
        <f t="shared" si="6"/>
        <v>0.10100000000000001</v>
      </c>
      <c r="AA47" s="16">
        <f t="shared" si="5"/>
        <v>0.1721</v>
      </c>
      <c r="AB47" s="16">
        <f t="shared" si="5"/>
        <v>0.24060000000000001</v>
      </c>
      <c r="AC47" s="16">
        <f t="shared" si="5"/>
        <v>0.80170000000000008</v>
      </c>
      <c r="AD47" s="16">
        <f t="shared" si="5"/>
        <v>5.0017000000000005</v>
      </c>
      <c r="AE47" s="16">
        <v>3.7160000000000002</v>
      </c>
      <c r="AF47" s="16">
        <v>5.5629999999999997</v>
      </c>
      <c r="AG47" s="16">
        <v>8.1308000000000007</v>
      </c>
      <c r="AH47" s="16">
        <v>11.270799999999999</v>
      </c>
      <c r="AI47" s="16">
        <v>12.2988</v>
      </c>
      <c r="AJ47" s="16">
        <v>16.404699999999998</v>
      </c>
      <c r="AK47" s="16">
        <v>29.1297</v>
      </c>
    </row>
    <row r="48" spans="1:37">
      <c r="A48" t="s">
        <v>11</v>
      </c>
      <c r="B48" s="16"/>
      <c r="C48" s="16"/>
      <c r="D48" s="16"/>
      <c r="E48" s="16"/>
      <c r="F48" s="16">
        <v>0.75617100000000004</v>
      </c>
      <c r="G48" s="16">
        <f t="shared" si="1"/>
        <v>1.2282322999999999</v>
      </c>
      <c r="H48" s="16">
        <v>1.3613132999999999</v>
      </c>
      <c r="I48" s="16">
        <v>1.5922069999999999</v>
      </c>
      <c r="J48" s="16">
        <f t="shared" si="2"/>
        <v>2.2093210000000001</v>
      </c>
      <c r="K48" s="16">
        <f t="shared" si="2"/>
        <v>2.996705</v>
      </c>
      <c r="L48" s="16"/>
      <c r="M48" s="16"/>
      <c r="N48" s="16">
        <f t="shared" si="3"/>
        <v>3.64E-3</v>
      </c>
      <c r="O48" s="16">
        <f t="shared" si="3"/>
        <v>0.149203</v>
      </c>
      <c r="P48" s="16">
        <f t="shared" si="3"/>
        <v>0.168739</v>
      </c>
      <c r="Q48" s="16">
        <v>0.24190500000000001</v>
      </c>
      <c r="R48" s="16">
        <v>0.66712700000000003</v>
      </c>
      <c r="S48" s="16">
        <v>0.80415599999999998</v>
      </c>
      <c r="T48" s="16">
        <v>1.1507084999999999</v>
      </c>
      <c r="U48" s="16">
        <f t="shared" si="4"/>
        <v>1.7568999999999999</v>
      </c>
      <c r="V48" s="16">
        <v>2.4394999999999998</v>
      </c>
      <c r="W48" s="16">
        <v>3.1038999999999999</v>
      </c>
      <c r="X48" s="16">
        <v>6.0682</v>
      </c>
      <c r="Y48" s="16"/>
      <c r="Z48" s="16">
        <f t="shared" si="6"/>
        <v>5.5899999999999998E-2</v>
      </c>
      <c r="AA48" s="16">
        <f t="shared" si="5"/>
        <v>8.2699999999999996E-2</v>
      </c>
      <c r="AB48" s="16">
        <f t="shared" si="5"/>
        <v>0.1031</v>
      </c>
      <c r="AC48" s="16">
        <f t="shared" si="5"/>
        <v>0.22070000000000001</v>
      </c>
      <c r="AD48" s="16">
        <f t="shared" si="5"/>
        <v>0.30630000000000002</v>
      </c>
      <c r="AE48" s="16">
        <v>0.55169999999999997</v>
      </c>
      <c r="AF48" s="16">
        <v>0.86570000000000003</v>
      </c>
      <c r="AG48" s="16">
        <v>1.2721</v>
      </c>
      <c r="AH48" s="16">
        <v>1.6495</v>
      </c>
      <c r="AI48" s="16">
        <v>1.9998</v>
      </c>
      <c r="AJ48" s="16">
        <v>2.3877999999999999</v>
      </c>
      <c r="AK48" s="16">
        <v>4.9920999999999998</v>
      </c>
    </row>
    <row r="49" spans="1:37">
      <c r="A49" t="s">
        <v>12</v>
      </c>
      <c r="B49" s="16"/>
      <c r="C49" s="16"/>
      <c r="D49" s="16"/>
      <c r="E49" s="16"/>
      <c r="F49" s="16">
        <v>0.82820000000000005</v>
      </c>
      <c r="G49" s="16">
        <f t="shared" si="1"/>
        <v>0.82250000000000001</v>
      </c>
      <c r="H49" s="16">
        <v>0.8609</v>
      </c>
      <c r="I49" s="16">
        <v>0.9899</v>
      </c>
      <c r="J49" s="16">
        <f t="shared" si="2"/>
        <v>1.5094460000000001</v>
      </c>
      <c r="K49" s="16">
        <f t="shared" si="2"/>
        <v>1.837046</v>
      </c>
      <c r="L49" s="16"/>
      <c r="M49" s="16"/>
      <c r="N49" s="16">
        <f t="shared" si="3"/>
        <v>1.2E-2</v>
      </c>
      <c r="O49" s="16">
        <f t="shared" si="3"/>
        <v>1.29E-2</v>
      </c>
      <c r="P49" s="16">
        <f t="shared" si="3"/>
        <v>1.34E-2</v>
      </c>
      <c r="Q49" s="16">
        <v>6.7659999999999998E-2</v>
      </c>
      <c r="R49" s="16">
        <v>0.11068799999999999</v>
      </c>
      <c r="S49" s="16">
        <v>0.20957600000000001</v>
      </c>
      <c r="T49" s="16">
        <v>0.277781</v>
      </c>
      <c r="U49" s="16">
        <f t="shared" si="4"/>
        <v>0.38140000000000002</v>
      </c>
      <c r="V49" s="16">
        <v>0.4415</v>
      </c>
      <c r="W49" s="16">
        <v>0.64149999999999996</v>
      </c>
      <c r="X49" s="16">
        <v>1.6807000000000001</v>
      </c>
      <c r="Y49" s="16"/>
      <c r="Z49" s="16">
        <f t="shared" si="6"/>
        <v>2.7799999999999998E-2</v>
      </c>
      <c r="AA49" s="16">
        <f t="shared" si="5"/>
        <v>2.7799999999999998E-2</v>
      </c>
      <c r="AB49" s="16">
        <f t="shared" si="5"/>
        <v>7.2800000000000004E-2</v>
      </c>
      <c r="AC49" s="16">
        <f t="shared" si="5"/>
        <v>0.10390000000000001</v>
      </c>
      <c r="AD49" s="16">
        <f t="shared" si="5"/>
        <v>0.14510000000000001</v>
      </c>
      <c r="AE49" s="16">
        <v>0.2145</v>
      </c>
      <c r="AF49" s="16">
        <v>0.2863</v>
      </c>
      <c r="AG49" s="16">
        <v>0.4173</v>
      </c>
      <c r="AH49" s="16">
        <v>0.50890000000000002</v>
      </c>
      <c r="AI49" s="16">
        <v>0.72599999999999998</v>
      </c>
      <c r="AJ49" s="16">
        <v>1.018</v>
      </c>
      <c r="AK49" s="16">
        <v>2.2025000000000001</v>
      </c>
    </row>
    <row r="50" spans="1:37">
      <c r="A50" t="s">
        <v>13</v>
      </c>
      <c r="B50" s="16"/>
      <c r="C50" s="16"/>
      <c r="D50" s="16"/>
      <c r="E50" s="16"/>
      <c r="F50" s="16">
        <v>3.23</v>
      </c>
      <c r="G50" s="16">
        <f t="shared" si="1"/>
        <v>3.4394</v>
      </c>
      <c r="H50" s="16">
        <v>3.6448999999999998</v>
      </c>
      <c r="I50" s="16">
        <v>3.8717000000000001</v>
      </c>
      <c r="J50" s="16">
        <f t="shared" si="2"/>
        <v>4.0223000000000004</v>
      </c>
      <c r="K50" s="16">
        <f t="shared" si="2"/>
        <v>4.3568000000000007</v>
      </c>
      <c r="L50" s="16"/>
      <c r="M50" s="16"/>
      <c r="N50" s="16">
        <f t="shared" si="3"/>
        <v>4.6544000000000002E-2</v>
      </c>
      <c r="O50" s="16">
        <f t="shared" si="3"/>
        <v>4.6544000000000002E-2</v>
      </c>
      <c r="P50" s="16">
        <f t="shared" si="3"/>
        <v>6.5109E-2</v>
      </c>
      <c r="Q50" s="16">
        <v>0.1110112</v>
      </c>
      <c r="R50" s="16">
        <v>0.18369070000000001</v>
      </c>
      <c r="S50" s="16">
        <v>0.32774720000000002</v>
      </c>
      <c r="T50" s="16">
        <v>0.4919095</v>
      </c>
      <c r="U50" s="16">
        <f t="shared" si="4"/>
        <v>0.64100000000000001</v>
      </c>
      <c r="V50" s="16">
        <v>0.82499999999999996</v>
      </c>
      <c r="W50" s="16">
        <v>0.94540000000000002</v>
      </c>
      <c r="X50" s="16">
        <v>1.2888999999999999</v>
      </c>
      <c r="Y50" s="16"/>
      <c r="Z50" s="16">
        <f t="shared" si="6"/>
        <v>6.1699999999999998E-2</v>
      </c>
      <c r="AA50" s="16">
        <f t="shared" si="5"/>
        <v>9.8199999999999996E-2</v>
      </c>
      <c r="AB50" s="16">
        <f t="shared" si="5"/>
        <v>0.14349999999999999</v>
      </c>
      <c r="AC50" s="16">
        <f t="shared" si="5"/>
        <v>0.25179999999999997</v>
      </c>
      <c r="AD50" s="16">
        <f t="shared" si="5"/>
        <v>0.38929999999999998</v>
      </c>
      <c r="AE50" s="16">
        <v>0.52439999999999998</v>
      </c>
      <c r="AF50" s="16">
        <v>0.67759999999999998</v>
      </c>
      <c r="AG50" s="16">
        <v>0.84519999999999995</v>
      </c>
      <c r="AH50" s="16">
        <v>1.0343</v>
      </c>
      <c r="AI50" s="16">
        <v>1.1142000000000001</v>
      </c>
      <c r="AJ50" s="16">
        <v>1.3872</v>
      </c>
      <c r="AK50" s="16">
        <v>1.8567</v>
      </c>
    </row>
    <row r="51" spans="1:37">
      <c r="A51" t="s">
        <v>14</v>
      </c>
      <c r="B51" s="16"/>
      <c r="C51" s="16"/>
      <c r="D51" s="16"/>
      <c r="E51" s="16"/>
      <c r="F51" s="16">
        <v>7.2784110000000002</v>
      </c>
      <c r="G51" s="16">
        <f t="shared" si="1"/>
        <v>9.3561705000000011</v>
      </c>
      <c r="H51" s="16">
        <v>11.159334400000001</v>
      </c>
      <c r="I51" s="16">
        <v>14.586430399999999</v>
      </c>
      <c r="J51" s="16">
        <f t="shared" si="2"/>
        <v>18.2834249</v>
      </c>
      <c r="K51" s="16">
        <f t="shared" si="2"/>
        <v>21.9778144</v>
      </c>
      <c r="L51" s="16"/>
      <c r="M51" s="16"/>
      <c r="N51" s="16">
        <f t="shared" si="3"/>
        <v>0.33230559999999998</v>
      </c>
      <c r="O51" s="16">
        <f t="shared" si="3"/>
        <v>0.34194359999999996</v>
      </c>
      <c r="P51" s="16">
        <f t="shared" si="3"/>
        <v>0.72818459999999996</v>
      </c>
      <c r="Q51" s="16">
        <v>2.0376520999999999</v>
      </c>
      <c r="R51" s="16">
        <v>3.7997716000000001</v>
      </c>
      <c r="S51" s="16">
        <v>5.7709815999999998</v>
      </c>
      <c r="T51" s="16">
        <v>8.0899944999999995</v>
      </c>
      <c r="U51" s="16">
        <f t="shared" si="4"/>
        <v>10.3089</v>
      </c>
      <c r="V51" s="16">
        <v>13.378</v>
      </c>
      <c r="W51" s="16">
        <v>16.3522</v>
      </c>
      <c r="X51" s="16">
        <v>23.282399999999999</v>
      </c>
      <c r="Y51" s="16"/>
      <c r="Z51" s="16">
        <f t="shared" si="6"/>
        <v>0.30549999999999999</v>
      </c>
      <c r="AA51" s="16">
        <f t="shared" si="5"/>
        <v>0.9577</v>
      </c>
      <c r="AB51" s="16">
        <f t="shared" si="5"/>
        <v>2.8487</v>
      </c>
      <c r="AC51" s="16">
        <f t="shared" si="5"/>
        <v>5.8879999999999999</v>
      </c>
      <c r="AD51" s="16">
        <f t="shared" si="5"/>
        <v>8.5583999999999989</v>
      </c>
      <c r="AE51" s="16">
        <v>11.475199999999999</v>
      </c>
      <c r="AF51" s="16">
        <v>15.5237</v>
      </c>
      <c r="AG51" s="16">
        <v>18.582100000000001</v>
      </c>
      <c r="AH51" s="16">
        <v>22.232500000000002</v>
      </c>
      <c r="AI51" s="16">
        <v>25.939599999999999</v>
      </c>
      <c r="AJ51" s="16">
        <v>30.884699999999999</v>
      </c>
      <c r="AK51" s="16">
        <v>43.974600000000002</v>
      </c>
    </row>
    <row r="52" spans="1:37">
      <c r="A52" t="s">
        <v>15</v>
      </c>
      <c r="B52" s="16"/>
      <c r="C52" s="16"/>
      <c r="D52" s="16"/>
      <c r="E52" s="16"/>
      <c r="F52" s="16">
        <v>19.61599</v>
      </c>
      <c r="G52" s="16">
        <f t="shared" si="1"/>
        <v>23.437000000000001</v>
      </c>
      <c r="H52" s="16">
        <v>26.426200000000001</v>
      </c>
      <c r="I52" s="16">
        <v>29.465599999999998</v>
      </c>
      <c r="J52" s="16">
        <f t="shared" si="2"/>
        <v>33.575099999999999</v>
      </c>
      <c r="K52" s="16">
        <f t="shared" si="2"/>
        <v>38.947099999999999</v>
      </c>
      <c r="L52" s="16"/>
      <c r="M52" s="16"/>
      <c r="N52" s="16">
        <f t="shared" si="3"/>
        <v>1.0887465000000001</v>
      </c>
      <c r="O52" s="16">
        <f t="shared" si="3"/>
        <v>1.102363</v>
      </c>
      <c r="P52" s="16">
        <f t="shared" si="3"/>
        <v>1.8786865000000001</v>
      </c>
      <c r="Q52" s="16">
        <v>3.6360830000000002</v>
      </c>
      <c r="R52" s="16">
        <v>5.6881599999999999</v>
      </c>
      <c r="S52" s="16">
        <v>8.3387744999999995</v>
      </c>
      <c r="T52" s="16">
        <v>10.8451357</v>
      </c>
      <c r="U52" s="16">
        <f t="shared" si="4"/>
        <v>13.5905</v>
      </c>
      <c r="V52" s="16">
        <v>15.8346</v>
      </c>
      <c r="W52" s="16">
        <v>18.0581</v>
      </c>
      <c r="X52" s="16">
        <v>23.759</v>
      </c>
      <c r="Y52" s="16"/>
      <c r="Z52" s="16">
        <f t="shared" si="6"/>
        <v>0.87390000000000001</v>
      </c>
      <c r="AA52" s="16">
        <f t="shared" si="5"/>
        <v>1.2102999999999999</v>
      </c>
      <c r="AB52" s="16">
        <f t="shared" si="5"/>
        <v>1.9554</v>
      </c>
      <c r="AC52" s="16">
        <f t="shared" si="5"/>
        <v>3.6631999999999998</v>
      </c>
      <c r="AD52" s="16">
        <f t="shared" si="5"/>
        <v>5.0104999999999995</v>
      </c>
      <c r="AE52" s="16">
        <v>6.7312000000000003</v>
      </c>
      <c r="AF52" s="16">
        <v>8.4032999999999998</v>
      </c>
      <c r="AG52" s="16">
        <v>10.135</v>
      </c>
      <c r="AH52" s="16">
        <v>12.9213</v>
      </c>
      <c r="AI52" s="16">
        <v>13.0427</v>
      </c>
      <c r="AJ52" s="16">
        <v>14.604200000000001</v>
      </c>
      <c r="AK52" s="16">
        <v>17.258800000000001</v>
      </c>
    </row>
    <row r="53" spans="1:37">
      <c r="A53" t="s">
        <v>16</v>
      </c>
      <c r="B53" s="16"/>
      <c r="C53" s="16"/>
      <c r="D53" s="16"/>
      <c r="E53" s="16"/>
      <c r="F53" s="16">
        <v>6.43</v>
      </c>
      <c r="G53" s="16">
        <f t="shared" si="1"/>
        <v>8.02</v>
      </c>
      <c r="H53" s="16">
        <v>9.6372199999999992</v>
      </c>
      <c r="I53" s="16">
        <v>11.874874999999999</v>
      </c>
      <c r="J53" s="16">
        <f t="shared" si="2"/>
        <v>15.678248</v>
      </c>
      <c r="K53" s="16">
        <f t="shared" si="2"/>
        <v>18.276900999999999</v>
      </c>
      <c r="L53" s="16"/>
      <c r="M53" s="16"/>
      <c r="N53" s="16">
        <f t="shared" si="3"/>
        <v>0.53263700000000003</v>
      </c>
      <c r="O53" s="16">
        <f t="shared" si="3"/>
        <v>0.55913999999999997</v>
      </c>
      <c r="P53" s="16">
        <f t="shared" si="3"/>
        <v>1.3831180000000001</v>
      </c>
      <c r="Q53" s="16">
        <v>3.5611285000000001</v>
      </c>
      <c r="R53" s="16">
        <v>6.2220184999999999</v>
      </c>
      <c r="S53" s="16">
        <v>8.8726330000000004</v>
      </c>
      <c r="T53" s="16">
        <v>11.783032499999999</v>
      </c>
      <c r="U53" s="16">
        <f t="shared" si="4"/>
        <v>14.999000000000002</v>
      </c>
      <c r="V53" s="16">
        <v>19.008500000000002</v>
      </c>
      <c r="W53" s="16">
        <v>24.392700000000001</v>
      </c>
      <c r="X53" s="16">
        <v>34.913200000000003</v>
      </c>
      <c r="Y53" s="16"/>
      <c r="Z53" s="16">
        <f t="shared" si="6"/>
        <v>1.7242</v>
      </c>
      <c r="AA53" s="16">
        <f t="shared" si="5"/>
        <v>3.4223999999999997</v>
      </c>
      <c r="AB53" s="16">
        <f t="shared" si="5"/>
        <v>7.0549999999999997</v>
      </c>
      <c r="AC53" s="16">
        <f t="shared" si="5"/>
        <v>13.6904</v>
      </c>
      <c r="AD53" s="16">
        <f t="shared" si="5"/>
        <v>20.803000000000001</v>
      </c>
      <c r="AE53" s="16">
        <v>28.9222</v>
      </c>
      <c r="AF53" s="16">
        <v>36.613900000000001</v>
      </c>
      <c r="AG53" s="16">
        <v>47.113100000000003</v>
      </c>
      <c r="AH53" s="16">
        <v>61.725499999999997</v>
      </c>
      <c r="AI53" s="16">
        <v>77.394900000000007</v>
      </c>
      <c r="AJ53" s="16">
        <v>101.94029999999999</v>
      </c>
      <c r="AK53" s="16">
        <v>137.238</v>
      </c>
    </row>
    <row r="54" spans="1:37">
      <c r="A54" t="s">
        <v>17</v>
      </c>
      <c r="B54" s="16"/>
      <c r="C54" s="16"/>
      <c r="D54" s="16"/>
      <c r="E54" s="16"/>
      <c r="F54" s="16">
        <v>3.24837</v>
      </c>
      <c r="G54" s="16">
        <f t="shared" si="1"/>
        <v>3.7279</v>
      </c>
      <c r="H54" s="16">
        <v>4.5106000000000002</v>
      </c>
      <c r="I54" s="16">
        <v>5.758</v>
      </c>
      <c r="J54" s="16">
        <f t="shared" si="2"/>
        <v>8.0611999999999995</v>
      </c>
      <c r="K54" s="16">
        <f t="shared" si="2"/>
        <v>10.334</v>
      </c>
      <c r="L54" s="16"/>
      <c r="M54" s="16"/>
      <c r="N54" s="16">
        <f t="shared" si="3"/>
        <v>0.1916311</v>
      </c>
      <c r="O54" s="16">
        <f t="shared" si="3"/>
        <v>0.21184459999999999</v>
      </c>
      <c r="P54" s="16">
        <f t="shared" si="3"/>
        <v>0.45754410000000001</v>
      </c>
      <c r="Q54" s="16">
        <v>1.1030666</v>
      </c>
      <c r="R54" s="16">
        <v>2.1104291000000002</v>
      </c>
      <c r="S54" s="16">
        <v>3.7281860999999998</v>
      </c>
      <c r="T54" s="16">
        <v>6.0798931999999999</v>
      </c>
      <c r="U54" s="16">
        <f t="shared" si="4"/>
        <v>8.4914000000000005</v>
      </c>
      <c r="V54" s="16">
        <v>11.348800000000001</v>
      </c>
      <c r="W54" s="16">
        <v>13.7994</v>
      </c>
      <c r="X54" s="16">
        <v>19.759699999999999</v>
      </c>
      <c r="Y54" s="16"/>
      <c r="Z54" s="16">
        <f t="shared" si="6"/>
        <v>0.3664</v>
      </c>
      <c r="AA54" s="16">
        <f t="shared" si="5"/>
        <v>0.87369999999999992</v>
      </c>
      <c r="AB54" s="16">
        <f t="shared" si="5"/>
        <v>1.5427999999999999</v>
      </c>
      <c r="AC54" s="16">
        <f t="shared" si="5"/>
        <v>3.1387999999999998</v>
      </c>
      <c r="AD54" s="16">
        <f t="shared" si="5"/>
        <v>5.2600999999999996</v>
      </c>
      <c r="AE54" s="16">
        <v>8.2751000000000001</v>
      </c>
      <c r="AF54" s="16">
        <v>13.244999999999999</v>
      </c>
      <c r="AG54" s="16">
        <v>18.259399999999999</v>
      </c>
      <c r="AH54" s="16">
        <v>24.562799999999999</v>
      </c>
      <c r="AI54" s="16">
        <v>29.453399999999998</v>
      </c>
      <c r="AJ54" s="16">
        <v>35.780099999999997</v>
      </c>
      <c r="AK54" s="16">
        <v>47.428800000000003</v>
      </c>
    </row>
    <row r="55" spans="1:37">
      <c r="A55" t="s">
        <v>18</v>
      </c>
      <c r="B55" s="16"/>
      <c r="C55" s="16"/>
      <c r="D55" s="16"/>
      <c r="E55" s="16"/>
      <c r="F55" s="16">
        <v>3.86</v>
      </c>
      <c r="G55" s="16">
        <f t="shared" si="1"/>
        <v>4.7122999999999999</v>
      </c>
      <c r="H55" s="16">
        <v>5.2072000000000003</v>
      </c>
      <c r="I55" s="16">
        <v>6.3192000000000004</v>
      </c>
      <c r="J55" s="16">
        <f t="shared" si="2"/>
        <v>7.6720000000000006</v>
      </c>
      <c r="K55" s="16">
        <f t="shared" si="2"/>
        <v>9.8245000000000005</v>
      </c>
      <c r="L55" s="16"/>
      <c r="M55" s="16"/>
      <c r="N55" s="16">
        <f t="shared" si="3"/>
        <v>0.263909</v>
      </c>
      <c r="O55" s="16">
        <f t="shared" si="3"/>
        <v>0.29378900000000002</v>
      </c>
      <c r="P55" s="16">
        <f t="shared" si="3"/>
        <v>0.44205100000000003</v>
      </c>
      <c r="Q55" s="16">
        <v>0.91610899999999995</v>
      </c>
      <c r="R55" s="16">
        <v>1.7667580000000001</v>
      </c>
      <c r="S55" s="16">
        <v>2.8160965</v>
      </c>
      <c r="T55" s="16">
        <v>4.3828335000000003</v>
      </c>
      <c r="U55" s="16">
        <f t="shared" si="4"/>
        <v>5.7842000000000002</v>
      </c>
      <c r="V55" s="16">
        <v>7.4741</v>
      </c>
      <c r="W55" s="16">
        <v>9.1340000000000003</v>
      </c>
      <c r="X55" s="16">
        <v>14.832700000000001</v>
      </c>
      <c r="Y55" s="16"/>
      <c r="Z55" s="16">
        <f t="shared" si="6"/>
        <v>0.53129999999999999</v>
      </c>
      <c r="AA55" s="16">
        <f t="shared" si="5"/>
        <v>1.0215000000000001</v>
      </c>
      <c r="AB55" s="16">
        <f t="shared" si="5"/>
        <v>1.9417</v>
      </c>
      <c r="AC55" s="16">
        <f t="shared" si="5"/>
        <v>4.0516000000000005</v>
      </c>
      <c r="AD55" s="16">
        <f t="shared" si="5"/>
        <v>6.3833000000000002</v>
      </c>
      <c r="AE55" s="16">
        <v>10.076700000000001</v>
      </c>
      <c r="AF55" s="16">
        <v>14.265000000000001</v>
      </c>
      <c r="AG55" s="16">
        <v>18.8812</v>
      </c>
      <c r="AH55" s="16">
        <v>24.465299999999999</v>
      </c>
      <c r="AI55" s="16">
        <v>29.510200000000001</v>
      </c>
      <c r="AJ55" s="16">
        <v>35.559699999999999</v>
      </c>
      <c r="AK55" s="16">
        <v>49.024099999999997</v>
      </c>
    </row>
    <row r="56" spans="1:37">
      <c r="A56" t="s">
        <v>19</v>
      </c>
      <c r="B56" s="16"/>
      <c r="C56" s="16"/>
      <c r="D56" s="16"/>
      <c r="E56" s="16"/>
      <c r="F56" s="16">
        <v>42.913499999999999</v>
      </c>
      <c r="G56" s="16">
        <f t="shared" si="1"/>
        <v>61.434299999999993</v>
      </c>
      <c r="H56" s="16">
        <v>81.152199999999993</v>
      </c>
      <c r="I56" s="16">
        <v>107.66500000000001</v>
      </c>
      <c r="J56" s="16">
        <f t="shared" si="2"/>
        <v>145.24870000000001</v>
      </c>
      <c r="K56" s="16">
        <f t="shared" si="2"/>
        <v>189.72681510000001</v>
      </c>
      <c r="L56" s="16"/>
      <c r="M56" s="16"/>
      <c r="N56" s="16">
        <f t="shared" si="3"/>
        <v>4.7263237</v>
      </c>
      <c r="O56" s="16">
        <f t="shared" si="3"/>
        <v>5.1479292000000001</v>
      </c>
      <c r="P56" s="16">
        <f t="shared" si="3"/>
        <v>9.7581772000000004</v>
      </c>
      <c r="Q56" s="16">
        <v>26.905953199999999</v>
      </c>
      <c r="R56" s="16">
        <v>52.345359700000003</v>
      </c>
      <c r="S56" s="16">
        <v>85.583762129999997</v>
      </c>
      <c r="T56" s="16">
        <v>124.13249033</v>
      </c>
      <c r="U56" s="16">
        <f t="shared" si="4"/>
        <v>169.61870000000002</v>
      </c>
      <c r="V56" s="16">
        <v>227.56960000000001</v>
      </c>
      <c r="W56" s="16">
        <v>284.33550000000002</v>
      </c>
      <c r="X56" s="16">
        <v>457.54070000000002</v>
      </c>
      <c r="Y56" s="16">
        <v>466</v>
      </c>
      <c r="Z56" s="16">
        <f t="shared" si="6"/>
        <v>12.035</v>
      </c>
      <c r="AA56" s="16">
        <f t="shared" si="5"/>
        <v>25.383800000000001</v>
      </c>
      <c r="AB56" s="16">
        <f t="shared" si="5"/>
        <v>53.529499999999999</v>
      </c>
      <c r="AC56" s="16">
        <f t="shared" si="5"/>
        <v>109.34309999999999</v>
      </c>
      <c r="AD56" s="16">
        <f t="shared" si="5"/>
        <v>172.72800000000001</v>
      </c>
      <c r="AE56" s="16">
        <v>240.47450000000001</v>
      </c>
      <c r="AF56" s="16">
        <v>309.91899999999998</v>
      </c>
      <c r="AG56" s="16">
        <v>378.16590000000002</v>
      </c>
      <c r="AH56" s="16">
        <v>448.21069999999997</v>
      </c>
      <c r="AI56" s="16">
        <v>512.61239999999998</v>
      </c>
      <c r="AJ56" s="16">
        <v>600.80179999999996</v>
      </c>
      <c r="AK56" s="16">
        <v>763.2183</v>
      </c>
    </row>
    <row r="57" spans="1:37">
      <c r="A57" t="s">
        <v>20</v>
      </c>
      <c r="B57" s="16"/>
      <c r="C57" s="16"/>
      <c r="D57" s="16"/>
      <c r="E57" s="16"/>
      <c r="F57" s="16">
        <v>13.639340000000001</v>
      </c>
      <c r="G57" s="16">
        <f t="shared" si="1"/>
        <v>17.629300000000001</v>
      </c>
      <c r="H57" s="16">
        <v>23.828600000000002</v>
      </c>
      <c r="I57" s="16">
        <v>31.091899999999999</v>
      </c>
      <c r="J57" s="16">
        <f t="shared" si="2"/>
        <v>41.2316</v>
      </c>
      <c r="K57" s="16">
        <f t="shared" si="2"/>
        <v>48.279499999999999</v>
      </c>
      <c r="L57" s="16"/>
      <c r="M57" s="16"/>
      <c r="N57" s="16">
        <f t="shared" si="3"/>
        <v>2.0353965000000001</v>
      </c>
      <c r="O57" s="16">
        <f t="shared" si="3"/>
        <v>2.1715650000000002</v>
      </c>
      <c r="P57" s="16">
        <f t="shared" si="3"/>
        <v>4.4751776999999997</v>
      </c>
      <c r="Q57" s="16">
        <v>9.5836757000000006</v>
      </c>
      <c r="R57" s="16">
        <v>17.728380999999999</v>
      </c>
      <c r="S57" s="16">
        <v>26.990063800000001</v>
      </c>
      <c r="T57" s="16">
        <v>38.199446299999998</v>
      </c>
      <c r="U57" s="16">
        <f t="shared" si="4"/>
        <v>48.573500000000003</v>
      </c>
      <c r="V57" s="16">
        <v>61.935400000000001</v>
      </c>
      <c r="W57" s="16">
        <v>74.260199999999998</v>
      </c>
      <c r="X57" s="16">
        <v>105.3314</v>
      </c>
      <c r="Y57" s="16"/>
      <c r="Z57" s="16">
        <f t="shared" si="6"/>
        <v>5.1143999999999998</v>
      </c>
      <c r="AA57" s="16">
        <f t="shared" si="5"/>
        <v>9.9699999999999989</v>
      </c>
      <c r="AB57" s="16">
        <f t="shared" si="5"/>
        <v>20.891599999999997</v>
      </c>
      <c r="AC57" s="16">
        <f t="shared" si="5"/>
        <v>40.4041</v>
      </c>
      <c r="AD57" s="16">
        <f t="shared" si="5"/>
        <v>64.346400000000003</v>
      </c>
      <c r="AE57" s="16">
        <v>89.946399999999997</v>
      </c>
      <c r="AF57" s="16">
        <v>115.70529999999999</v>
      </c>
      <c r="AG57" s="16">
        <v>139.37029999999999</v>
      </c>
      <c r="AH57" s="16">
        <v>171.67449999999999</v>
      </c>
      <c r="AI57" s="16">
        <v>207.8536</v>
      </c>
      <c r="AJ57" s="16">
        <v>267.98790000000002</v>
      </c>
      <c r="AK57" s="16">
        <v>343.22719999999998</v>
      </c>
    </row>
    <row r="58" spans="1:37">
      <c r="A58" t="s">
        <v>21</v>
      </c>
      <c r="B58" s="16"/>
      <c r="C58" s="16"/>
      <c r="D58" s="16"/>
      <c r="E58" s="16"/>
      <c r="F58" s="16">
        <v>2.44</v>
      </c>
      <c r="G58" s="16">
        <f t="shared" si="1"/>
        <v>2.5099999999999998</v>
      </c>
      <c r="H58" s="16">
        <v>2.88</v>
      </c>
      <c r="I58" s="16">
        <v>3.5501355000000001</v>
      </c>
      <c r="J58" s="16">
        <f t="shared" ref="J58:K71" si="7">I58+J22</f>
        <v>4.3022160999999999</v>
      </c>
      <c r="K58" s="16">
        <f t="shared" si="7"/>
        <v>5.0883675999999998</v>
      </c>
      <c r="L58" s="16"/>
      <c r="M58" s="16"/>
      <c r="N58" s="16">
        <f t="shared" ref="N58:P71" si="8">M58+N22</f>
        <v>9.1981999999999994E-2</v>
      </c>
      <c r="O58" s="16">
        <f t="shared" si="8"/>
        <v>9.1981999999999994E-2</v>
      </c>
      <c r="P58" s="16">
        <f t="shared" si="8"/>
        <v>9.5707E-2</v>
      </c>
      <c r="Q58" s="16">
        <v>0.17660049999999999</v>
      </c>
      <c r="R58" s="16">
        <v>0.35447650000000003</v>
      </c>
      <c r="S58" s="16">
        <v>0.58058650000000001</v>
      </c>
      <c r="T58" s="16">
        <v>0.83966399999999997</v>
      </c>
      <c r="U58" s="16">
        <f t="shared" si="4"/>
        <v>1.1680999999999999</v>
      </c>
      <c r="V58" s="16">
        <v>1.8212999999999999</v>
      </c>
      <c r="W58" s="16">
        <v>2.0703</v>
      </c>
      <c r="X58" s="16">
        <v>3.0049999999999999</v>
      </c>
      <c r="Y58" s="16"/>
      <c r="Z58" s="16">
        <f t="shared" si="6"/>
        <v>0.38879999999999998</v>
      </c>
      <c r="AA58" s="16">
        <f t="shared" ref="AA58:AD71" si="9">Z58+AA22</f>
        <v>0.51879999999999993</v>
      </c>
      <c r="AB58" s="16">
        <f t="shared" si="9"/>
        <v>0.73369999999999991</v>
      </c>
      <c r="AC58" s="16">
        <f t="shared" si="9"/>
        <v>0.93589999999999995</v>
      </c>
      <c r="AD58" s="16">
        <f t="shared" si="9"/>
        <v>1.3685999999999998</v>
      </c>
      <c r="AE58" s="16">
        <v>1.5429999999999999</v>
      </c>
      <c r="AF58" s="16">
        <v>2.0678000000000001</v>
      </c>
      <c r="AG58" s="16">
        <v>2.5983000000000001</v>
      </c>
      <c r="AH58" s="16">
        <v>3.3159000000000001</v>
      </c>
      <c r="AI58" s="16">
        <v>3.8932000000000002</v>
      </c>
      <c r="AJ58" s="16">
        <v>4.9036999999999997</v>
      </c>
      <c r="AK58" s="16">
        <v>7.3506</v>
      </c>
    </row>
    <row r="59" spans="1:37">
      <c r="A59" t="s">
        <v>22</v>
      </c>
      <c r="B59" s="16"/>
      <c r="C59" s="16"/>
      <c r="D59" s="16"/>
      <c r="E59" s="16"/>
      <c r="F59" s="16">
        <v>5.8510629999999999</v>
      </c>
      <c r="G59" s="16">
        <f t="shared" si="1"/>
        <v>6.4286000000000003</v>
      </c>
      <c r="H59" s="16">
        <v>7.7331000000000003</v>
      </c>
      <c r="I59" s="16">
        <v>8.2012999999999998</v>
      </c>
      <c r="J59" s="16">
        <f t="shared" si="7"/>
        <v>8.7698999999999998</v>
      </c>
      <c r="K59" s="16">
        <f t="shared" si="7"/>
        <v>9.8826625000000003</v>
      </c>
      <c r="L59" s="16"/>
      <c r="M59" s="16"/>
      <c r="N59" s="16">
        <f t="shared" si="8"/>
        <v>0.18729999999999999</v>
      </c>
      <c r="O59" s="16">
        <f t="shared" si="8"/>
        <v>0.22020000000000001</v>
      </c>
      <c r="P59" s="16">
        <f t="shared" si="8"/>
        <v>0.34060000000000001</v>
      </c>
      <c r="Q59" s="16">
        <v>0.63749999999999996</v>
      </c>
      <c r="R59" s="16">
        <v>1.1775100000000001</v>
      </c>
      <c r="S59" s="16">
        <v>1.61731</v>
      </c>
      <c r="T59" s="16">
        <v>2.3487100000000001</v>
      </c>
      <c r="U59" s="16">
        <f t="shared" si="4"/>
        <v>3.0411999999999999</v>
      </c>
      <c r="V59" s="16">
        <v>3.6257000000000001</v>
      </c>
      <c r="W59" s="16">
        <v>4.3898000000000001</v>
      </c>
      <c r="X59" s="16">
        <v>7.2949000000000002</v>
      </c>
      <c r="Y59" s="16"/>
      <c r="Z59" s="16">
        <f t="shared" si="6"/>
        <v>0.39500000000000002</v>
      </c>
      <c r="AA59" s="16">
        <f t="shared" si="9"/>
        <v>0.64419999999999999</v>
      </c>
      <c r="AB59" s="16">
        <f t="shared" si="9"/>
        <v>1.1071</v>
      </c>
      <c r="AC59" s="16">
        <f t="shared" si="9"/>
        <v>1.8923999999999999</v>
      </c>
      <c r="AD59" s="16">
        <f t="shared" si="9"/>
        <v>2.7351999999999999</v>
      </c>
      <c r="AE59" s="16">
        <v>4.0384000000000002</v>
      </c>
      <c r="AF59" s="16">
        <v>5.4836</v>
      </c>
      <c r="AG59" s="16">
        <v>7.0712999999999999</v>
      </c>
      <c r="AH59" s="16">
        <v>9.4154</v>
      </c>
      <c r="AI59" s="16">
        <v>11.2964</v>
      </c>
      <c r="AJ59" s="16">
        <v>13.555899999999999</v>
      </c>
      <c r="AK59" s="16">
        <v>19.044799999999999</v>
      </c>
    </row>
    <row r="60" spans="1:37">
      <c r="A60" t="s">
        <v>26</v>
      </c>
      <c r="B60" s="16"/>
      <c r="C60" s="16"/>
      <c r="D60" s="16"/>
      <c r="E60" s="16"/>
      <c r="F60" s="16">
        <v>0.218251</v>
      </c>
      <c r="G60" s="16">
        <f t="shared" si="1"/>
        <v>0.24804099999999998</v>
      </c>
      <c r="H60" s="16">
        <v>0.25828499999999999</v>
      </c>
      <c r="I60" s="16">
        <v>0.32461800000000002</v>
      </c>
      <c r="J60" s="16">
        <f t="shared" si="7"/>
        <v>0.36521800000000004</v>
      </c>
      <c r="K60" s="16">
        <f t="shared" si="7"/>
        <v>0.39122900000000005</v>
      </c>
      <c r="L60" s="16"/>
      <c r="M60" s="16"/>
      <c r="N60" s="16">
        <f t="shared" si="8"/>
        <v>1.918E-3</v>
      </c>
      <c r="O60" s="16">
        <f t="shared" si="8"/>
        <v>1.918E-3</v>
      </c>
      <c r="P60" s="16">
        <f t="shared" si="8"/>
        <v>7.5440000000000004E-3</v>
      </c>
      <c r="Q60" s="16">
        <v>2.7268000000000001E-2</v>
      </c>
      <c r="R60" s="16">
        <v>3.5389999999999998E-2</v>
      </c>
      <c r="S60" s="16">
        <v>6.3733999999999999E-2</v>
      </c>
      <c r="T60" s="16">
        <v>9.4223000000000001E-2</v>
      </c>
      <c r="U60" s="16">
        <f t="shared" si="4"/>
        <v>0.12669999999999998</v>
      </c>
      <c r="V60" s="16">
        <v>0.13289999999999999</v>
      </c>
      <c r="W60" s="16">
        <v>0.16200000000000001</v>
      </c>
      <c r="X60" s="16">
        <v>0.17599999999999999</v>
      </c>
      <c r="Y60" s="16"/>
      <c r="Z60" s="16">
        <f t="shared" si="6"/>
        <v>1.5800000000000002E-2</v>
      </c>
      <c r="AA60" s="16">
        <f t="shared" si="9"/>
        <v>1.8200000000000001E-2</v>
      </c>
      <c r="AB60" s="16">
        <f t="shared" si="9"/>
        <v>2.7799999999999998E-2</v>
      </c>
      <c r="AC60" s="16">
        <f t="shared" si="9"/>
        <v>4.5600000000000002E-2</v>
      </c>
      <c r="AD60" s="16">
        <f t="shared" si="9"/>
        <v>7.1500000000000008E-2</v>
      </c>
      <c r="AE60" s="16">
        <v>8.9700000000000002E-2</v>
      </c>
      <c r="AF60" s="16">
        <v>0.1231</v>
      </c>
      <c r="AG60" s="16">
        <v>0.1517</v>
      </c>
      <c r="AH60" s="16">
        <v>0.1731</v>
      </c>
      <c r="AI60" s="16">
        <v>0.2097</v>
      </c>
      <c r="AJ60" s="16">
        <v>0.25850000000000001</v>
      </c>
      <c r="AK60" s="16">
        <v>0.34589999999999999</v>
      </c>
    </row>
    <row r="61" spans="1:37">
      <c r="A61" t="s">
        <v>27</v>
      </c>
      <c r="B61" s="16"/>
      <c r="C61" s="16"/>
      <c r="D61" s="16"/>
      <c r="E61" s="16"/>
      <c r="F61" s="16">
        <v>0.45350000000000001</v>
      </c>
      <c r="G61" s="16">
        <f t="shared" si="1"/>
        <v>0.45210499999999992</v>
      </c>
      <c r="H61" s="16">
        <v>0.84479649999999995</v>
      </c>
      <c r="I61" s="16">
        <v>0.91244950000000002</v>
      </c>
      <c r="J61" s="16">
        <f t="shared" si="7"/>
        <v>1.0517605000000001</v>
      </c>
      <c r="K61" s="16">
        <f t="shared" si="7"/>
        <v>1.2946805000000001</v>
      </c>
      <c r="L61" s="16"/>
      <c r="M61" s="16"/>
      <c r="N61" s="16">
        <f t="shared" si="8"/>
        <v>5.2872000000000002E-2</v>
      </c>
      <c r="O61" s="16">
        <f t="shared" si="8"/>
        <v>5.5671999999999999E-2</v>
      </c>
      <c r="P61" s="16">
        <f t="shared" si="8"/>
        <v>7.2961999999999999E-2</v>
      </c>
      <c r="Q61" s="16">
        <v>0.12653700000000001</v>
      </c>
      <c r="R61" s="16">
        <v>0.219969</v>
      </c>
      <c r="S61" s="16">
        <v>0.49966100000000002</v>
      </c>
      <c r="T61" s="16">
        <v>0.76453099999999996</v>
      </c>
      <c r="U61" s="16">
        <f t="shared" si="4"/>
        <v>0.94600000000000006</v>
      </c>
      <c r="V61" s="16">
        <v>1.0618000000000001</v>
      </c>
      <c r="W61" s="16">
        <v>1.1988000000000001</v>
      </c>
      <c r="X61" s="16">
        <v>1.9801</v>
      </c>
      <c r="Y61" s="16"/>
      <c r="Z61" s="16">
        <f t="shared" si="6"/>
        <v>4.1099999999999998E-2</v>
      </c>
      <c r="AA61" s="16">
        <f t="shared" si="9"/>
        <v>0.1028</v>
      </c>
      <c r="AB61" s="16">
        <f t="shared" si="9"/>
        <v>0.21240000000000001</v>
      </c>
      <c r="AC61" s="16">
        <f t="shared" si="9"/>
        <v>0.52829999999999999</v>
      </c>
      <c r="AD61" s="16">
        <f t="shared" si="9"/>
        <v>0.7752</v>
      </c>
      <c r="AE61" s="16">
        <v>0.96619999999999995</v>
      </c>
      <c r="AF61" s="16">
        <v>1.2242999999999999</v>
      </c>
      <c r="AG61" s="16">
        <v>1.7283999999999999</v>
      </c>
      <c r="AH61" s="16">
        <v>2.0112000000000001</v>
      </c>
      <c r="AI61" s="16">
        <v>2.2019000000000002</v>
      </c>
      <c r="AJ61" s="16">
        <v>3.1059999999999999</v>
      </c>
      <c r="AK61" s="16">
        <v>3.8123</v>
      </c>
    </row>
    <row r="62" spans="1:37">
      <c r="A62" t="s">
        <v>31</v>
      </c>
      <c r="B62" s="16"/>
      <c r="C62" s="16"/>
      <c r="D62" s="16"/>
      <c r="E62" s="16"/>
      <c r="F62" s="16">
        <v>2.2077770000000001</v>
      </c>
      <c r="G62" s="16">
        <f t="shared" si="1"/>
        <v>2.5846359999999997</v>
      </c>
      <c r="H62" s="16">
        <v>3.2772329999999998</v>
      </c>
      <c r="I62" s="16">
        <v>4.240469</v>
      </c>
      <c r="J62" s="16">
        <f t="shared" si="7"/>
        <v>5.3280725000000002</v>
      </c>
      <c r="K62" s="16">
        <f t="shared" si="7"/>
        <v>6.6805494999999997</v>
      </c>
      <c r="L62" s="16"/>
      <c r="M62" s="16"/>
      <c r="N62" s="16">
        <f t="shared" si="8"/>
        <v>6.9535E-2</v>
      </c>
      <c r="O62" s="16">
        <f t="shared" si="8"/>
        <v>8.7301000000000004E-2</v>
      </c>
      <c r="P62" s="16">
        <f t="shared" si="8"/>
        <v>0.110818</v>
      </c>
      <c r="Q62" s="16">
        <v>0.35928399999999999</v>
      </c>
      <c r="R62" s="16">
        <v>1.277771</v>
      </c>
      <c r="S62" s="16">
        <v>2.9671330999999999</v>
      </c>
      <c r="T62" s="16">
        <v>4.2713348</v>
      </c>
      <c r="U62" s="16">
        <f t="shared" si="4"/>
        <v>6.3380999999999998</v>
      </c>
      <c r="V62" s="16">
        <v>7.8289</v>
      </c>
      <c r="W62" s="16">
        <v>9.2297999999999991</v>
      </c>
      <c r="X62" s="16">
        <v>13.501799999999999</v>
      </c>
      <c r="Y62" s="16"/>
      <c r="Z62" s="16">
        <f t="shared" si="6"/>
        <v>4.4699999999999997E-2</v>
      </c>
      <c r="AA62" s="16">
        <f t="shared" si="9"/>
        <v>8.9099999999999999E-2</v>
      </c>
      <c r="AB62" s="16">
        <f t="shared" si="9"/>
        <v>0.37059999999999998</v>
      </c>
      <c r="AC62" s="16">
        <f t="shared" si="9"/>
        <v>1.0754999999999999</v>
      </c>
      <c r="AD62" s="16">
        <f t="shared" si="9"/>
        <v>2.1592000000000002</v>
      </c>
      <c r="AE62" s="16">
        <v>4.2138999999999998</v>
      </c>
      <c r="AF62" s="16">
        <v>5.9321999999999999</v>
      </c>
      <c r="AG62" s="16">
        <v>8.3187999999999995</v>
      </c>
      <c r="AH62" s="16">
        <v>10.509499999999999</v>
      </c>
      <c r="AI62" s="16">
        <v>12.647</v>
      </c>
      <c r="AJ62" s="16">
        <v>16.034800000000001</v>
      </c>
      <c r="AK62" s="16">
        <v>21.7042</v>
      </c>
    </row>
    <row r="63" spans="1:37">
      <c r="A63" t="s">
        <v>32</v>
      </c>
      <c r="B63" s="16"/>
      <c r="C63" s="16"/>
      <c r="D63" s="16"/>
      <c r="E63" s="16"/>
      <c r="F63" s="16">
        <v>2.1179329999999998</v>
      </c>
      <c r="G63" s="16">
        <f t="shared" si="1"/>
        <v>2.2323854999999999</v>
      </c>
      <c r="H63" s="16">
        <v>2.2936955000000001</v>
      </c>
      <c r="I63" s="16">
        <v>2.4115959999999999</v>
      </c>
      <c r="J63" s="16">
        <f t="shared" si="7"/>
        <v>2.5736439999999998</v>
      </c>
      <c r="K63" s="16">
        <f t="shared" si="7"/>
        <v>3.2518829999999999</v>
      </c>
      <c r="L63" s="16"/>
      <c r="M63" s="16"/>
      <c r="N63" s="16">
        <f t="shared" si="8"/>
        <v>5.3600000000000002E-3</v>
      </c>
      <c r="O63" s="16">
        <f t="shared" si="8"/>
        <v>5.3600000000000002E-3</v>
      </c>
      <c r="P63" s="16">
        <f t="shared" si="8"/>
        <v>1.456E-2</v>
      </c>
      <c r="Q63" s="16">
        <v>2.7015999999999998E-2</v>
      </c>
      <c r="R63" s="16">
        <v>5.6334000000000002E-2</v>
      </c>
      <c r="S63" s="16">
        <v>9.2883999999999994E-2</v>
      </c>
      <c r="T63" s="16">
        <v>0.145542</v>
      </c>
      <c r="U63" s="16">
        <f t="shared" si="4"/>
        <v>0.22489999999999999</v>
      </c>
      <c r="V63" s="16">
        <v>0.27929999999999999</v>
      </c>
      <c r="W63" s="16">
        <v>0.4284</v>
      </c>
      <c r="X63" s="16">
        <v>0.72750000000000004</v>
      </c>
      <c r="Y63" s="16"/>
      <c r="Z63" s="16">
        <f t="shared" si="6"/>
        <v>2.35E-2</v>
      </c>
      <c r="AA63" s="16">
        <f t="shared" si="9"/>
        <v>2.6499999999999999E-2</v>
      </c>
      <c r="AB63" s="16">
        <f t="shared" si="9"/>
        <v>5.33E-2</v>
      </c>
      <c r="AC63" s="16">
        <f t="shared" si="9"/>
        <v>0.1363</v>
      </c>
      <c r="AD63" s="16">
        <f t="shared" si="9"/>
        <v>0.1744</v>
      </c>
      <c r="AE63" s="16">
        <v>0.22819999999999999</v>
      </c>
      <c r="AF63" s="16">
        <v>0.32740000000000002</v>
      </c>
      <c r="AG63" s="16">
        <v>0.44500000000000001</v>
      </c>
      <c r="AH63" s="16">
        <v>0.53490000000000004</v>
      </c>
      <c r="AI63" s="16">
        <v>0.59150000000000003</v>
      </c>
      <c r="AJ63" s="16">
        <v>0.75260000000000005</v>
      </c>
      <c r="AK63" s="16">
        <v>1.0777000000000001</v>
      </c>
    </row>
    <row r="64" spans="1:37">
      <c r="A64" t="s">
        <v>33</v>
      </c>
      <c r="B64" s="16"/>
      <c r="C64" s="16"/>
      <c r="D64" s="16"/>
      <c r="E64" s="16"/>
      <c r="F64" s="16">
        <v>0.22143399999999999</v>
      </c>
      <c r="G64" s="16">
        <f t="shared" si="1"/>
        <v>0.39253349999999998</v>
      </c>
      <c r="H64" s="16">
        <v>0.4205335</v>
      </c>
      <c r="I64" s="16">
        <v>0.42203350000000001</v>
      </c>
      <c r="J64" s="16">
        <f t="shared" si="7"/>
        <v>0.44103350000000002</v>
      </c>
      <c r="K64" s="16">
        <f t="shared" si="7"/>
        <v>0.50779350000000001</v>
      </c>
      <c r="L64" s="16"/>
      <c r="M64" s="16"/>
      <c r="N64" s="16">
        <f t="shared" si="8"/>
        <v>0</v>
      </c>
      <c r="O64" s="16">
        <f t="shared" si="8"/>
        <v>1.1999999999999999E-3</v>
      </c>
      <c r="P64" s="16">
        <f t="shared" si="8"/>
        <v>0.32015499999999997</v>
      </c>
      <c r="Q64" s="16">
        <v>0.33397900000000003</v>
      </c>
      <c r="R64" s="16">
        <v>0.34228900000000001</v>
      </c>
      <c r="S64" s="16">
        <v>0.35935499999999998</v>
      </c>
      <c r="T64" s="16">
        <v>0.36823699999999998</v>
      </c>
      <c r="U64" s="16">
        <f t="shared" si="4"/>
        <v>0.37469999999999998</v>
      </c>
      <c r="V64" s="16">
        <v>0.39639999999999997</v>
      </c>
      <c r="W64" s="16">
        <v>0.40379999999999999</v>
      </c>
      <c r="X64" s="16">
        <v>0.51359999999999995</v>
      </c>
      <c r="Y64" s="16"/>
      <c r="Z64" s="16">
        <f t="shared" si="6"/>
        <v>1.1999999999999999E-3</v>
      </c>
      <c r="AA64" s="16">
        <f t="shared" si="9"/>
        <v>1.6999999999999999E-3</v>
      </c>
      <c r="AB64" s="16">
        <f t="shared" si="9"/>
        <v>1.2200000000000001E-2</v>
      </c>
      <c r="AC64" s="16">
        <f t="shared" si="9"/>
        <v>2.5700000000000001E-2</v>
      </c>
      <c r="AD64" s="16">
        <f t="shared" si="9"/>
        <v>3.9199999999999999E-2</v>
      </c>
      <c r="AE64" s="16">
        <v>7.6999999999999999E-2</v>
      </c>
      <c r="AF64" s="16">
        <v>0.1195</v>
      </c>
      <c r="AG64" s="16">
        <v>0.18129999999999999</v>
      </c>
      <c r="AH64" s="16">
        <v>0.21299999999999999</v>
      </c>
      <c r="AI64" s="16">
        <v>0.25650000000000001</v>
      </c>
      <c r="AJ64" s="16">
        <v>0.2878</v>
      </c>
      <c r="AK64" s="16">
        <v>0.35170000000000001</v>
      </c>
    </row>
    <row r="65" spans="1:37">
      <c r="A65" t="s">
        <v>34</v>
      </c>
      <c r="B65" s="16"/>
      <c r="C65" s="16"/>
      <c r="D65" s="16"/>
      <c r="E65" s="16"/>
      <c r="F65" s="16">
        <v>0.37123899999999999</v>
      </c>
      <c r="G65" s="16">
        <f t="shared" si="1"/>
        <v>0.44529999999999997</v>
      </c>
      <c r="H65" s="16">
        <v>0.47549999999999998</v>
      </c>
      <c r="I65" s="16">
        <v>0.51022999999999996</v>
      </c>
      <c r="J65" s="16">
        <f t="shared" si="7"/>
        <v>0.56897999999999993</v>
      </c>
      <c r="K65" s="16">
        <f t="shared" si="7"/>
        <v>0.80741999999999992</v>
      </c>
      <c r="L65" s="16"/>
      <c r="M65" s="16"/>
      <c r="N65" s="16">
        <f t="shared" si="8"/>
        <v>2E-3</v>
      </c>
      <c r="O65" s="16">
        <f t="shared" si="8"/>
        <v>2E-3</v>
      </c>
      <c r="P65" s="16">
        <f t="shared" si="8"/>
        <v>1.14E-2</v>
      </c>
      <c r="Q65" s="16">
        <v>1.26E-2</v>
      </c>
      <c r="R65" s="16">
        <v>1.26E-2</v>
      </c>
      <c r="S65" s="16">
        <v>3.5633999999999999E-2</v>
      </c>
      <c r="T65" s="16">
        <v>8.0264000000000002E-2</v>
      </c>
      <c r="U65" s="16">
        <f t="shared" si="4"/>
        <v>0.12</v>
      </c>
      <c r="V65" s="16">
        <v>0.1389</v>
      </c>
      <c r="W65" s="16">
        <v>0.185</v>
      </c>
      <c r="X65" s="16">
        <v>0.33250000000000002</v>
      </c>
      <c r="Y65" s="16"/>
      <c r="Z65" s="16">
        <f t="shared" si="6"/>
        <v>1.5E-3</v>
      </c>
      <c r="AA65" s="16">
        <f t="shared" si="9"/>
        <v>2.8999999999999998E-3</v>
      </c>
      <c r="AB65" s="16">
        <f t="shared" si="9"/>
        <v>6.8999999999999999E-3</v>
      </c>
      <c r="AC65" s="16">
        <f t="shared" si="9"/>
        <v>8.6E-3</v>
      </c>
      <c r="AD65" s="16">
        <f t="shared" si="9"/>
        <v>3.04E-2</v>
      </c>
      <c r="AE65" s="16">
        <v>4.2200000000000001E-2</v>
      </c>
      <c r="AF65" s="16">
        <v>6.7199999999999996E-2</v>
      </c>
      <c r="AG65" s="16">
        <v>7.4899999999999994E-2</v>
      </c>
      <c r="AH65" s="16">
        <v>0.1014</v>
      </c>
      <c r="AI65" s="16">
        <v>0.1439</v>
      </c>
      <c r="AJ65" s="16">
        <v>0.63190000000000002</v>
      </c>
      <c r="AK65" s="16">
        <v>0.4052</v>
      </c>
    </row>
    <row r="66" spans="1:37">
      <c r="A66" t="s">
        <v>116</v>
      </c>
      <c r="B66" s="16"/>
      <c r="C66" s="16"/>
      <c r="D66" s="16"/>
      <c r="E66" s="16"/>
      <c r="F66" s="16">
        <v>8.4699999999999998E-2</v>
      </c>
      <c r="G66" s="16">
        <f t="shared" si="1"/>
        <v>0.10400000000000001</v>
      </c>
      <c r="H66" s="16">
        <v>0.11650000000000001</v>
      </c>
      <c r="I66" s="16">
        <v>0.14099999999999999</v>
      </c>
      <c r="J66" s="16">
        <f t="shared" si="7"/>
        <v>0.15599999999999997</v>
      </c>
      <c r="K66" s="16">
        <f t="shared" si="7"/>
        <v>0.18415599999999999</v>
      </c>
      <c r="L66" s="16"/>
      <c r="M66" s="16"/>
      <c r="N66" s="16">
        <f t="shared" si="8"/>
        <v>1.2999999999999999E-3</v>
      </c>
      <c r="O66" s="16">
        <f t="shared" si="8"/>
        <v>1.2999999999999999E-3</v>
      </c>
      <c r="P66" s="16">
        <f t="shared" si="8"/>
        <v>1.2999999999999999E-3</v>
      </c>
      <c r="Q66" s="16">
        <v>1.2999999999999999E-3</v>
      </c>
      <c r="R66" s="16">
        <v>2.3900000000000001E-2</v>
      </c>
      <c r="S66" s="16">
        <v>2.3900000000000001E-2</v>
      </c>
      <c r="T66" s="16">
        <v>3.288E-2</v>
      </c>
      <c r="U66" s="16">
        <f t="shared" si="4"/>
        <v>0.2636</v>
      </c>
      <c r="V66" s="16">
        <v>0.28270000000000001</v>
      </c>
      <c r="W66" s="16">
        <v>0.41749999999999998</v>
      </c>
      <c r="X66" s="16">
        <v>0.59740000000000004</v>
      </c>
      <c r="Y66" s="16"/>
      <c r="Z66" s="16">
        <f t="shared" si="6"/>
        <v>0.1515</v>
      </c>
      <c r="AA66" s="16">
        <f t="shared" si="9"/>
        <v>0.1515</v>
      </c>
      <c r="AB66" s="16">
        <f t="shared" si="9"/>
        <v>0.1515</v>
      </c>
      <c r="AC66" s="16">
        <f t="shared" si="9"/>
        <v>0.15259999999999999</v>
      </c>
      <c r="AD66" s="16">
        <f t="shared" si="9"/>
        <v>0.15559999999999999</v>
      </c>
      <c r="AE66" s="16">
        <v>0.15559999999999999</v>
      </c>
      <c r="AF66" s="16">
        <v>0.1696</v>
      </c>
      <c r="AG66" s="16">
        <v>0.17349999999999999</v>
      </c>
      <c r="AH66" s="16">
        <v>0.17349999999999999</v>
      </c>
      <c r="AI66" s="16">
        <v>0.17749999999999999</v>
      </c>
      <c r="AJ66" s="16">
        <v>0.192</v>
      </c>
      <c r="AK66" s="16">
        <v>0.40050000000000002</v>
      </c>
    </row>
    <row r="67" spans="1:37">
      <c r="A67" t="s">
        <v>23</v>
      </c>
      <c r="B67" s="16"/>
      <c r="C67" s="16"/>
      <c r="D67" s="16"/>
      <c r="E67" s="16"/>
      <c r="F67" s="16">
        <v>13.5746</v>
      </c>
      <c r="G67" s="16">
        <f t="shared" si="1"/>
        <v>14.9305</v>
      </c>
      <c r="H67" s="16">
        <v>15.808400000000001</v>
      </c>
      <c r="I67" s="16">
        <v>16.921900000000001</v>
      </c>
      <c r="J67" s="16">
        <f t="shared" si="7"/>
        <v>18.321400000000001</v>
      </c>
      <c r="K67" s="16">
        <f t="shared" si="7"/>
        <v>20.915400000000002</v>
      </c>
      <c r="L67" s="16"/>
      <c r="M67" s="16"/>
      <c r="N67" s="16">
        <f t="shared" si="8"/>
        <v>0.40441850000000001</v>
      </c>
      <c r="O67" s="16">
        <f t="shared" si="8"/>
        <v>0.43906650000000003</v>
      </c>
      <c r="P67" s="16">
        <f t="shared" si="8"/>
        <v>0.68953050000000005</v>
      </c>
      <c r="Q67" s="16">
        <v>1.1345019999999999</v>
      </c>
      <c r="R67" s="16">
        <v>1.6731640000000001</v>
      </c>
      <c r="S67" s="16">
        <v>2.727325</v>
      </c>
      <c r="T67" s="16">
        <v>3.8691244999999999</v>
      </c>
      <c r="U67" s="16">
        <f t="shared" si="4"/>
        <v>5.0914000000000001</v>
      </c>
      <c r="V67" s="16">
        <v>6.4401999999999999</v>
      </c>
      <c r="W67" s="16">
        <v>8.4176000000000002</v>
      </c>
      <c r="X67" s="16">
        <v>12.441800000000001</v>
      </c>
      <c r="Y67" s="16"/>
      <c r="Z67" s="16">
        <f t="shared" si="6"/>
        <v>1.3471</v>
      </c>
      <c r="AA67" s="16">
        <f t="shared" si="9"/>
        <v>2.0061</v>
      </c>
      <c r="AB67" s="16">
        <f t="shared" si="9"/>
        <v>2.7738</v>
      </c>
      <c r="AC67" s="16">
        <f t="shared" si="9"/>
        <v>4.1124999999999998</v>
      </c>
      <c r="AD67" s="16">
        <f t="shared" si="9"/>
        <v>5.5084999999999997</v>
      </c>
      <c r="AE67" s="16">
        <v>7.3231000000000002</v>
      </c>
      <c r="AF67" s="16">
        <v>9.7363999999999997</v>
      </c>
      <c r="AG67" s="16">
        <v>12.4123</v>
      </c>
      <c r="AH67" s="16">
        <v>15.5939</v>
      </c>
      <c r="AI67" s="16">
        <v>18.3569</v>
      </c>
      <c r="AJ67" s="16">
        <v>22.925599999999999</v>
      </c>
      <c r="AK67" s="16">
        <v>31.155799999999999</v>
      </c>
    </row>
    <row r="68" spans="1:37">
      <c r="A68" t="s">
        <v>24</v>
      </c>
      <c r="B68" s="16"/>
      <c r="C68" s="16"/>
      <c r="D68" s="16"/>
      <c r="E68" s="16"/>
      <c r="F68" s="16">
        <v>3.048305</v>
      </c>
      <c r="G68" s="16">
        <f t="shared" si="1"/>
        <v>1.9831000000000001</v>
      </c>
      <c r="H68" s="16">
        <v>2.1589</v>
      </c>
      <c r="I68" s="16">
        <v>2.6216884999999999</v>
      </c>
      <c r="J68" s="16">
        <f t="shared" si="7"/>
        <v>2.8415884999999999</v>
      </c>
      <c r="K68" s="16">
        <f t="shared" si="7"/>
        <v>3.1503364999999999</v>
      </c>
      <c r="L68" s="16"/>
      <c r="M68" s="16"/>
      <c r="N68" s="16">
        <f t="shared" si="8"/>
        <v>5.0226E-2</v>
      </c>
      <c r="O68" s="16">
        <f t="shared" si="8"/>
        <v>6.1126E-2</v>
      </c>
      <c r="P68" s="16">
        <f t="shared" si="8"/>
        <v>8.7906499999999999E-2</v>
      </c>
      <c r="Q68" s="16">
        <v>0.17537449999999999</v>
      </c>
      <c r="R68" s="16">
        <v>0.24020949999999999</v>
      </c>
      <c r="S68" s="16">
        <v>0.30068450000000002</v>
      </c>
      <c r="T68" s="16">
        <v>0.40961649999999999</v>
      </c>
      <c r="U68" s="16">
        <f t="shared" si="4"/>
        <v>0.47509999999999997</v>
      </c>
      <c r="V68" s="16">
        <v>0.6169</v>
      </c>
      <c r="W68" s="16">
        <v>0.7581</v>
      </c>
      <c r="X68" s="16">
        <v>1.1213</v>
      </c>
      <c r="Y68" s="16"/>
      <c r="Z68" s="16">
        <f t="shared" si="6"/>
        <v>0.1082</v>
      </c>
      <c r="AA68" s="16">
        <f t="shared" si="9"/>
        <v>0.16110000000000002</v>
      </c>
      <c r="AB68" s="16">
        <f t="shared" si="9"/>
        <v>0.22490000000000002</v>
      </c>
      <c r="AC68" s="16">
        <f t="shared" si="9"/>
        <v>0.3493</v>
      </c>
      <c r="AD68" s="16">
        <f t="shared" si="9"/>
        <v>0.48460000000000003</v>
      </c>
      <c r="AE68" s="16">
        <v>0.64239999999999997</v>
      </c>
      <c r="AF68" s="16">
        <v>0.89290000000000003</v>
      </c>
      <c r="AG68" s="16">
        <v>1.1483000000000001</v>
      </c>
      <c r="AH68" s="16">
        <v>1.4629000000000001</v>
      </c>
      <c r="AI68" s="16">
        <v>1.7408999999999999</v>
      </c>
      <c r="AJ68" s="16">
        <v>2.1516999999999999</v>
      </c>
      <c r="AK68" s="16">
        <v>2.8014000000000001</v>
      </c>
    </row>
    <row r="69" spans="1:37">
      <c r="A69" t="s">
        <v>29</v>
      </c>
      <c r="B69" s="16"/>
      <c r="C69" s="16"/>
      <c r="D69" s="16"/>
      <c r="E69" s="16"/>
      <c r="F69" s="16">
        <v>1.1825000000000001</v>
      </c>
      <c r="G69" s="16">
        <f t="shared" si="1"/>
        <v>1.2198</v>
      </c>
      <c r="H69" s="16">
        <v>1.3762000000000001</v>
      </c>
      <c r="I69" s="16">
        <v>1.4157999999999999</v>
      </c>
      <c r="J69" s="16">
        <f t="shared" si="7"/>
        <v>1.4542999999999999</v>
      </c>
      <c r="K69" s="16">
        <f t="shared" si="7"/>
        <v>1.5759999999999998</v>
      </c>
      <c r="L69" s="16"/>
      <c r="M69" s="16"/>
      <c r="N69" s="16">
        <f t="shared" si="8"/>
        <v>2.5399999999999999E-2</v>
      </c>
      <c r="O69" s="16">
        <f t="shared" si="8"/>
        <v>3.3270000000000001E-2</v>
      </c>
      <c r="P69" s="16">
        <f t="shared" si="8"/>
        <v>5.2670000000000002E-2</v>
      </c>
      <c r="Q69" s="16">
        <v>6.7046999999999995E-2</v>
      </c>
      <c r="R69" s="16">
        <v>0.137295</v>
      </c>
      <c r="S69" s="16">
        <v>0.70239499999999999</v>
      </c>
      <c r="T69" s="16">
        <v>1.180245</v>
      </c>
      <c r="U69" s="16">
        <f t="shared" si="4"/>
        <v>0.87919999999999998</v>
      </c>
      <c r="V69" s="16">
        <v>0.88390000000000002</v>
      </c>
      <c r="W69" s="16">
        <v>0.93559999999999999</v>
      </c>
      <c r="X69" s="16">
        <v>1.1013999999999999</v>
      </c>
      <c r="Y69" s="16"/>
      <c r="Z69" s="16">
        <f t="shared" si="6"/>
        <v>2.29E-2</v>
      </c>
      <c r="AA69" s="16">
        <f t="shared" si="9"/>
        <v>6.9699999999999998E-2</v>
      </c>
      <c r="AB69" s="16">
        <f t="shared" si="9"/>
        <v>7.8E-2</v>
      </c>
      <c r="AC69" s="16">
        <f t="shared" si="9"/>
        <v>0.1404</v>
      </c>
      <c r="AD69" s="16">
        <f t="shared" si="9"/>
        <v>0.15079999999999999</v>
      </c>
      <c r="AE69" s="16">
        <v>0.32900000000000001</v>
      </c>
      <c r="AF69" s="16">
        <v>0.43809999999999999</v>
      </c>
      <c r="AG69" s="16">
        <v>0.60819999999999996</v>
      </c>
      <c r="AH69" s="16">
        <v>0.87739999999999996</v>
      </c>
      <c r="AI69" s="16">
        <v>1.0212000000000001</v>
      </c>
      <c r="AJ69" s="16">
        <v>1.2516</v>
      </c>
      <c r="AK69" s="16">
        <v>1.7673000000000001</v>
      </c>
    </row>
    <row r="70" spans="1:37">
      <c r="A70" t="s">
        <v>28</v>
      </c>
      <c r="B70" s="16"/>
      <c r="C70" s="16"/>
      <c r="D70" s="16"/>
      <c r="E70" s="16"/>
      <c r="F70" s="16">
        <v>7.145E-2</v>
      </c>
      <c r="G70" s="16">
        <f t="shared" si="1"/>
        <v>8.7610000000000007E-2</v>
      </c>
      <c r="H70" s="16">
        <v>9.6032000000000006E-2</v>
      </c>
      <c r="I70" s="16">
        <v>9.7521999999999998E-2</v>
      </c>
      <c r="J70" s="16">
        <f t="shared" si="7"/>
        <v>0.101522</v>
      </c>
      <c r="K70" s="16">
        <f t="shared" si="7"/>
        <v>0.109762</v>
      </c>
      <c r="L70" s="16"/>
      <c r="M70" s="16"/>
      <c r="N70" s="16">
        <f t="shared" si="8"/>
        <v>9.7999999999999997E-3</v>
      </c>
      <c r="O70" s="16">
        <f t="shared" si="8"/>
        <v>9.7999999999999997E-3</v>
      </c>
      <c r="P70" s="16">
        <f t="shared" si="8"/>
        <v>1.26E-2</v>
      </c>
      <c r="Q70" s="16">
        <v>1.4175E-2</v>
      </c>
      <c r="R70" s="16">
        <v>2.0875000000000001E-2</v>
      </c>
      <c r="S70" s="16">
        <v>2.5537000000000001E-2</v>
      </c>
      <c r="T70" s="16">
        <v>3.8847E-2</v>
      </c>
      <c r="U70" s="16">
        <f t="shared" si="4"/>
        <v>4.2599999999999999E-2</v>
      </c>
      <c r="V70" s="16">
        <v>4.8399999999999999E-2</v>
      </c>
      <c r="W70" s="16">
        <v>8.7800000000000003E-2</v>
      </c>
      <c r="X70" s="16">
        <v>9.9500000000000005E-2</v>
      </c>
      <c r="Y70" s="16"/>
      <c r="Z70" s="16">
        <f t="shared" si="6"/>
        <v>2.1899999999999999E-2</v>
      </c>
      <c r="AA70" s="16">
        <f t="shared" si="9"/>
        <v>2.1899999999999999E-2</v>
      </c>
      <c r="AB70" s="16">
        <f t="shared" si="9"/>
        <v>2.8000000000000001E-2</v>
      </c>
      <c r="AC70" s="16">
        <f t="shared" si="9"/>
        <v>4.7899999999999998E-2</v>
      </c>
      <c r="AD70" s="16">
        <f t="shared" si="9"/>
        <v>7.0599999999999996E-2</v>
      </c>
      <c r="AE70" s="16">
        <v>9.1899999999999996E-2</v>
      </c>
      <c r="AF70" s="16">
        <v>0.11020000000000001</v>
      </c>
      <c r="AG70" s="16">
        <v>0.14299999999999999</v>
      </c>
      <c r="AH70" s="16">
        <v>0.1547</v>
      </c>
      <c r="AI70" s="16">
        <v>0.18329999999999999</v>
      </c>
      <c r="AJ70" s="16">
        <v>0.2198</v>
      </c>
      <c r="AK70" s="16">
        <v>0.30399999999999999</v>
      </c>
    </row>
    <row r="71" spans="1:37">
      <c r="A71" t="s">
        <v>25</v>
      </c>
      <c r="B71" s="16"/>
      <c r="C71" s="16"/>
      <c r="D71" s="16"/>
      <c r="E71" s="16"/>
      <c r="F71" s="16">
        <v>0.26171299999999997</v>
      </c>
      <c r="G71" s="16">
        <f t="shared" si="1"/>
        <v>0.27442499999999997</v>
      </c>
      <c r="H71" s="16">
        <v>0.66174699999999997</v>
      </c>
      <c r="I71" s="16">
        <v>0.69708150000000002</v>
      </c>
      <c r="J71" s="16">
        <f t="shared" si="7"/>
        <v>0.82301849999999999</v>
      </c>
      <c r="K71" s="16">
        <f t="shared" si="7"/>
        <v>1.1039939999999999</v>
      </c>
      <c r="L71" s="16"/>
      <c r="M71" s="16"/>
      <c r="N71" s="16">
        <f t="shared" si="8"/>
        <v>1.6884E-2</v>
      </c>
      <c r="O71" s="16">
        <f t="shared" si="8"/>
        <v>3.9884000000000003E-2</v>
      </c>
      <c r="P71" s="16">
        <f t="shared" si="8"/>
        <v>5.4186999999999999E-2</v>
      </c>
      <c r="Q71" s="16">
        <v>6.0206999999999997E-2</v>
      </c>
      <c r="R71" s="16">
        <v>7.9745999999999997E-2</v>
      </c>
      <c r="S71" s="16">
        <v>0.109516</v>
      </c>
      <c r="T71" s="16">
        <v>0.148309</v>
      </c>
      <c r="U71" s="16">
        <f t="shared" si="4"/>
        <v>0.23410000000000003</v>
      </c>
      <c r="V71" s="16">
        <v>0.27500000000000002</v>
      </c>
      <c r="W71" s="16">
        <v>0.39240000000000003</v>
      </c>
      <c r="X71" s="16">
        <v>0.87509999999999999</v>
      </c>
      <c r="Y71" s="16"/>
      <c r="Z71" s="16">
        <f t="shared" si="6"/>
        <v>2.7199999999999998E-2</v>
      </c>
      <c r="AA71" s="16">
        <f t="shared" si="9"/>
        <v>0.1135</v>
      </c>
      <c r="AB71" s="16">
        <f t="shared" si="9"/>
        <v>0.12959999999999999</v>
      </c>
      <c r="AC71" s="16">
        <f t="shared" si="9"/>
        <v>0.17199999999999999</v>
      </c>
      <c r="AD71" s="16">
        <f t="shared" si="9"/>
        <v>0.23879999999999998</v>
      </c>
      <c r="AE71" s="16">
        <v>0.2752</v>
      </c>
      <c r="AF71" s="16">
        <v>0.30980000000000002</v>
      </c>
      <c r="AG71" s="16">
        <v>0.39079999999999998</v>
      </c>
      <c r="AH71" s="16">
        <v>0.53680000000000005</v>
      </c>
      <c r="AI71" s="16">
        <v>0.69030000000000002</v>
      </c>
      <c r="AJ71" s="16">
        <v>0.80910000000000004</v>
      </c>
      <c r="AK71" s="16">
        <v>1.5194000000000001</v>
      </c>
    </row>
    <row r="73" spans="1:37" ht="20.25">
      <c r="A73" s="17" t="s">
        <v>117</v>
      </c>
    </row>
  </sheetData>
  <phoneticPr fontId="7"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8D5D-177B-4C59-9D46-A26072A6A2B8}">
  <dimension ref="A1:AT33"/>
  <sheetViews>
    <sheetView topLeftCell="Z1" workbookViewId="0">
      <selection activeCell="P30" sqref="P30"/>
    </sheetView>
  </sheetViews>
  <sheetFormatPr defaultRowHeight="14.25"/>
  <cols>
    <col min="4" max="4" width="10.125" bestFit="1" customWidth="1"/>
    <col min="5" max="46" width="11" customWidth="1"/>
  </cols>
  <sheetData>
    <row r="1" spans="1:46">
      <c r="A1" t="s">
        <v>142</v>
      </c>
      <c r="B1">
        <f>911/51.3</f>
        <v>17.758284600389864</v>
      </c>
      <c r="C1" t="s">
        <v>143</v>
      </c>
      <c r="D1">
        <v>2.78</v>
      </c>
      <c r="E1" t="s">
        <v>144</v>
      </c>
      <c r="F1">
        <v>2.74</v>
      </c>
      <c r="G1" t="s">
        <v>166</v>
      </c>
      <c r="H1" s="30">
        <v>0.2</v>
      </c>
      <c r="I1" t="s">
        <v>167</v>
      </c>
      <c r="J1" s="30">
        <v>0.05</v>
      </c>
    </row>
    <row r="3" spans="1:46">
      <c r="A3" t="s">
        <v>140</v>
      </c>
      <c r="B3">
        <v>2016</v>
      </c>
      <c r="C3">
        <v>2017</v>
      </c>
      <c r="D3">
        <v>2018</v>
      </c>
      <c r="E3">
        <v>2019</v>
      </c>
      <c r="F3">
        <v>2020</v>
      </c>
      <c r="G3">
        <v>2021</v>
      </c>
      <c r="H3">
        <v>2022</v>
      </c>
      <c r="I3">
        <v>2023</v>
      </c>
      <c r="J3">
        <v>2024</v>
      </c>
      <c r="K3">
        <v>2025</v>
      </c>
      <c r="L3">
        <v>2026</v>
      </c>
      <c r="M3">
        <v>2027</v>
      </c>
      <c r="N3">
        <v>2028</v>
      </c>
      <c r="O3">
        <v>2029</v>
      </c>
      <c r="P3">
        <v>2030</v>
      </c>
      <c r="Q3">
        <v>2031</v>
      </c>
      <c r="R3">
        <v>2032</v>
      </c>
      <c r="S3">
        <v>2033</v>
      </c>
      <c r="T3">
        <v>2034</v>
      </c>
      <c r="U3">
        <v>2035</v>
      </c>
      <c r="V3">
        <v>2036</v>
      </c>
      <c r="W3">
        <v>2037</v>
      </c>
      <c r="X3">
        <v>2038</v>
      </c>
      <c r="Y3">
        <v>2039</v>
      </c>
      <c r="Z3">
        <v>2040</v>
      </c>
      <c r="AA3">
        <v>2041</v>
      </c>
      <c r="AB3">
        <v>2042</v>
      </c>
      <c r="AC3">
        <v>2043</v>
      </c>
      <c r="AD3">
        <v>2044</v>
      </c>
      <c r="AE3">
        <v>2045</v>
      </c>
      <c r="AF3">
        <v>2046</v>
      </c>
      <c r="AG3">
        <v>2047</v>
      </c>
      <c r="AH3">
        <v>2048</v>
      </c>
      <c r="AI3">
        <v>2049</v>
      </c>
      <c r="AJ3">
        <v>2050</v>
      </c>
      <c r="AK3">
        <v>2051</v>
      </c>
      <c r="AL3">
        <v>2052</v>
      </c>
      <c r="AM3">
        <v>2053</v>
      </c>
      <c r="AN3">
        <v>2054</v>
      </c>
      <c r="AO3">
        <v>2055</v>
      </c>
      <c r="AP3">
        <v>2056</v>
      </c>
      <c r="AQ3">
        <v>2057</v>
      </c>
      <c r="AR3">
        <v>2058</v>
      </c>
      <c r="AS3">
        <v>2059</v>
      </c>
      <c r="AT3">
        <v>2060</v>
      </c>
    </row>
    <row r="4" spans="1:46" s="27" customFormat="1" ht="15.75">
      <c r="A4" s="26" t="s">
        <v>146</v>
      </c>
      <c r="B4" s="25"/>
      <c r="C4" s="25"/>
      <c r="E4" s="24">
        <v>9124789</v>
      </c>
      <c r="F4" s="24">
        <v>9201490</v>
      </c>
      <c r="G4" s="24">
        <v>9266483</v>
      </c>
      <c r="H4" s="24">
        <v>9320566</v>
      </c>
      <c r="I4" s="24">
        <v>9364509</v>
      </c>
      <c r="J4" s="24">
        <v>9399053</v>
      </c>
      <c r="K4" s="24">
        <v>9424908</v>
      </c>
      <c r="L4" s="24">
        <v>9442756</v>
      </c>
      <c r="M4" s="24">
        <v>9453249</v>
      </c>
      <c r="N4" s="24">
        <v>9457010</v>
      </c>
      <c r="O4" s="24">
        <v>9454632</v>
      </c>
      <c r="P4" s="24">
        <v>9446679</v>
      </c>
      <c r="Q4" s="24">
        <v>9433686</v>
      </c>
      <c r="R4" s="24">
        <v>9416158</v>
      </c>
      <c r="S4" s="24">
        <v>9394571</v>
      </c>
      <c r="T4" s="24">
        <v>9369372</v>
      </c>
      <c r="U4" s="24">
        <v>9340977</v>
      </c>
      <c r="V4" s="24">
        <v>9309775</v>
      </c>
      <c r="W4" s="24">
        <v>9276123</v>
      </c>
      <c r="X4" s="24">
        <v>9240351</v>
      </c>
      <c r="Y4" s="24">
        <v>9202758</v>
      </c>
      <c r="Z4" s="24">
        <v>9163614</v>
      </c>
      <c r="AA4" s="24">
        <v>9123161</v>
      </c>
      <c r="AB4" s="24">
        <v>9081609</v>
      </c>
      <c r="AC4" s="24">
        <v>9039142</v>
      </c>
      <c r="AD4" s="24">
        <v>8995911</v>
      </c>
      <c r="AE4" s="24">
        <v>8952040</v>
      </c>
      <c r="AF4" s="24">
        <v>8907623</v>
      </c>
      <c r="AG4" s="24">
        <v>8862724</v>
      </c>
      <c r="AH4" s="24">
        <v>8817379</v>
      </c>
      <c r="AI4" s="24">
        <v>8771593</v>
      </c>
      <c r="AJ4" s="24">
        <v>8725344</v>
      </c>
      <c r="AK4" s="24">
        <v>8678577</v>
      </c>
      <c r="AL4" s="24">
        <v>8631211</v>
      </c>
      <c r="AM4" s="24">
        <v>8583134</v>
      </c>
      <c r="AN4" s="24">
        <v>8534204</v>
      </c>
      <c r="AO4" s="24">
        <v>8484252</v>
      </c>
      <c r="AP4" s="24">
        <v>8433078</v>
      </c>
      <c r="AQ4" s="24">
        <v>8380452</v>
      </c>
      <c r="AR4" s="24">
        <v>8326116</v>
      </c>
      <c r="AS4" s="24">
        <v>8269781</v>
      </c>
      <c r="AT4" s="24">
        <v>8211131</v>
      </c>
    </row>
    <row r="5" spans="1:46" s="27" customFormat="1" ht="15.75">
      <c r="A5" s="26" t="s">
        <v>147</v>
      </c>
      <c r="B5" s="25"/>
      <c r="C5" s="25"/>
      <c r="E5" s="24">
        <v>10004648</v>
      </c>
      <c r="F5" s="24">
        <v>10070342</v>
      </c>
      <c r="G5" s="24">
        <v>10125262</v>
      </c>
      <c r="H5" s="24">
        <v>10170056</v>
      </c>
      <c r="I5" s="24">
        <v>10205351</v>
      </c>
      <c r="J5" s="24">
        <v>10231753</v>
      </c>
      <c r="K5" s="24">
        <v>10249849</v>
      </c>
      <c r="L5" s="24">
        <v>10260204</v>
      </c>
      <c r="M5" s="24">
        <v>10263363</v>
      </c>
      <c r="N5" s="24">
        <v>10259848</v>
      </c>
      <c r="O5" s="24">
        <v>10250163</v>
      </c>
      <c r="P5" s="24">
        <v>10234790</v>
      </c>
      <c r="Q5" s="24">
        <v>10214192</v>
      </c>
      <c r="R5" s="24">
        <v>10188808</v>
      </c>
      <c r="S5" s="24">
        <v>10159060</v>
      </c>
      <c r="T5" s="24">
        <v>10125346</v>
      </c>
      <c r="U5" s="24">
        <v>10088046</v>
      </c>
      <c r="V5" s="24">
        <v>10047517</v>
      </c>
      <c r="W5" s="24">
        <v>10004098</v>
      </c>
      <c r="X5" s="24">
        <v>9958105</v>
      </c>
      <c r="Y5" s="24">
        <v>9909833</v>
      </c>
      <c r="Z5" s="24">
        <v>9859559</v>
      </c>
      <c r="AA5" s="24">
        <v>9807537</v>
      </c>
      <c r="AB5" s="24">
        <v>9754000</v>
      </c>
      <c r="AC5" s="24">
        <v>9699163</v>
      </c>
      <c r="AD5" s="24">
        <v>9643217</v>
      </c>
      <c r="AE5" s="24">
        <v>9586335</v>
      </c>
      <c r="AF5" s="24">
        <v>9528667</v>
      </c>
      <c r="AG5" s="24">
        <v>9470344</v>
      </c>
      <c r="AH5" s="24">
        <v>9411477</v>
      </c>
      <c r="AI5" s="24">
        <v>9352153</v>
      </c>
      <c r="AJ5" s="24">
        <v>9292441</v>
      </c>
      <c r="AK5" s="24">
        <v>9232388</v>
      </c>
      <c r="AL5" s="24">
        <v>9172023</v>
      </c>
      <c r="AM5" s="24">
        <v>9111351</v>
      </c>
      <c r="AN5" s="24">
        <v>9050357</v>
      </c>
      <c r="AO5" s="24">
        <v>8989006</v>
      </c>
      <c r="AP5" s="24">
        <v>8927242</v>
      </c>
      <c r="AQ5" s="24">
        <v>8864990</v>
      </c>
      <c r="AR5" s="24">
        <v>8802151</v>
      </c>
      <c r="AS5" s="24">
        <v>8738608</v>
      </c>
      <c r="AT5" s="24">
        <v>8674222</v>
      </c>
    </row>
    <row r="6" spans="1:46" s="27" customFormat="1" ht="15.75">
      <c r="A6" s="26" t="s">
        <v>148</v>
      </c>
      <c r="B6" s="25"/>
      <c r="C6" s="25"/>
      <c r="E6" s="24">
        <v>4681060</v>
      </c>
      <c r="F6" s="24">
        <v>4703603</v>
      </c>
      <c r="G6" s="24">
        <v>4722676</v>
      </c>
      <c r="H6" s="24">
        <v>4738360</v>
      </c>
      <c r="I6" s="24">
        <v>4750739</v>
      </c>
      <c r="J6" s="24">
        <v>4759897</v>
      </c>
      <c r="K6" s="24">
        <v>4765924</v>
      </c>
      <c r="L6" s="24">
        <v>4768912</v>
      </c>
      <c r="M6" s="24">
        <v>4768955</v>
      </c>
      <c r="N6" s="24">
        <v>4766151</v>
      </c>
      <c r="O6" s="24">
        <v>4760600</v>
      </c>
      <c r="P6" s="24">
        <v>4752406</v>
      </c>
      <c r="Q6" s="24">
        <v>4741674</v>
      </c>
      <c r="R6" s="24">
        <v>4728514</v>
      </c>
      <c r="S6" s="24">
        <v>4713037</v>
      </c>
      <c r="T6" s="24">
        <v>4695359</v>
      </c>
      <c r="U6" s="24">
        <v>4675596</v>
      </c>
      <c r="V6" s="24">
        <v>4653869</v>
      </c>
      <c r="W6" s="24">
        <v>4630301</v>
      </c>
      <c r="X6" s="24">
        <v>4605020</v>
      </c>
      <c r="Y6" s="24">
        <v>4578153</v>
      </c>
      <c r="Z6" s="24">
        <v>4549833</v>
      </c>
      <c r="AA6" s="24">
        <v>4520194</v>
      </c>
      <c r="AB6" s="24">
        <v>4489375</v>
      </c>
      <c r="AC6" s="24">
        <v>4457515</v>
      </c>
      <c r="AD6" s="24">
        <v>4424759</v>
      </c>
      <c r="AE6" s="24">
        <v>4391252</v>
      </c>
      <c r="AF6" s="24">
        <v>4357143</v>
      </c>
      <c r="AG6" s="24">
        <v>4322585</v>
      </c>
      <c r="AH6" s="24">
        <v>4287733</v>
      </c>
      <c r="AI6" s="24">
        <v>4252744</v>
      </c>
      <c r="AJ6" s="24">
        <v>4217779</v>
      </c>
      <c r="AK6" s="24">
        <v>4183001</v>
      </c>
      <c r="AL6" s="24">
        <v>4148578</v>
      </c>
      <c r="AM6" s="24">
        <v>4114677</v>
      </c>
      <c r="AN6" s="24">
        <v>4081471</v>
      </c>
      <c r="AO6" s="24">
        <v>4049136</v>
      </c>
      <c r="AP6" s="24">
        <v>4017848</v>
      </c>
      <c r="AQ6" s="24">
        <v>3987790</v>
      </c>
      <c r="AR6" s="24">
        <v>3959143</v>
      </c>
      <c r="AS6" s="24">
        <v>3932096</v>
      </c>
      <c r="AT6" s="24">
        <v>3906836</v>
      </c>
    </row>
    <row r="7" spans="1:46" s="27" customFormat="1" ht="15.75">
      <c r="A7" s="26" t="s">
        <v>149</v>
      </c>
      <c r="B7" s="25"/>
      <c r="C7" s="25"/>
      <c r="E7" s="24">
        <v>3828414</v>
      </c>
      <c r="F7" s="24">
        <v>3855201</v>
      </c>
      <c r="G7" s="24">
        <v>3879651</v>
      </c>
      <c r="H7" s="24">
        <v>3901786</v>
      </c>
      <c r="I7" s="24">
        <v>3921634</v>
      </c>
      <c r="J7" s="24">
        <v>3939224</v>
      </c>
      <c r="K7" s="24">
        <v>3954589</v>
      </c>
      <c r="L7" s="24">
        <v>3967767</v>
      </c>
      <c r="M7" s="24">
        <v>3978797</v>
      </c>
      <c r="N7" s="24">
        <v>3987722</v>
      </c>
      <c r="O7" s="24">
        <v>3994588</v>
      </c>
      <c r="P7" s="24">
        <v>3999445</v>
      </c>
      <c r="Q7" s="24">
        <v>4002346</v>
      </c>
      <c r="R7" s="24">
        <v>4003348</v>
      </c>
      <c r="S7" s="24">
        <v>4002509</v>
      </c>
      <c r="T7" s="24">
        <v>3999893</v>
      </c>
      <c r="U7" s="24">
        <v>3995565</v>
      </c>
      <c r="V7" s="24">
        <v>3989596</v>
      </c>
      <c r="W7" s="24">
        <v>3982057</v>
      </c>
      <c r="X7" s="24">
        <v>3973024</v>
      </c>
      <c r="Y7" s="24">
        <v>3962578</v>
      </c>
      <c r="Z7" s="24">
        <v>3950800</v>
      </c>
      <c r="AA7" s="24">
        <v>3937776</v>
      </c>
      <c r="AB7" s="24">
        <v>3923595</v>
      </c>
      <c r="AC7" s="24">
        <v>3908350</v>
      </c>
      <c r="AD7" s="24">
        <v>3892136</v>
      </c>
      <c r="AE7" s="24">
        <v>3875053</v>
      </c>
      <c r="AF7" s="24">
        <v>3857202</v>
      </c>
      <c r="AG7" s="24">
        <v>3838689</v>
      </c>
      <c r="AH7" s="24">
        <v>3819623</v>
      </c>
      <c r="AI7" s="24">
        <v>3800116</v>
      </c>
      <c r="AJ7" s="24">
        <v>3780283</v>
      </c>
      <c r="AK7" s="24">
        <v>3760243</v>
      </c>
      <c r="AL7" s="24">
        <v>3740118</v>
      </c>
      <c r="AM7" s="24">
        <v>3720033</v>
      </c>
      <c r="AN7" s="24">
        <v>3700117</v>
      </c>
      <c r="AO7" s="24">
        <v>3680501</v>
      </c>
      <c r="AP7" s="24">
        <v>3661320</v>
      </c>
      <c r="AQ7" s="24">
        <v>3642714</v>
      </c>
      <c r="AR7" s="24">
        <v>3624823</v>
      </c>
      <c r="AS7" s="24">
        <v>3607793</v>
      </c>
      <c r="AT7" s="24">
        <v>3591771</v>
      </c>
    </row>
    <row r="8" spans="1:46" s="27" customFormat="1" ht="15.75">
      <c r="A8" s="26" t="s">
        <v>150</v>
      </c>
      <c r="B8" s="25"/>
      <c r="C8" s="25"/>
      <c r="E8" s="24">
        <v>2181073</v>
      </c>
      <c r="F8" s="24">
        <v>2193342</v>
      </c>
      <c r="G8" s="24">
        <v>2203929</v>
      </c>
      <c r="H8" s="24">
        <v>2212897</v>
      </c>
      <c r="I8" s="24">
        <v>2220309</v>
      </c>
      <c r="J8" s="24">
        <v>2226225</v>
      </c>
      <c r="K8" s="24">
        <v>2230707</v>
      </c>
      <c r="L8" s="24">
        <v>2233814</v>
      </c>
      <c r="M8" s="24">
        <v>2235605</v>
      </c>
      <c r="N8" s="24">
        <v>2236138</v>
      </c>
      <c r="O8" s="24">
        <v>2235472</v>
      </c>
      <c r="P8" s="24">
        <v>2233662</v>
      </c>
      <c r="Q8" s="24">
        <v>2230764</v>
      </c>
      <c r="R8" s="24">
        <v>2226835</v>
      </c>
      <c r="S8" s="24">
        <v>2221927</v>
      </c>
      <c r="T8" s="24">
        <v>2216095</v>
      </c>
      <c r="U8" s="24">
        <v>2209392</v>
      </c>
      <c r="V8" s="24">
        <v>2201870</v>
      </c>
      <c r="W8" s="24">
        <v>2193579</v>
      </c>
      <c r="X8" s="24">
        <v>2184571</v>
      </c>
      <c r="Y8" s="24">
        <v>2174895</v>
      </c>
      <c r="Z8" s="24">
        <v>2164600</v>
      </c>
      <c r="AA8" s="24">
        <v>2153734</v>
      </c>
      <c r="AB8" s="24">
        <v>2142346</v>
      </c>
      <c r="AC8" s="24">
        <v>2130480</v>
      </c>
      <c r="AD8" s="24">
        <v>2118184</v>
      </c>
      <c r="AE8" s="24">
        <v>2105503</v>
      </c>
      <c r="AF8" s="24">
        <v>2092480</v>
      </c>
      <c r="AG8" s="24">
        <v>2079160</v>
      </c>
      <c r="AH8" s="24">
        <v>2065584</v>
      </c>
      <c r="AI8" s="24">
        <v>2051796</v>
      </c>
      <c r="AJ8" s="24">
        <v>2037836</v>
      </c>
      <c r="AK8" s="24">
        <v>2023745</v>
      </c>
      <c r="AL8" s="24">
        <v>2009563</v>
      </c>
      <c r="AM8" s="24">
        <v>1995328</v>
      </c>
      <c r="AN8" s="24">
        <v>1981078</v>
      </c>
      <c r="AO8" s="24">
        <v>1966852</v>
      </c>
      <c r="AP8" s="24">
        <v>1952685</v>
      </c>
      <c r="AQ8" s="24">
        <v>1938613</v>
      </c>
      <c r="AR8" s="24">
        <v>1924672</v>
      </c>
      <c r="AS8" s="24">
        <v>1910895</v>
      </c>
      <c r="AT8" s="24">
        <v>1897317</v>
      </c>
    </row>
    <row r="9" spans="1:46" s="27" customFormat="1" ht="15.75">
      <c r="A9" s="26" t="s">
        <v>151</v>
      </c>
      <c r="B9" s="25"/>
      <c r="C9" s="25"/>
      <c r="E9" s="24">
        <v>7061298</v>
      </c>
      <c r="F9" s="24">
        <v>7101116</v>
      </c>
      <c r="G9" s="24">
        <v>7131386</v>
      </c>
      <c r="H9" s="24">
        <v>7152720</v>
      </c>
      <c r="I9" s="24">
        <v>7165713</v>
      </c>
      <c r="J9" s="24">
        <v>7170939</v>
      </c>
      <c r="K9" s="24">
        <v>7168958</v>
      </c>
      <c r="L9" s="24">
        <v>7160307</v>
      </c>
      <c r="M9" s="24">
        <v>7145508</v>
      </c>
      <c r="N9" s="24">
        <v>7125064</v>
      </c>
      <c r="O9" s="24">
        <v>7099459</v>
      </c>
      <c r="P9" s="24">
        <v>7069158</v>
      </c>
      <c r="Q9" s="24">
        <v>7034610</v>
      </c>
      <c r="R9" s="24">
        <v>6996243</v>
      </c>
      <c r="S9" s="24">
        <v>6954468</v>
      </c>
      <c r="T9" s="24">
        <v>6909677</v>
      </c>
      <c r="U9" s="24">
        <v>6862246</v>
      </c>
      <c r="V9" s="24">
        <v>6812529</v>
      </c>
      <c r="W9" s="24">
        <v>6760864</v>
      </c>
      <c r="X9" s="24">
        <v>6707570</v>
      </c>
      <c r="Y9" s="24">
        <v>6652948</v>
      </c>
      <c r="Z9" s="24">
        <v>6597281</v>
      </c>
      <c r="AA9" s="24">
        <v>6540832</v>
      </c>
      <c r="AB9" s="24">
        <v>6483847</v>
      </c>
      <c r="AC9" s="24">
        <v>6426553</v>
      </c>
      <c r="AD9" s="24">
        <v>6369161</v>
      </c>
      <c r="AE9" s="24">
        <v>6311859</v>
      </c>
      <c r="AF9" s="24">
        <v>6254821</v>
      </c>
      <c r="AG9" s="24">
        <v>6198200</v>
      </c>
      <c r="AH9" s="24">
        <v>6142133</v>
      </c>
      <c r="AI9" s="24">
        <v>6086736</v>
      </c>
      <c r="AJ9" s="24">
        <v>6032108</v>
      </c>
      <c r="AK9" s="24">
        <v>5978331</v>
      </c>
      <c r="AL9" s="24">
        <v>5925466</v>
      </c>
      <c r="AM9" s="24">
        <v>5873557</v>
      </c>
      <c r="AN9" s="24">
        <v>5822630</v>
      </c>
      <c r="AO9" s="24">
        <v>5772692</v>
      </c>
      <c r="AP9" s="24">
        <v>5723732</v>
      </c>
      <c r="AQ9" s="24">
        <v>5675720</v>
      </c>
      <c r="AR9" s="24">
        <v>5628609</v>
      </c>
      <c r="AS9" s="24">
        <v>5582333</v>
      </c>
      <c r="AT9" s="24">
        <v>5536807</v>
      </c>
    </row>
    <row r="10" spans="1:46" s="27" customFormat="1" ht="15.75">
      <c r="A10" s="26" t="s">
        <v>152</v>
      </c>
      <c r="B10" s="25"/>
      <c r="C10" s="25"/>
      <c r="E10" s="24">
        <v>9338971</v>
      </c>
      <c r="F10" s="24">
        <v>9385514</v>
      </c>
      <c r="G10" s="24">
        <v>9425574</v>
      </c>
      <c r="H10" s="24">
        <v>9459303</v>
      </c>
      <c r="I10" s="24">
        <v>9486859</v>
      </c>
      <c r="J10" s="24">
        <v>9508405</v>
      </c>
      <c r="K10" s="24">
        <v>9524107</v>
      </c>
      <c r="L10" s="24">
        <v>9534139</v>
      </c>
      <c r="M10" s="24">
        <v>9538675</v>
      </c>
      <c r="N10" s="24">
        <v>9537899</v>
      </c>
      <c r="O10" s="24">
        <v>9531996</v>
      </c>
      <c r="P10" s="24">
        <v>9521158</v>
      </c>
      <c r="Q10" s="24">
        <v>9505580</v>
      </c>
      <c r="R10" s="24">
        <v>9485464</v>
      </c>
      <c r="S10" s="24">
        <v>9461014</v>
      </c>
      <c r="T10" s="24">
        <v>9432441</v>
      </c>
      <c r="U10" s="24">
        <v>9399961</v>
      </c>
      <c r="V10" s="24">
        <v>9363792</v>
      </c>
      <c r="W10" s="24">
        <v>9324161</v>
      </c>
      <c r="X10" s="24">
        <v>9281295</v>
      </c>
      <c r="Y10" s="24">
        <v>9235430</v>
      </c>
      <c r="Z10" s="24">
        <v>9186805</v>
      </c>
      <c r="AA10" s="24">
        <v>9135663</v>
      </c>
      <c r="AB10" s="24">
        <v>9082252</v>
      </c>
      <c r="AC10" s="24">
        <v>9026828</v>
      </c>
      <c r="AD10" s="24">
        <v>8969646</v>
      </c>
      <c r="AE10" s="24">
        <v>8910972</v>
      </c>
      <c r="AF10" s="24">
        <v>8851072</v>
      </c>
      <c r="AG10" s="24">
        <v>8790219</v>
      </c>
      <c r="AH10" s="24">
        <v>8728690</v>
      </c>
      <c r="AI10" s="24">
        <v>8666767</v>
      </c>
      <c r="AJ10" s="24">
        <v>8604738</v>
      </c>
      <c r="AK10" s="24">
        <v>8542894</v>
      </c>
      <c r="AL10" s="24">
        <v>8481532</v>
      </c>
      <c r="AM10" s="24">
        <v>8420953</v>
      </c>
      <c r="AN10" s="24">
        <v>8361463</v>
      </c>
      <c r="AO10" s="24">
        <v>8303373</v>
      </c>
      <c r="AP10" s="24">
        <v>8246999</v>
      </c>
      <c r="AQ10" s="24">
        <v>8192661</v>
      </c>
      <c r="AR10" s="24">
        <v>8140684</v>
      </c>
      <c r="AS10" s="24">
        <v>8091399</v>
      </c>
      <c r="AT10" s="24">
        <v>8045140</v>
      </c>
    </row>
    <row r="11" spans="1:46" s="27" customFormat="1" ht="15.75">
      <c r="A11" s="26" t="s">
        <v>153</v>
      </c>
      <c r="B11" s="25"/>
      <c r="C11" s="25"/>
      <c r="E11" s="24">
        <v>8319940</v>
      </c>
      <c r="F11" s="24">
        <v>8356958</v>
      </c>
      <c r="G11" s="24">
        <v>8391066</v>
      </c>
      <c r="H11" s="24">
        <v>8422171</v>
      </c>
      <c r="I11" s="24">
        <v>8450190</v>
      </c>
      <c r="J11" s="24">
        <v>8475052</v>
      </c>
      <c r="K11" s="24">
        <v>8496696</v>
      </c>
      <c r="L11" s="24">
        <v>8515074</v>
      </c>
      <c r="M11" s="24">
        <v>8530148</v>
      </c>
      <c r="N11" s="24">
        <v>8541892</v>
      </c>
      <c r="O11" s="24">
        <v>8550288</v>
      </c>
      <c r="P11" s="24">
        <v>8555335</v>
      </c>
      <c r="Q11" s="24">
        <v>8557037</v>
      </c>
      <c r="R11" s="24">
        <v>8555413</v>
      </c>
      <c r="S11" s="24">
        <v>8550493</v>
      </c>
      <c r="T11" s="24">
        <v>8542315</v>
      </c>
      <c r="U11" s="24">
        <v>8530932</v>
      </c>
      <c r="V11" s="24">
        <v>8516406</v>
      </c>
      <c r="W11" s="24">
        <v>8498811</v>
      </c>
      <c r="X11" s="24">
        <v>8478231</v>
      </c>
      <c r="Y11" s="24">
        <v>8454762</v>
      </c>
      <c r="Z11" s="24">
        <v>8428512</v>
      </c>
      <c r="AA11" s="24">
        <v>8399598</v>
      </c>
      <c r="AB11" s="24">
        <v>8368150</v>
      </c>
      <c r="AC11" s="24">
        <v>8334309</v>
      </c>
      <c r="AD11" s="24">
        <v>8298226</v>
      </c>
      <c r="AE11" s="24">
        <v>8260064</v>
      </c>
      <c r="AF11" s="24">
        <v>8219996</v>
      </c>
      <c r="AG11" s="24">
        <v>8178209</v>
      </c>
      <c r="AH11" s="24">
        <v>8134897</v>
      </c>
      <c r="AI11" s="24">
        <v>8090269</v>
      </c>
      <c r="AJ11" s="24">
        <v>8044543</v>
      </c>
      <c r="AK11" s="24">
        <v>7997949</v>
      </c>
      <c r="AL11" s="24">
        <v>7950727</v>
      </c>
      <c r="AM11" s="24">
        <v>7903130</v>
      </c>
      <c r="AN11" s="24">
        <v>7855420</v>
      </c>
      <c r="AO11" s="24">
        <v>7807872</v>
      </c>
      <c r="AP11" s="24">
        <v>7760772</v>
      </c>
      <c r="AQ11" s="24">
        <v>7714415</v>
      </c>
      <c r="AR11" s="24">
        <v>7669109</v>
      </c>
      <c r="AS11" s="24">
        <v>7625174</v>
      </c>
      <c r="AT11" s="24">
        <v>7582939</v>
      </c>
    </row>
    <row r="12" spans="1:46" s="27" customFormat="1" ht="15.75">
      <c r="A12" s="26" t="s">
        <v>154</v>
      </c>
      <c r="B12" s="25"/>
      <c r="C12" s="25"/>
      <c r="E12" s="24">
        <v>5450865</v>
      </c>
      <c r="F12" s="24">
        <v>5471633</v>
      </c>
      <c r="G12" s="24">
        <v>5488885</v>
      </c>
      <c r="H12" s="24">
        <v>5502735</v>
      </c>
      <c r="I12" s="24">
        <v>5513301</v>
      </c>
      <c r="J12" s="24">
        <v>5520697</v>
      </c>
      <c r="K12" s="24">
        <v>5525037</v>
      </c>
      <c r="L12" s="24">
        <v>5526435</v>
      </c>
      <c r="M12" s="24">
        <v>5525005</v>
      </c>
      <c r="N12" s="24">
        <v>5520859</v>
      </c>
      <c r="O12" s="24">
        <v>5514108</v>
      </c>
      <c r="P12" s="24">
        <v>5504865</v>
      </c>
      <c r="Q12" s="24">
        <v>5493240</v>
      </c>
      <c r="R12" s="24">
        <v>5479343</v>
      </c>
      <c r="S12" s="24">
        <v>5463284</v>
      </c>
      <c r="T12" s="24">
        <v>5445172</v>
      </c>
      <c r="U12" s="24">
        <v>5425115</v>
      </c>
      <c r="V12" s="24">
        <v>5403221</v>
      </c>
      <c r="W12" s="24">
        <v>5379598</v>
      </c>
      <c r="X12" s="24">
        <v>5354351</v>
      </c>
      <c r="Y12" s="24">
        <v>5327587</v>
      </c>
      <c r="Z12" s="24">
        <v>5299412</v>
      </c>
      <c r="AA12" s="24">
        <v>5269929</v>
      </c>
      <c r="AB12" s="24">
        <v>5239244</v>
      </c>
      <c r="AC12" s="24">
        <v>5207459</v>
      </c>
      <c r="AD12" s="24">
        <v>5174678</v>
      </c>
      <c r="AE12" s="24">
        <v>5141003</v>
      </c>
      <c r="AF12" s="24">
        <v>5106537</v>
      </c>
      <c r="AG12" s="24">
        <v>5071379</v>
      </c>
      <c r="AH12" s="24">
        <v>5035631</v>
      </c>
      <c r="AI12" s="24">
        <v>4999393</v>
      </c>
      <c r="AJ12" s="24">
        <v>4962765</v>
      </c>
      <c r="AK12" s="24">
        <v>4925844</v>
      </c>
      <c r="AL12" s="24">
        <v>4888729</v>
      </c>
      <c r="AM12" s="24">
        <v>4851518</v>
      </c>
      <c r="AN12" s="24">
        <v>4814308</v>
      </c>
      <c r="AO12" s="24">
        <v>4777195</v>
      </c>
      <c r="AP12" s="24">
        <v>4740275</v>
      </c>
      <c r="AQ12" s="24">
        <v>4703643</v>
      </c>
      <c r="AR12" s="24">
        <v>4667394</v>
      </c>
      <c r="AS12" s="24">
        <v>4631621</v>
      </c>
      <c r="AT12" s="24">
        <v>4596419</v>
      </c>
    </row>
    <row r="13" spans="1:46" s="27" customFormat="1" ht="15.75">
      <c r="A13" s="26" t="s">
        <v>155</v>
      </c>
      <c r="B13" s="25"/>
      <c r="C13" s="25"/>
      <c r="E13" s="24">
        <v>2888794</v>
      </c>
      <c r="F13" s="24">
        <v>2906105</v>
      </c>
      <c r="G13" s="24">
        <v>2919006</v>
      </c>
      <c r="H13" s="24">
        <v>2927801</v>
      </c>
      <c r="I13" s="24">
        <v>2932786</v>
      </c>
      <c r="J13" s="24">
        <v>2934246</v>
      </c>
      <c r="K13" s="24">
        <v>2932455</v>
      </c>
      <c r="L13" s="24">
        <v>2927679</v>
      </c>
      <c r="M13" s="24">
        <v>2920174</v>
      </c>
      <c r="N13" s="24">
        <v>2910185</v>
      </c>
      <c r="O13" s="24">
        <v>2897948</v>
      </c>
      <c r="P13" s="24">
        <v>2883691</v>
      </c>
      <c r="Q13" s="24">
        <v>2867628</v>
      </c>
      <c r="R13" s="24">
        <v>2849966</v>
      </c>
      <c r="S13" s="24">
        <v>2830904</v>
      </c>
      <c r="T13" s="24">
        <v>2810626</v>
      </c>
      <c r="U13" s="24">
        <v>2789311</v>
      </c>
      <c r="V13" s="24">
        <v>2767127</v>
      </c>
      <c r="W13" s="24">
        <v>2744230</v>
      </c>
      <c r="X13" s="24">
        <v>2720768</v>
      </c>
      <c r="Y13" s="24">
        <v>2696880</v>
      </c>
      <c r="Z13" s="24">
        <v>2672694</v>
      </c>
      <c r="AA13" s="24">
        <v>2648328</v>
      </c>
      <c r="AB13" s="24">
        <v>2623891</v>
      </c>
      <c r="AC13" s="24">
        <v>2599481</v>
      </c>
      <c r="AD13" s="24">
        <v>2575189</v>
      </c>
      <c r="AE13" s="24">
        <v>2551092</v>
      </c>
      <c r="AF13" s="24">
        <v>2527260</v>
      </c>
      <c r="AG13" s="24">
        <v>2503754</v>
      </c>
      <c r="AH13" s="24">
        <v>2480622</v>
      </c>
      <c r="AI13" s="24">
        <v>2457905</v>
      </c>
      <c r="AJ13" s="24">
        <v>2435634</v>
      </c>
      <c r="AK13" s="24">
        <v>2413828</v>
      </c>
      <c r="AL13" s="24">
        <v>2392498</v>
      </c>
      <c r="AM13" s="24">
        <v>2371646</v>
      </c>
      <c r="AN13" s="24">
        <v>2351262</v>
      </c>
      <c r="AO13" s="24">
        <v>2331327</v>
      </c>
      <c r="AP13" s="24">
        <v>2311814</v>
      </c>
      <c r="AQ13" s="24">
        <v>2292683</v>
      </c>
      <c r="AR13" s="24">
        <v>2273886</v>
      </c>
      <c r="AS13" s="24">
        <v>2255366</v>
      </c>
      <c r="AT13" s="24">
        <v>2237055</v>
      </c>
    </row>
    <row r="14" spans="1:46" s="27" customFormat="1" ht="15.75">
      <c r="A14" s="26" t="s">
        <v>156</v>
      </c>
      <c r="B14" s="25"/>
      <c r="C14" s="25"/>
      <c r="E14" s="24">
        <v>2957601</v>
      </c>
      <c r="F14" s="24">
        <v>2967964</v>
      </c>
      <c r="G14" s="24">
        <v>2977190</v>
      </c>
      <c r="H14" s="24">
        <v>2985231</v>
      </c>
      <c r="I14" s="24">
        <v>2992046</v>
      </c>
      <c r="J14" s="24">
        <v>2997598</v>
      </c>
      <c r="K14" s="24">
        <v>3001857</v>
      </c>
      <c r="L14" s="24">
        <v>3004801</v>
      </c>
      <c r="M14" s="24">
        <v>3006410</v>
      </c>
      <c r="N14" s="24">
        <v>3006673</v>
      </c>
      <c r="O14" s="24">
        <v>3005585</v>
      </c>
      <c r="P14" s="24">
        <v>3003146</v>
      </c>
      <c r="Q14" s="24">
        <v>2999363</v>
      </c>
      <c r="R14" s="24">
        <v>2994247</v>
      </c>
      <c r="S14" s="24">
        <v>2987818</v>
      </c>
      <c r="T14" s="24">
        <v>2980100</v>
      </c>
      <c r="U14" s="24">
        <v>2971123</v>
      </c>
      <c r="V14" s="24">
        <v>2960925</v>
      </c>
      <c r="W14" s="24">
        <v>2949547</v>
      </c>
      <c r="X14" s="24">
        <v>2937040</v>
      </c>
      <c r="Y14" s="24">
        <v>2923457</v>
      </c>
      <c r="Z14" s="24">
        <v>2908859</v>
      </c>
      <c r="AA14" s="24">
        <v>2893314</v>
      </c>
      <c r="AB14" s="24">
        <v>2876893</v>
      </c>
      <c r="AC14" s="24">
        <v>2859677</v>
      </c>
      <c r="AD14" s="24">
        <v>2841750</v>
      </c>
      <c r="AE14" s="24">
        <v>2823203</v>
      </c>
      <c r="AF14" s="24">
        <v>2804133</v>
      </c>
      <c r="AG14" s="24">
        <v>2784644</v>
      </c>
      <c r="AH14" s="24">
        <v>2764844</v>
      </c>
      <c r="AI14" s="24">
        <v>2744849</v>
      </c>
      <c r="AJ14" s="24">
        <v>2724780</v>
      </c>
      <c r="AK14" s="24">
        <v>2704765</v>
      </c>
      <c r="AL14" s="24">
        <v>2684937</v>
      </c>
      <c r="AM14" s="24">
        <v>2665434</v>
      </c>
      <c r="AN14" s="24">
        <v>2646403</v>
      </c>
      <c r="AO14" s="24">
        <v>2627996</v>
      </c>
      <c r="AP14" s="24">
        <v>2610369</v>
      </c>
      <c r="AQ14" s="24">
        <v>2593686</v>
      </c>
      <c r="AR14" s="24">
        <v>2578118</v>
      </c>
      <c r="AS14" s="24">
        <v>2563839</v>
      </c>
      <c r="AT14" s="24">
        <v>2551031</v>
      </c>
    </row>
    <row r="15" spans="1:46" s="27" customFormat="1" ht="15.75">
      <c r="A15" s="26" t="s">
        <v>157</v>
      </c>
      <c r="B15" s="25"/>
      <c r="C15" s="25"/>
      <c r="E15" s="24">
        <v>10982491</v>
      </c>
      <c r="F15" s="24">
        <v>11017081</v>
      </c>
      <c r="G15" s="24">
        <v>11050803</v>
      </c>
      <c r="H15" s="24">
        <v>11083213</v>
      </c>
      <c r="I15" s="24">
        <v>11113899</v>
      </c>
      <c r="J15" s="24">
        <v>11142479</v>
      </c>
      <c r="K15" s="24">
        <v>11168600</v>
      </c>
      <c r="L15" s="24">
        <v>11191943</v>
      </c>
      <c r="M15" s="24">
        <v>11212215</v>
      </c>
      <c r="N15" s="24">
        <v>11229157</v>
      </c>
      <c r="O15" s="24">
        <v>11242538</v>
      </c>
      <c r="P15" s="24">
        <v>11252160</v>
      </c>
      <c r="Q15" s="24">
        <v>11257852</v>
      </c>
      <c r="R15" s="24">
        <v>11259476</v>
      </c>
      <c r="S15" s="24">
        <v>11256924</v>
      </c>
      <c r="T15" s="24">
        <v>11250118</v>
      </c>
      <c r="U15" s="24">
        <v>11239010</v>
      </c>
      <c r="V15" s="24">
        <v>11223583</v>
      </c>
      <c r="W15" s="24">
        <v>11203851</v>
      </c>
      <c r="X15" s="24">
        <v>11179857</v>
      </c>
      <c r="Y15" s="24">
        <v>11151675</v>
      </c>
      <c r="Z15" s="24">
        <v>11119411</v>
      </c>
      <c r="AA15" s="24">
        <v>11083198</v>
      </c>
      <c r="AB15" s="24">
        <v>11043203</v>
      </c>
      <c r="AC15" s="24">
        <v>10999621</v>
      </c>
      <c r="AD15" s="24">
        <v>10952678</v>
      </c>
      <c r="AE15" s="24">
        <v>10902632</v>
      </c>
      <c r="AF15" s="24">
        <v>10849768</v>
      </c>
      <c r="AG15" s="24">
        <v>10794406</v>
      </c>
      <c r="AH15" s="24">
        <v>10736892</v>
      </c>
      <c r="AI15" s="24">
        <v>10677605</v>
      </c>
      <c r="AJ15" s="24">
        <v>10616953</v>
      </c>
      <c r="AK15" s="24">
        <v>10555376</v>
      </c>
      <c r="AL15" s="24">
        <v>10493344</v>
      </c>
      <c r="AM15" s="24">
        <v>10431356</v>
      </c>
      <c r="AN15" s="24">
        <v>10369943</v>
      </c>
      <c r="AO15" s="24">
        <v>10309665</v>
      </c>
      <c r="AP15" s="24">
        <v>10251114</v>
      </c>
      <c r="AQ15" s="24">
        <v>10194912</v>
      </c>
      <c r="AR15" s="24">
        <v>10141710</v>
      </c>
      <c r="AS15" s="24">
        <v>10092191</v>
      </c>
      <c r="AT15" s="24">
        <v>10047068</v>
      </c>
    </row>
    <row r="16" spans="1:46" s="27" customFormat="1" ht="15.75">
      <c r="A16" s="26" t="s">
        <v>158</v>
      </c>
      <c r="B16" s="25"/>
      <c r="C16" s="25"/>
      <c r="E16" s="24">
        <v>5589820</v>
      </c>
      <c r="F16" s="24">
        <v>5610690</v>
      </c>
      <c r="G16" s="24">
        <v>5629458</v>
      </c>
      <c r="H16" s="24">
        <v>5646084</v>
      </c>
      <c r="I16" s="24">
        <v>5660533</v>
      </c>
      <c r="J16" s="24">
        <v>5672777</v>
      </c>
      <c r="K16" s="24">
        <v>5682794</v>
      </c>
      <c r="L16" s="24">
        <v>5690569</v>
      </c>
      <c r="M16" s="24">
        <v>5696092</v>
      </c>
      <c r="N16" s="24">
        <v>5699361</v>
      </c>
      <c r="O16" s="24">
        <v>5700379</v>
      </c>
      <c r="P16" s="24">
        <v>5699158</v>
      </c>
      <c r="Q16" s="24">
        <v>5695714</v>
      </c>
      <c r="R16" s="24">
        <v>5690070</v>
      </c>
      <c r="S16" s="24">
        <v>5682254</v>
      </c>
      <c r="T16" s="24">
        <v>5672304</v>
      </c>
      <c r="U16" s="24">
        <v>5660261</v>
      </c>
      <c r="V16" s="24">
        <v>5646174</v>
      </c>
      <c r="W16" s="24">
        <v>5630098</v>
      </c>
      <c r="X16" s="24">
        <v>5612094</v>
      </c>
      <c r="Y16" s="24">
        <v>5592231</v>
      </c>
      <c r="Z16" s="24">
        <v>5570582</v>
      </c>
      <c r="AA16" s="24">
        <v>5547229</v>
      </c>
      <c r="AB16" s="24">
        <v>5522258</v>
      </c>
      <c r="AC16" s="24">
        <v>5495764</v>
      </c>
      <c r="AD16" s="24">
        <v>5467845</v>
      </c>
      <c r="AE16" s="24">
        <v>5438608</v>
      </c>
      <c r="AF16" s="24">
        <v>5408166</v>
      </c>
      <c r="AG16" s="24">
        <v>5376638</v>
      </c>
      <c r="AH16" s="24">
        <v>5344150</v>
      </c>
      <c r="AI16" s="24">
        <v>5310833</v>
      </c>
      <c r="AJ16" s="24">
        <v>5276826</v>
      </c>
      <c r="AK16" s="24">
        <v>5242273</v>
      </c>
      <c r="AL16" s="24">
        <v>5207327</v>
      </c>
      <c r="AM16" s="24">
        <v>5172143</v>
      </c>
      <c r="AN16" s="24">
        <v>5136887</v>
      </c>
      <c r="AO16" s="24">
        <v>5101728</v>
      </c>
      <c r="AP16" s="24">
        <v>5066844</v>
      </c>
      <c r="AQ16" s="24">
        <v>5032418</v>
      </c>
      <c r="AR16" s="24">
        <v>4998638</v>
      </c>
      <c r="AS16" s="24">
        <v>4965702</v>
      </c>
      <c r="AT16" s="24">
        <v>4933811</v>
      </c>
    </row>
    <row r="17" spans="1:46" s="27" customFormat="1" ht="15.75">
      <c r="A17" s="26" t="s">
        <v>159</v>
      </c>
      <c r="B17" s="25"/>
      <c r="C17" s="25"/>
      <c r="E17" s="24">
        <v>5924990</v>
      </c>
      <c r="F17" s="24">
        <v>5951569</v>
      </c>
      <c r="G17" s="24">
        <v>5975991</v>
      </c>
      <c r="H17" s="24">
        <v>5998226</v>
      </c>
      <c r="I17" s="24">
        <v>6018247</v>
      </c>
      <c r="J17" s="24">
        <v>6036033</v>
      </c>
      <c r="K17" s="24">
        <v>6051569</v>
      </c>
      <c r="L17" s="24">
        <v>6064845</v>
      </c>
      <c r="M17" s="24">
        <v>6075856</v>
      </c>
      <c r="N17" s="24">
        <v>6084601</v>
      </c>
      <c r="O17" s="24">
        <v>6091088</v>
      </c>
      <c r="P17" s="24">
        <v>6095327</v>
      </c>
      <c r="Q17" s="24">
        <v>6097335</v>
      </c>
      <c r="R17" s="24">
        <v>6097133</v>
      </c>
      <c r="S17" s="24">
        <v>6094748</v>
      </c>
      <c r="T17" s="24">
        <v>6090213</v>
      </c>
      <c r="U17" s="24">
        <v>6083566</v>
      </c>
      <c r="V17" s="24">
        <v>6074849</v>
      </c>
      <c r="W17" s="24">
        <v>6064112</v>
      </c>
      <c r="X17" s="24">
        <v>6051407</v>
      </c>
      <c r="Y17" s="24">
        <v>6036795</v>
      </c>
      <c r="Z17" s="24">
        <v>6020338</v>
      </c>
      <c r="AA17" s="24">
        <v>6002108</v>
      </c>
      <c r="AB17" s="24">
        <v>5982178</v>
      </c>
      <c r="AC17" s="24">
        <v>5960630</v>
      </c>
      <c r="AD17" s="24">
        <v>5937549</v>
      </c>
      <c r="AE17" s="24">
        <v>5913026</v>
      </c>
      <c r="AF17" s="24">
        <v>5887157</v>
      </c>
      <c r="AG17" s="24">
        <v>5860045</v>
      </c>
      <c r="AH17" s="24">
        <v>5831795</v>
      </c>
      <c r="AI17" s="24">
        <v>5802521</v>
      </c>
      <c r="AJ17" s="24">
        <v>5772340</v>
      </c>
      <c r="AK17" s="24">
        <v>5741374</v>
      </c>
      <c r="AL17" s="24">
        <v>5709753</v>
      </c>
      <c r="AM17" s="24">
        <v>5677611</v>
      </c>
      <c r="AN17" s="24">
        <v>5645084</v>
      </c>
      <c r="AO17" s="24">
        <v>5612319</v>
      </c>
      <c r="AP17" s="24">
        <v>5579465</v>
      </c>
      <c r="AQ17" s="24">
        <v>5546677</v>
      </c>
      <c r="AR17" s="24">
        <v>5514114</v>
      </c>
      <c r="AS17" s="24">
        <v>5481943</v>
      </c>
      <c r="AT17" s="24">
        <v>5450335</v>
      </c>
    </row>
    <row r="18" spans="1:46" s="27" customFormat="1" ht="15.75">
      <c r="A18" s="26" t="s">
        <v>160</v>
      </c>
      <c r="B18" s="25"/>
      <c r="C18" s="25"/>
      <c r="E18" s="24">
        <v>3913234</v>
      </c>
      <c r="F18" s="24">
        <v>3928160</v>
      </c>
      <c r="G18" s="24">
        <v>3941117</v>
      </c>
      <c r="H18" s="24">
        <v>3952112</v>
      </c>
      <c r="I18" s="24">
        <v>3961153</v>
      </c>
      <c r="J18" s="24">
        <v>3968253</v>
      </c>
      <c r="K18" s="24">
        <v>3973430</v>
      </c>
      <c r="L18" s="24">
        <v>3976705</v>
      </c>
      <c r="M18" s="24">
        <v>3978102</v>
      </c>
      <c r="N18" s="24">
        <v>3977650</v>
      </c>
      <c r="O18" s="24">
        <v>3975383</v>
      </c>
      <c r="P18" s="24">
        <v>3971338</v>
      </c>
      <c r="Q18" s="24">
        <v>3965555</v>
      </c>
      <c r="R18" s="24">
        <v>3958079</v>
      </c>
      <c r="S18" s="24">
        <v>3948960</v>
      </c>
      <c r="T18" s="24">
        <v>3938251</v>
      </c>
      <c r="U18" s="24">
        <v>3926007</v>
      </c>
      <c r="V18" s="24">
        <v>3912290</v>
      </c>
      <c r="W18" s="24">
        <v>3897165</v>
      </c>
      <c r="X18" s="24">
        <v>3880700</v>
      </c>
      <c r="Y18" s="24">
        <v>3862969</v>
      </c>
      <c r="Z18" s="24">
        <v>3844048</v>
      </c>
      <c r="AA18" s="24">
        <v>3824018</v>
      </c>
      <c r="AB18" s="24">
        <v>3802963</v>
      </c>
      <c r="AC18" s="24">
        <v>3780973</v>
      </c>
      <c r="AD18" s="24">
        <v>3758139</v>
      </c>
      <c r="AE18" s="24">
        <v>3734560</v>
      </c>
      <c r="AF18" s="24">
        <v>3710334</v>
      </c>
      <c r="AG18" s="24">
        <v>3685567</v>
      </c>
      <c r="AH18" s="24">
        <v>3660367</v>
      </c>
      <c r="AI18" s="24">
        <v>3634847</v>
      </c>
      <c r="AJ18" s="24">
        <v>3609124</v>
      </c>
      <c r="AK18" s="24">
        <v>3583318</v>
      </c>
      <c r="AL18" s="24">
        <v>3557553</v>
      </c>
      <c r="AM18" s="24">
        <v>3531958</v>
      </c>
      <c r="AN18" s="24">
        <v>3506666</v>
      </c>
      <c r="AO18" s="24">
        <v>3481812</v>
      </c>
      <c r="AP18" s="24">
        <v>3457538</v>
      </c>
      <c r="AQ18" s="24">
        <v>3433987</v>
      </c>
      <c r="AR18" s="24">
        <v>3411308</v>
      </c>
      <c r="AS18" s="24">
        <v>3389653</v>
      </c>
      <c r="AT18" s="24">
        <v>3369180</v>
      </c>
    </row>
    <row r="19" spans="1:46" s="27" customFormat="1" ht="15.75">
      <c r="A19" s="26" t="s">
        <v>161</v>
      </c>
      <c r="B19" s="25"/>
      <c r="C19" s="25"/>
      <c r="E19" s="24">
        <v>8780329</v>
      </c>
      <c r="F19" s="24">
        <v>8794781</v>
      </c>
      <c r="G19" s="24">
        <v>8813631</v>
      </c>
      <c r="H19" s="24">
        <v>8835977</v>
      </c>
      <c r="I19" s="24">
        <v>8860965</v>
      </c>
      <c r="J19" s="24">
        <v>8887791</v>
      </c>
      <c r="K19" s="24">
        <v>8915703</v>
      </c>
      <c r="L19" s="24">
        <v>8943995</v>
      </c>
      <c r="M19" s="24">
        <v>8972013</v>
      </c>
      <c r="N19" s="24">
        <v>8999151</v>
      </c>
      <c r="O19" s="24">
        <v>9024854</v>
      </c>
      <c r="P19" s="24">
        <v>9048616</v>
      </c>
      <c r="Q19" s="24">
        <v>9069980</v>
      </c>
      <c r="R19" s="24">
        <v>9088538</v>
      </c>
      <c r="S19" s="24">
        <v>9103935</v>
      </c>
      <c r="T19" s="24">
        <v>9115861</v>
      </c>
      <c r="U19" s="24">
        <v>9124059</v>
      </c>
      <c r="V19" s="24">
        <v>9128320</v>
      </c>
      <c r="W19" s="24">
        <v>9128484</v>
      </c>
      <c r="X19" s="24">
        <v>9124443</v>
      </c>
      <c r="Y19" s="24">
        <v>9116135</v>
      </c>
      <c r="Z19" s="24">
        <v>9103551</v>
      </c>
      <c r="AA19" s="24">
        <v>9086729</v>
      </c>
      <c r="AB19" s="24">
        <v>9065759</v>
      </c>
      <c r="AC19" s="24">
        <v>9040778</v>
      </c>
      <c r="AD19" s="24">
        <v>9011975</v>
      </c>
      <c r="AE19" s="24">
        <v>8979586</v>
      </c>
      <c r="AF19" s="24">
        <v>8943899</v>
      </c>
      <c r="AG19" s="24">
        <v>8905249</v>
      </c>
      <c r="AH19" s="24">
        <v>8864024</v>
      </c>
      <c r="AI19" s="24">
        <v>8820659</v>
      </c>
      <c r="AJ19" s="24">
        <v>8775638</v>
      </c>
      <c r="AK19" s="24">
        <v>8729497</v>
      </c>
      <c r="AL19" s="24">
        <v>8682820</v>
      </c>
      <c r="AM19" s="24">
        <v>8636241</v>
      </c>
      <c r="AN19" s="24">
        <v>8590443</v>
      </c>
      <c r="AO19" s="24">
        <v>8546160</v>
      </c>
      <c r="AP19" s="24">
        <v>8504173</v>
      </c>
      <c r="AQ19" s="24">
        <v>8465315</v>
      </c>
      <c r="AR19" s="24">
        <v>8430468</v>
      </c>
      <c r="AS19" s="24">
        <v>8400563</v>
      </c>
      <c r="AT19" s="24">
        <v>8376580</v>
      </c>
    </row>
    <row r="20" spans="1:46">
      <c r="B20" s="28">
        <v>-6.8494969999999999E-5</v>
      </c>
      <c r="C20" s="28">
        <v>0.28318700000000002</v>
      </c>
      <c r="D20" s="28">
        <v>-291.88900000000001</v>
      </c>
    </row>
    <row r="21" spans="1:46" s="14" customFormat="1">
      <c r="A21" s="14" t="s">
        <v>164</v>
      </c>
      <c r="E21" s="14">
        <f>SUM(E4:E19)/10000</f>
        <v>10102.831700000001</v>
      </c>
      <c r="F21" s="14">
        <f t="shared" ref="F21:AT21" si="0">SUM(F4:F19)/10000</f>
        <v>10151.554899999999</v>
      </c>
      <c r="G21" s="14">
        <f t="shared" si="0"/>
        <v>10194.210800000001</v>
      </c>
      <c r="H21" s="14">
        <f t="shared" si="0"/>
        <v>10230.9238</v>
      </c>
      <c r="I21" s="14">
        <f t="shared" si="0"/>
        <v>10261.823399999999</v>
      </c>
      <c r="J21" s="14">
        <f t="shared" si="0"/>
        <v>10287.0422</v>
      </c>
      <c r="K21" s="14">
        <f t="shared" si="0"/>
        <v>10306.7183</v>
      </c>
      <c r="L21" s="14">
        <f t="shared" si="0"/>
        <v>10320.994500000001</v>
      </c>
      <c r="M21" s="14">
        <f t="shared" si="0"/>
        <v>10330.0167</v>
      </c>
      <c r="N21" s="14">
        <f t="shared" si="0"/>
        <v>10333.936100000001</v>
      </c>
      <c r="O21" s="14">
        <f t="shared" si="0"/>
        <v>10332.908100000001</v>
      </c>
      <c r="P21" s="14">
        <f t="shared" si="0"/>
        <v>10327.0934</v>
      </c>
      <c r="Q21" s="14">
        <f t="shared" si="0"/>
        <v>10316.6556</v>
      </c>
      <c r="R21" s="14">
        <f t="shared" si="0"/>
        <v>10301.763499999999</v>
      </c>
      <c r="S21" s="14">
        <f t="shared" si="0"/>
        <v>10282.5906</v>
      </c>
      <c r="T21" s="14">
        <f t="shared" si="0"/>
        <v>10259.3143</v>
      </c>
      <c r="U21" s="14">
        <f t="shared" si="0"/>
        <v>10232.1167</v>
      </c>
      <c r="V21" s="14">
        <f t="shared" si="0"/>
        <v>10201.184300000001</v>
      </c>
      <c r="W21" s="14">
        <f t="shared" si="0"/>
        <v>10166.707899999999</v>
      </c>
      <c r="X21" s="14">
        <f t="shared" si="0"/>
        <v>10128.8827</v>
      </c>
      <c r="Y21" s="14">
        <f t="shared" si="0"/>
        <v>10087.908600000001</v>
      </c>
      <c r="Z21" s="14">
        <f t="shared" si="0"/>
        <v>10043.9899</v>
      </c>
      <c r="AA21" s="14">
        <f t="shared" si="0"/>
        <v>9997.3348000000005</v>
      </c>
      <c r="AB21" s="14">
        <f t="shared" si="0"/>
        <v>9948.1563000000006</v>
      </c>
      <c r="AC21" s="14">
        <f t="shared" si="0"/>
        <v>9896.6723000000002</v>
      </c>
      <c r="AD21" s="14">
        <f t="shared" si="0"/>
        <v>9843.1043000000009</v>
      </c>
      <c r="AE21" s="14">
        <f t="shared" si="0"/>
        <v>9787.6787999999997</v>
      </c>
      <c r="AF21" s="14">
        <f t="shared" si="0"/>
        <v>9730.6257999999998</v>
      </c>
      <c r="AG21" s="14">
        <f t="shared" si="0"/>
        <v>9672.1812000000009</v>
      </c>
      <c r="AH21" s="14">
        <f t="shared" si="0"/>
        <v>9612.5841</v>
      </c>
      <c r="AI21" s="14">
        <f t="shared" si="0"/>
        <v>9552.0786000000007</v>
      </c>
      <c r="AJ21" s="14">
        <f t="shared" si="0"/>
        <v>9490.9132000000009</v>
      </c>
      <c r="AK21" s="14">
        <f t="shared" si="0"/>
        <v>9429.3402999999998</v>
      </c>
      <c r="AL21" s="14">
        <f t="shared" si="0"/>
        <v>9367.6178999999993</v>
      </c>
      <c r="AM21" s="14">
        <f t="shared" si="0"/>
        <v>9306.0069999999996</v>
      </c>
      <c r="AN21" s="14">
        <f t="shared" si="0"/>
        <v>9244.7736000000004</v>
      </c>
      <c r="AO21" s="14">
        <f t="shared" si="0"/>
        <v>9184.1885999999995</v>
      </c>
      <c r="AP21" s="14">
        <f t="shared" si="0"/>
        <v>9124.5267999999996</v>
      </c>
      <c r="AQ21" s="14">
        <f t="shared" si="0"/>
        <v>9066.0676000000003</v>
      </c>
      <c r="AR21" s="14">
        <f t="shared" si="0"/>
        <v>9009.0943000000007</v>
      </c>
      <c r="AS21" s="14">
        <f t="shared" si="0"/>
        <v>8953.8956999999991</v>
      </c>
      <c r="AT21" s="14">
        <f t="shared" si="0"/>
        <v>8900.7641999999996</v>
      </c>
    </row>
    <row r="22" spans="1:46">
      <c r="A22" t="s">
        <v>141</v>
      </c>
      <c r="B22" s="29">
        <f t="shared" ref="B22:D22" si="1">$B$20*B$3^2+$C$20*B$3+$D$20</f>
        <v>0.63489920768000729</v>
      </c>
      <c r="C22" s="29">
        <f t="shared" si="1"/>
        <v>0.64184599366996054</v>
      </c>
      <c r="D22" s="29">
        <f t="shared" si="1"/>
        <v>0.64865578972001003</v>
      </c>
      <c r="E22" s="29">
        <f>$B$20*E$3^2+$C$20*E$3+$D$20</f>
        <v>0.65532859583009895</v>
      </c>
      <c r="F22" s="29">
        <f t="shared" ref="F22:U22" si="2">$B$20*F$3^2+$C$20*F$3+$D$20</f>
        <v>0.66186441200011359</v>
      </c>
      <c r="G22" s="29">
        <f t="shared" si="2"/>
        <v>0.6682632382301108</v>
      </c>
      <c r="H22" s="29">
        <f t="shared" si="2"/>
        <v>0.67452507452009058</v>
      </c>
      <c r="I22" s="29">
        <f t="shared" si="2"/>
        <v>0.68064992087010978</v>
      </c>
      <c r="J22" s="29">
        <f t="shared" si="2"/>
        <v>0.68663777728011155</v>
      </c>
      <c r="K22" s="29">
        <f t="shared" si="2"/>
        <v>0.69248864375009589</v>
      </c>
      <c r="L22" s="29">
        <f t="shared" si="2"/>
        <v>0.6982025202800628</v>
      </c>
      <c r="M22" s="29">
        <f t="shared" si="2"/>
        <v>0.70377940687006912</v>
      </c>
      <c r="N22" s="29">
        <f t="shared" si="2"/>
        <v>0.70921930352005802</v>
      </c>
      <c r="O22" s="29">
        <f t="shared" si="2"/>
        <v>0.71452221023008633</v>
      </c>
      <c r="P22" s="29">
        <f t="shared" si="2"/>
        <v>0.71968812700009721</v>
      </c>
      <c r="Q22" s="29">
        <f t="shared" si="2"/>
        <v>0.72471705383009066</v>
      </c>
      <c r="R22" s="29">
        <f t="shared" si="2"/>
        <v>0.72960899072006669</v>
      </c>
      <c r="S22" s="29">
        <f t="shared" si="2"/>
        <v>0.73436393767008212</v>
      </c>
      <c r="T22" s="29">
        <f t="shared" si="2"/>
        <v>0.73898189468008013</v>
      </c>
      <c r="U22" s="29">
        <f t="shared" si="2"/>
        <v>0.74346286175006071</v>
      </c>
      <c r="V22" s="29">
        <f t="shared" ref="V22:AT22" si="3">$B$20*V$3^2+$C$20*V$3+$D$20</f>
        <v>0.7478068388800807</v>
      </c>
      <c r="W22" s="29">
        <f t="shared" si="3"/>
        <v>0.75201382607008327</v>
      </c>
      <c r="X22" s="29">
        <f t="shared" si="3"/>
        <v>0.7560838233200684</v>
      </c>
      <c r="Y22" s="29">
        <f t="shared" si="3"/>
        <v>0.76001683063003611</v>
      </c>
      <c r="Z22" s="29">
        <f t="shared" si="3"/>
        <v>0.76381284800004323</v>
      </c>
      <c r="AA22" s="29">
        <f t="shared" si="3"/>
        <v>0.76747187543003292</v>
      </c>
      <c r="AB22" s="29">
        <f t="shared" si="3"/>
        <v>0.77099391292006203</v>
      </c>
      <c r="AC22" s="29">
        <f t="shared" si="3"/>
        <v>0.77437896047007371</v>
      </c>
      <c r="AD22" s="29">
        <f t="shared" si="3"/>
        <v>0.77762701808006796</v>
      </c>
      <c r="AE22" s="29">
        <f t="shared" si="3"/>
        <v>0.78073808575004477</v>
      </c>
      <c r="AF22" s="29">
        <f t="shared" si="3"/>
        <v>0.78371216348006101</v>
      </c>
      <c r="AG22" s="29">
        <f t="shared" si="3"/>
        <v>0.78654925127005981</v>
      </c>
      <c r="AH22" s="29">
        <f t="shared" si="3"/>
        <v>0.78924934912004119</v>
      </c>
      <c r="AI22" s="29">
        <f t="shared" si="3"/>
        <v>0.79181245703006198</v>
      </c>
      <c r="AJ22" s="29">
        <f t="shared" si="3"/>
        <v>0.79423857500006534</v>
      </c>
      <c r="AK22" s="29">
        <f t="shared" si="3"/>
        <v>0.79652770303005127</v>
      </c>
      <c r="AL22" s="29">
        <f t="shared" si="3"/>
        <v>0.79867984112001977</v>
      </c>
      <c r="AM22" s="29">
        <f t="shared" si="3"/>
        <v>0.80069498927002769</v>
      </c>
      <c r="AN22" s="29">
        <f t="shared" si="3"/>
        <v>0.80257314748001818</v>
      </c>
      <c r="AO22" s="29">
        <f t="shared" si="3"/>
        <v>0.80431431575004808</v>
      </c>
      <c r="AP22" s="29">
        <f t="shared" si="3"/>
        <v>0.80591849408000371</v>
      </c>
      <c r="AQ22" s="29">
        <f t="shared" si="3"/>
        <v>0.80738568246999876</v>
      </c>
      <c r="AR22" s="29">
        <f t="shared" si="3"/>
        <v>0.80871588092003321</v>
      </c>
      <c r="AS22" s="29">
        <f t="shared" si="3"/>
        <v>0.8099090894299934</v>
      </c>
      <c r="AT22" s="29">
        <f t="shared" si="3"/>
        <v>0.810965307999993</v>
      </c>
    </row>
    <row r="23" spans="1:46" s="14" customFormat="1">
      <c r="A23" s="14" t="s">
        <v>138</v>
      </c>
      <c r="E23" s="14">
        <f>E21*E22</f>
        <v>6620.6745118688123</v>
      </c>
      <c r="F23" s="14">
        <f t="shared" ref="F23:AT23" si="4">F21*F22</f>
        <v>6718.952914775371</v>
      </c>
      <c r="G23" s="14">
        <f t="shared" si="4"/>
        <v>6812.4163204083688</v>
      </c>
      <c r="H23" s="14">
        <f t="shared" si="4"/>
        <v>6901.0146386043689</v>
      </c>
      <c r="I23" s="14">
        <f t="shared" si="4"/>
        <v>6984.7092851930402</v>
      </c>
      <c r="J23" s="14">
        <f t="shared" si="4"/>
        <v>7063.4717909947085</v>
      </c>
      <c r="K23" s="14">
        <f t="shared" si="4"/>
        <v>7137.2853770812944</v>
      </c>
      <c r="L23" s="14">
        <f t="shared" si="4"/>
        <v>7206.1443716966669</v>
      </c>
      <c r="M23" s="14">
        <f t="shared" si="4"/>
        <v>7270.0530260839087</v>
      </c>
      <c r="N23" s="14">
        <f t="shared" si="4"/>
        <v>7329.0269634627848</v>
      </c>
      <c r="O23" s="14">
        <f t="shared" si="4"/>
        <v>7383.0923337163622</v>
      </c>
      <c r="P23" s="14">
        <f t="shared" si="4"/>
        <v>7432.2865064010657</v>
      </c>
      <c r="Q23" s="14">
        <f t="shared" si="4"/>
        <v>7476.6562518117062</v>
      </c>
      <c r="R23" s="14">
        <f t="shared" si="4"/>
        <v>7516.2592698718208</v>
      </c>
      <c r="S23" s="14">
        <f t="shared" si="4"/>
        <v>7551.1637224653723</v>
      </c>
      <c r="T23" s="14">
        <f t="shared" si="4"/>
        <v>7581.4475195324403</v>
      </c>
      <c r="U23" s="14">
        <f t="shared" si="4"/>
        <v>7607.1987635425876</v>
      </c>
      <c r="V23" s="14">
        <f t="shared" si="4"/>
        <v>7628.5153842161099</v>
      </c>
      <c r="W23" s="14">
        <f t="shared" si="4"/>
        <v>7645.5049064159412</v>
      </c>
      <c r="X23" s="14">
        <f t="shared" si="4"/>
        <v>7658.2843577764979</v>
      </c>
      <c r="Y23" s="14">
        <f t="shared" si="4"/>
        <v>7666.9803218574853</v>
      </c>
      <c r="Z23" s="14">
        <f t="shared" si="4"/>
        <v>7671.7285308026694</v>
      </c>
      <c r="AA23" s="14">
        <f t="shared" si="4"/>
        <v>7672.6732882579336</v>
      </c>
      <c r="AB23" s="14">
        <f t="shared" si="4"/>
        <v>7669.967952077367</v>
      </c>
      <c r="AC23" s="14">
        <f t="shared" si="4"/>
        <v>7663.7748077869737</v>
      </c>
      <c r="AD23" s="14">
        <f t="shared" si="4"/>
        <v>7654.2638454600956</v>
      </c>
      <c r="AE23" s="14">
        <f t="shared" si="4"/>
        <v>7641.6136102482951</v>
      </c>
      <c r="AF23" s="14">
        <f t="shared" si="4"/>
        <v>7626.0097977328996</v>
      </c>
      <c r="AG23" s="14">
        <f t="shared" si="4"/>
        <v>7607.6468810083497</v>
      </c>
      <c r="AH23" s="14">
        <f t="shared" si="4"/>
        <v>7586.7257442866567</v>
      </c>
      <c r="AI23" s="14">
        <f t="shared" si="4"/>
        <v>7563.4548260102756</v>
      </c>
      <c r="AJ23" s="14">
        <f t="shared" si="4"/>
        <v>7538.0493754173112</v>
      </c>
      <c r="AK23" s="14">
        <f t="shared" si="4"/>
        <v>7510.7307702476946</v>
      </c>
      <c r="AL23" s="14">
        <f t="shared" si="4"/>
        <v>7481.727576045053</v>
      </c>
      <c r="AM23" s="14">
        <f t="shared" si="4"/>
        <v>7451.2731750118019</v>
      </c>
      <c r="AN23" s="14">
        <f t="shared" si="4"/>
        <v>7419.6070458921786</v>
      </c>
      <c r="AO23" s="14">
        <f t="shared" si="4"/>
        <v>7386.9743695283914</v>
      </c>
      <c r="AP23" s="14">
        <f t="shared" si="4"/>
        <v>7353.6248978486346</v>
      </c>
      <c r="AQ23" s="14">
        <f t="shared" si="4"/>
        <v>7319.8131765451435</v>
      </c>
      <c r="AR23" s="14">
        <f t="shared" si="4"/>
        <v>7285.7976331161508</v>
      </c>
      <c r="AS23" s="14">
        <f t="shared" si="4"/>
        <v>7251.8415132381324</v>
      </c>
      <c r="AT23" s="14">
        <f t="shared" si="4"/>
        <v>7218.2109808883106</v>
      </c>
    </row>
    <row r="24" spans="1:46" s="14" customFormat="1">
      <c r="A24" s="14" t="s">
        <v>139</v>
      </c>
      <c r="E24" s="14">
        <f>E21-E23</f>
        <v>3482.1571881311884</v>
      </c>
      <c r="F24" s="14">
        <f t="shared" ref="F24:AT24" si="5">F21-F23</f>
        <v>3432.6019852246282</v>
      </c>
      <c r="G24" s="14">
        <f t="shared" si="5"/>
        <v>3381.7944795916319</v>
      </c>
      <c r="H24" s="14">
        <f t="shared" si="5"/>
        <v>3329.9091613956316</v>
      </c>
      <c r="I24" s="14">
        <f t="shared" si="5"/>
        <v>3277.1141148069592</v>
      </c>
      <c r="J24" s="14">
        <f t="shared" si="5"/>
        <v>3223.5704090052914</v>
      </c>
      <c r="K24" s="14">
        <f t="shared" si="5"/>
        <v>3169.432922918706</v>
      </c>
      <c r="L24" s="14">
        <f t="shared" si="5"/>
        <v>3114.8501283033338</v>
      </c>
      <c r="M24" s="14">
        <f t="shared" si="5"/>
        <v>3059.9636739160915</v>
      </c>
      <c r="N24" s="14">
        <f t="shared" si="5"/>
        <v>3004.909136537216</v>
      </c>
      <c r="O24" s="14">
        <f t="shared" si="5"/>
        <v>2949.8157662836384</v>
      </c>
      <c r="P24" s="14">
        <f t="shared" si="5"/>
        <v>2894.806893598934</v>
      </c>
      <c r="Q24" s="14">
        <f t="shared" si="5"/>
        <v>2839.9993481882939</v>
      </c>
      <c r="R24" s="14">
        <f t="shared" si="5"/>
        <v>2785.5042301281783</v>
      </c>
      <c r="S24" s="14">
        <f t="shared" si="5"/>
        <v>2731.4268775346272</v>
      </c>
      <c r="T24" s="14">
        <f t="shared" si="5"/>
        <v>2677.8667804675597</v>
      </c>
      <c r="U24" s="14">
        <f t="shared" si="5"/>
        <v>2624.9179364574129</v>
      </c>
      <c r="V24" s="14">
        <f t="shared" si="5"/>
        <v>2572.668915783891</v>
      </c>
      <c r="W24" s="14">
        <f t="shared" si="5"/>
        <v>2521.2029935840583</v>
      </c>
      <c r="X24" s="14">
        <f t="shared" si="5"/>
        <v>2470.5983422235022</v>
      </c>
      <c r="Y24" s="14">
        <f t="shared" si="5"/>
        <v>2420.9282781425154</v>
      </c>
      <c r="Z24" s="14">
        <f t="shared" si="5"/>
        <v>2372.2613691973311</v>
      </c>
      <c r="AA24" s="14">
        <f t="shared" si="5"/>
        <v>2324.661511742067</v>
      </c>
      <c r="AB24" s="14">
        <f t="shared" si="5"/>
        <v>2278.1883479226335</v>
      </c>
      <c r="AC24" s="14">
        <f t="shared" si="5"/>
        <v>2232.8974922130265</v>
      </c>
      <c r="AD24" s="14">
        <f t="shared" si="5"/>
        <v>2188.8404545399053</v>
      </c>
      <c r="AE24" s="14">
        <f t="shared" si="5"/>
        <v>2146.0651897517046</v>
      </c>
      <c r="AF24" s="14">
        <f t="shared" si="5"/>
        <v>2104.6160022671002</v>
      </c>
      <c r="AG24" s="14">
        <f t="shared" si="5"/>
        <v>2064.5343189916512</v>
      </c>
      <c r="AH24" s="14">
        <f t="shared" si="5"/>
        <v>2025.8583557133434</v>
      </c>
      <c r="AI24" s="14">
        <f t="shared" si="5"/>
        <v>1988.6237739897251</v>
      </c>
      <c r="AJ24" s="14">
        <f t="shared" si="5"/>
        <v>1952.8638245826896</v>
      </c>
      <c r="AK24" s="14">
        <f t="shared" si="5"/>
        <v>1918.6095297523052</v>
      </c>
      <c r="AL24" s="14">
        <f t="shared" si="5"/>
        <v>1885.8903239549463</v>
      </c>
      <c r="AM24" s="14">
        <f t="shared" si="5"/>
        <v>1854.7338249881977</v>
      </c>
      <c r="AN24" s="14">
        <f t="shared" si="5"/>
        <v>1825.1665541078219</v>
      </c>
      <c r="AO24" s="14">
        <f t="shared" si="5"/>
        <v>1797.2142304716081</v>
      </c>
      <c r="AP24" s="14">
        <f t="shared" si="5"/>
        <v>1770.901902151365</v>
      </c>
      <c r="AQ24" s="14">
        <f t="shared" si="5"/>
        <v>1746.2544234548568</v>
      </c>
      <c r="AR24" s="14">
        <f t="shared" si="5"/>
        <v>1723.2966668838499</v>
      </c>
      <c r="AS24" s="14">
        <f t="shared" si="5"/>
        <v>1702.0541867618667</v>
      </c>
      <c r="AT24" s="14">
        <f t="shared" si="5"/>
        <v>1682.553219111689</v>
      </c>
    </row>
    <row r="26" spans="1:46">
      <c r="A26" s="14" t="s">
        <v>162</v>
      </c>
      <c r="B26" t="s">
        <v>165</v>
      </c>
      <c r="E26" s="14">
        <f>E23/$F$1</f>
        <v>2416.3045663754788</v>
      </c>
      <c r="F26" s="14">
        <f t="shared" ref="F26:AT26" si="6">F23/$F$1</f>
        <v>2452.172596633347</v>
      </c>
      <c r="G26" s="14">
        <f t="shared" si="6"/>
        <v>2486.2833286161926</v>
      </c>
      <c r="H26" s="14">
        <f t="shared" si="6"/>
        <v>2518.6184812424704</v>
      </c>
      <c r="I26" s="14">
        <f t="shared" si="6"/>
        <v>2549.1639726981898</v>
      </c>
      <c r="J26" s="14">
        <f t="shared" si="6"/>
        <v>2577.9094127717913</v>
      </c>
      <c r="K26" s="14">
        <f t="shared" si="6"/>
        <v>2604.8486777668954</v>
      </c>
      <c r="L26" s="14">
        <f t="shared" si="6"/>
        <v>2629.9796976995131</v>
      </c>
      <c r="M26" s="14">
        <f t="shared" si="6"/>
        <v>2653.3040241182148</v>
      </c>
      <c r="N26" s="14">
        <f t="shared" si="6"/>
        <v>2674.8273589280234</v>
      </c>
      <c r="O26" s="14">
        <f t="shared" si="6"/>
        <v>2694.5592458818837</v>
      </c>
      <c r="P26" s="14">
        <f t="shared" si="6"/>
        <v>2712.5133235040385</v>
      </c>
      <c r="Q26" s="14">
        <f t="shared" si="6"/>
        <v>2728.7066612451481</v>
      </c>
      <c r="R26" s="14">
        <f t="shared" si="6"/>
        <v>2743.1603174714674</v>
      </c>
      <c r="S26" s="14">
        <f t="shared" si="6"/>
        <v>2755.8991687829825</v>
      </c>
      <c r="T26" s="14">
        <f t="shared" si="6"/>
        <v>2766.951649464394</v>
      </c>
      <c r="U26" s="14">
        <f t="shared" si="6"/>
        <v>2776.3499137016743</v>
      </c>
      <c r="V26" s="14">
        <f t="shared" si="6"/>
        <v>2784.1297022686531</v>
      </c>
      <c r="W26" s="14">
        <f t="shared" si="6"/>
        <v>2790.3302578160369</v>
      </c>
      <c r="X26" s="14">
        <f t="shared" si="6"/>
        <v>2794.9942911593057</v>
      </c>
      <c r="Y26" s="14">
        <f t="shared" si="6"/>
        <v>2798.1680006779143</v>
      </c>
      <c r="Z26" s="14">
        <f t="shared" si="6"/>
        <v>2799.900923650609</v>
      </c>
      <c r="AA26" s="14">
        <f t="shared" si="6"/>
        <v>2800.2457256415814</v>
      </c>
      <c r="AB26" s="14">
        <f t="shared" si="6"/>
        <v>2799.2583766705716</v>
      </c>
      <c r="AC26" s="14">
        <f t="shared" si="6"/>
        <v>2796.9981050317419</v>
      </c>
      <c r="AD26" s="14">
        <f t="shared" si="6"/>
        <v>2793.5269508978449</v>
      </c>
      <c r="AE26" s="14">
        <f t="shared" si="6"/>
        <v>2788.9100767329542</v>
      </c>
      <c r="AF26" s="14">
        <f t="shared" si="6"/>
        <v>2783.2152546470434</v>
      </c>
      <c r="AG26" s="14">
        <f t="shared" si="6"/>
        <v>2776.5134602220251</v>
      </c>
      <c r="AH26" s="14">
        <f t="shared" si="6"/>
        <v>2768.8780088637432</v>
      </c>
      <c r="AI26" s="14">
        <f t="shared" si="6"/>
        <v>2760.3849729964509</v>
      </c>
      <c r="AJ26" s="14">
        <f t="shared" si="6"/>
        <v>2751.1129107362449</v>
      </c>
      <c r="AK26" s="14">
        <f t="shared" si="6"/>
        <v>2741.1426168787207</v>
      </c>
      <c r="AL26" s="14">
        <f t="shared" si="6"/>
        <v>2730.5575095054937</v>
      </c>
      <c r="AM26" s="14">
        <f t="shared" si="6"/>
        <v>2719.4427646028471</v>
      </c>
      <c r="AN26" s="14">
        <f t="shared" si="6"/>
        <v>2707.8857831723276</v>
      </c>
      <c r="AO26" s="14">
        <f t="shared" si="6"/>
        <v>2695.9760472731355</v>
      </c>
      <c r="AP26" s="14">
        <f t="shared" si="6"/>
        <v>2683.8047072440272</v>
      </c>
      <c r="AQ26" s="14">
        <f t="shared" si="6"/>
        <v>2671.4646629726799</v>
      </c>
      <c r="AR26" s="14">
        <f t="shared" si="6"/>
        <v>2659.0502310642883</v>
      </c>
      <c r="AS26" s="14">
        <f t="shared" si="6"/>
        <v>2646.6574865832599</v>
      </c>
      <c r="AT26" s="14">
        <f t="shared" si="6"/>
        <v>2634.3835696672663</v>
      </c>
    </row>
    <row r="27" spans="1:46">
      <c r="A27" s="14" t="s">
        <v>163</v>
      </c>
      <c r="B27" t="s">
        <v>165</v>
      </c>
      <c r="E27" s="14">
        <f>E24/$D$1</f>
        <v>1252.5745281047441</v>
      </c>
      <c r="F27" s="14">
        <f t="shared" ref="F27:AT27" si="7">F24/$D$1</f>
        <v>1234.7489155484275</v>
      </c>
      <c r="G27" s="14">
        <f t="shared" si="7"/>
        <v>1216.4728343854792</v>
      </c>
      <c r="H27" s="14">
        <f t="shared" si="7"/>
        <v>1197.8090508617381</v>
      </c>
      <c r="I27" s="14">
        <f t="shared" si="7"/>
        <v>1178.8180269089783</v>
      </c>
      <c r="J27" s="14">
        <f t="shared" si="7"/>
        <v>1159.5577010810402</v>
      </c>
      <c r="K27" s="14">
        <f t="shared" si="7"/>
        <v>1140.0837852225561</v>
      </c>
      <c r="L27" s="14">
        <f t="shared" si="7"/>
        <v>1120.4496864400483</v>
      </c>
      <c r="M27" s="14">
        <f t="shared" si="7"/>
        <v>1100.7063575237739</v>
      </c>
      <c r="N27" s="14">
        <f t="shared" si="7"/>
        <v>1080.902567099718</v>
      </c>
      <c r="O27" s="14">
        <f t="shared" si="7"/>
        <v>1061.0848080156973</v>
      </c>
      <c r="P27" s="14">
        <f t="shared" si="7"/>
        <v>1041.2974437406237</v>
      </c>
      <c r="Q27" s="14">
        <f t="shared" si="7"/>
        <v>1021.5824993483072</v>
      </c>
      <c r="R27" s="14">
        <f t="shared" si="7"/>
        <v>1001.9799388950282</v>
      </c>
      <c r="S27" s="14">
        <f t="shared" si="7"/>
        <v>982.52765378943434</v>
      </c>
      <c r="T27" s="14">
        <f t="shared" si="7"/>
        <v>963.2614318228633</v>
      </c>
      <c r="U27" s="14">
        <f t="shared" si="7"/>
        <v>944.21508505662337</v>
      </c>
      <c r="V27" s="14">
        <f t="shared" si="7"/>
        <v>925.42047330355797</v>
      </c>
      <c r="W27" s="14">
        <f t="shared" si="7"/>
        <v>906.90755164894188</v>
      </c>
      <c r="X27" s="14">
        <f t="shared" si="7"/>
        <v>888.70443964874187</v>
      </c>
      <c r="Y27" s="14">
        <f t="shared" si="7"/>
        <v>870.83751012320704</v>
      </c>
      <c r="Z27" s="14">
        <f t="shared" si="7"/>
        <v>853.33142776882414</v>
      </c>
      <c r="AA27" s="14">
        <f t="shared" si="7"/>
        <v>836.20917688563566</v>
      </c>
      <c r="AB27" s="14">
        <f t="shared" si="7"/>
        <v>819.49221148296181</v>
      </c>
      <c r="AC27" s="14">
        <f t="shared" si="7"/>
        <v>803.20053676727571</v>
      </c>
      <c r="AD27" s="14">
        <f t="shared" si="7"/>
        <v>787.35268148917464</v>
      </c>
      <c r="AE27" s="14">
        <f t="shared" si="7"/>
        <v>771.96589559413837</v>
      </c>
      <c r="AF27" s="14">
        <f t="shared" si="7"/>
        <v>757.05611592341734</v>
      </c>
      <c r="AG27" s="14">
        <f t="shared" si="7"/>
        <v>742.63824424160123</v>
      </c>
      <c r="AH27" s="14">
        <f t="shared" si="7"/>
        <v>728.72602723501564</v>
      </c>
      <c r="AI27" s="14">
        <f t="shared" si="7"/>
        <v>715.33229280205944</v>
      </c>
      <c r="AJ27" s="14">
        <f t="shared" si="7"/>
        <v>702.46900164844953</v>
      </c>
      <c r="AK27" s="14">
        <f t="shared" si="7"/>
        <v>690.14731286054143</v>
      </c>
      <c r="AL27" s="14">
        <f t="shared" si="7"/>
        <v>678.37781437228284</v>
      </c>
      <c r="AM27" s="14">
        <f t="shared" si="7"/>
        <v>667.17044064323659</v>
      </c>
      <c r="AN27" s="14">
        <f t="shared" si="7"/>
        <v>656.53473169346114</v>
      </c>
      <c r="AO27" s="14">
        <f t="shared" si="7"/>
        <v>646.4799390185641</v>
      </c>
      <c r="AP27" s="14">
        <f t="shared" si="7"/>
        <v>637.0150727163184</v>
      </c>
      <c r="AQ27" s="14">
        <f t="shared" si="7"/>
        <v>628.14907318520034</v>
      </c>
      <c r="AR27" s="14">
        <f t="shared" si="7"/>
        <v>619.89088736829137</v>
      </c>
      <c r="AS27" s="14">
        <f t="shared" si="7"/>
        <v>612.2497074682974</v>
      </c>
      <c r="AT27" s="14">
        <f t="shared" si="7"/>
        <v>605.2349709034853</v>
      </c>
    </row>
    <row r="29" spans="1:46">
      <c r="A29" s="14" t="s">
        <v>168</v>
      </c>
      <c r="C29" t="s">
        <v>170</v>
      </c>
      <c r="E29" s="14">
        <f>E26*$J$1*$B$1*10</f>
        <v>21454.712085458686</v>
      </c>
      <c r="F29" s="14">
        <f t="shared" ref="F29:AT29" si="8">F26*$J$1*$B$1*10</f>
        <v>21773.189430145998</v>
      </c>
      <c r="G29" s="14">
        <f t="shared" si="8"/>
        <v>22076.063473385493</v>
      </c>
      <c r="H29" s="14">
        <f t="shared" si="8"/>
        <v>22363.171894852734</v>
      </c>
      <c r="I29" s="14">
        <f t="shared" si="8"/>
        <v>22634.389660117457</v>
      </c>
      <c r="J29" s="14">
        <f t="shared" si="8"/>
        <v>22889.624513012684</v>
      </c>
      <c r="K29" s="14">
        <f t="shared" si="8"/>
        <v>23128.822080366881</v>
      </c>
      <c r="L29" s="14">
        <f t="shared" si="8"/>
        <v>23351.963982497626</v>
      </c>
      <c r="M29" s="14">
        <f t="shared" si="8"/>
        <v>23559.063995825472</v>
      </c>
      <c r="N29" s="14">
        <f t="shared" si="8"/>
        <v>23750.172748376503</v>
      </c>
      <c r="O29" s="14">
        <f t="shared" si="8"/>
        <v>23925.374980491193</v>
      </c>
      <c r="P29" s="14">
        <f t="shared" si="8"/>
        <v>24084.791790567047</v>
      </c>
      <c r="Q29" s="14">
        <f t="shared" si="8"/>
        <v>24228.574740685475</v>
      </c>
      <c r="R29" s="14">
        <f t="shared" si="8"/>
        <v>24356.910811077065</v>
      </c>
      <c r="S29" s="14">
        <f t="shared" si="8"/>
        <v>24470.020884613034</v>
      </c>
      <c r="T29" s="14">
        <f t="shared" si="8"/>
        <v>24568.157433353445</v>
      </c>
      <c r="U29" s="14">
        <f t="shared" si="8"/>
        <v>24651.605958891087</v>
      </c>
      <c r="V29" s="14">
        <f t="shared" si="8"/>
        <v>24720.683808642716</v>
      </c>
      <c r="W29" s="14">
        <f t="shared" si="8"/>
        <v>24775.739423688206</v>
      </c>
      <c r="X29" s="14">
        <f t="shared" si="8"/>
        <v>24817.15203943594</v>
      </c>
      <c r="Y29" s="14">
        <f t="shared" si="8"/>
        <v>24845.331857871151</v>
      </c>
      <c r="Z29" s="14">
        <f t="shared" si="8"/>
        <v>24860.718727540981</v>
      </c>
      <c r="AA29" s="14">
        <f t="shared" si="8"/>
        <v>24863.780273484223</v>
      </c>
      <c r="AB29" s="14">
        <f t="shared" si="8"/>
        <v>24855.013461470669</v>
      </c>
      <c r="AC29" s="14">
        <f t="shared" si="8"/>
        <v>24834.944187952406</v>
      </c>
      <c r="AD29" s="14">
        <f t="shared" si="8"/>
        <v>24804.123316451627</v>
      </c>
      <c r="AE29" s="14">
        <f t="shared" si="8"/>
        <v>24763.129433759463</v>
      </c>
      <c r="AF29" s="14">
        <f t="shared" si="8"/>
        <v>24712.56429808437</v>
      </c>
      <c r="AG29" s="14">
        <f t="shared" si="8"/>
        <v>24653.058111717983</v>
      </c>
      <c r="AH29" s="14">
        <f t="shared" si="8"/>
        <v>24585.261852581585</v>
      </c>
      <c r="AI29" s="14">
        <f t="shared" si="8"/>
        <v>24509.850978555231</v>
      </c>
      <c r="AJ29" s="14">
        <f t="shared" si="8"/>
        <v>24427.523018330598</v>
      </c>
      <c r="AK29" s="14">
        <f t="shared" si="8"/>
        <v>24338.995360394882</v>
      </c>
      <c r="AL29" s="14">
        <f t="shared" si="8"/>
        <v>24245.008685765155</v>
      </c>
      <c r="AM29" s="14">
        <f t="shared" si="8"/>
        <v>24146.319284144189</v>
      </c>
      <c r="AN29" s="14">
        <f t="shared" si="8"/>
        <v>24043.703201461896</v>
      </c>
      <c r="AO29" s="14">
        <f t="shared" si="8"/>
        <v>23937.954961655232</v>
      </c>
      <c r="AP29" s="14">
        <f t="shared" si="8"/>
        <v>23829.883901552719</v>
      </c>
      <c r="AQ29" s="14">
        <f t="shared" si="8"/>
        <v>23720.314892476716</v>
      </c>
      <c r="AR29" s="14">
        <f t="shared" si="8"/>
        <v>23610.085384986029</v>
      </c>
      <c r="AS29" s="14">
        <f t="shared" si="8"/>
        <v>23500.048443249027</v>
      </c>
      <c r="AT29" s="14">
        <f t="shared" si="8"/>
        <v>23391.066588371148</v>
      </c>
    </row>
    <row r="30" spans="1:46">
      <c r="A30" s="14" t="s">
        <v>169</v>
      </c>
      <c r="C30" t="s">
        <v>170</v>
      </c>
      <c r="E30" s="14">
        <f>E27*$H$1*$B$1*10</f>
        <v>44487.149906566156</v>
      </c>
      <c r="F30" s="14">
        <f t="shared" ref="F30:AT30" si="9">F27*$H$1*$B$1*10</f>
        <v>43854.04530466345</v>
      </c>
      <c r="G30" s="14">
        <f t="shared" si="9"/>
        <v>43204.941603320534</v>
      </c>
      <c r="H30" s="14">
        <f t="shared" si="9"/>
        <v>42542.068044251209</v>
      </c>
      <c r="I30" s="14">
        <f t="shared" si="9"/>
        <v>41867.572027839342</v>
      </c>
      <c r="J30" s="14">
        <f t="shared" si="9"/>
        <v>41183.511332741822</v>
      </c>
      <c r="K30" s="14">
        <f t="shared" si="9"/>
        <v>40491.864652543802</v>
      </c>
      <c r="L30" s="14">
        <f t="shared" si="9"/>
        <v>39794.52882443992</v>
      </c>
      <c r="M30" s="14">
        <f t="shared" si="9"/>
        <v>39093.313516731308</v>
      </c>
      <c r="N30" s="14">
        <f t="shared" si="9"/>
        <v>38389.950823697589</v>
      </c>
      <c r="O30" s="14">
        <f t="shared" si="9"/>
        <v>37686.092011785586</v>
      </c>
      <c r="P30" s="14">
        <f t="shared" si="9"/>
        <v>36983.312719208901</v>
      </c>
      <c r="Q30" s="14">
        <f t="shared" si="9"/>
        <v>36283.105532409667</v>
      </c>
      <c r="R30" s="14">
        <f t="shared" si="9"/>
        <v>35586.889837558316</v>
      </c>
      <c r="S30" s="14">
        <f t="shared" si="9"/>
        <v>34896.011407492195</v>
      </c>
      <c r="T30" s="14">
        <f t="shared" si="9"/>
        <v>34211.741301778886</v>
      </c>
      <c r="U30" s="14">
        <f t="shared" si="9"/>
        <v>33535.280408833685</v>
      </c>
      <c r="V30" s="14">
        <f t="shared" si="9"/>
        <v>32867.760279904149</v>
      </c>
      <c r="W30" s="14">
        <f t="shared" si="9"/>
        <v>32210.244816849365</v>
      </c>
      <c r="X30" s="14">
        <f t="shared" si="9"/>
        <v>31563.732729824715</v>
      </c>
      <c r="Y30" s="14">
        <f t="shared" si="9"/>
        <v>30929.160690925601</v>
      </c>
      <c r="Z30" s="14">
        <f t="shared" si="9"/>
        <v>30307.404705551613</v>
      </c>
      <c r="AA30" s="14">
        <f t="shared" si="9"/>
        <v>29699.281097185736</v>
      </c>
      <c r="AB30" s="14">
        <f t="shared" si="9"/>
        <v>29105.551838634634</v>
      </c>
      <c r="AC30" s="14">
        <f t="shared" si="9"/>
        <v>28526.927446198373</v>
      </c>
      <c r="AD30" s="14">
        <f t="shared" si="9"/>
        <v>27964.065997529753</v>
      </c>
      <c r="AE30" s="14">
        <f t="shared" si="9"/>
        <v>27417.580151511116</v>
      </c>
      <c r="AF30" s="14">
        <f t="shared" si="9"/>
        <v>26888.03593006757</v>
      </c>
      <c r="AG30" s="14">
        <f t="shared" si="9"/>
        <v>26375.962592752385</v>
      </c>
      <c r="AH30" s="14">
        <f t="shared" si="9"/>
        <v>25881.848374701727</v>
      </c>
      <c r="AI30" s="14">
        <f t="shared" si="9"/>
        <v>25406.148878856769</v>
      </c>
      <c r="AJ30" s="14">
        <f t="shared" si="9"/>
        <v>24949.288908449809</v>
      </c>
      <c r="AK30" s="14">
        <f t="shared" si="9"/>
        <v>24511.664795943598</v>
      </c>
      <c r="AL30" s="14">
        <f t="shared" si="9"/>
        <v>24093.652588426889</v>
      </c>
      <c r="AM30" s="14">
        <f t="shared" si="9"/>
        <v>23695.605123820213</v>
      </c>
      <c r="AN30" s="14">
        <f t="shared" si="9"/>
        <v>23317.861230906165</v>
      </c>
      <c r="AO30" s="14">
        <f t="shared" si="9"/>
        <v>22960.749491068691</v>
      </c>
      <c r="AP30" s="14">
        <f t="shared" si="9"/>
        <v>22624.589912068855</v>
      </c>
      <c r="AQ30" s="14">
        <f t="shared" si="9"/>
        <v>22309.700026187817</v>
      </c>
      <c r="AR30" s="14">
        <f t="shared" si="9"/>
        <v>22016.397598148673</v>
      </c>
      <c r="AS30" s="14">
        <f t="shared" si="9"/>
        <v>21745.009103454933</v>
      </c>
      <c r="AT30" s="14">
        <f t="shared" si="9"/>
        <v>21495.869726825542</v>
      </c>
    </row>
    <row r="32" spans="1:46">
      <c r="E32" s="14">
        <f>E29+E30</f>
        <v>65941.861992024846</v>
      </c>
      <c r="F32" s="14">
        <f t="shared" ref="F32:AT32" si="10">F29+F30</f>
        <v>65627.234734809448</v>
      </c>
      <c r="G32" s="14">
        <f t="shared" si="10"/>
        <v>65281.005076706031</v>
      </c>
      <c r="H32" s="14">
        <f t="shared" si="10"/>
        <v>64905.239939103943</v>
      </c>
      <c r="I32" s="14">
        <f t="shared" si="10"/>
        <v>64501.961687956798</v>
      </c>
      <c r="J32" s="14">
        <f t="shared" si="10"/>
        <v>64073.135845754507</v>
      </c>
      <c r="K32" s="14">
        <f t="shared" si="10"/>
        <v>63620.686732910683</v>
      </c>
      <c r="L32" s="14">
        <f t="shared" si="10"/>
        <v>63146.492806937546</v>
      </c>
      <c r="M32" s="14">
        <f t="shared" si="10"/>
        <v>62652.377512556777</v>
      </c>
      <c r="N32" s="14">
        <f t="shared" si="10"/>
        <v>62140.123572074095</v>
      </c>
      <c r="O32" s="14">
        <f t="shared" si="10"/>
        <v>61611.466992276779</v>
      </c>
      <c r="P32" s="14">
        <f t="shared" si="10"/>
        <v>61068.104509775949</v>
      </c>
      <c r="Q32" s="14">
        <f t="shared" si="10"/>
        <v>60511.680273095146</v>
      </c>
      <c r="R32" s="14">
        <f t="shared" si="10"/>
        <v>59943.800648635384</v>
      </c>
      <c r="S32" s="14">
        <f t="shared" si="10"/>
        <v>59366.032292105228</v>
      </c>
      <c r="T32" s="14">
        <f t="shared" si="10"/>
        <v>58779.89873513233</v>
      </c>
      <c r="U32" s="14">
        <f t="shared" si="10"/>
        <v>58186.886367724772</v>
      </c>
      <c r="V32" s="14">
        <f t="shared" si="10"/>
        <v>57588.444088546865</v>
      </c>
      <c r="W32" s="14">
        <f t="shared" si="10"/>
        <v>56985.984240537568</v>
      </c>
      <c r="X32" s="14">
        <f t="shared" si="10"/>
        <v>56380.884769260651</v>
      </c>
      <c r="Y32" s="14">
        <f t="shared" si="10"/>
        <v>55774.492548796756</v>
      </c>
      <c r="Z32" s="14">
        <f t="shared" si="10"/>
        <v>55168.123433092594</v>
      </c>
      <c r="AA32" s="14">
        <f t="shared" si="10"/>
        <v>54563.061370669959</v>
      </c>
      <c r="AB32" s="14">
        <f t="shared" si="10"/>
        <v>53960.5653001053</v>
      </c>
      <c r="AC32" s="14">
        <f t="shared" si="10"/>
        <v>53361.871634150782</v>
      </c>
      <c r="AD32" s="14">
        <f t="shared" si="10"/>
        <v>52768.189313981376</v>
      </c>
      <c r="AE32" s="14">
        <f t="shared" si="10"/>
        <v>52180.709585270582</v>
      </c>
      <c r="AF32" s="14">
        <f t="shared" si="10"/>
        <v>51600.60022815194</v>
      </c>
      <c r="AG32" s="14">
        <f t="shared" si="10"/>
        <v>51029.020704470371</v>
      </c>
      <c r="AH32" s="14">
        <f t="shared" si="10"/>
        <v>50467.110227283309</v>
      </c>
      <c r="AI32" s="14">
        <f t="shared" si="10"/>
        <v>49915.999857411996</v>
      </c>
      <c r="AJ32" s="14">
        <f t="shared" si="10"/>
        <v>49376.811926780407</v>
      </c>
      <c r="AK32" s="14">
        <f t="shared" si="10"/>
        <v>48850.660156338476</v>
      </c>
      <c r="AL32" s="14">
        <f t="shared" si="10"/>
        <v>48338.66127419204</v>
      </c>
      <c r="AM32" s="14">
        <f t="shared" si="10"/>
        <v>47841.924407964398</v>
      </c>
      <c r="AN32" s="14">
        <f t="shared" si="10"/>
        <v>47361.564432368061</v>
      </c>
      <c r="AO32" s="14">
        <f t="shared" si="10"/>
        <v>46898.70445272392</v>
      </c>
      <c r="AP32" s="14">
        <f t="shared" si="10"/>
        <v>46454.473813621575</v>
      </c>
      <c r="AQ32" s="14">
        <f t="shared" si="10"/>
        <v>46030.014918664529</v>
      </c>
      <c r="AR32" s="14">
        <f t="shared" si="10"/>
        <v>45626.482983134701</v>
      </c>
      <c r="AS32" s="14">
        <f t="shared" si="10"/>
        <v>45245.05754670396</v>
      </c>
      <c r="AT32" s="14">
        <f t="shared" si="10"/>
        <v>44886.93631519669</v>
      </c>
    </row>
    <row r="33" spans="5:11" s="14" customFormat="1">
      <c r="E33" s="14">
        <f>山东光伏数据!O24*10</f>
        <v>3356.5999999999995</v>
      </c>
      <c r="F33" s="14">
        <f>山东光伏数据!P24*10</f>
        <v>8016.5999999999995</v>
      </c>
      <c r="G33" s="14">
        <f>山东光伏数据!Q24*10</f>
        <v>15648.800000000001</v>
      </c>
      <c r="K33" s="14">
        <f>F33+15000</f>
        <v>23016.6</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8318-E2D3-4F30-BF5C-F0C936D2EE00}">
  <dimension ref="A1:K32"/>
  <sheetViews>
    <sheetView workbookViewId="0">
      <selection activeCell="I31" sqref="I31"/>
    </sheetView>
  </sheetViews>
  <sheetFormatPr defaultRowHeight="14.25"/>
  <cols>
    <col min="1" max="1" width="14" bestFit="1" customWidth="1"/>
    <col min="2" max="2" width="12.875" bestFit="1" customWidth="1"/>
    <col min="3" max="3" width="14" bestFit="1" customWidth="1"/>
    <col min="4" max="4" width="12.875" bestFit="1" customWidth="1"/>
    <col min="5" max="5" width="14" bestFit="1" customWidth="1"/>
    <col min="6" max="10" width="12.875" bestFit="1" customWidth="1"/>
  </cols>
  <sheetData>
    <row r="1" spans="1:10">
      <c r="A1">
        <v>2020</v>
      </c>
      <c r="C1">
        <v>2030</v>
      </c>
      <c r="E1">
        <v>2040</v>
      </c>
      <c r="G1">
        <v>2050</v>
      </c>
      <c r="I1">
        <v>2060</v>
      </c>
    </row>
    <row r="2" spans="1:10">
      <c r="A2" s="23">
        <v>9201490</v>
      </c>
      <c r="B2" s="23">
        <v>7928794.2078599967</v>
      </c>
      <c r="C2" s="23">
        <v>9446679</v>
      </c>
      <c r="D2" s="23">
        <v>8991701.5485753436</v>
      </c>
      <c r="E2" s="23">
        <v>9163614</v>
      </c>
      <c r="F2" s="23">
        <v>9163614</v>
      </c>
      <c r="G2" s="23">
        <v>8725344</v>
      </c>
      <c r="H2" s="23">
        <v>8725344</v>
      </c>
      <c r="I2" s="23">
        <v>8211131</v>
      </c>
      <c r="J2" s="23">
        <v>8211131</v>
      </c>
    </row>
    <row r="3" spans="1:10">
      <c r="A3" s="23">
        <v>10070342</v>
      </c>
      <c r="B3" s="23">
        <v>7852632.1555775544</v>
      </c>
      <c r="C3" s="23">
        <v>10234790</v>
      </c>
      <c r="D3" s="23">
        <v>8815840.1745067872</v>
      </c>
      <c r="E3" s="23">
        <v>9859559</v>
      </c>
      <c r="F3" s="23">
        <v>8926945.4250377882</v>
      </c>
      <c r="G3" s="23">
        <v>9292441</v>
      </c>
      <c r="H3" s="23">
        <v>8736401.5773190241</v>
      </c>
      <c r="I3" s="23">
        <v>8674222</v>
      </c>
      <c r="J3" s="23">
        <v>8468191.9924709946</v>
      </c>
    </row>
    <row r="4" spans="1:10">
      <c r="A4" s="23">
        <v>4703603</v>
      </c>
      <c r="B4" s="23">
        <v>3545987.5386224589</v>
      </c>
      <c r="C4" s="23">
        <v>4752406</v>
      </c>
      <c r="D4" s="23">
        <v>3957617.5178969861</v>
      </c>
      <c r="E4" s="23">
        <v>4549833</v>
      </c>
      <c r="F4" s="23">
        <v>3982688.6654312583</v>
      </c>
      <c r="G4" s="23">
        <v>4217779</v>
      </c>
      <c r="H4" s="23">
        <v>3833735.1667393139</v>
      </c>
      <c r="I4" s="23">
        <v>3906836</v>
      </c>
      <c r="J4" s="23">
        <v>3687405.1348933927</v>
      </c>
    </row>
    <row r="5" spans="1:10">
      <c r="A5" s="23">
        <v>3855201</v>
      </c>
      <c r="B5" s="23">
        <v>2343863.9192663762</v>
      </c>
      <c r="C5" s="23">
        <v>3999445</v>
      </c>
      <c r="D5" s="23">
        <v>2685955.6311356081</v>
      </c>
      <c r="E5" s="23">
        <v>3950800</v>
      </c>
      <c r="F5" s="23">
        <v>2788975.9433714855</v>
      </c>
      <c r="G5" s="23">
        <v>3780283</v>
      </c>
      <c r="H5" s="23">
        <v>2771031.2473977609</v>
      </c>
      <c r="I5" s="23">
        <v>3591771</v>
      </c>
      <c r="J5" s="23">
        <v>2733903.2180788377</v>
      </c>
    </row>
    <row r="6" spans="1:10">
      <c r="A6" s="23">
        <v>2193342</v>
      </c>
      <c r="B6" s="23">
        <v>1596319.9609765674</v>
      </c>
      <c r="C6" s="23">
        <v>2233662</v>
      </c>
      <c r="D6" s="23">
        <v>1795745.4843181542</v>
      </c>
      <c r="E6" s="23">
        <v>2164600</v>
      </c>
      <c r="F6" s="23">
        <v>1829218.5581097831</v>
      </c>
      <c r="G6" s="23">
        <v>2037836</v>
      </c>
      <c r="H6" s="23">
        <v>1788193.7044165174</v>
      </c>
      <c r="I6" s="23">
        <v>1897317</v>
      </c>
      <c r="J6" s="23">
        <v>1728791.4904125929</v>
      </c>
    </row>
    <row r="7" spans="1:10">
      <c r="A7" s="23">
        <v>7101116</v>
      </c>
      <c r="B7" s="23">
        <v>4820886.073755064</v>
      </c>
      <c r="C7" s="23">
        <v>7069158</v>
      </c>
      <c r="D7" s="23">
        <v>5301291.52950445</v>
      </c>
      <c r="E7" s="23">
        <v>6597281</v>
      </c>
      <c r="F7" s="23">
        <v>5200434.1224923022</v>
      </c>
      <c r="G7" s="23">
        <v>6032108</v>
      </c>
      <c r="H7" s="23">
        <v>4937431.8254277064</v>
      </c>
      <c r="I7" s="23">
        <v>5536807</v>
      </c>
      <c r="J7" s="23">
        <v>4705965.8952748608</v>
      </c>
    </row>
    <row r="8" spans="1:10">
      <c r="A8" s="23">
        <v>9385514</v>
      </c>
      <c r="B8" s="23">
        <v>5975205.1313769259</v>
      </c>
      <c r="C8" s="23">
        <v>9521158</v>
      </c>
      <c r="D8" s="23">
        <v>6695735.1614255039</v>
      </c>
      <c r="E8" s="23">
        <v>9186805</v>
      </c>
      <c r="F8" s="23">
        <v>6790998.1323601818</v>
      </c>
      <c r="G8" s="23">
        <v>8604738</v>
      </c>
      <c r="H8" s="23">
        <v>6604868.1280735657</v>
      </c>
      <c r="I8" s="23">
        <v>8045140</v>
      </c>
      <c r="J8" s="23">
        <v>6412354.0355465189</v>
      </c>
    </row>
    <row r="9" spans="1:10">
      <c r="A9" s="23">
        <v>8356958</v>
      </c>
      <c r="B9" s="23">
        <v>5061104.2106103254</v>
      </c>
      <c r="C9" s="23">
        <v>8555335</v>
      </c>
      <c r="D9" s="23">
        <v>5723317.2216458218</v>
      </c>
      <c r="E9" s="23">
        <v>8428512</v>
      </c>
      <c r="F9" s="23">
        <v>5926828.0155807845</v>
      </c>
      <c r="G9" s="23">
        <v>8044543</v>
      </c>
      <c r="H9" s="23">
        <v>5873949.1120230481</v>
      </c>
      <c r="I9" s="23">
        <v>7582939</v>
      </c>
      <c r="J9" s="23">
        <v>5749416.2408232996</v>
      </c>
    </row>
    <row r="10" spans="1:10">
      <c r="A10" s="23">
        <v>5471633</v>
      </c>
      <c r="B10" s="23">
        <v>3536681.5845107147</v>
      </c>
      <c r="C10" s="23">
        <v>5504865</v>
      </c>
      <c r="D10" s="23">
        <v>3930424.0777666285</v>
      </c>
      <c r="E10" s="23">
        <v>5299412</v>
      </c>
      <c r="F10" s="23">
        <v>3977233.0632723761</v>
      </c>
      <c r="G10" s="23">
        <v>4962765</v>
      </c>
      <c r="H10" s="23">
        <v>3867536.7906807414</v>
      </c>
      <c r="I10" s="23">
        <v>4596419</v>
      </c>
      <c r="J10" s="23">
        <v>3719527.2169720894</v>
      </c>
    </row>
    <row r="11" spans="1:10">
      <c r="A11" s="23">
        <v>2906105</v>
      </c>
      <c r="B11" s="23">
        <v>2063059.1946772977</v>
      </c>
      <c r="C11" s="23">
        <v>2883691</v>
      </c>
      <c r="D11" s="23">
        <v>2261324.2881783443</v>
      </c>
      <c r="E11" s="23">
        <v>2672694</v>
      </c>
      <c r="F11" s="23">
        <v>2203048.1115039084</v>
      </c>
      <c r="G11" s="23">
        <v>2435634</v>
      </c>
      <c r="H11" s="23">
        <v>2084702.8377986103</v>
      </c>
      <c r="I11" s="23">
        <v>2237055</v>
      </c>
      <c r="J11" s="23">
        <v>1988227.9656916701</v>
      </c>
    </row>
    <row r="12" spans="1:10">
      <c r="A12" s="23">
        <v>2967964</v>
      </c>
      <c r="B12" s="23">
        <v>1848605.1873505085</v>
      </c>
      <c r="C12" s="23">
        <v>3003146</v>
      </c>
      <c r="D12" s="23">
        <v>2066216.0111622256</v>
      </c>
      <c r="E12" s="23">
        <v>2908859</v>
      </c>
      <c r="F12" s="23">
        <v>2103693.9805818549</v>
      </c>
      <c r="G12" s="23">
        <v>2724780</v>
      </c>
      <c r="H12" s="23">
        <v>2046203.0304336241</v>
      </c>
      <c r="I12" s="23">
        <v>2551031</v>
      </c>
      <c r="J12" s="23">
        <v>1989254.7489179329</v>
      </c>
    </row>
    <row r="13" spans="1:10">
      <c r="A13" s="23">
        <v>11017081</v>
      </c>
      <c r="B13" s="23">
        <v>6741695.3210939839</v>
      </c>
      <c r="C13" s="23">
        <v>11252160</v>
      </c>
      <c r="D13" s="23">
        <v>7605928.1027753502</v>
      </c>
      <c r="E13" s="23">
        <v>11119411</v>
      </c>
      <c r="F13" s="23">
        <v>7900575.3145360937</v>
      </c>
      <c r="G13" s="23">
        <v>10616953</v>
      </c>
      <c r="H13" s="23">
        <v>7833109.8292261427</v>
      </c>
      <c r="I13" s="23">
        <v>10047068</v>
      </c>
      <c r="J13" s="23">
        <v>7697169.4851526283</v>
      </c>
    </row>
    <row r="14" spans="1:10">
      <c r="A14" s="23">
        <v>5610690</v>
      </c>
      <c r="B14" s="23">
        <v>3309070.6684774677</v>
      </c>
      <c r="C14" s="23">
        <v>5699158</v>
      </c>
      <c r="D14" s="23">
        <v>3712908.1285224445</v>
      </c>
      <c r="E14" s="23">
        <v>5570582</v>
      </c>
      <c r="F14" s="23">
        <v>3814737.8202715367</v>
      </c>
      <c r="G14" s="23">
        <v>5276826</v>
      </c>
      <c r="H14" s="23">
        <v>3752271.7538994187</v>
      </c>
      <c r="I14" s="23">
        <v>4933811</v>
      </c>
      <c r="J14" s="23">
        <v>3643018.7452359018</v>
      </c>
    </row>
    <row r="15" spans="1:10">
      <c r="A15" s="23">
        <v>5951569</v>
      </c>
      <c r="B15" s="23">
        <v>3174543.4647765323</v>
      </c>
      <c r="C15" s="23">
        <v>6095327</v>
      </c>
      <c r="D15" s="23">
        <v>3591373.3197433217</v>
      </c>
      <c r="E15" s="23">
        <v>6020338</v>
      </c>
      <c r="F15" s="23">
        <v>3728593.4697230281</v>
      </c>
      <c r="G15" s="23">
        <v>5772340</v>
      </c>
      <c r="H15" s="23">
        <v>3712217.8149975757</v>
      </c>
      <c r="I15" s="23">
        <v>5450335</v>
      </c>
      <c r="J15" s="23">
        <v>3639671.0150238951</v>
      </c>
    </row>
    <row r="16" spans="1:10">
      <c r="A16" s="23">
        <v>3928160</v>
      </c>
      <c r="B16" s="23">
        <v>2445403.6514075403</v>
      </c>
      <c r="C16" s="23">
        <v>3971338</v>
      </c>
      <c r="D16" s="23">
        <v>2730938.855523977</v>
      </c>
      <c r="E16" s="23">
        <v>3844048</v>
      </c>
      <c r="F16" s="23">
        <v>2778590.4887929498</v>
      </c>
      <c r="G16" s="23">
        <v>3609124</v>
      </c>
      <c r="H16" s="23">
        <v>2708912.2244645464</v>
      </c>
      <c r="I16" s="23">
        <v>3369180</v>
      </c>
      <c r="J16" s="23">
        <v>2625879.1221318436</v>
      </c>
    </row>
    <row r="17" spans="1:11">
      <c r="A17" s="23">
        <v>8794781</v>
      </c>
      <c r="B17" s="23">
        <v>4583957.1923054243</v>
      </c>
      <c r="C17" s="23">
        <v>9048616</v>
      </c>
      <c r="D17" s="23">
        <v>5209684.4612447871</v>
      </c>
      <c r="E17" s="23">
        <v>9103551</v>
      </c>
      <c r="F17" s="23">
        <v>5509354.3824353172</v>
      </c>
      <c r="G17" s="23">
        <v>8775638</v>
      </c>
      <c r="H17" s="23">
        <v>5514751.7341920072</v>
      </c>
      <c r="I17" s="23">
        <v>8376580</v>
      </c>
      <c r="J17" s="23">
        <v>5466022.2243491737</v>
      </c>
    </row>
    <row r="19" spans="1:11">
      <c r="A19" s="23">
        <f>SUM(A2:A17)</f>
        <v>101515549</v>
      </c>
      <c r="B19" s="23">
        <f t="shared" ref="B19:J19" si="0">SUM(B2:B17)</f>
        <v>66827809.462644733</v>
      </c>
      <c r="C19" s="23">
        <f t="shared" si="0"/>
        <v>103270934</v>
      </c>
      <c r="D19" s="23">
        <f t="shared" si="0"/>
        <v>75076001.513925746</v>
      </c>
      <c r="E19" s="23">
        <f t="shared" si="0"/>
        <v>100439899</v>
      </c>
      <c r="F19" s="23">
        <f t="shared" si="0"/>
        <v>76625529.49350065</v>
      </c>
      <c r="G19" s="23">
        <f t="shared" si="0"/>
        <v>94909132</v>
      </c>
      <c r="H19" s="23">
        <f t="shared" si="0"/>
        <v>74790660.777089611</v>
      </c>
      <c r="I19" s="23">
        <f t="shared" si="0"/>
        <v>89007642</v>
      </c>
      <c r="J19" s="23">
        <f t="shared" si="0"/>
        <v>72465929.530975625</v>
      </c>
    </row>
    <row r="20" spans="1:11">
      <c r="B20">
        <f>B19/A19</f>
        <v>0.65830121711349587</v>
      </c>
      <c r="D20">
        <f>D19/C19</f>
        <v>0.72698094813324476</v>
      </c>
      <c r="F20">
        <f>F19/E19</f>
        <v>0.76289930850588217</v>
      </c>
      <c r="H20">
        <f>H19/G19</f>
        <v>0.78802386241494249</v>
      </c>
      <c r="J20">
        <f>J19/I19</f>
        <v>0.81415401984220215</v>
      </c>
    </row>
    <row r="24" spans="1:11">
      <c r="G24">
        <v>2020</v>
      </c>
      <c r="H24">
        <v>2030</v>
      </c>
      <c r="I24">
        <v>2040</v>
      </c>
      <c r="J24">
        <v>2050</v>
      </c>
      <c r="K24">
        <v>2060</v>
      </c>
    </row>
    <row r="25" spans="1:11">
      <c r="G25">
        <v>0.65830121711349587</v>
      </c>
      <c r="H25">
        <v>0.72698094813324476</v>
      </c>
      <c r="I25">
        <v>0.76289930850588217</v>
      </c>
      <c r="J25">
        <v>0.78802386241494249</v>
      </c>
      <c r="K25">
        <v>0.81415401984220215</v>
      </c>
    </row>
    <row r="32" spans="1:11">
      <c r="E32" s="28">
        <v>-6.8494969999999999E-5</v>
      </c>
      <c r="F32" s="28">
        <v>0.28318700000000002</v>
      </c>
      <c r="G32" s="28">
        <v>-291.88900000000001</v>
      </c>
    </row>
  </sheetData>
  <phoneticPr fontId="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F3A0-27E2-4810-B86F-3773AB90AFDC}">
  <dimension ref="A1:N153"/>
  <sheetViews>
    <sheetView topLeftCell="C82" workbookViewId="0">
      <selection activeCell="K121" sqref="K121:K122"/>
    </sheetView>
  </sheetViews>
  <sheetFormatPr defaultRowHeight="14.25"/>
  <sheetData>
    <row r="1" spans="1:8" s="27" customFormat="1">
      <c r="A1" s="27">
        <v>1336</v>
      </c>
      <c r="B1" s="31">
        <v>370000</v>
      </c>
      <c r="C1" s="32" t="s">
        <v>145</v>
      </c>
      <c r="D1" s="31" t="s">
        <v>171</v>
      </c>
      <c r="E1" s="31" t="s">
        <v>172</v>
      </c>
      <c r="F1" s="31" t="s">
        <v>145</v>
      </c>
      <c r="G1" s="31"/>
    </row>
    <row r="2" spans="1:8" s="27" customFormat="1">
      <c r="A2" s="27">
        <v>1337</v>
      </c>
      <c r="B2" s="31">
        <v>370100</v>
      </c>
      <c r="C2" s="33" t="s">
        <v>146</v>
      </c>
      <c r="D2" s="31" t="s">
        <v>173</v>
      </c>
      <c r="E2" s="31" t="s">
        <v>174</v>
      </c>
      <c r="F2" s="31" t="s">
        <v>145</v>
      </c>
      <c r="G2" s="31" t="s">
        <v>146</v>
      </c>
    </row>
    <row r="3" spans="1:8" s="27" customFormat="1">
      <c r="A3" s="27">
        <v>1338</v>
      </c>
      <c r="B3" s="34">
        <v>370102</v>
      </c>
      <c r="C3" s="35" t="s">
        <v>175</v>
      </c>
      <c r="D3" s="31" t="s">
        <v>176</v>
      </c>
      <c r="E3" s="31" t="s">
        <v>177</v>
      </c>
      <c r="F3" s="31" t="s">
        <v>145</v>
      </c>
      <c r="G3" s="31" t="s">
        <v>146</v>
      </c>
    </row>
    <row r="4" spans="1:8" s="27" customFormat="1">
      <c r="A4" s="27">
        <v>1339</v>
      </c>
      <c r="B4" s="34">
        <v>370103</v>
      </c>
      <c r="C4" s="35" t="s">
        <v>178</v>
      </c>
      <c r="D4" s="31" t="s">
        <v>176</v>
      </c>
      <c r="E4" s="31" t="s">
        <v>177</v>
      </c>
      <c r="F4" s="31" t="s">
        <v>145</v>
      </c>
      <c r="G4" s="31" t="s">
        <v>146</v>
      </c>
    </row>
    <row r="5" spans="1:8" s="27" customFormat="1">
      <c r="A5" s="27">
        <v>1340</v>
      </c>
      <c r="B5" s="34">
        <v>370104</v>
      </c>
      <c r="C5" s="35" t="s">
        <v>179</v>
      </c>
      <c r="D5" s="31" t="s">
        <v>176</v>
      </c>
      <c r="E5" s="31" t="s">
        <v>177</v>
      </c>
      <c r="F5" s="31" t="s">
        <v>145</v>
      </c>
      <c r="G5" s="31" t="s">
        <v>146</v>
      </c>
    </row>
    <row r="6" spans="1:8" s="27" customFormat="1">
      <c r="A6" s="27">
        <v>1341</v>
      </c>
      <c r="B6" s="34">
        <v>370105</v>
      </c>
      <c r="C6" s="35" t="s">
        <v>180</v>
      </c>
      <c r="D6" s="31" t="s">
        <v>176</v>
      </c>
      <c r="E6" s="31" t="s">
        <v>177</v>
      </c>
      <c r="F6" s="31" t="s">
        <v>145</v>
      </c>
      <c r="G6" s="31" t="s">
        <v>146</v>
      </c>
      <c r="H6" s="31" t="s">
        <v>312</v>
      </c>
    </row>
    <row r="7" spans="1:8" s="27" customFormat="1">
      <c r="A7" s="27">
        <v>1342</v>
      </c>
      <c r="B7" s="34">
        <v>370112</v>
      </c>
      <c r="C7" s="36" t="s">
        <v>181</v>
      </c>
      <c r="D7" s="31" t="s">
        <v>176</v>
      </c>
      <c r="E7" s="31" t="s">
        <v>177</v>
      </c>
      <c r="F7" s="31" t="s">
        <v>145</v>
      </c>
      <c r="G7" s="31" t="s">
        <v>146</v>
      </c>
    </row>
    <row r="8" spans="1:8" s="27" customFormat="1">
      <c r="A8" s="27">
        <v>1343</v>
      </c>
      <c r="B8" s="34">
        <v>370113</v>
      </c>
      <c r="C8" s="35" t="s">
        <v>182</v>
      </c>
      <c r="D8" s="31" t="s">
        <v>176</v>
      </c>
      <c r="E8" s="31" t="s">
        <v>177</v>
      </c>
      <c r="F8" s="31" t="s">
        <v>145</v>
      </c>
      <c r="G8" s="31" t="s">
        <v>146</v>
      </c>
    </row>
    <row r="9" spans="1:8" s="27" customFormat="1">
      <c r="A9" s="27">
        <v>1344</v>
      </c>
      <c r="B9" s="34">
        <v>370114</v>
      </c>
      <c r="C9" s="36" t="s">
        <v>183</v>
      </c>
      <c r="D9" s="31" t="s">
        <v>176</v>
      </c>
      <c r="E9" s="31" t="s">
        <v>177</v>
      </c>
      <c r="F9" s="31" t="s">
        <v>145</v>
      </c>
      <c r="G9" s="31" t="s">
        <v>146</v>
      </c>
    </row>
    <row r="10" spans="1:8" s="27" customFormat="1">
      <c r="A10" s="27">
        <v>1345</v>
      </c>
      <c r="B10" s="34">
        <v>370115</v>
      </c>
      <c r="C10" s="35" t="s">
        <v>184</v>
      </c>
      <c r="D10" s="31" t="s">
        <v>176</v>
      </c>
      <c r="E10" s="31" t="s">
        <v>177</v>
      </c>
      <c r="F10" s="31" t="s">
        <v>145</v>
      </c>
      <c r="G10" s="31" t="s">
        <v>146</v>
      </c>
    </row>
    <row r="11" spans="1:8" s="27" customFormat="1">
      <c r="A11" s="27">
        <v>1346</v>
      </c>
      <c r="B11" s="34">
        <v>370116</v>
      </c>
      <c r="C11" s="36" t="s">
        <v>185</v>
      </c>
      <c r="D11" s="31" t="s">
        <v>176</v>
      </c>
      <c r="E11" s="31" t="s">
        <v>177</v>
      </c>
      <c r="F11" s="31" t="s">
        <v>145</v>
      </c>
      <c r="G11" s="31" t="s">
        <v>146</v>
      </c>
    </row>
    <row r="12" spans="1:8" s="27" customFormat="1">
      <c r="A12" s="27">
        <v>1347</v>
      </c>
      <c r="B12" s="34">
        <v>370117</v>
      </c>
      <c r="C12" s="36" t="s">
        <v>186</v>
      </c>
      <c r="D12" s="31" t="s">
        <v>176</v>
      </c>
      <c r="E12" s="31" t="s">
        <v>177</v>
      </c>
      <c r="F12" s="31" t="s">
        <v>145</v>
      </c>
      <c r="G12" s="31" t="s">
        <v>146</v>
      </c>
    </row>
    <row r="13" spans="1:8" s="27" customFormat="1">
      <c r="A13" s="27">
        <v>1348</v>
      </c>
      <c r="B13" s="34">
        <v>370124</v>
      </c>
      <c r="C13" s="36" t="s">
        <v>187</v>
      </c>
      <c r="D13" s="31" t="s">
        <v>176</v>
      </c>
      <c r="E13" s="31" t="s">
        <v>177</v>
      </c>
      <c r="F13" s="31" t="s">
        <v>145</v>
      </c>
      <c r="G13" s="31" t="s">
        <v>146</v>
      </c>
    </row>
    <row r="14" spans="1:8" s="27" customFormat="1">
      <c r="A14" s="27">
        <v>1349</v>
      </c>
      <c r="B14" s="34">
        <v>370126</v>
      </c>
      <c r="C14" s="36" t="s">
        <v>188</v>
      </c>
      <c r="D14" s="31" t="s">
        <v>176</v>
      </c>
      <c r="E14" s="31" t="s">
        <v>177</v>
      </c>
      <c r="F14" s="31" t="s">
        <v>145</v>
      </c>
      <c r="G14" s="31" t="s">
        <v>146</v>
      </c>
    </row>
    <row r="15" spans="1:8" s="27" customFormat="1">
      <c r="A15" s="27">
        <v>1350</v>
      </c>
      <c r="B15" s="31">
        <v>370200</v>
      </c>
      <c r="C15" s="33" t="s">
        <v>147</v>
      </c>
      <c r="D15" s="31" t="s">
        <v>173</v>
      </c>
      <c r="E15" s="31" t="s">
        <v>174</v>
      </c>
      <c r="F15" s="31" t="s">
        <v>145</v>
      </c>
      <c r="G15" s="31" t="s">
        <v>147</v>
      </c>
    </row>
    <row r="16" spans="1:8" s="27" customFormat="1">
      <c r="A16" s="27">
        <v>1351</v>
      </c>
      <c r="B16" s="34">
        <v>370202</v>
      </c>
      <c r="C16" s="35" t="s">
        <v>189</v>
      </c>
      <c r="D16" s="31" t="s">
        <v>176</v>
      </c>
      <c r="E16" s="31" t="s">
        <v>177</v>
      </c>
      <c r="F16" s="31" t="s">
        <v>145</v>
      </c>
      <c r="G16" s="31" t="s">
        <v>147</v>
      </c>
    </row>
    <row r="17" spans="1:7" s="27" customFormat="1">
      <c r="A17" s="27">
        <v>1352</v>
      </c>
      <c r="B17" s="34">
        <v>370203</v>
      </c>
      <c r="C17" s="35" t="s">
        <v>190</v>
      </c>
      <c r="D17" s="31" t="s">
        <v>176</v>
      </c>
      <c r="E17" s="31" t="s">
        <v>177</v>
      </c>
      <c r="F17" s="31" t="s">
        <v>145</v>
      </c>
      <c r="G17" s="31" t="s">
        <v>147</v>
      </c>
    </row>
    <row r="18" spans="1:7" s="27" customFormat="1">
      <c r="A18" s="27">
        <v>1353</v>
      </c>
      <c r="B18" s="34">
        <v>370211</v>
      </c>
      <c r="C18" s="36" t="s">
        <v>191</v>
      </c>
      <c r="D18" s="31" t="s">
        <v>176</v>
      </c>
      <c r="E18" s="31" t="s">
        <v>177</v>
      </c>
      <c r="F18" s="31" t="s">
        <v>145</v>
      </c>
      <c r="G18" s="31" t="s">
        <v>147</v>
      </c>
    </row>
    <row r="19" spans="1:7" s="27" customFormat="1">
      <c r="A19" s="27">
        <v>1354</v>
      </c>
      <c r="B19" s="34">
        <v>370212</v>
      </c>
      <c r="C19" s="35" t="s">
        <v>192</v>
      </c>
      <c r="D19" s="31" t="s">
        <v>176</v>
      </c>
      <c r="E19" s="31" t="s">
        <v>177</v>
      </c>
      <c r="F19" s="31" t="s">
        <v>145</v>
      </c>
      <c r="G19" s="31" t="s">
        <v>147</v>
      </c>
    </row>
    <row r="20" spans="1:7" s="27" customFormat="1">
      <c r="A20" s="27">
        <v>1355</v>
      </c>
      <c r="B20" s="34">
        <v>370213</v>
      </c>
      <c r="C20" s="35" t="s">
        <v>193</v>
      </c>
      <c r="D20" s="31" t="s">
        <v>176</v>
      </c>
      <c r="E20" s="31" t="s">
        <v>177</v>
      </c>
      <c r="F20" s="31" t="s">
        <v>145</v>
      </c>
      <c r="G20" s="31" t="s">
        <v>147</v>
      </c>
    </row>
    <row r="21" spans="1:7" s="27" customFormat="1">
      <c r="A21" s="27">
        <v>1356</v>
      </c>
      <c r="B21" s="34">
        <v>370214</v>
      </c>
      <c r="C21" s="35" t="s">
        <v>194</v>
      </c>
      <c r="D21" s="31" t="s">
        <v>176</v>
      </c>
      <c r="E21" s="31" t="s">
        <v>177</v>
      </c>
      <c r="F21" s="31" t="s">
        <v>145</v>
      </c>
      <c r="G21" s="31" t="s">
        <v>147</v>
      </c>
    </row>
    <row r="22" spans="1:7" s="27" customFormat="1">
      <c r="A22" s="27">
        <v>1357</v>
      </c>
      <c r="B22" s="34">
        <v>370215</v>
      </c>
      <c r="C22" s="35" t="s">
        <v>195</v>
      </c>
      <c r="D22" s="31" t="s">
        <v>176</v>
      </c>
      <c r="E22" s="31" t="s">
        <v>177</v>
      </c>
      <c r="F22" s="31" t="s">
        <v>145</v>
      </c>
      <c r="G22" s="31" t="s">
        <v>147</v>
      </c>
    </row>
    <row r="23" spans="1:7" s="27" customFormat="1">
      <c r="A23" s="27">
        <v>1358</v>
      </c>
      <c r="B23" s="34">
        <v>370281</v>
      </c>
      <c r="C23" s="36" t="s">
        <v>196</v>
      </c>
      <c r="D23" s="31" t="s">
        <v>176</v>
      </c>
      <c r="E23" s="31" t="s">
        <v>177</v>
      </c>
      <c r="F23" s="31" t="s">
        <v>145</v>
      </c>
      <c r="G23" s="31" t="s">
        <v>147</v>
      </c>
    </row>
    <row r="24" spans="1:7" s="27" customFormat="1">
      <c r="A24" s="27">
        <v>1359</v>
      </c>
      <c r="B24" s="34">
        <v>370283</v>
      </c>
      <c r="C24" s="35" t="s">
        <v>197</v>
      </c>
      <c r="D24" s="31" t="s">
        <v>176</v>
      </c>
      <c r="E24" s="31" t="s">
        <v>177</v>
      </c>
      <c r="F24" s="31" t="s">
        <v>145</v>
      </c>
      <c r="G24" s="31" t="s">
        <v>147</v>
      </c>
    </row>
    <row r="25" spans="1:7" s="27" customFormat="1">
      <c r="A25" s="27">
        <v>1360</v>
      </c>
      <c r="B25" s="34">
        <v>370285</v>
      </c>
      <c r="C25" s="36" t="s">
        <v>198</v>
      </c>
      <c r="D25" s="31" t="s">
        <v>176</v>
      </c>
      <c r="E25" s="31" t="s">
        <v>177</v>
      </c>
      <c r="F25" s="31" t="s">
        <v>145</v>
      </c>
      <c r="G25" s="31" t="s">
        <v>147</v>
      </c>
    </row>
    <row r="26" spans="1:7" s="27" customFormat="1">
      <c r="A26" s="27">
        <v>1361</v>
      </c>
      <c r="B26" s="31">
        <v>370300</v>
      </c>
      <c r="C26" s="33" t="s">
        <v>148</v>
      </c>
      <c r="D26" s="31" t="s">
        <v>173</v>
      </c>
      <c r="E26" s="31" t="s">
        <v>174</v>
      </c>
      <c r="F26" s="31" t="s">
        <v>145</v>
      </c>
      <c r="G26" s="31" t="s">
        <v>148</v>
      </c>
    </row>
    <row r="27" spans="1:7" s="27" customFormat="1">
      <c r="A27" s="27">
        <v>1362</v>
      </c>
      <c r="B27" s="34">
        <v>370302</v>
      </c>
      <c r="C27" s="35" t="s">
        <v>199</v>
      </c>
      <c r="D27" s="31" t="s">
        <v>176</v>
      </c>
      <c r="E27" s="31" t="s">
        <v>177</v>
      </c>
      <c r="F27" s="31" t="s">
        <v>145</v>
      </c>
      <c r="G27" s="31" t="s">
        <v>148</v>
      </c>
    </row>
    <row r="28" spans="1:7" s="27" customFormat="1">
      <c r="A28" s="27">
        <v>1363</v>
      </c>
      <c r="B28" s="34">
        <v>370303</v>
      </c>
      <c r="C28" s="35" t="s">
        <v>200</v>
      </c>
      <c r="D28" s="31" t="s">
        <v>176</v>
      </c>
      <c r="E28" s="31" t="s">
        <v>177</v>
      </c>
      <c r="F28" s="31" t="s">
        <v>145</v>
      </c>
      <c r="G28" s="31" t="s">
        <v>148</v>
      </c>
    </row>
    <row r="29" spans="1:7" s="27" customFormat="1">
      <c r="A29" s="27">
        <v>1364</v>
      </c>
      <c r="B29" s="34">
        <v>370304</v>
      </c>
      <c r="C29" s="36" t="s">
        <v>201</v>
      </c>
      <c r="D29" s="31" t="s">
        <v>176</v>
      </c>
      <c r="E29" s="31" t="s">
        <v>177</v>
      </c>
      <c r="F29" s="31" t="s">
        <v>145</v>
      </c>
      <c r="G29" s="31" t="s">
        <v>148</v>
      </c>
    </row>
    <row r="30" spans="1:7" s="27" customFormat="1">
      <c r="A30" s="27">
        <v>1365</v>
      </c>
      <c r="B30" s="34">
        <v>370305</v>
      </c>
      <c r="C30" s="36" t="s">
        <v>202</v>
      </c>
      <c r="D30" s="31" t="s">
        <v>176</v>
      </c>
      <c r="E30" s="31" t="s">
        <v>177</v>
      </c>
      <c r="F30" s="31" t="s">
        <v>145</v>
      </c>
      <c r="G30" s="31" t="s">
        <v>148</v>
      </c>
    </row>
    <row r="31" spans="1:7" s="27" customFormat="1">
      <c r="A31" s="27">
        <v>1366</v>
      </c>
      <c r="B31" s="34">
        <v>370306</v>
      </c>
      <c r="C31" s="35" t="s">
        <v>203</v>
      </c>
      <c r="D31" s="31" t="s">
        <v>176</v>
      </c>
      <c r="E31" s="31" t="s">
        <v>177</v>
      </c>
      <c r="F31" s="31" t="s">
        <v>145</v>
      </c>
      <c r="G31" s="31" t="s">
        <v>148</v>
      </c>
    </row>
    <row r="32" spans="1:7" s="27" customFormat="1">
      <c r="A32" s="27">
        <v>1367</v>
      </c>
      <c r="B32" s="34">
        <v>370321</v>
      </c>
      <c r="C32" s="36" t="s">
        <v>204</v>
      </c>
      <c r="D32" s="31" t="s">
        <v>176</v>
      </c>
      <c r="E32" s="31" t="s">
        <v>177</v>
      </c>
      <c r="F32" s="31" t="s">
        <v>145</v>
      </c>
      <c r="G32" s="31" t="s">
        <v>148</v>
      </c>
    </row>
    <row r="33" spans="1:7" s="27" customFormat="1">
      <c r="A33" s="27">
        <v>1368</v>
      </c>
      <c r="B33" s="34">
        <v>370322</v>
      </c>
      <c r="C33" s="35" t="s">
        <v>205</v>
      </c>
      <c r="D33" s="31" t="s">
        <v>176</v>
      </c>
      <c r="E33" s="31" t="s">
        <v>177</v>
      </c>
      <c r="F33" s="31" t="s">
        <v>145</v>
      </c>
      <c r="G33" s="31" t="s">
        <v>148</v>
      </c>
    </row>
    <row r="34" spans="1:7" s="27" customFormat="1">
      <c r="A34" s="27">
        <v>1369</v>
      </c>
      <c r="B34" s="34">
        <v>370323</v>
      </c>
      <c r="C34" s="35" t="s">
        <v>206</v>
      </c>
      <c r="D34" s="31" t="s">
        <v>176</v>
      </c>
      <c r="E34" s="31" t="s">
        <v>177</v>
      </c>
      <c r="F34" s="31" t="s">
        <v>145</v>
      </c>
      <c r="G34" s="31" t="s">
        <v>148</v>
      </c>
    </row>
    <row r="35" spans="1:7" s="27" customFormat="1">
      <c r="A35" s="27">
        <v>1370</v>
      </c>
      <c r="B35" s="31">
        <v>370400</v>
      </c>
      <c r="C35" s="33" t="s">
        <v>149</v>
      </c>
      <c r="D35" s="31" t="s">
        <v>173</v>
      </c>
      <c r="E35" s="31" t="s">
        <v>174</v>
      </c>
      <c r="F35" s="31" t="s">
        <v>145</v>
      </c>
      <c r="G35" s="31" t="s">
        <v>149</v>
      </c>
    </row>
    <row r="36" spans="1:7" s="27" customFormat="1">
      <c r="A36" s="27">
        <v>1371</v>
      </c>
      <c r="B36" s="34">
        <v>370402</v>
      </c>
      <c r="C36" s="36" t="s">
        <v>178</v>
      </c>
      <c r="D36" s="31" t="s">
        <v>176</v>
      </c>
      <c r="E36" s="31" t="s">
        <v>177</v>
      </c>
      <c r="F36" s="31" t="s">
        <v>145</v>
      </c>
      <c r="G36" s="31" t="s">
        <v>149</v>
      </c>
    </row>
    <row r="37" spans="1:7" s="27" customFormat="1">
      <c r="A37" s="27">
        <v>1372</v>
      </c>
      <c r="B37" s="34">
        <v>370403</v>
      </c>
      <c r="C37" s="36" t="s">
        <v>207</v>
      </c>
      <c r="D37" s="31" t="s">
        <v>176</v>
      </c>
      <c r="E37" s="31" t="s">
        <v>177</v>
      </c>
      <c r="F37" s="31" t="s">
        <v>145</v>
      </c>
      <c r="G37" s="31" t="s">
        <v>149</v>
      </c>
    </row>
    <row r="38" spans="1:7" s="27" customFormat="1">
      <c r="A38" s="27">
        <v>1373</v>
      </c>
      <c r="B38" s="34">
        <v>370404</v>
      </c>
      <c r="C38" s="36" t="s">
        <v>208</v>
      </c>
      <c r="D38" s="31" t="s">
        <v>176</v>
      </c>
      <c r="E38" s="31" t="s">
        <v>177</v>
      </c>
      <c r="F38" s="31" t="s">
        <v>145</v>
      </c>
      <c r="G38" s="31" t="s">
        <v>149</v>
      </c>
    </row>
    <row r="39" spans="1:7" s="27" customFormat="1">
      <c r="A39" s="27">
        <v>1374</v>
      </c>
      <c r="B39" s="34">
        <v>370405</v>
      </c>
      <c r="C39" s="36" t="s">
        <v>209</v>
      </c>
      <c r="D39" s="31" t="s">
        <v>176</v>
      </c>
      <c r="E39" s="31" t="s">
        <v>177</v>
      </c>
      <c r="F39" s="31" t="s">
        <v>145</v>
      </c>
      <c r="G39" s="31" t="s">
        <v>149</v>
      </c>
    </row>
    <row r="40" spans="1:7" s="27" customFormat="1">
      <c r="A40" s="27">
        <v>1375</v>
      </c>
      <c r="B40" s="34">
        <v>370406</v>
      </c>
      <c r="C40" s="36" t="s">
        <v>210</v>
      </c>
      <c r="D40" s="31" t="s">
        <v>176</v>
      </c>
      <c r="E40" s="31" t="s">
        <v>177</v>
      </c>
      <c r="F40" s="31" t="s">
        <v>145</v>
      </c>
      <c r="G40" s="31" t="s">
        <v>149</v>
      </c>
    </row>
    <row r="41" spans="1:7" s="27" customFormat="1">
      <c r="A41" s="27">
        <v>1376</v>
      </c>
      <c r="B41" s="34">
        <v>370481</v>
      </c>
      <c r="C41" s="36" t="s">
        <v>211</v>
      </c>
      <c r="D41" s="31" t="s">
        <v>176</v>
      </c>
      <c r="E41" s="31" t="s">
        <v>177</v>
      </c>
      <c r="F41" s="31" t="s">
        <v>145</v>
      </c>
      <c r="G41" s="31" t="s">
        <v>149</v>
      </c>
    </row>
    <row r="42" spans="1:7" s="27" customFormat="1">
      <c r="A42" s="27">
        <v>1377</v>
      </c>
      <c r="B42" s="31">
        <v>370500</v>
      </c>
      <c r="C42" s="33" t="s">
        <v>150</v>
      </c>
      <c r="D42" s="31" t="s">
        <v>173</v>
      </c>
      <c r="E42" s="31" t="s">
        <v>174</v>
      </c>
      <c r="F42" s="31" t="s">
        <v>145</v>
      </c>
      <c r="G42" s="31" t="s">
        <v>150</v>
      </c>
    </row>
    <row r="43" spans="1:7" s="27" customFormat="1">
      <c r="A43" s="27">
        <v>1378</v>
      </c>
      <c r="B43" s="34">
        <v>370502</v>
      </c>
      <c r="C43" s="35" t="s">
        <v>212</v>
      </c>
      <c r="D43" s="31" t="s">
        <v>176</v>
      </c>
      <c r="E43" s="31" t="s">
        <v>177</v>
      </c>
      <c r="F43" s="31" t="s">
        <v>145</v>
      </c>
      <c r="G43" s="31" t="s">
        <v>150</v>
      </c>
    </row>
    <row r="44" spans="1:7" s="27" customFormat="1">
      <c r="A44" s="27">
        <v>1379</v>
      </c>
      <c r="B44" s="34">
        <v>370503</v>
      </c>
      <c r="C44" s="36" t="s">
        <v>213</v>
      </c>
      <c r="D44" s="31" t="s">
        <v>176</v>
      </c>
      <c r="E44" s="31" t="s">
        <v>177</v>
      </c>
      <c r="F44" s="31" t="s">
        <v>145</v>
      </c>
      <c r="G44" s="31" t="s">
        <v>150</v>
      </c>
    </row>
    <row r="45" spans="1:7" s="27" customFormat="1">
      <c r="A45" s="27">
        <v>1380</v>
      </c>
      <c r="B45" s="34">
        <v>370505</v>
      </c>
      <c r="C45" s="35" t="s">
        <v>214</v>
      </c>
      <c r="D45" s="31" t="s">
        <v>176</v>
      </c>
      <c r="E45" s="31" t="s">
        <v>177</v>
      </c>
      <c r="F45" s="31" t="s">
        <v>145</v>
      </c>
      <c r="G45" s="31" t="s">
        <v>150</v>
      </c>
    </row>
    <row r="46" spans="1:7" s="27" customFormat="1">
      <c r="A46" s="27">
        <v>1381</v>
      </c>
      <c r="B46" s="34">
        <v>370522</v>
      </c>
      <c r="C46" s="35" t="s">
        <v>215</v>
      </c>
      <c r="D46" s="31" t="s">
        <v>176</v>
      </c>
      <c r="E46" s="31" t="s">
        <v>177</v>
      </c>
      <c r="F46" s="31" t="s">
        <v>145</v>
      </c>
      <c r="G46" s="31" t="s">
        <v>150</v>
      </c>
    </row>
    <row r="47" spans="1:7" s="27" customFormat="1">
      <c r="A47" s="27">
        <v>1382</v>
      </c>
      <c r="B47" s="34">
        <v>370523</v>
      </c>
      <c r="C47" s="35" t="s">
        <v>216</v>
      </c>
      <c r="D47" s="31" t="s">
        <v>176</v>
      </c>
      <c r="E47" s="31" t="s">
        <v>177</v>
      </c>
      <c r="F47" s="31" t="s">
        <v>145</v>
      </c>
      <c r="G47" s="31" t="s">
        <v>150</v>
      </c>
    </row>
    <row r="48" spans="1:7" s="27" customFormat="1">
      <c r="A48" s="27">
        <v>1383</v>
      </c>
      <c r="B48" s="31">
        <v>370600</v>
      </c>
      <c r="C48" s="33" t="s">
        <v>151</v>
      </c>
      <c r="D48" s="31" t="s">
        <v>173</v>
      </c>
      <c r="E48" s="31" t="s">
        <v>174</v>
      </c>
      <c r="F48" s="31" t="s">
        <v>145</v>
      </c>
      <c r="G48" s="31" t="s">
        <v>151</v>
      </c>
    </row>
    <row r="49" spans="1:8" s="27" customFormat="1">
      <c r="A49" s="27">
        <v>1384</v>
      </c>
      <c r="B49" s="34">
        <v>370602</v>
      </c>
      <c r="C49" s="35" t="s">
        <v>217</v>
      </c>
      <c r="D49" s="31" t="s">
        <v>176</v>
      </c>
      <c r="E49" s="31" t="s">
        <v>177</v>
      </c>
      <c r="F49" s="31" t="s">
        <v>145</v>
      </c>
      <c r="G49" s="31" t="s">
        <v>151</v>
      </c>
    </row>
    <row r="50" spans="1:8" s="27" customFormat="1">
      <c r="A50" s="27">
        <v>1385</v>
      </c>
      <c r="B50" s="34">
        <v>370611</v>
      </c>
      <c r="C50" s="36" t="s">
        <v>218</v>
      </c>
      <c r="D50" s="31" t="s">
        <v>176</v>
      </c>
      <c r="E50" s="31" t="s">
        <v>177</v>
      </c>
      <c r="F50" s="31" t="s">
        <v>145</v>
      </c>
      <c r="G50" s="31" t="s">
        <v>151</v>
      </c>
    </row>
    <row r="51" spans="1:8" s="27" customFormat="1">
      <c r="A51" s="27">
        <v>1386</v>
      </c>
      <c r="B51" s="34">
        <v>370612</v>
      </c>
      <c r="C51" s="35" t="s">
        <v>219</v>
      </c>
      <c r="D51" s="31" t="s">
        <v>176</v>
      </c>
      <c r="E51" s="31" t="s">
        <v>177</v>
      </c>
      <c r="F51" s="31" t="s">
        <v>145</v>
      </c>
      <c r="G51" s="31" t="s">
        <v>151</v>
      </c>
    </row>
    <row r="52" spans="1:8" s="27" customFormat="1">
      <c r="A52" s="27">
        <v>1387</v>
      </c>
      <c r="B52" s="34">
        <v>370613</v>
      </c>
      <c r="C52" s="35" t="s">
        <v>220</v>
      </c>
      <c r="D52" s="31" t="s">
        <v>176</v>
      </c>
      <c r="E52" s="31" t="s">
        <v>177</v>
      </c>
      <c r="F52" s="31" t="s">
        <v>145</v>
      </c>
      <c r="G52" s="31" t="s">
        <v>151</v>
      </c>
    </row>
    <row r="53" spans="1:8" s="27" customFormat="1">
      <c r="A53" s="27">
        <v>1388</v>
      </c>
      <c r="B53" s="34">
        <v>370614</v>
      </c>
      <c r="C53" s="35" t="s">
        <v>221</v>
      </c>
      <c r="D53" s="31" t="s">
        <v>176</v>
      </c>
      <c r="E53" s="31" t="s">
        <v>177</v>
      </c>
      <c r="F53" s="31" t="s">
        <v>145</v>
      </c>
      <c r="G53" s="31" t="s">
        <v>151</v>
      </c>
    </row>
    <row r="54" spans="1:8" s="27" customFormat="1">
      <c r="A54" s="27">
        <v>1389</v>
      </c>
      <c r="B54" s="34">
        <v>370681</v>
      </c>
      <c r="C54" s="35" t="s">
        <v>222</v>
      </c>
      <c r="D54" s="31" t="s">
        <v>176</v>
      </c>
      <c r="E54" s="31" t="s">
        <v>177</v>
      </c>
      <c r="F54" s="31" t="s">
        <v>145</v>
      </c>
      <c r="G54" s="31" t="s">
        <v>151</v>
      </c>
    </row>
    <row r="55" spans="1:8" s="27" customFormat="1">
      <c r="A55" s="27">
        <v>1390</v>
      </c>
      <c r="B55" s="34">
        <v>370682</v>
      </c>
      <c r="C55" s="35" t="s">
        <v>223</v>
      </c>
      <c r="D55" s="31" t="s">
        <v>176</v>
      </c>
      <c r="E55" s="31" t="s">
        <v>177</v>
      </c>
      <c r="F55" s="31" t="s">
        <v>145</v>
      </c>
      <c r="G55" s="31" t="s">
        <v>151</v>
      </c>
    </row>
    <row r="56" spans="1:8" s="27" customFormat="1">
      <c r="A56" s="27">
        <v>1391</v>
      </c>
      <c r="B56" s="34">
        <v>370683</v>
      </c>
      <c r="C56" s="36" t="s">
        <v>224</v>
      </c>
      <c r="D56" s="31" t="s">
        <v>176</v>
      </c>
      <c r="E56" s="31" t="s">
        <v>177</v>
      </c>
      <c r="F56" s="31" t="s">
        <v>145</v>
      </c>
      <c r="G56" s="31" t="s">
        <v>151</v>
      </c>
    </row>
    <row r="57" spans="1:8" s="27" customFormat="1">
      <c r="A57" s="27">
        <v>1392</v>
      </c>
      <c r="B57" s="34">
        <v>370685</v>
      </c>
      <c r="C57" s="35" t="s">
        <v>225</v>
      </c>
      <c r="D57" s="31" t="s">
        <v>176</v>
      </c>
      <c r="E57" s="31" t="s">
        <v>177</v>
      </c>
      <c r="F57" s="31" t="s">
        <v>145</v>
      </c>
      <c r="G57" s="31" t="s">
        <v>151</v>
      </c>
    </row>
    <row r="58" spans="1:8" s="27" customFormat="1">
      <c r="A58" s="27">
        <v>1393</v>
      </c>
      <c r="B58" s="34">
        <v>370686</v>
      </c>
      <c r="C58" s="35" t="s">
        <v>226</v>
      </c>
      <c r="D58" s="31" t="s">
        <v>176</v>
      </c>
      <c r="E58" s="31" t="s">
        <v>177</v>
      </c>
      <c r="F58" s="31" t="s">
        <v>145</v>
      </c>
      <c r="G58" s="31" t="s">
        <v>151</v>
      </c>
    </row>
    <row r="59" spans="1:8" s="27" customFormat="1">
      <c r="A59" s="27">
        <v>1394</v>
      </c>
      <c r="B59" s="34">
        <v>370687</v>
      </c>
      <c r="C59" s="36" t="s">
        <v>227</v>
      </c>
      <c r="D59" s="31" t="s">
        <v>176</v>
      </c>
      <c r="E59" s="31" t="s">
        <v>177</v>
      </c>
      <c r="F59" s="31" t="s">
        <v>145</v>
      </c>
      <c r="G59" s="31" t="s">
        <v>151</v>
      </c>
    </row>
    <row r="60" spans="1:8" s="27" customFormat="1">
      <c r="A60" s="27">
        <v>1395</v>
      </c>
      <c r="B60" s="31">
        <v>370700</v>
      </c>
      <c r="C60" s="33" t="s">
        <v>152</v>
      </c>
      <c r="D60" s="31" t="s">
        <v>173</v>
      </c>
      <c r="E60" s="31" t="s">
        <v>174</v>
      </c>
      <c r="F60" s="31" t="s">
        <v>145</v>
      </c>
      <c r="G60" s="31" t="s">
        <v>152</v>
      </c>
      <c r="H60" s="31" t="s">
        <v>313</v>
      </c>
    </row>
    <row r="61" spans="1:8" s="27" customFormat="1">
      <c r="A61" s="27">
        <v>1396</v>
      </c>
      <c r="B61" s="34">
        <v>370702</v>
      </c>
      <c r="C61" s="35" t="s">
        <v>228</v>
      </c>
      <c r="D61" s="31" t="s">
        <v>176</v>
      </c>
      <c r="E61" s="31" t="s">
        <v>177</v>
      </c>
      <c r="F61" s="31" t="s">
        <v>145</v>
      </c>
      <c r="G61" s="31" t="s">
        <v>152</v>
      </c>
      <c r="H61" s="31" t="s">
        <v>314</v>
      </c>
    </row>
    <row r="62" spans="1:8" s="27" customFormat="1">
      <c r="A62" s="27">
        <v>1397</v>
      </c>
      <c r="B62" s="34">
        <v>370703</v>
      </c>
      <c r="C62" s="36" t="s">
        <v>229</v>
      </c>
      <c r="D62" s="31" t="s">
        <v>176</v>
      </c>
      <c r="E62" s="31" t="s">
        <v>177</v>
      </c>
      <c r="F62" s="31" t="s">
        <v>145</v>
      </c>
      <c r="G62" s="31" t="s">
        <v>152</v>
      </c>
    </row>
    <row r="63" spans="1:8" s="27" customFormat="1">
      <c r="A63" s="27">
        <v>1398</v>
      </c>
      <c r="B63" s="34">
        <v>370704</v>
      </c>
      <c r="C63" s="36" t="s">
        <v>230</v>
      </c>
      <c r="D63" s="31" t="s">
        <v>176</v>
      </c>
      <c r="E63" s="31" t="s">
        <v>177</v>
      </c>
      <c r="F63" s="31" t="s">
        <v>145</v>
      </c>
      <c r="G63" s="31" t="s">
        <v>152</v>
      </c>
    </row>
    <row r="64" spans="1:8" s="27" customFormat="1">
      <c r="A64" s="27">
        <v>1399</v>
      </c>
      <c r="B64" s="34">
        <v>370705</v>
      </c>
      <c r="C64" s="35" t="s">
        <v>231</v>
      </c>
      <c r="D64" s="31" t="s">
        <v>176</v>
      </c>
      <c r="E64" s="31" t="s">
        <v>177</v>
      </c>
      <c r="F64" s="31" t="s">
        <v>145</v>
      </c>
      <c r="G64" s="31" t="s">
        <v>152</v>
      </c>
    </row>
    <row r="65" spans="1:14" s="27" customFormat="1">
      <c r="A65" s="27">
        <v>1400</v>
      </c>
      <c r="B65" s="34">
        <v>370724</v>
      </c>
      <c r="C65" s="36" t="s">
        <v>232</v>
      </c>
      <c r="D65" s="31" t="s">
        <v>176</v>
      </c>
      <c r="E65" s="31" t="s">
        <v>177</v>
      </c>
      <c r="F65" s="31" t="s">
        <v>145</v>
      </c>
      <c r="G65" s="31" t="s">
        <v>152</v>
      </c>
    </row>
    <row r="66" spans="1:14" s="27" customFormat="1">
      <c r="A66" s="27">
        <v>1401</v>
      </c>
      <c r="B66" s="34">
        <v>370725</v>
      </c>
      <c r="C66" s="35" t="s">
        <v>233</v>
      </c>
      <c r="D66" s="31" t="s">
        <v>176</v>
      </c>
      <c r="E66" s="31" t="s">
        <v>177</v>
      </c>
      <c r="F66" s="31" t="s">
        <v>145</v>
      </c>
      <c r="G66" s="31" t="s">
        <v>152</v>
      </c>
    </row>
    <row r="67" spans="1:14" s="27" customFormat="1">
      <c r="A67" s="27">
        <v>1402</v>
      </c>
      <c r="B67" s="34">
        <v>370781</v>
      </c>
      <c r="C67" s="36" t="s">
        <v>234</v>
      </c>
      <c r="D67" s="31" t="s">
        <v>176</v>
      </c>
      <c r="E67" s="31" t="s">
        <v>177</v>
      </c>
      <c r="F67" s="31" t="s">
        <v>145</v>
      </c>
      <c r="G67" s="31" t="s">
        <v>152</v>
      </c>
    </row>
    <row r="68" spans="1:14" s="27" customFormat="1">
      <c r="A68" s="27">
        <v>1403</v>
      </c>
      <c r="B68" s="34">
        <v>370782</v>
      </c>
      <c r="C68" s="36" t="s">
        <v>235</v>
      </c>
      <c r="D68" s="31" t="s">
        <v>176</v>
      </c>
      <c r="E68" s="31" t="s">
        <v>177</v>
      </c>
      <c r="F68" s="31" t="s">
        <v>145</v>
      </c>
      <c r="G68" s="31" t="s">
        <v>152</v>
      </c>
    </row>
    <row r="69" spans="1:14" s="27" customFormat="1">
      <c r="A69" s="27">
        <v>1404</v>
      </c>
      <c r="B69" s="34">
        <v>370783</v>
      </c>
      <c r="C69" s="36" t="s">
        <v>236</v>
      </c>
      <c r="D69" s="31" t="s">
        <v>176</v>
      </c>
      <c r="E69" s="31" t="s">
        <v>177</v>
      </c>
      <c r="F69" s="31" t="s">
        <v>145</v>
      </c>
      <c r="G69" s="31" t="s">
        <v>152</v>
      </c>
    </row>
    <row r="70" spans="1:14" s="27" customFormat="1">
      <c r="A70" s="27">
        <v>1405</v>
      </c>
      <c r="B70" s="34">
        <v>370784</v>
      </c>
      <c r="C70" s="35" t="s">
        <v>237</v>
      </c>
      <c r="D70" s="31" t="s">
        <v>176</v>
      </c>
      <c r="E70" s="31" t="s">
        <v>177</v>
      </c>
      <c r="F70" s="31" t="s">
        <v>145</v>
      </c>
      <c r="G70" s="31" t="s">
        <v>152</v>
      </c>
    </row>
    <row r="71" spans="1:14" s="27" customFormat="1">
      <c r="A71" s="27">
        <v>1406</v>
      </c>
      <c r="B71" s="34">
        <v>370785</v>
      </c>
      <c r="C71" s="36" t="s">
        <v>238</v>
      </c>
      <c r="D71" s="31" t="s">
        <v>176</v>
      </c>
      <c r="E71" s="31" t="s">
        <v>177</v>
      </c>
      <c r="F71" s="31" t="s">
        <v>145</v>
      </c>
      <c r="G71" s="31" t="s">
        <v>152</v>
      </c>
    </row>
    <row r="72" spans="1:14" s="27" customFormat="1">
      <c r="A72" s="27">
        <v>1407</v>
      </c>
      <c r="B72" s="34">
        <v>370786</v>
      </c>
      <c r="C72" s="35" t="s">
        <v>239</v>
      </c>
      <c r="D72" s="31" t="s">
        <v>176</v>
      </c>
      <c r="E72" s="31" t="s">
        <v>177</v>
      </c>
      <c r="F72" s="31" t="s">
        <v>145</v>
      </c>
      <c r="G72" s="31" t="s">
        <v>152</v>
      </c>
    </row>
    <row r="73" spans="1:14" s="27" customFormat="1">
      <c r="A73" s="27">
        <v>1408</v>
      </c>
      <c r="B73" s="31">
        <v>370800</v>
      </c>
      <c r="C73" s="33" t="s">
        <v>153</v>
      </c>
      <c r="D73" s="31" t="s">
        <v>173</v>
      </c>
      <c r="E73" s="31" t="s">
        <v>174</v>
      </c>
      <c r="F73" s="31" t="s">
        <v>145</v>
      </c>
      <c r="G73" s="31" t="s">
        <v>153</v>
      </c>
    </row>
    <row r="74" spans="1:14" s="27" customFormat="1">
      <c r="A74" s="27">
        <v>1409</v>
      </c>
      <c r="B74" s="34">
        <v>370811</v>
      </c>
      <c r="C74" s="35" t="s">
        <v>240</v>
      </c>
      <c r="D74" s="31" t="s">
        <v>176</v>
      </c>
      <c r="E74" s="31" t="s">
        <v>177</v>
      </c>
      <c r="F74" s="31" t="s">
        <v>145</v>
      </c>
      <c r="G74" s="31" t="s">
        <v>153</v>
      </c>
    </row>
    <row r="75" spans="1:14" s="27" customFormat="1">
      <c r="A75" s="27">
        <v>1410</v>
      </c>
      <c r="B75" s="34">
        <v>370812</v>
      </c>
      <c r="C75" s="35" t="s">
        <v>241</v>
      </c>
      <c r="D75" s="31" t="s">
        <v>176</v>
      </c>
      <c r="E75" s="31" t="s">
        <v>177</v>
      </c>
      <c r="F75" s="31" t="s">
        <v>145</v>
      </c>
      <c r="G75" s="31" t="s">
        <v>153</v>
      </c>
    </row>
    <row r="76" spans="1:14" s="27" customFormat="1">
      <c r="A76" s="27">
        <v>1411</v>
      </c>
      <c r="B76" s="34">
        <v>370826</v>
      </c>
      <c r="C76" s="35" t="s">
        <v>242</v>
      </c>
      <c r="D76" s="31" t="s">
        <v>176</v>
      </c>
      <c r="E76" s="31" t="s">
        <v>177</v>
      </c>
      <c r="F76" s="31" t="s">
        <v>145</v>
      </c>
      <c r="G76" s="31" t="s">
        <v>153</v>
      </c>
    </row>
    <row r="77" spans="1:14" s="27" customFormat="1">
      <c r="A77" s="27">
        <v>1412</v>
      </c>
      <c r="B77" s="34">
        <v>370827</v>
      </c>
      <c r="C77" s="36" t="s">
        <v>243</v>
      </c>
      <c r="D77" s="31" t="s">
        <v>176</v>
      </c>
      <c r="E77" s="31" t="s">
        <v>177</v>
      </c>
      <c r="F77" s="31" t="s">
        <v>145</v>
      </c>
      <c r="G77" s="31" t="s">
        <v>153</v>
      </c>
      <c r="H77" s="27">
        <v>420010</v>
      </c>
      <c r="M77" s="27">
        <v>181059</v>
      </c>
      <c r="N77" s="27">
        <v>238951</v>
      </c>
    </row>
    <row r="78" spans="1:14" s="27" customFormat="1">
      <c r="A78" s="27">
        <v>1413</v>
      </c>
      <c r="B78" s="34">
        <v>370828</v>
      </c>
      <c r="C78" s="35" t="s">
        <v>244</v>
      </c>
      <c r="D78" s="31" t="s">
        <v>176</v>
      </c>
      <c r="E78" s="31" t="s">
        <v>177</v>
      </c>
      <c r="F78" s="31" t="s">
        <v>145</v>
      </c>
      <c r="G78" s="31" t="s">
        <v>153</v>
      </c>
    </row>
    <row r="79" spans="1:14" s="27" customFormat="1">
      <c r="A79" s="27">
        <v>1414</v>
      </c>
      <c r="B79" s="34">
        <v>370829</v>
      </c>
      <c r="C79" s="36" t="s">
        <v>245</v>
      </c>
      <c r="D79" s="31" t="s">
        <v>176</v>
      </c>
      <c r="E79" s="31" t="s">
        <v>177</v>
      </c>
      <c r="F79" s="31" t="s">
        <v>145</v>
      </c>
      <c r="G79" s="31" t="s">
        <v>153</v>
      </c>
      <c r="H79" s="27">
        <v>700149</v>
      </c>
      <c r="I79" s="27">
        <v>232859</v>
      </c>
      <c r="J79" s="27">
        <v>8449</v>
      </c>
      <c r="K79" s="27">
        <v>670253</v>
      </c>
      <c r="L79" s="27">
        <v>29896</v>
      </c>
      <c r="M79" s="27">
        <v>298698</v>
      </c>
      <c r="N79" s="27">
        <v>401451</v>
      </c>
    </row>
    <row r="80" spans="1:14" s="27" customFormat="1">
      <c r="A80" s="27">
        <v>1415</v>
      </c>
      <c r="B80" s="34">
        <v>370830</v>
      </c>
      <c r="C80" s="35" t="s">
        <v>246</v>
      </c>
      <c r="D80" s="31" t="s">
        <v>176</v>
      </c>
      <c r="E80" s="31" t="s">
        <v>177</v>
      </c>
      <c r="F80" s="31" t="s">
        <v>145</v>
      </c>
      <c r="G80" s="31" t="s">
        <v>153</v>
      </c>
    </row>
    <row r="81" spans="1:7" s="27" customFormat="1">
      <c r="A81" s="27">
        <v>1416</v>
      </c>
      <c r="B81" s="34">
        <v>370831</v>
      </c>
      <c r="C81" s="35" t="s">
        <v>247</v>
      </c>
      <c r="D81" s="31" t="s">
        <v>176</v>
      </c>
      <c r="E81" s="31" t="s">
        <v>177</v>
      </c>
      <c r="F81" s="31" t="s">
        <v>145</v>
      </c>
      <c r="G81" s="31" t="s">
        <v>153</v>
      </c>
    </row>
    <row r="82" spans="1:7" s="27" customFormat="1">
      <c r="A82" s="27">
        <v>1417</v>
      </c>
      <c r="B82" s="34">
        <v>370832</v>
      </c>
      <c r="C82" s="36" t="s">
        <v>248</v>
      </c>
      <c r="D82" s="31" t="s">
        <v>176</v>
      </c>
      <c r="E82" s="31" t="s">
        <v>177</v>
      </c>
      <c r="F82" s="31" t="s">
        <v>145</v>
      </c>
      <c r="G82" s="31" t="s">
        <v>153</v>
      </c>
    </row>
    <row r="83" spans="1:7" s="27" customFormat="1">
      <c r="A83" s="27">
        <v>1418</v>
      </c>
      <c r="B83" s="34">
        <v>370881</v>
      </c>
      <c r="C83" s="36" t="s">
        <v>249</v>
      </c>
      <c r="D83" s="31" t="s">
        <v>176</v>
      </c>
      <c r="E83" s="31" t="s">
        <v>177</v>
      </c>
      <c r="F83" s="31" t="s">
        <v>145</v>
      </c>
      <c r="G83" s="31" t="s">
        <v>153</v>
      </c>
    </row>
    <row r="84" spans="1:7" s="27" customFormat="1">
      <c r="A84" s="27">
        <v>1419</v>
      </c>
      <c r="B84" s="34">
        <v>370883</v>
      </c>
      <c r="C84" s="36" t="s">
        <v>250</v>
      </c>
      <c r="D84" s="31" t="s">
        <v>176</v>
      </c>
      <c r="E84" s="31" t="s">
        <v>177</v>
      </c>
      <c r="F84" s="31" t="s">
        <v>145</v>
      </c>
      <c r="G84" s="31" t="s">
        <v>153</v>
      </c>
    </row>
    <row r="85" spans="1:7" s="27" customFormat="1">
      <c r="A85" s="27">
        <v>1420</v>
      </c>
      <c r="B85" s="31">
        <v>370900</v>
      </c>
      <c r="C85" s="33" t="s">
        <v>154</v>
      </c>
      <c r="D85" s="31" t="s">
        <v>173</v>
      </c>
      <c r="E85" s="31" t="s">
        <v>174</v>
      </c>
      <c r="F85" s="31" t="s">
        <v>145</v>
      </c>
      <c r="G85" s="31" t="s">
        <v>154</v>
      </c>
    </row>
    <row r="86" spans="1:7" s="27" customFormat="1">
      <c r="A86" s="27">
        <v>1421</v>
      </c>
      <c r="B86" s="34">
        <v>370902</v>
      </c>
      <c r="C86" s="35" t="s">
        <v>251</v>
      </c>
      <c r="D86" s="31" t="s">
        <v>176</v>
      </c>
      <c r="E86" s="31" t="s">
        <v>177</v>
      </c>
      <c r="F86" s="31" t="s">
        <v>145</v>
      </c>
      <c r="G86" s="31" t="s">
        <v>154</v>
      </c>
    </row>
    <row r="87" spans="1:7" s="27" customFormat="1">
      <c r="A87" s="27">
        <v>1422</v>
      </c>
      <c r="B87" s="34">
        <v>370911</v>
      </c>
      <c r="C87" s="35" t="s">
        <v>252</v>
      </c>
      <c r="D87" s="31" t="s">
        <v>176</v>
      </c>
      <c r="E87" s="31" t="s">
        <v>177</v>
      </c>
      <c r="F87" s="31" t="s">
        <v>145</v>
      </c>
      <c r="G87" s="31" t="s">
        <v>154</v>
      </c>
    </row>
    <row r="88" spans="1:7" s="27" customFormat="1">
      <c r="A88" s="27">
        <v>1423</v>
      </c>
      <c r="B88" s="34">
        <v>370921</v>
      </c>
      <c r="C88" s="35" t="s">
        <v>253</v>
      </c>
      <c r="D88" s="31" t="s">
        <v>176</v>
      </c>
      <c r="E88" s="31" t="s">
        <v>177</v>
      </c>
      <c r="F88" s="31" t="s">
        <v>145</v>
      </c>
      <c r="G88" s="31" t="s">
        <v>154</v>
      </c>
    </row>
    <row r="89" spans="1:7" s="27" customFormat="1">
      <c r="A89" s="27">
        <v>1424</v>
      </c>
      <c r="B89" s="34">
        <v>370923</v>
      </c>
      <c r="C89" s="36" t="s">
        <v>254</v>
      </c>
      <c r="D89" s="31" t="s">
        <v>176</v>
      </c>
      <c r="E89" s="31" t="s">
        <v>177</v>
      </c>
      <c r="F89" s="31" t="s">
        <v>145</v>
      </c>
      <c r="G89" s="31" t="s">
        <v>154</v>
      </c>
    </row>
    <row r="90" spans="1:7" s="27" customFormat="1">
      <c r="A90" s="27">
        <v>1425</v>
      </c>
      <c r="B90" s="34">
        <v>370982</v>
      </c>
      <c r="C90" s="36" t="s">
        <v>255</v>
      </c>
      <c r="D90" s="31" t="s">
        <v>176</v>
      </c>
      <c r="E90" s="31" t="s">
        <v>177</v>
      </c>
      <c r="F90" s="31" t="s">
        <v>145</v>
      </c>
      <c r="G90" s="31" t="s">
        <v>154</v>
      </c>
    </row>
    <row r="91" spans="1:7" s="27" customFormat="1">
      <c r="A91" s="27">
        <v>1426</v>
      </c>
      <c r="B91" s="34">
        <v>370983</v>
      </c>
      <c r="C91" s="36" t="s">
        <v>256</v>
      </c>
      <c r="D91" s="31" t="s">
        <v>176</v>
      </c>
      <c r="E91" s="31" t="s">
        <v>177</v>
      </c>
      <c r="F91" s="31" t="s">
        <v>145</v>
      </c>
      <c r="G91" s="31" t="s">
        <v>154</v>
      </c>
    </row>
    <row r="92" spans="1:7" s="27" customFormat="1">
      <c r="A92" s="27">
        <v>1427</v>
      </c>
      <c r="B92" s="31">
        <v>371000</v>
      </c>
      <c r="C92" s="33" t="s">
        <v>155</v>
      </c>
      <c r="D92" s="31" t="s">
        <v>173</v>
      </c>
      <c r="E92" s="31" t="s">
        <v>174</v>
      </c>
      <c r="F92" s="31" t="s">
        <v>145</v>
      </c>
      <c r="G92" s="31" t="s">
        <v>155</v>
      </c>
    </row>
    <row r="93" spans="1:7" s="27" customFormat="1">
      <c r="A93" s="27">
        <v>1428</v>
      </c>
      <c r="B93" s="34">
        <v>371002</v>
      </c>
      <c r="C93" s="35" t="s">
        <v>257</v>
      </c>
      <c r="D93" s="31" t="s">
        <v>176</v>
      </c>
      <c r="E93" s="31" t="s">
        <v>177</v>
      </c>
      <c r="F93" s="31" t="s">
        <v>145</v>
      </c>
      <c r="G93" s="31" t="s">
        <v>155</v>
      </c>
    </row>
    <row r="94" spans="1:7" s="27" customFormat="1">
      <c r="A94" s="27">
        <v>1429</v>
      </c>
      <c r="B94" s="34">
        <v>371003</v>
      </c>
      <c r="C94" s="35" t="s">
        <v>258</v>
      </c>
      <c r="D94" s="31" t="s">
        <v>176</v>
      </c>
      <c r="E94" s="31" t="s">
        <v>177</v>
      </c>
      <c r="F94" s="31" t="s">
        <v>145</v>
      </c>
      <c r="G94" s="31" t="s">
        <v>155</v>
      </c>
    </row>
    <row r="95" spans="1:7" s="27" customFormat="1">
      <c r="A95" s="27">
        <v>1430</v>
      </c>
      <c r="B95" s="34">
        <v>371082</v>
      </c>
      <c r="C95" s="35" t="s">
        <v>259</v>
      </c>
      <c r="D95" s="31" t="s">
        <v>176</v>
      </c>
      <c r="E95" s="31" t="s">
        <v>177</v>
      </c>
      <c r="F95" s="31" t="s">
        <v>145</v>
      </c>
      <c r="G95" s="31" t="s">
        <v>155</v>
      </c>
    </row>
    <row r="96" spans="1:7" s="27" customFormat="1">
      <c r="A96" s="27">
        <v>1431</v>
      </c>
      <c r="B96" s="34">
        <v>371083</v>
      </c>
      <c r="C96" s="35" t="s">
        <v>260</v>
      </c>
      <c r="D96" s="31" t="s">
        <v>176</v>
      </c>
      <c r="E96" s="31" t="s">
        <v>177</v>
      </c>
      <c r="F96" s="31" t="s">
        <v>145</v>
      </c>
      <c r="G96" s="31" t="s">
        <v>155</v>
      </c>
    </row>
    <row r="97" spans="1:8" s="27" customFormat="1">
      <c r="A97" s="27">
        <v>1432</v>
      </c>
      <c r="B97" s="31">
        <v>371100</v>
      </c>
      <c r="C97" s="33" t="s">
        <v>156</v>
      </c>
      <c r="D97" s="31" t="s">
        <v>173</v>
      </c>
      <c r="E97" s="31" t="s">
        <v>174</v>
      </c>
      <c r="F97" s="31" t="s">
        <v>145</v>
      </c>
      <c r="G97" s="31" t="s">
        <v>156</v>
      </c>
    </row>
    <row r="98" spans="1:8" s="27" customFormat="1">
      <c r="A98" s="27">
        <v>1433</v>
      </c>
      <c r="B98" s="34">
        <v>371102</v>
      </c>
      <c r="C98" s="35" t="s">
        <v>261</v>
      </c>
      <c r="D98" s="31" t="s">
        <v>176</v>
      </c>
      <c r="E98" s="31" t="s">
        <v>177</v>
      </c>
      <c r="F98" s="31" t="s">
        <v>145</v>
      </c>
      <c r="G98" s="31" t="s">
        <v>156</v>
      </c>
    </row>
    <row r="99" spans="1:8" s="27" customFormat="1">
      <c r="A99" s="27">
        <v>1434</v>
      </c>
      <c r="B99" s="34">
        <v>371103</v>
      </c>
      <c r="C99" s="36" t="s">
        <v>262</v>
      </c>
      <c r="D99" s="31" t="s">
        <v>176</v>
      </c>
      <c r="E99" s="31" t="s">
        <v>177</v>
      </c>
      <c r="F99" s="31" t="s">
        <v>145</v>
      </c>
      <c r="G99" s="31" t="s">
        <v>156</v>
      </c>
    </row>
    <row r="100" spans="1:8" s="27" customFormat="1">
      <c r="A100" s="27">
        <v>1435</v>
      </c>
      <c r="B100" s="34">
        <v>371121</v>
      </c>
      <c r="C100" s="35" t="s">
        <v>263</v>
      </c>
      <c r="D100" s="31" t="s">
        <v>176</v>
      </c>
      <c r="E100" s="31" t="s">
        <v>177</v>
      </c>
      <c r="F100" s="31" t="s">
        <v>145</v>
      </c>
      <c r="G100" s="31" t="s">
        <v>156</v>
      </c>
    </row>
    <row r="101" spans="1:8" s="27" customFormat="1">
      <c r="A101" s="27">
        <v>1436</v>
      </c>
      <c r="B101" s="34">
        <v>371122</v>
      </c>
      <c r="C101" s="36" t="s">
        <v>264</v>
      </c>
      <c r="D101" s="31" t="s">
        <v>176</v>
      </c>
      <c r="E101" s="31" t="s">
        <v>177</v>
      </c>
      <c r="F101" s="31" t="s">
        <v>145</v>
      </c>
      <c r="G101" s="31" t="s">
        <v>156</v>
      </c>
    </row>
    <row r="102" spans="1:8" s="27" customFormat="1">
      <c r="A102" s="27">
        <v>1437</v>
      </c>
      <c r="B102" s="31">
        <v>371300</v>
      </c>
      <c r="C102" s="33" t="s">
        <v>157</v>
      </c>
      <c r="D102" s="31" t="s">
        <v>173</v>
      </c>
      <c r="E102" s="31" t="s">
        <v>174</v>
      </c>
      <c r="F102" s="31" t="s">
        <v>145</v>
      </c>
      <c r="G102" s="31" t="s">
        <v>157</v>
      </c>
      <c r="H102" s="31" t="s">
        <v>317</v>
      </c>
    </row>
    <row r="103" spans="1:8" s="27" customFormat="1">
      <c r="A103" s="27">
        <v>1438</v>
      </c>
      <c r="B103" s="34">
        <v>371302</v>
      </c>
      <c r="C103" s="35" t="s">
        <v>265</v>
      </c>
      <c r="D103" s="31" t="s">
        <v>176</v>
      </c>
      <c r="E103" s="31" t="s">
        <v>177</v>
      </c>
      <c r="F103" s="31" t="s">
        <v>145</v>
      </c>
      <c r="G103" s="31" t="s">
        <v>157</v>
      </c>
    </row>
    <row r="104" spans="1:8" s="27" customFormat="1">
      <c r="A104" s="27">
        <v>1439</v>
      </c>
      <c r="B104" s="34">
        <v>371311</v>
      </c>
      <c r="C104" s="35" t="s">
        <v>266</v>
      </c>
      <c r="D104" s="31" t="s">
        <v>176</v>
      </c>
      <c r="E104" s="31" t="s">
        <v>177</v>
      </c>
      <c r="F104" s="31" t="s">
        <v>145</v>
      </c>
      <c r="G104" s="31" t="s">
        <v>157</v>
      </c>
    </row>
    <row r="105" spans="1:8" s="27" customFormat="1">
      <c r="A105" s="27">
        <v>1440</v>
      </c>
      <c r="B105" s="34">
        <v>371312</v>
      </c>
      <c r="C105" s="36" t="s">
        <v>267</v>
      </c>
      <c r="D105" s="31" t="s">
        <v>176</v>
      </c>
      <c r="E105" s="31" t="s">
        <v>177</v>
      </c>
      <c r="F105" s="31" t="s">
        <v>145</v>
      </c>
      <c r="G105" s="31" t="s">
        <v>157</v>
      </c>
    </row>
    <row r="106" spans="1:8" s="27" customFormat="1">
      <c r="A106" s="27">
        <v>1441</v>
      </c>
      <c r="B106" s="34">
        <v>371321</v>
      </c>
      <c r="C106" s="35" t="s">
        <v>268</v>
      </c>
      <c r="D106" s="31" t="s">
        <v>176</v>
      </c>
      <c r="E106" s="31" t="s">
        <v>177</v>
      </c>
      <c r="F106" s="31" t="s">
        <v>145</v>
      </c>
      <c r="G106" s="31" t="s">
        <v>157</v>
      </c>
    </row>
    <row r="107" spans="1:8" s="27" customFormat="1">
      <c r="A107" s="27">
        <v>1442</v>
      </c>
      <c r="B107" s="34">
        <v>371322</v>
      </c>
      <c r="C107" s="36" t="s">
        <v>269</v>
      </c>
      <c r="D107" s="31" t="s">
        <v>176</v>
      </c>
      <c r="E107" s="31" t="s">
        <v>177</v>
      </c>
      <c r="F107" s="31" t="s">
        <v>145</v>
      </c>
      <c r="G107" s="31" t="s">
        <v>157</v>
      </c>
    </row>
    <row r="108" spans="1:8" s="27" customFormat="1">
      <c r="A108" s="27">
        <v>1443</v>
      </c>
      <c r="B108" s="34">
        <v>371323</v>
      </c>
      <c r="C108" s="36" t="s">
        <v>270</v>
      </c>
      <c r="D108" s="31" t="s">
        <v>176</v>
      </c>
      <c r="E108" s="31" t="s">
        <v>177</v>
      </c>
      <c r="F108" s="31" t="s">
        <v>145</v>
      </c>
      <c r="G108" s="31" t="s">
        <v>157</v>
      </c>
    </row>
    <row r="109" spans="1:8" s="27" customFormat="1">
      <c r="A109" s="27">
        <v>1444</v>
      </c>
      <c r="B109" s="34">
        <v>371324</v>
      </c>
      <c r="C109" s="36" t="s">
        <v>271</v>
      </c>
      <c r="D109" s="31" t="s">
        <v>176</v>
      </c>
      <c r="E109" s="31" t="s">
        <v>177</v>
      </c>
      <c r="F109" s="31" t="s">
        <v>145</v>
      </c>
      <c r="G109" s="31" t="s">
        <v>157</v>
      </c>
    </row>
    <row r="110" spans="1:8" s="27" customFormat="1">
      <c r="A110" s="27">
        <v>1445</v>
      </c>
      <c r="B110" s="34">
        <v>371325</v>
      </c>
      <c r="C110" s="35" t="s">
        <v>272</v>
      </c>
      <c r="D110" s="31" t="s">
        <v>176</v>
      </c>
      <c r="E110" s="31" t="s">
        <v>177</v>
      </c>
      <c r="F110" s="31" t="s">
        <v>145</v>
      </c>
      <c r="G110" s="31" t="s">
        <v>157</v>
      </c>
    </row>
    <row r="111" spans="1:8" s="27" customFormat="1">
      <c r="A111" s="27">
        <v>1446</v>
      </c>
      <c r="B111" s="34">
        <v>371326</v>
      </c>
      <c r="C111" s="35" t="s">
        <v>273</v>
      </c>
      <c r="D111" s="31" t="s">
        <v>176</v>
      </c>
      <c r="E111" s="31" t="s">
        <v>177</v>
      </c>
      <c r="F111" s="31" t="s">
        <v>145</v>
      </c>
      <c r="G111" s="31" t="s">
        <v>157</v>
      </c>
    </row>
    <row r="112" spans="1:8" s="27" customFormat="1">
      <c r="A112" s="27">
        <v>1447</v>
      </c>
      <c r="B112" s="34">
        <v>371327</v>
      </c>
      <c r="C112" s="35" t="s">
        <v>274</v>
      </c>
      <c r="D112" s="31" t="s">
        <v>176</v>
      </c>
      <c r="E112" s="31" t="s">
        <v>177</v>
      </c>
      <c r="F112" s="31" t="s">
        <v>145</v>
      </c>
      <c r="G112" s="31" t="s">
        <v>157</v>
      </c>
    </row>
    <row r="113" spans="1:8" s="27" customFormat="1">
      <c r="A113" s="27">
        <v>1448</v>
      </c>
      <c r="B113" s="34">
        <v>371328</v>
      </c>
      <c r="C113" s="35" t="s">
        <v>275</v>
      </c>
      <c r="D113" s="31" t="s">
        <v>176</v>
      </c>
      <c r="E113" s="31" t="s">
        <v>177</v>
      </c>
      <c r="F113" s="31" t="s">
        <v>145</v>
      </c>
      <c r="G113" s="31" t="s">
        <v>157</v>
      </c>
    </row>
    <row r="114" spans="1:8" s="27" customFormat="1">
      <c r="A114" s="27">
        <v>1449</v>
      </c>
      <c r="B114" s="34">
        <v>371329</v>
      </c>
      <c r="C114" s="35" t="s">
        <v>276</v>
      </c>
      <c r="D114" s="31" t="s">
        <v>176</v>
      </c>
      <c r="E114" s="31" t="s">
        <v>177</v>
      </c>
      <c r="F114" s="31" t="s">
        <v>145</v>
      </c>
      <c r="G114" s="31" t="s">
        <v>157</v>
      </c>
    </row>
    <row r="115" spans="1:8" s="27" customFormat="1">
      <c r="A115" s="27">
        <v>1450</v>
      </c>
      <c r="B115" s="31">
        <v>371400</v>
      </c>
      <c r="C115" s="33" t="s">
        <v>158</v>
      </c>
      <c r="D115" s="31" t="s">
        <v>173</v>
      </c>
      <c r="E115" s="31" t="s">
        <v>174</v>
      </c>
      <c r="F115" s="31" t="s">
        <v>145</v>
      </c>
      <c r="G115" s="31" t="s">
        <v>158</v>
      </c>
    </row>
    <row r="116" spans="1:8" s="27" customFormat="1">
      <c r="A116" s="27">
        <v>1451</v>
      </c>
      <c r="B116" s="34">
        <v>371402</v>
      </c>
      <c r="C116" s="35" t="s">
        <v>277</v>
      </c>
      <c r="D116" s="31" t="s">
        <v>176</v>
      </c>
      <c r="E116" s="31" t="s">
        <v>177</v>
      </c>
      <c r="F116" s="31" t="s">
        <v>145</v>
      </c>
      <c r="G116" s="31" t="s">
        <v>158</v>
      </c>
    </row>
    <row r="117" spans="1:8" s="27" customFormat="1">
      <c r="A117" s="27">
        <v>1452</v>
      </c>
      <c r="B117" s="34">
        <v>371403</v>
      </c>
      <c r="C117" s="35" t="s">
        <v>278</v>
      </c>
      <c r="D117" s="31" t="s">
        <v>176</v>
      </c>
      <c r="E117" s="31" t="s">
        <v>177</v>
      </c>
      <c r="F117" s="31" t="s">
        <v>145</v>
      </c>
      <c r="G117" s="31" t="s">
        <v>158</v>
      </c>
    </row>
    <row r="118" spans="1:8" s="27" customFormat="1">
      <c r="A118" s="27">
        <v>1453</v>
      </c>
      <c r="B118" s="34">
        <v>371422</v>
      </c>
      <c r="C118" s="36" t="s">
        <v>279</v>
      </c>
      <c r="D118" s="31" t="s">
        <v>176</v>
      </c>
      <c r="E118" s="31" t="s">
        <v>177</v>
      </c>
      <c r="F118" s="31" t="s">
        <v>145</v>
      </c>
      <c r="G118" s="31" t="s">
        <v>158</v>
      </c>
    </row>
    <row r="119" spans="1:8" s="27" customFormat="1">
      <c r="A119" s="27">
        <v>1454</v>
      </c>
      <c r="B119" s="34">
        <v>371423</v>
      </c>
      <c r="C119" s="35" t="s">
        <v>280</v>
      </c>
      <c r="D119" s="31" t="s">
        <v>176</v>
      </c>
      <c r="E119" s="31" t="s">
        <v>177</v>
      </c>
      <c r="F119" s="31" t="s">
        <v>145</v>
      </c>
      <c r="G119" s="31" t="s">
        <v>158</v>
      </c>
    </row>
    <row r="120" spans="1:8" s="27" customFormat="1">
      <c r="A120" s="27">
        <v>1455</v>
      </c>
      <c r="B120" s="34">
        <v>371424</v>
      </c>
      <c r="C120" s="36" t="s">
        <v>281</v>
      </c>
      <c r="D120" s="31" t="s">
        <v>176</v>
      </c>
      <c r="E120" s="31" t="s">
        <v>177</v>
      </c>
      <c r="F120" s="31" t="s">
        <v>145</v>
      </c>
      <c r="G120" s="31" t="s">
        <v>158</v>
      </c>
    </row>
    <row r="121" spans="1:8" s="27" customFormat="1">
      <c r="A121" s="27">
        <v>1456</v>
      </c>
      <c r="B121" s="34">
        <v>371425</v>
      </c>
      <c r="C121" s="36" t="s">
        <v>282</v>
      </c>
      <c r="D121" s="31" t="s">
        <v>176</v>
      </c>
      <c r="E121" s="31" t="s">
        <v>177</v>
      </c>
      <c r="F121" s="31" t="s">
        <v>145</v>
      </c>
      <c r="G121" s="31" t="s">
        <v>158</v>
      </c>
    </row>
    <row r="122" spans="1:8" s="27" customFormat="1">
      <c r="A122" s="27">
        <v>1457</v>
      </c>
      <c r="B122" s="34">
        <v>371426</v>
      </c>
      <c r="C122" s="36" t="s">
        <v>283</v>
      </c>
      <c r="D122" s="31" t="s">
        <v>176</v>
      </c>
      <c r="E122" s="31" t="s">
        <v>177</v>
      </c>
      <c r="F122" s="31" t="s">
        <v>145</v>
      </c>
      <c r="G122" s="31" t="s">
        <v>158</v>
      </c>
    </row>
    <row r="123" spans="1:8" s="27" customFormat="1">
      <c r="A123" s="27">
        <v>1458</v>
      </c>
      <c r="B123" s="34">
        <v>371427</v>
      </c>
      <c r="C123" s="35" t="s">
        <v>284</v>
      </c>
      <c r="D123" s="31" t="s">
        <v>176</v>
      </c>
      <c r="E123" s="31" t="s">
        <v>177</v>
      </c>
      <c r="F123" s="31" t="s">
        <v>145</v>
      </c>
      <c r="G123" s="31" t="s">
        <v>158</v>
      </c>
    </row>
    <row r="124" spans="1:8" s="27" customFormat="1">
      <c r="A124" s="27">
        <v>1459</v>
      </c>
      <c r="B124" s="34">
        <v>371428</v>
      </c>
      <c r="C124" s="35" t="s">
        <v>285</v>
      </c>
      <c r="D124" s="31" t="s">
        <v>176</v>
      </c>
      <c r="E124" s="31" t="s">
        <v>177</v>
      </c>
      <c r="F124" s="31" t="s">
        <v>145</v>
      </c>
      <c r="G124" s="31" t="s">
        <v>158</v>
      </c>
    </row>
    <row r="125" spans="1:8" s="27" customFormat="1">
      <c r="A125" s="27">
        <v>1460</v>
      </c>
      <c r="B125" s="34">
        <v>371481</v>
      </c>
      <c r="C125" s="35" t="s">
        <v>286</v>
      </c>
      <c r="D125" s="31" t="s">
        <v>176</v>
      </c>
      <c r="E125" s="31" t="s">
        <v>177</v>
      </c>
      <c r="F125" s="31" t="s">
        <v>145</v>
      </c>
      <c r="G125" s="31" t="s">
        <v>158</v>
      </c>
    </row>
    <row r="126" spans="1:8" s="27" customFormat="1">
      <c r="A126" s="27">
        <v>1461</v>
      </c>
      <c r="B126" s="34">
        <v>371482</v>
      </c>
      <c r="C126" s="36" t="s">
        <v>287</v>
      </c>
      <c r="D126" s="31" t="s">
        <v>176</v>
      </c>
      <c r="E126" s="31" t="s">
        <v>177</v>
      </c>
      <c r="F126" s="31" t="s">
        <v>145</v>
      </c>
      <c r="G126" s="31" t="s">
        <v>158</v>
      </c>
    </row>
    <row r="127" spans="1:8" s="27" customFormat="1">
      <c r="A127" s="27">
        <v>1462</v>
      </c>
      <c r="B127" s="31">
        <v>371500</v>
      </c>
      <c r="C127" s="33" t="s">
        <v>159</v>
      </c>
      <c r="D127" s="31" t="s">
        <v>173</v>
      </c>
      <c r="E127" s="31" t="s">
        <v>174</v>
      </c>
      <c r="F127" s="31" t="s">
        <v>145</v>
      </c>
      <c r="G127" s="31" t="s">
        <v>159</v>
      </c>
      <c r="H127" s="31" t="s">
        <v>316</v>
      </c>
    </row>
    <row r="128" spans="1:8" s="27" customFormat="1">
      <c r="A128" s="27">
        <v>1463</v>
      </c>
      <c r="B128" s="34">
        <v>371502</v>
      </c>
      <c r="C128" s="36" t="s">
        <v>288</v>
      </c>
      <c r="D128" s="31" t="s">
        <v>176</v>
      </c>
      <c r="E128" s="31" t="s">
        <v>177</v>
      </c>
      <c r="F128" s="31" t="s">
        <v>145</v>
      </c>
      <c r="G128" s="31" t="s">
        <v>159</v>
      </c>
    </row>
    <row r="129" spans="1:8" s="27" customFormat="1">
      <c r="A129" s="27">
        <v>1464</v>
      </c>
      <c r="B129" s="34">
        <v>371503</v>
      </c>
      <c r="C129" s="36" t="s">
        <v>289</v>
      </c>
      <c r="D129" s="31" t="s">
        <v>176</v>
      </c>
      <c r="E129" s="31" t="s">
        <v>177</v>
      </c>
      <c r="F129" s="31" t="s">
        <v>145</v>
      </c>
      <c r="G129" s="31" t="s">
        <v>159</v>
      </c>
    </row>
    <row r="130" spans="1:8" s="27" customFormat="1">
      <c r="A130" s="27">
        <v>1465</v>
      </c>
      <c r="B130" s="34">
        <v>371521</v>
      </c>
      <c r="C130" s="36" t="s">
        <v>290</v>
      </c>
      <c r="D130" s="31" t="s">
        <v>176</v>
      </c>
      <c r="E130" s="31" t="s">
        <v>177</v>
      </c>
      <c r="F130" s="31" t="s">
        <v>145</v>
      </c>
      <c r="G130" s="31" t="s">
        <v>159</v>
      </c>
    </row>
    <row r="131" spans="1:8" s="27" customFormat="1">
      <c r="A131" s="27">
        <v>1466</v>
      </c>
      <c r="B131" s="34">
        <v>371522</v>
      </c>
      <c r="C131" s="36" t="s">
        <v>291</v>
      </c>
      <c r="D131" s="31" t="s">
        <v>176</v>
      </c>
      <c r="E131" s="31" t="s">
        <v>177</v>
      </c>
      <c r="F131" s="31" t="s">
        <v>145</v>
      </c>
      <c r="G131" s="31" t="s">
        <v>159</v>
      </c>
    </row>
    <row r="132" spans="1:8" s="27" customFormat="1">
      <c r="A132" s="27">
        <v>1467</v>
      </c>
      <c r="B132" s="34">
        <v>371524</v>
      </c>
      <c r="C132" s="35" t="s">
        <v>292</v>
      </c>
      <c r="D132" s="31" t="s">
        <v>176</v>
      </c>
      <c r="E132" s="31" t="s">
        <v>177</v>
      </c>
      <c r="F132" s="31" t="s">
        <v>145</v>
      </c>
      <c r="G132" s="31" t="s">
        <v>159</v>
      </c>
    </row>
    <row r="133" spans="1:8" s="27" customFormat="1">
      <c r="A133" s="27">
        <v>1468</v>
      </c>
      <c r="B133" s="34">
        <v>371525</v>
      </c>
      <c r="C133" s="36" t="s">
        <v>293</v>
      </c>
      <c r="D133" s="31" t="s">
        <v>176</v>
      </c>
      <c r="E133" s="31" t="s">
        <v>177</v>
      </c>
      <c r="F133" s="31" t="s">
        <v>145</v>
      </c>
      <c r="G133" s="31" t="s">
        <v>159</v>
      </c>
    </row>
    <row r="134" spans="1:8" s="27" customFormat="1">
      <c r="A134" s="27">
        <v>1469</v>
      </c>
      <c r="B134" s="34">
        <v>371526</v>
      </c>
      <c r="C134" s="35" t="s">
        <v>294</v>
      </c>
      <c r="D134" s="31" t="s">
        <v>176</v>
      </c>
      <c r="E134" s="31" t="s">
        <v>177</v>
      </c>
      <c r="F134" s="31" t="s">
        <v>145</v>
      </c>
      <c r="G134" s="31" t="s">
        <v>159</v>
      </c>
    </row>
    <row r="135" spans="1:8" s="27" customFormat="1">
      <c r="A135" s="27">
        <v>1470</v>
      </c>
      <c r="B135" s="34">
        <v>371581</v>
      </c>
      <c r="C135" s="36" t="s">
        <v>295</v>
      </c>
      <c r="D135" s="31" t="s">
        <v>176</v>
      </c>
      <c r="E135" s="31" t="s">
        <v>177</v>
      </c>
      <c r="F135" s="31" t="s">
        <v>145</v>
      </c>
      <c r="G135" s="31" t="s">
        <v>159</v>
      </c>
    </row>
    <row r="136" spans="1:8" s="27" customFormat="1">
      <c r="A136" s="27">
        <v>1471</v>
      </c>
      <c r="B136" s="31">
        <v>371600</v>
      </c>
      <c r="C136" s="33" t="s">
        <v>160</v>
      </c>
      <c r="D136" s="31" t="s">
        <v>173</v>
      </c>
      <c r="E136" s="31" t="s">
        <v>174</v>
      </c>
      <c r="F136" s="31" t="s">
        <v>145</v>
      </c>
      <c r="G136" s="31" t="s">
        <v>160</v>
      </c>
      <c r="H136" s="31" t="s">
        <v>315</v>
      </c>
    </row>
    <row r="137" spans="1:8" s="27" customFormat="1">
      <c r="A137" s="27">
        <v>1472</v>
      </c>
      <c r="B137" s="34">
        <v>371602</v>
      </c>
      <c r="C137" s="36" t="s">
        <v>296</v>
      </c>
      <c r="D137" s="31" t="s">
        <v>176</v>
      </c>
      <c r="E137" s="31" t="s">
        <v>177</v>
      </c>
      <c r="F137" s="31" t="s">
        <v>145</v>
      </c>
      <c r="G137" s="31" t="s">
        <v>160</v>
      </c>
    </row>
    <row r="138" spans="1:8" s="27" customFormat="1">
      <c r="A138" s="27">
        <v>1473</v>
      </c>
      <c r="B138" s="34">
        <v>371603</v>
      </c>
      <c r="C138" s="36" t="s">
        <v>297</v>
      </c>
      <c r="D138" s="31" t="s">
        <v>176</v>
      </c>
      <c r="E138" s="31" t="s">
        <v>177</v>
      </c>
      <c r="F138" s="31" t="s">
        <v>145</v>
      </c>
      <c r="G138" s="31" t="s">
        <v>160</v>
      </c>
    </row>
    <row r="139" spans="1:8" s="27" customFormat="1">
      <c r="A139" s="27">
        <v>1474</v>
      </c>
      <c r="B139" s="34">
        <v>371621</v>
      </c>
      <c r="C139" s="36" t="s">
        <v>298</v>
      </c>
      <c r="D139" s="31" t="s">
        <v>176</v>
      </c>
      <c r="E139" s="31" t="s">
        <v>177</v>
      </c>
      <c r="F139" s="31" t="s">
        <v>145</v>
      </c>
      <c r="G139" s="31" t="s">
        <v>160</v>
      </c>
    </row>
    <row r="140" spans="1:8" s="27" customFormat="1">
      <c r="A140" s="27">
        <v>1475</v>
      </c>
      <c r="B140" s="34">
        <v>371622</v>
      </c>
      <c r="C140" s="35" t="s">
        <v>299</v>
      </c>
      <c r="D140" s="31" t="s">
        <v>176</v>
      </c>
      <c r="E140" s="31" t="s">
        <v>177</v>
      </c>
      <c r="F140" s="31" t="s">
        <v>145</v>
      </c>
      <c r="G140" s="31" t="s">
        <v>160</v>
      </c>
    </row>
    <row r="141" spans="1:8" s="27" customFormat="1">
      <c r="A141" s="27">
        <v>1476</v>
      </c>
      <c r="B141" s="34">
        <v>371623</v>
      </c>
      <c r="C141" s="35" t="s">
        <v>300</v>
      </c>
      <c r="D141" s="31" t="s">
        <v>176</v>
      </c>
      <c r="E141" s="31" t="s">
        <v>177</v>
      </c>
      <c r="F141" s="31" t="s">
        <v>145</v>
      </c>
      <c r="G141" s="31" t="s">
        <v>160</v>
      </c>
    </row>
    <row r="142" spans="1:8" s="27" customFormat="1">
      <c r="A142" s="27">
        <v>1477</v>
      </c>
      <c r="B142" s="34">
        <v>371625</v>
      </c>
      <c r="C142" s="35" t="s">
        <v>301</v>
      </c>
      <c r="D142" s="31" t="s">
        <v>176</v>
      </c>
      <c r="E142" s="31" t="s">
        <v>177</v>
      </c>
      <c r="F142" s="31" t="s">
        <v>145</v>
      </c>
      <c r="G142" s="31" t="s">
        <v>160</v>
      </c>
    </row>
    <row r="143" spans="1:8" s="27" customFormat="1">
      <c r="A143" s="27">
        <v>1478</v>
      </c>
      <c r="B143" s="34">
        <v>371681</v>
      </c>
      <c r="C143" s="36" t="s">
        <v>302</v>
      </c>
      <c r="D143" s="31" t="s">
        <v>176</v>
      </c>
      <c r="E143" s="31" t="s">
        <v>177</v>
      </c>
      <c r="F143" s="31" t="s">
        <v>145</v>
      </c>
      <c r="G143" s="31" t="s">
        <v>160</v>
      </c>
    </row>
    <row r="144" spans="1:8" s="27" customFormat="1">
      <c r="A144" s="27">
        <v>1479</v>
      </c>
      <c r="B144" s="31">
        <v>371700</v>
      </c>
      <c r="C144" s="33" t="s">
        <v>161</v>
      </c>
      <c r="D144" s="31" t="s">
        <v>173</v>
      </c>
      <c r="E144" s="31" t="s">
        <v>174</v>
      </c>
      <c r="F144" s="31" t="s">
        <v>145</v>
      </c>
      <c r="G144" s="31" t="s">
        <v>161</v>
      </c>
      <c r="H144" s="31" t="s">
        <v>318</v>
      </c>
    </row>
    <row r="145" spans="1:7" s="27" customFormat="1">
      <c r="A145" s="27">
        <v>1480</v>
      </c>
      <c r="B145" s="34">
        <v>371702</v>
      </c>
      <c r="C145" s="35" t="s">
        <v>303</v>
      </c>
      <c r="D145" s="31" t="s">
        <v>176</v>
      </c>
      <c r="E145" s="31" t="s">
        <v>177</v>
      </c>
      <c r="F145" s="31" t="s">
        <v>145</v>
      </c>
      <c r="G145" s="31" t="s">
        <v>161</v>
      </c>
    </row>
    <row r="146" spans="1:7" s="27" customFormat="1">
      <c r="A146" s="27">
        <v>1481</v>
      </c>
      <c r="B146" s="34">
        <v>371703</v>
      </c>
      <c r="C146" s="36" t="s">
        <v>304</v>
      </c>
      <c r="D146" s="31" t="s">
        <v>176</v>
      </c>
      <c r="E146" s="31" t="s">
        <v>177</v>
      </c>
      <c r="F146" s="31" t="s">
        <v>145</v>
      </c>
      <c r="G146" s="31" t="s">
        <v>161</v>
      </c>
    </row>
    <row r="147" spans="1:7" s="27" customFormat="1">
      <c r="A147" s="27">
        <v>1482</v>
      </c>
      <c r="B147" s="34">
        <v>371721</v>
      </c>
      <c r="C147" s="36" t="s">
        <v>305</v>
      </c>
      <c r="D147" s="31" t="s">
        <v>176</v>
      </c>
      <c r="E147" s="31" t="s">
        <v>177</v>
      </c>
      <c r="F147" s="31" t="s">
        <v>145</v>
      </c>
      <c r="G147" s="31" t="s">
        <v>161</v>
      </c>
    </row>
    <row r="148" spans="1:7" s="27" customFormat="1">
      <c r="A148" s="27">
        <v>1483</v>
      </c>
      <c r="B148" s="34">
        <v>371722</v>
      </c>
      <c r="C148" s="35" t="s">
        <v>306</v>
      </c>
      <c r="D148" s="31" t="s">
        <v>176</v>
      </c>
      <c r="E148" s="31" t="s">
        <v>177</v>
      </c>
      <c r="F148" s="31" t="s">
        <v>145</v>
      </c>
      <c r="G148" s="31" t="s">
        <v>161</v>
      </c>
    </row>
    <row r="149" spans="1:7" s="27" customFormat="1">
      <c r="A149" s="27">
        <v>1484</v>
      </c>
      <c r="B149" s="34">
        <v>371723</v>
      </c>
      <c r="C149" s="35" t="s">
        <v>307</v>
      </c>
      <c r="D149" s="31" t="s">
        <v>176</v>
      </c>
      <c r="E149" s="31" t="s">
        <v>177</v>
      </c>
      <c r="F149" s="31" t="s">
        <v>145</v>
      </c>
      <c r="G149" s="31" t="s">
        <v>161</v>
      </c>
    </row>
    <row r="150" spans="1:7" s="27" customFormat="1">
      <c r="A150" s="27">
        <v>1485</v>
      </c>
      <c r="B150" s="34">
        <v>371724</v>
      </c>
      <c r="C150" s="35" t="s">
        <v>308</v>
      </c>
      <c r="D150" s="31" t="s">
        <v>176</v>
      </c>
      <c r="E150" s="31" t="s">
        <v>177</v>
      </c>
      <c r="F150" s="31" t="s">
        <v>145</v>
      </c>
      <c r="G150" s="31" t="s">
        <v>161</v>
      </c>
    </row>
    <row r="151" spans="1:7" s="27" customFormat="1">
      <c r="A151" s="27">
        <v>1486</v>
      </c>
      <c r="B151" s="34">
        <v>371725</v>
      </c>
      <c r="C151" s="36" t="s">
        <v>309</v>
      </c>
      <c r="D151" s="31" t="s">
        <v>176</v>
      </c>
      <c r="E151" s="31" t="s">
        <v>177</v>
      </c>
      <c r="F151" s="31" t="s">
        <v>145</v>
      </c>
      <c r="G151" s="31" t="s">
        <v>161</v>
      </c>
    </row>
    <row r="152" spans="1:7" s="27" customFormat="1">
      <c r="A152" s="27">
        <v>1487</v>
      </c>
      <c r="B152" s="34">
        <v>371726</v>
      </c>
      <c r="C152" s="36" t="s">
        <v>310</v>
      </c>
      <c r="D152" s="31" t="s">
        <v>176</v>
      </c>
      <c r="E152" s="31" t="s">
        <v>177</v>
      </c>
      <c r="F152" s="31" t="s">
        <v>145</v>
      </c>
      <c r="G152" s="31" t="s">
        <v>161</v>
      </c>
    </row>
    <row r="153" spans="1:7" s="27" customFormat="1">
      <c r="A153" s="27">
        <v>1488</v>
      </c>
      <c r="B153" s="34">
        <v>371728</v>
      </c>
      <c r="C153" s="36" t="s">
        <v>311</v>
      </c>
      <c r="D153" s="31" t="s">
        <v>176</v>
      </c>
      <c r="E153" s="31" t="s">
        <v>177</v>
      </c>
      <c r="F153" s="31" t="s">
        <v>145</v>
      </c>
      <c r="G153" s="31" t="s">
        <v>161</v>
      </c>
    </row>
  </sheetData>
  <phoneticPr fontId="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C16A-9D58-4760-BBDA-07447F05CE43}">
  <dimension ref="A3:BD62"/>
  <sheetViews>
    <sheetView topLeftCell="A28" workbookViewId="0">
      <selection activeCell="N53" sqref="N53"/>
    </sheetView>
  </sheetViews>
  <sheetFormatPr defaultRowHeight="14.25"/>
  <cols>
    <col min="1" max="1" width="20.375" customWidth="1"/>
    <col min="2" max="10" width="10" customWidth="1"/>
  </cols>
  <sheetData>
    <row r="3" spans="1:10">
      <c r="A3" t="s">
        <v>319</v>
      </c>
    </row>
    <row r="4" spans="1:10" ht="17.25">
      <c r="A4" s="18" t="s">
        <v>118</v>
      </c>
      <c r="B4" s="18"/>
    </row>
    <row r="6" spans="1:10">
      <c r="A6" t="s">
        <v>120</v>
      </c>
    </row>
    <row r="7" spans="1:10">
      <c r="A7" t="s">
        <v>119</v>
      </c>
    </row>
    <row r="8" spans="1:10">
      <c r="A8" t="s">
        <v>121</v>
      </c>
    </row>
    <row r="9" spans="1:10">
      <c r="A9" t="s">
        <v>122</v>
      </c>
    </row>
    <row r="11" spans="1:10">
      <c r="B11">
        <v>2018</v>
      </c>
      <c r="C11">
        <v>2019</v>
      </c>
      <c r="E11">
        <v>2020</v>
      </c>
      <c r="F11" t="s">
        <v>132</v>
      </c>
      <c r="I11">
        <v>2021</v>
      </c>
      <c r="J11" t="s">
        <v>131</v>
      </c>
    </row>
    <row r="12" spans="1:10">
      <c r="A12" t="s">
        <v>123</v>
      </c>
      <c r="B12">
        <v>1361</v>
      </c>
      <c r="C12">
        <v>1619</v>
      </c>
      <c r="E12">
        <v>2272</v>
      </c>
      <c r="F12">
        <f>E12-C12</f>
        <v>653</v>
      </c>
      <c r="I12">
        <f>I13+I14</f>
        <v>3343</v>
      </c>
    </row>
    <row r="13" spans="1:10">
      <c r="A13" t="s">
        <v>124</v>
      </c>
      <c r="B13">
        <v>713</v>
      </c>
      <c r="C13">
        <v>942</v>
      </c>
      <c r="E13">
        <v>1467</v>
      </c>
      <c r="F13">
        <f>E13-C13</f>
        <v>525</v>
      </c>
      <c r="I13">
        <v>2334</v>
      </c>
    </row>
    <row r="14" spans="1:10">
      <c r="B14">
        <f>B12-B13</f>
        <v>648</v>
      </c>
      <c r="C14">
        <f>C12-C13</f>
        <v>677</v>
      </c>
      <c r="E14">
        <f>E12-E13</f>
        <v>805</v>
      </c>
      <c r="F14">
        <f>E14-C14</f>
        <v>128</v>
      </c>
      <c r="I14">
        <v>1009</v>
      </c>
    </row>
    <row r="15" spans="1:10">
      <c r="A15" t="s">
        <v>125</v>
      </c>
      <c r="C15">
        <v>751</v>
      </c>
      <c r="E15">
        <v>905</v>
      </c>
      <c r="F15">
        <f>E15-C15</f>
        <v>154</v>
      </c>
    </row>
    <row r="19" spans="1:56">
      <c r="A19" t="s">
        <v>38</v>
      </c>
      <c r="C19" s="8">
        <v>677</v>
      </c>
      <c r="D19" s="8"/>
      <c r="E19" s="15">
        <v>805.02</v>
      </c>
      <c r="I19">
        <v>1009</v>
      </c>
    </row>
    <row r="21" spans="1:56">
      <c r="A21" t="s">
        <v>39</v>
      </c>
      <c r="C21" s="8">
        <v>943</v>
      </c>
      <c r="D21" s="8"/>
      <c r="E21" s="15">
        <v>1467.4</v>
      </c>
      <c r="I21">
        <v>2334</v>
      </c>
      <c r="M21" s="8"/>
      <c r="N21" s="8">
        <v>2018</v>
      </c>
      <c r="O21" s="8">
        <v>2019</v>
      </c>
      <c r="P21" s="8">
        <v>2020</v>
      </c>
      <c r="Q21" s="8">
        <v>2021</v>
      </c>
      <c r="R21" s="8">
        <v>2022</v>
      </c>
      <c r="S21" s="8">
        <v>2023</v>
      </c>
      <c r="T21" s="8">
        <v>2024</v>
      </c>
      <c r="U21" s="8">
        <v>2025</v>
      </c>
      <c r="V21" s="8">
        <v>2026</v>
      </c>
      <c r="W21" s="8">
        <v>2027</v>
      </c>
      <c r="X21" s="8">
        <v>2028</v>
      </c>
      <c r="Y21" s="8">
        <v>2029</v>
      </c>
      <c r="Z21" s="8">
        <v>2030</v>
      </c>
      <c r="AA21" s="8">
        <v>2031</v>
      </c>
      <c r="AB21" s="8">
        <v>2032</v>
      </c>
      <c r="AC21" s="8">
        <v>2033</v>
      </c>
      <c r="AD21" s="8">
        <v>2034</v>
      </c>
      <c r="AE21" s="8">
        <v>2035</v>
      </c>
      <c r="AF21" s="8">
        <v>2036</v>
      </c>
      <c r="AG21" s="8">
        <v>2037</v>
      </c>
      <c r="AH21" s="8">
        <v>2038</v>
      </c>
      <c r="AI21" s="8">
        <v>2039</v>
      </c>
      <c r="AJ21" s="8">
        <v>2040</v>
      </c>
      <c r="AK21" s="8">
        <v>2041</v>
      </c>
      <c r="AL21" s="8">
        <v>2042</v>
      </c>
      <c r="AM21" s="8">
        <v>2043</v>
      </c>
      <c r="AN21" s="8">
        <v>2044</v>
      </c>
      <c r="AO21" s="8">
        <v>2045</v>
      </c>
      <c r="AP21" s="8">
        <v>2046</v>
      </c>
      <c r="AQ21" s="8">
        <v>2047</v>
      </c>
      <c r="AR21" s="8">
        <v>2048</v>
      </c>
      <c r="AS21" s="8">
        <v>2049</v>
      </c>
      <c r="AT21" s="8">
        <v>2050</v>
      </c>
      <c r="AU21" s="8">
        <v>2051</v>
      </c>
      <c r="AV21" s="8">
        <v>2052</v>
      </c>
      <c r="AW21" s="8">
        <v>2053</v>
      </c>
      <c r="AX21" s="8">
        <v>2054</v>
      </c>
      <c r="AY21" s="8">
        <v>2055</v>
      </c>
      <c r="AZ21" s="8">
        <v>2056</v>
      </c>
      <c r="BA21" s="8">
        <v>2057</v>
      </c>
      <c r="BB21" s="8">
        <v>2058</v>
      </c>
      <c r="BC21" s="8">
        <v>2059</v>
      </c>
      <c r="BD21" s="8">
        <v>2060</v>
      </c>
    </row>
    <row r="22" spans="1:56">
      <c r="M22" s="8" t="s">
        <v>136</v>
      </c>
      <c r="N22" s="20">
        <v>648</v>
      </c>
      <c r="O22" s="20">
        <v>677</v>
      </c>
      <c r="P22" s="20">
        <v>805</v>
      </c>
      <c r="Q22" s="20">
        <v>1009</v>
      </c>
      <c r="R22" s="21" cm="1">
        <f t="array" ref="R22">TREND(N22:Q22,N$21:Q$21,R$21)</f>
        <v>1087.5</v>
      </c>
      <c r="S22" s="21" cm="1">
        <f t="array" ref="S22">TREND(O22:R22,O$21:R$21,S$21)</f>
        <v>1253.5</v>
      </c>
      <c r="T22" s="21" cm="1">
        <f t="array" ref="T22">TREND(P22:S22,P$21:S$21,T$21)</f>
        <v>1394.75</v>
      </c>
      <c r="U22" s="21" cm="1">
        <f t="array" ref="U22">TREND(Q22:T22,Q$21:T$21,U$21)</f>
        <v>1517</v>
      </c>
      <c r="V22" s="21" cm="1">
        <f t="array" ref="V22">TREND(R22:U22,R$21:U$21,V$21)</f>
        <v>1670.625</v>
      </c>
      <c r="W22" s="21" cm="1">
        <f t="array" ref="W22">TREND(S22:V22,S$21:V$21,W$21)</f>
        <v>1802.375</v>
      </c>
      <c r="X22" s="21" cm="1">
        <f t="array" ref="X22">TREND(T22:W22,T$21:W$21,X$21)</f>
        <v>1940.3125</v>
      </c>
      <c r="Y22" s="21" cm="1">
        <f t="array" ref="Y22">TREND(U22:X22,U$21:X$21,Y$21)</f>
        <v>2083</v>
      </c>
      <c r="Z22" s="21" cm="1">
        <f t="array" ref="Z22">TREND(V22:Y22,V$21:Y$21,Z$21)</f>
        <v>2217.84375</v>
      </c>
      <c r="AA22" s="21" cm="1">
        <f t="array" ref="AA22">TREND(W22:Z22,W$21:Z$21,AA$21)</f>
        <v>2358.15625</v>
      </c>
      <c r="AB22" s="21" cm="1">
        <f t="array" ref="AB22">TREND(X22:AA22,X$21:AA$21,AB$21)</f>
        <v>2496.921875</v>
      </c>
      <c r="AC22" s="21" cm="1">
        <f t="array" ref="AC22">TREND(Y22:AB22,Y$21:AB$21,AC$21)</f>
        <v>2634.5</v>
      </c>
      <c r="AD22" s="21" cm="1">
        <f t="array" ref="AD22">TREND(Z22:AC22,Z$21:AC$21,AD$21)</f>
        <v>2774.0390625</v>
      </c>
      <c r="AE22" s="21" cm="1">
        <f t="array" ref="AE22">TREND(AA22:AD22,AA$21:AD$21,AE$21)</f>
        <v>2912.2109375</v>
      </c>
      <c r="AF22" s="21" cm="1">
        <f t="array" ref="AF22">TREND(AB22:AE22,AB$21:AE$21,AF$21)</f>
        <v>3050.76953125</v>
      </c>
      <c r="AG22" s="21" cm="1">
        <f t="array" ref="AG22">TREND(AC22:AF22,AC$21:AF$21,AG$21)</f>
        <v>3189.625</v>
      </c>
      <c r="AH22" s="21" cm="1">
        <f t="array" ref="AH22">TREND(AD22:AG22,AD$21:AG$21,AH$21)</f>
        <v>3327.990234375</v>
      </c>
      <c r="AI22" s="21" cm="1">
        <f t="array" ref="AI22">TREND(AE22:AH22,AE$21:AH$21,AI$21)</f>
        <v>3466.697265625</v>
      </c>
      <c r="AJ22" s="21" cm="1">
        <f t="array" ref="AJ22">TREND(AF22:AI22,AF$21:AI$21,AJ$21)</f>
        <v>3605.3076171875</v>
      </c>
      <c r="AK22" s="21" cm="1">
        <f t="array" ref="AK22">TREND(AG22:AJ22,AG$21:AJ$21,AK$21)</f>
        <v>3743.84375</v>
      </c>
      <c r="AL22" s="21" cm="1">
        <f t="array" ref="AL22">TREND(AH22:AK22,AH$21:AK$21,AL$21)</f>
        <v>3882.50244140625</v>
      </c>
      <c r="AM22" s="21" cm="1">
        <f t="array" ref="AM22">TREND(AI22:AL22,AI$21:AL$21,AM$21)</f>
        <v>4021.07568359375</v>
      </c>
      <c r="AN22" s="21" cm="1">
        <f t="array" ref="AN22">TREND(AJ22:AM22,AJ$21:AM$21,AN$21)</f>
        <v>4159.673095703125</v>
      </c>
      <c r="AO22" s="21" cm="1">
        <f t="array" ref="AO22">TREND(AK22:AN22,AK$21:AN$21,AO$21)</f>
        <v>4298.2890625</v>
      </c>
      <c r="AP22" s="21" cm="1">
        <f t="array" ref="AP22">TREND(AL22:AO22,AL$21:AO$21,AP$21)</f>
        <v>4436.8743896484375</v>
      </c>
      <c r="AQ22" s="21" cm="1">
        <f t="array" ref="AQ22">TREND(AM22:AP22,AM$21:AP$21,AQ$21)</f>
        <v>4575.4810791015625</v>
      </c>
      <c r="AR22" s="21" cm="1">
        <f t="array" ref="AR22">TREND(AN22:AQ22,AN$21:AQ$21,AR$21)</f>
        <v>4714.0817260742188</v>
      </c>
      <c r="AS22" s="21" cm="1">
        <f t="array" ref="AS22">TREND(AO22:AR22,AO$21:AR$21,AS$21)</f>
        <v>4852.677734375</v>
      </c>
      <c r="AT22" s="21" cm="1">
        <f t="array" ref="AT22">TREND(AP22:AS22,AP$21:AS$21,AT$21)</f>
        <v>4991.2814025878906</v>
      </c>
      <c r="AU22" s="21" cm="1">
        <f t="array" ref="AU22">TREND(AQ22:AT22,AQ$21:AT$21,AU$21)</f>
        <v>5129.8797302246094</v>
      </c>
      <c r="AV22" s="21" cm="1">
        <f t="array" ref="AV22">TREND(AR22:AU22,AR$21:AU$21,AV$21)</f>
        <v>5268.4795684814453</v>
      </c>
      <c r="AW22" s="21" cm="1">
        <f t="array" ref="AW22">TREND(AS22:AV22,AS$21:AV$21,AW$21)</f>
        <v>5407.08056640625</v>
      </c>
      <c r="AX22" s="21" cm="1">
        <f t="array" ref="AX22">TREND(AT22:AW22,AT$21:AW$21,AX$21)</f>
        <v>5545.6796493530273</v>
      </c>
      <c r="AY22" s="21" cm="1">
        <f t="array" ref="AY22">TREND(AU22:AX22,AU$21:AX$21,AY$21)</f>
        <v>5684.2800674438477</v>
      </c>
      <c r="AZ22" s="21" cm="1">
        <f t="array" ref="AZ22">TREND(AV22:AY22,AV$21:AY$21,AZ$21)</f>
        <v>5822.8801078796387</v>
      </c>
      <c r="BA22" s="21" cm="1">
        <f t="array" ref="BA22">TREND(AW22:AZ22,AW$21:AZ$21,BA$21)</f>
        <v>5961.4798583984375</v>
      </c>
      <c r="BB22" s="21" cm="1">
        <f t="array" ref="BB22">TREND(AX22:BA22,AX$21:BA$21,BB$21)</f>
        <v>6100.0800876617432</v>
      </c>
      <c r="BC22" s="21" cm="1">
        <f t="array" ref="BC22">TREND(AY22:BB22,AY$21:BB$21,BC$21)</f>
        <v>6238.6799831390381</v>
      </c>
      <c r="BD22" s="21" cm="1">
        <f t="array" ref="BD22">TREND(AZ22:BC22,AZ$21:BC$21,BD$21)</f>
        <v>6377.2799730300903</v>
      </c>
    </row>
    <row r="23" spans="1:56">
      <c r="M23" s="8" t="s">
        <v>134</v>
      </c>
      <c r="N23" s="20">
        <v>566.34</v>
      </c>
      <c r="O23" s="20">
        <v>606.34</v>
      </c>
      <c r="P23" s="20">
        <v>665.34</v>
      </c>
      <c r="Q23" s="20">
        <v>769.11999999999989</v>
      </c>
      <c r="R23" s="21" cm="1">
        <f t="array" ref="R23">TREND(N23:Q23,N$21:Q$21,R$21)</f>
        <v>818.61999999999534</v>
      </c>
      <c r="S23" s="21" cm="1">
        <f t="array" ref="S23">TREND(O23:R23,O$21:R$21,S$21)</f>
        <v>900.01000000000931</v>
      </c>
      <c r="T23" s="21" cm="1">
        <f t="array" ref="T23">TREND(P23:S23,P$21:S$21,T$21)</f>
        <v>976.64999999999418</v>
      </c>
      <c r="U23" s="21" cm="1">
        <f t="array" ref="U23">TREND(Q23:T23,Q$21:T$21,U$21)</f>
        <v>1042.0950000000303</v>
      </c>
      <c r="V23" s="21" cm="1">
        <f t="array" ref="V23">TREND(R23:U23,R$21:U$21,V$21)</f>
        <v>1121.1100000000151</v>
      </c>
      <c r="W23" s="21" cm="1">
        <f t="array" ref="W23">TREND(S23:V23,S$21:V$21,W$21)</f>
        <v>1192.1524999999965</v>
      </c>
      <c r="X23" s="21" cm="1">
        <f t="array" ref="X23">TREND(T23:W23,T$21:W$21,X$21)</f>
        <v>1264.382500000007</v>
      </c>
      <c r="Y23" s="21" cm="1">
        <f t="array" ref="Y23">TREND(U23:X23,U$21:X$21,Y$21)</f>
        <v>1339.4112500000047</v>
      </c>
      <c r="Z23" s="21" cm="1">
        <f t="array" ref="Z23">TREND(V23:Y23,V$21:Y$21,Z$21)</f>
        <v>1411.047499999986</v>
      </c>
      <c r="AA23" s="21" cm="1">
        <f t="array" ref="AA23">TREND(W23:Z23,W$21:Z$21,AA$21)</f>
        <v>1484.6768750000047</v>
      </c>
      <c r="AB23" s="21" cm="1">
        <f t="array" ref="AB23">TREND(X23:AA23,X$21:AA$21,AB$21)</f>
        <v>1558.0093749999651</v>
      </c>
      <c r="AC23" s="21" cm="1">
        <f t="array" ref="AC23">TREND(Y23:AB23,Y$21:AB$21,AC$21)</f>
        <v>1630.6421874999942</v>
      </c>
      <c r="AD23" s="21" cm="1">
        <f t="array" ref="AD23">TREND(Z23:AC23,Z$21:AC$21,AD$21)</f>
        <v>1704.1231249999546</v>
      </c>
      <c r="AE23" s="21" cm="1">
        <f t="array" ref="AE23">TREND(AA23:AD23,AA$21:AD$21,AE$21)</f>
        <v>1777.1057812499348</v>
      </c>
      <c r="AF23" s="21" cm="1">
        <f t="array" ref="AF23">TREND(AB23:AE23,AB$21:AE$21,AF$21)</f>
        <v>1850.162656249915</v>
      </c>
      <c r="AG23" s="21" cm="1">
        <f t="array" ref="AG23">TREND(AC23:AF23,AC$21:AF$21,AG$21)</f>
        <v>1923.3944531248999</v>
      </c>
      <c r="AH23" s="21" cm="1">
        <f t="array" ref="AH23">TREND(AD23:AG23,AD$21:AG$21,AH$21)</f>
        <v>1996.4142187499092</v>
      </c>
      <c r="AI23" s="21" cm="1">
        <f t="array" ref="AI23">TREND(AE23:AH23,AE$21:AH$21,AI$21)</f>
        <v>2069.5585546874208</v>
      </c>
      <c r="AJ23" s="21" cm="1">
        <f t="array" ref="AJ23">TREND(AF23:AI23,AF$21:AI$21,AJ$21)</f>
        <v>2142.6843359374325</v>
      </c>
      <c r="AK23" s="21" cm="1">
        <f t="array" ref="AK23">TREND(AG23:AJ23,AG$21:AJ$21,AK$21)</f>
        <v>2215.766386718693</v>
      </c>
      <c r="AL23" s="21" cm="1">
        <f t="array" ref="AL23">TREND(AH23:AK23,AH$21:AK$21,AL$21)</f>
        <v>2288.9014453124837</v>
      </c>
      <c r="AM23" s="21" cm="1">
        <f t="array" ref="AM23">TREND(AI23:AL23,AI$21:AL$21,AM$21)</f>
        <v>2362.0053613281343</v>
      </c>
      <c r="AN23" s="21" cm="1">
        <f t="array" ref="AN23">TREND(AJ23:AM23,AJ$21:AM$21,AN$21)</f>
        <v>2435.1139160156599</v>
      </c>
      <c r="AO23" s="21" cm="1">
        <f t="array" ref="AO23">TREND(AK23:AN23,AK$21:AN$21,AO$21)</f>
        <v>2508.2334033203952</v>
      </c>
      <c r="AP23" s="21" cm="1">
        <f t="array" ref="AP23">TREND(AL23:AO23,AL$21:AO$21,AP$21)</f>
        <v>2581.3396386719833</v>
      </c>
      <c r="AQ23" s="21" cm="1">
        <f t="array" ref="AQ23">TREND(AM23:AP23,AM$21:AP$21,AQ$21)</f>
        <v>2654.4536596680991</v>
      </c>
      <c r="AR23" s="21" cm="1">
        <f t="array" ref="AR23">TREND(AN23:AQ23,AN$21:AQ$21,AR$21)</f>
        <v>2727.5665209962463</v>
      </c>
      <c r="AS23" s="21" cm="1">
        <f t="array" ref="AS23">TREND(AO23:AR23,AO$21:AR$21,AS$21)</f>
        <v>2800.6766491701128</v>
      </c>
      <c r="AT23" s="21" cm="1">
        <f t="array" ref="AT23">TREND(AP23:AS23,AP$21:AS$21,AT$21)</f>
        <v>2873.7900903322443</v>
      </c>
      <c r="AU23" s="21" cm="1">
        <f t="array" ref="AU23">TREND(AQ23:AT23,AQ$21:AT$21,AU$21)</f>
        <v>2946.9015850832511</v>
      </c>
      <c r="AV23" s="21" cm="1">
        <f t="array" ref="AV23">TREND(AR23:AU23,AR$21:AU$21,AV$21)</f>
        <v>3020.0133697512792</v>
      </c>
      <c r="AW23" s="21" cm="1">
        <f t="array" ref="AW23">TREND(AS23:AV23,AS$21:AV$21,AW$21)</f>
        <v>3093.125837707863</v>
      </c>
      <c r="AX23" s="21" cm="1">
        <f t="array" ref="AX23">TREND(AT23:AW23,AT$21:AW$21,AX$21)</f>
        <v>3166.2374774173659</v>
      </c>
      <c r="AY23" s="21" cm="1">
        <f t="array" ref="AY23">TREND(AU23:AX23,AU$21:AX$21,AY$21)</f>
        <v>3239.3496037296718</v>
      </c>
      <c r="AZ23" s="21" cm="1">
        <f t="array" ref="AZ23">TREND(AV23:AY23,AV$21:AY$21,AZ$21)</f>
        <v>3312.4616575627006</v>
      </c>
      <c r="BA23" s="21" cm="1">
        <f t="array" ref="BA23">TREND(AW23:AZ23,AW$21:AZ$21,BA$21)</f>
        <v>3385.5735405736195</v>
      </c>
      <c r="BB23" s="21" cm="1">
        <f t="array" ref="BB23">TREND(AX23:BA23,AX$21:BA$21,BB$21)</f>
        <v>3458.6856306463014</v>
      </c>
      <c r="BC23" s="21" cm="1">
        <f t="array" ref="BC23">TREND(AY23:BB23,AY$21:BB$21,BC$21)</f>
        <v>3531.7975990682608</v>
      </c>
      <c r="BD23" s="21" cm="1">
        <f t="array" ref="BD23">TREND(AZ23:BC23,AZ$21:BC$21,BD$21)</f>
        <v>3604.9095856100612</v>
      </c>
    </row>
    <row r="24" spans="1:56">
      <c r="B24">
        <v>2018</v>
      </c>
      <c r="C24">
        <v>2019</v>
      </c>
      <c r="D24" t="s">
        <v>133</v>
      </c>
      <c r="E24">
        <v>2020</v>
      </c>
      <c r="G24" t="s">
        <v>126</v>
      </c>
      <c r="H24" t="s">
        <v>130</v>
      </c>
      <c r="I24">
        <v>2021</v>
      </c>
      <c r="J24" t="s">
        <v>131</v>
      </c>
      <c r="M24" s="8" t="s">
        <v>135</v>
      </c>
      <c r="N24" s="20">
        <v>146.65999999999997</v>
      </c>
      <c r="O24" s="20">
        <v>335.65999999999997</v>
      </c>
      <c r="P24" s="20">
        <v>801.66</v>
      </c>
      <c r="Q24" s="20">
        <v>1564.88</v>
      </c>
      <c r="R24" s="21" cm="1">
        <f t="array" ref="R24">TREND(N24:Q24,N$21:Q$21,R$21)</f>
        <v>1892.3800000000047</v>
      </c>
      <c r="S24" s="21" cm="1">
        <f t="array" ref="S24">TREND(O24:R24,O$21:R$21,S$21)</f>
        <v>2506.9899999999907</v>
      </c>
      <c r="T24" s="21" cm="1">
        <f t="array" ref="T24">TREND(P24:S24,P$21:S$21,T$21)</f>
        <v>3052.3500000000931</v>
      </c>
      <c r="U24" s="21" cm="1">
        <f t="array" ref="U24">TREND(Q24:T24,Q$21:T$21,U$21)</f>
        <v>3523.4050000000279</v>
      </c>
      <c r="V24" s="21" cm="1">
        <f t="array" ref="V24">TREND(R24:U24,R$21:U$21,V$21)</f>
        <v>4103.3899999998976</v>
      </c>
      <c r="W24" s="21" cm="1">
        <f t="array" ref="W24">TREND(S24:V24,S$21:V$21,W$21)</f>
        <v>4611.5974999999162</v>
      </c>
      <c r="X24" s="21" cm="1">
        <f t="array" ref="X24">TREND(T24:W24,T$21:W$21,X$21)</f>
        <v>5137.117499999702</v>
      </c>
      <c r="Y24" s="21" cm="1">
        <f t="array" ref="Y24">TREND(U24:X24,U$21:X$21,Y$21)</f>
        <v>5681.2137499998789</v>
      </c>
      <c r="Z24" s="21" cm="1">
        <f t="array" ref="Z24">TREND(V24:Y24,V$21:Y$21,Z$21)</f>
        <v>6198.0774999998976</v>
      </c>
      <c r="AA24" s="21" cm="1">
        <f t="array" ref="AA24">TREND(W24:Z24,W$21:Z$21,AA$21)</f>
        <v>6732.8856249998789</v>
      </c>
      <c r="AB24" s="21" cm="1">
        <f t="array" ref="AB24">TREND(X24:AA24,X$21:AA$21,AB$21)</f>
        <v>7263.3656250000931</v>
      </c>
      <c r="AC24" s="21" cm="1">
        <f t="array" ref="AC24">TREND(Y24:AB24,Y$21:AB$21,AC$21)</f>
        <v>7789.2015624998603</v>
      </c>
      <c r="AD24" s="21" cm="1">
        <f t="array" ref="AD24">TREND(Z24:AC24,Z$21:AC$21,AD$21)</f>
        <v>8321.8456250000745</v>
      </c>
      <c r="AE24" s="21" cm="1">
        <f t="array" ref="AE24">TREND(AA24:AD24,AA$21:AD$21,AE$21)</f>
        <v>8850.0035937500652</v>
      </c>
      <c r="AF24" s="21" cm="1">
        <f t="array" ref="AF24">TREND(AB24:AE24,AB$21:AE$21,AF$21)</f>
        <v>9379.2435937502887</v>
      </c>
      <c r="AG24" s="21" cm="1">
        <f t="array" ref="AG24">TREND(AC24:AF24,AC$21:AF$21,AG$21)</f>
        <v>9909.6446093753912</v>
      </c>
      <c r="AH24" s="21" cm="1">
        <f t="array" ref="AH24">TREND(AD24:AG24,AD$21:AG$21,AH$21)</f>
        <v>10438.343593750382</v>
      </c>
      <c r="AI24" s="21" cm="1">
        <f t="array" ref="AI24">TREND(AE24:AH24,AE$21:AH$21,AI$21)</f>
        <v>10968.164101563161</v>
      </c>
      <c r="AJ24" s="21" cm="1">
        <f t="array" ref="AJ24">TREND(AF24:AI24,AF$21:AI$21,AJ$21)</f>
        <v>11497.714101563208</v>
      </c>
      <c r="AK24" s="21" cm="1">
        <f t="array" ref="AK24">TREND(AG24:AJ24,AG$21:AJ$21,AK$21)</f>
        <v>12026.973847656976</v>
      </c>
      <c r="AL24" s="21" cm="1">
        <f t="array" ref="AL24">TREND(AH24:AK24,AH$21:AK$21,AL$21)</f>
        <v>12556.659101563273</v>
      </c>
      <c r="AM24" s="21" cm="1">
        <f t="array" ref="AM24">TREND(AI24:AL24,AI$21:AL$21,AM$21)</f>
        <v>13086.063974610064</v>
      </c>
      <c r="AN24" s="21" cm="1">
        <f t="array" ref="AN24">TREND(AJ24:AM24,AJ$21:AM$21,AN$21)</f>
        <v>13615.536474610213</v>
      </c>
      <c r="AO24" s="21" cm="1">
        <f t="array" ref="AO24">TREND(AK24:AN24,AK$21:AN$21,AO$21)</f>
        <v>14145.081538086757</v>
      </c>
      <c r="AP24" s="21" cm="1">
        <f t="array" ref="AP24">TREND(AL24:AO24,AL$21:AO$21,AP$21)</f>
        <v>14674.520224610344</v>
      </c>
      <c r="AQ24" s="21" cm="1">
        <f t="array" ref="AQ24">TREND(AM24:AP24,AM$21:AP$21,AQ$21)</f>
        <v>15204.02900634869</v>
      </c>
      <c r="AR24" s="21" cm="1">
        <f t="array" ref="AR24">TREND(AN24:AQ24,AN$21:AQ$21,AR$21)</f>
        <v>15733.520881348755</v>
      </c>
      <c r="AS24" s="21" cm="1">
        <f t="array" ref="AS24">TREND(AO24:AR24,AO$21:AR$21,AS$21)</f>
        <v>16262.994615479605</v>
      </c>
      <c r="AT24" s="21" cm="1">
        <f t="array" ref="AT24">TREND(AP24:AS24,AP$21:AS$21,AT$21)</f>
        <v>16792.494943849044</v>
      </c>
      <c r="AU24" s="21" cm="1">
        <f t="array" ref="AU24">TREND(AQ24:AT24,AQ$21:AT$21,AU$21)</f>
        <v>17321.977748414734</v>
      </c>
      <c r="AV24" s="21" cm="1">
        <f t="array" ref="AV24">TREND(AR24:AU24,AR$21:AU$21,AV$21)</f>
        <v>17851.464779664762</v>
      </c>
      <c r="AW24" s="21" cm="1">
        <f t="array" ref="AW24">TREND(AS24:AV24,AS$21:AV$21,AW$21)</f>
        <v>18380.956346132327</v>
      </c>
      <c r="AX24" s="21" cm="1">
        <f t="array" ref="AX24">TREND(AT24:AW24,AT$21:AW$21,AX$21)</f>
        <v>18910.44126404007</v>
      </c>
      <c r="AY24" s="21" cm="1">
        <f t="array" ref="AY24">TREND(AU24:AX24,AU$21:AX$21,AY$21)</f>
        <v>19439.930562898749</v>
      </c>
      <c r="AZ24" s="21" cm="1">
        <f t="array" ref="AZ24">TREND(AV24:AY24,AV$21:AY$21,AZ$21)</f>
        <v>19969.418805086287</v>
      </c>
      <c r="BA24" s="21" cm="1">
        <f t="array" ref="BA24">TREND(AW24:AZ24,AW$21:AZ$21,BA$21)</f>
        <v>20498.905913469614</v>
      </c>
      <c r="BB24" s="21" cm="1">
        <f t="array" ref="BB24">TREND(AX24:BA24,AX$21:BA$21,BB$21)</f>
        <v>21028.394683992723</v>
      </c>
      <c r="BC24" s="21" cm="1">
        <f t="array" ref="BC24">TREND(AY24:BB24,AY$21:BB$21,BC$21)</f>
        <v>21557.882359278155</v>
      </c>
      <c r="BD24" s="21" cm="1">
        <f t="array" ref="BD24">TREND(AZ24:BC24,AZ$21:BC$21,BD$21)</f>
        <v>22087.370298731141</v>
      </c>
    </row>
    <row r="25" spans="1:56">
      <c r="A25" t="s">
        <v>129</v>
      </c>
      <c r="B25">
        <v>713</v>
      </c>
      <c r="C25" s="14">
        <v>942</v>
      </c>
      <c r="D25" s="14"/>
      <c r="E25" s="14">
        <v>1467</v>
      </c>
      <c r="G25" s="14">
        <v>1589</v>
      </c>
      <c r="I25" s="14">
        <v>2334</v>
      </c>
      <c r="J25" s="14">
        <f>I25-E25</f>
        <v>867</v>
      </c>
      <c r="M25" s="8" t="s">
        <v>37</v>
      </c>
      <c r="N25" s="20">
        <f>N23+N24</f>
        <v>713</v>
      </c>
      <c r="O25" s="20">
        <f t="shared" ref="O25:BD25" si="0">O23+O24</f>
        <v>942</v>
      </c>
      <c r="P25" s="20">
        <f t="shared" si="0"/>
        <v>1467</v>
      </c>
      <c r="Q25" s="20">
        <f t="shared" si="0"/>
        <v>2334</v>
      </c>
      <c r="R25" s="20">
        <f t="shared" si="0"/>
        <v>2711</v>
      </c>
      <c r="S25" s="20">
        <f t="shared" si="0"/>
        <v>3407</v>
      </c>
      <c r="T25" s="20">
        <f t="shared" si="0"/>
        <v>4029.0000000000873</v>
      </c>
      <c r="U25" s="20">
        <f t="shared" si="0"/>
        <v>4565.5000000000582</v>
      </c>
      <c r="V25" s="20">
        <f t="shared" si="0"/>
        <v>5224.4999999999127</v>
      </c>
      <c r="W25" s="20">
        <f t="shared" si="0"/>
        <v>5803.7499999999127</v>
      </c>
      <c r="X25" s="20">
        <f t="shared" si="0"/>
        <v>6401.499999999709</v>
      </c>
      <c r="Y25" s="20">
        <f t="shared" si="0"/>
        <v>7020.6249999998836</v>
      </c>
      <c r="Z25" s="20">
        <f t="shared" si="0"/>
        <v>7609.1249999998836</v>
      </c>
      <c r="AA25" s="20">
        <f t="shared" si="0"/>
        <v>8217.5624999998836</v>
      </c>
      <c r="AB25" s="20">
        <f t="shared" si="0"/>
        <v>8821.3750000000582</v>
      </c>
      <c r="AC25" s="20">
        <f t="shared" si="0"/>
        <v>9419.8437499998545</v>
      </c>
      <c r="AD25" s="20">
        <f t="shared" si="0"/>
        <v>10025.968750000029</v>
      </c>
      <c r="AE25" s="20">
        <f t="shared" si="0"/>
        <v>10627.109375</v>
      </c>
      <c r="AF25" s="20">
        <f t="shared" si="0"/>
        <v>11229.406250000204</v>
      </c>
      <c r="AG25" s="20">
        <f t="shared" si="0"/>
        <v>11833.039062500291</v>
      </c>
      <c r="AH25" s="20">
        <f t="shared" si="0"/>
        <v>12434.757812500291</v>
      </c>
      <c r="AI25" s="20">
        <f t="shared" si="0"/>
        <v>13037.722656250582</v>
      </c>
      <c r="AJ25" s="20">
        <f t="shared" si="0"/>
        <v>13640.39843750064</v>
      </c>
      <c r="AK25" s="20">
        <f t="shared" si="0"/>
        <v>14242.740234375669</v>
      </c>
      <c r="AL25" s="20">
        <f t="shared" si="0"/>
        <v>14845.560546875757</v>
      </c>
      <c r="AM25" s="20">
        <f t="shared" si="0"/>
        <v>15448.069335938198</v>
      </c>
      <c r="AN25" s="20">
        <f t="shared" si="0"/>
        <v>16050.650390625873</v>
      </c>
      <c r="AO25" s="20">
        <f t="shared" si="0"/>
        <v>16653.314941407152</v>
      </c>
      <c r="AP25" s="20">
        <f t="shared" si="0"/>
        <v>17255.859863282327</v>
      </c>
      <c r="AQ25" s="20">
        <f t="shared" si="0"/>
        <v>17858.482666016789</v>
      </c>
      <c r="AR25" s="20">
        <f t="shared" si="0"/>
        <v>18461.087402345001</v>
      </c>
      <c r="AS25" s="20">
        <f t="shared" si="0"/>
        <v>19063.671264649718</v>
      </c>
      <c r="AT25" s="20">
        <f t="shared" si="0"/>
        <v>19666.285034181288</v>
      </c>
      <c r="AU25" s="20">
        <f t="shared" si="0"/>
        <v>20268.879333497985</v>
      </c>
      <c r="AV25" s="20">
        <f t="shared" si="0"/>
        <v>20871.478149416042</v>
      </c>
      <c r="AW25" s="20">
        <f t="shared" si="0"/>
        <v>21474.08218384019</v>
      </c>
      <c r="AX25" s="20">
        <f t="shared" si="0"/>
        <v>22076.678741457436</v>
      </c>
      <c r="AY25" s="20">
        <f t="shared" si="0"/>
        <v>22679.280166628421</v>
      </c>
      <c r="AZ25" s="20">
        <f t="shared" si="0"/>
        <v>23281.880462648987</v>
      </c>
      <c r="BA25" s="20">
        <f t="shared" si="0"/>
        <v>23884.479454043234</v>
      </c>
      <c r="BB25" s="20">
        <f t="shared" si="0"/>
        <v>24487.080314639024</v>
      </c>
      <c r="BC25" s="20">
        <f t="shared" si="0"/>
        <v>25089.679958346416</v>
      </c>
      <c r="BD25" s="20">
        <f t="shared" si="0"/>
        <v>25692.279884341202</v>
      </c>
    </row>
    <row r="26" spans="1:56">
      <c r="A26" t="s">
        <v>128</v>
      </c>
      <c r="B26" s="14">
        <f>B25-B27</f>
        <v>566.34</v>
      </c>
      <c r="C26" s="14">
        <f>C25-C27</f>
        <v>606.34</v>
      </c>
      <c r="D26" s="14"/>
      <c r="E26" s="14">
        <f>E25-E27</f>
        <v>665.34</v>
      </c>
      <c r="G26" s="14">
        <v>678</v>
      </c>
      <c r="I26" s="14">
        <f>I25-I27</f>
        <v>769.11999999999989</v>
      </c>
      <c r="J26" s="14">
        <f>I26-E26</f>
        <v>103.77999999999986</v>
      </c>
    </row>
    <row r="27" spans="1:56">
      <c r="A27" t="s">
        <v>127</v>
      </c>
      <c r="B27" s="14">
        <f>C27-D27</f>
        <v>146.65999999999997</v>
      </c>
      <c r="C27" s="14">
        <f>E27-466</f>
        <v>335.65999999999997</v>
      </c>
      <c r="D27" s="14">
        <v>189</v>
      </c>
      <c r="E27" s="14">
        <f>G27-H27</f>
        <v>801.66</v>
      </c>
      <c r="G27" s="14">
        <v>911</v>
      </c>
      <c r="H27">
        <v>109.34</v>
      </c>
      <c r="I27" s="14">
        <f>E27+J27</f>
        <v>1564.88</v>
      </c>
      <c r="J27">
        <v>763.22</v>
      </c>
      <c r="M27" s="22" t="s">
        <v>137</v>
      </c>
    </row>
    <row r="30" spans="1:56">
      <c r="A30" s="8"/>
      <c r="B30" s="8">
        <v>2018</v>
      </c>
      <c r="C30" s="8">
        <v>2019</v>
      </c>
      <c r="D30" s="8">
        <v>2020</v>
      </c>
      <c r="E30" s="8">
        <v>2021</v>
      </c>
      <c r="F30" s="8">
        <v>2022</v>
      </c>
      <c r="G30" s="8">
        <v>2023</v>
      </c>
      <c r="H30" s="8">
        <v>2024</v>
      </c>
      <c r="I30" s="8">
        <v>2025</v>
      </c>
      <c r="J30" s="8">
        <v>2026</v>
      </c>
      <c r="K30" s="8">
        <v>2027</v>
      </c>
      <c r="L30" s="8">
        <v>2028</v>
      </c>
      <c r="M30" s="8">
        <v>2029</v>
      </c>
      <c r="N30" s="8">
        <v>2030</v>
      </c>
      <c r="O30" s="8">
        <v>2031</v>
      </c>
      <c r="P30" s="8">
        <v>2032</v>
      </c>
      <c r="Q30" s="8">
        <v>2033</v>
      </c>
      <c r="R30" s="8">
        <v>2034</v>
      </c>
      <c r="S30" s="8">
        <v>2035</v>
      </c>
      <c r="T30" s="8">
        <v>2036</v>
      </c>
      <c r="U30" s="8">
        <v>2037</v>
      </c>
      <c r="V30" s="8">
        <v>2038</v>
      </c>
      <c r="W30" s="8">
        <v>2039</v>
      </c>
      <c r="X30" s="8">
        <v>2040</v>
      </c>
      <c r="Y30" s="8">
        <v>2041</v>
      </c>
      <c r="Z30" s="8">
        <v>2042</v>
      </c>
      <c r="AA30" s="8">
        <v>2043</v>
      </c>
      <c r="AB30" s="8">
        <v>2044</v>
      </c>
      <c r="AC30" s="8">
        <v>2045</v>
      </c>
      <c r="AD30" s="8">
        <v>2046</v>
      </c>
      <c r="AE30" s="8">
        <v>2047</v>
      </c>
      <c r="AF30" s="8">
        <v>2048</v>
      </c>
      <c r="AG30" s="8">
        <v>2049</v>
      </c>
      <c r="AH30" s="8">
        <v>2050</v>
      </c>
      <c r="AI30" s="8">
        <v>2051</v>
      </c>
      <c r="AJ30" s="8">
        <v>2052</v>
      </c>
      <c r="AK30" s="8">
        <v>2053</v>
      </c>
      <c r="AL30" s="8">
        <v>2054</v>
      </c>
      <c r="AM30" s="8">
        <v>2055</v>
      </c>
      <c r="AN30" s="8">
        <v>2056</v>
      </c>
      <c r="AO30" s="8">
        <v>2057</v>
      </c>
      <c r="AP30" s="8">
        <v>2058</v>
      </c>
      <c r="AQ30" s="8">
        <v>2059</v>
      </c>
      <c r="AR30" s="8">
        <v>2060</v>
      </c>
    </row>
    <row r="31" spans="1:56">
      <c r="A31" s="8" t="s">
        <v>136</v>
      </c>
      <c r="B31" s="40">
        <v>6480</v>
      </c>
      <c r="C31" s="40">
        <v>6770</v>
      </c>
      <c r="D31" s="40">
        <v>8050</v>
      </c>
      <c r="E31" s="40">
        <v>10090</v>
      </c>
      <c r="F31" s="40">
        <f>E31+M55+M57+M59</f>
        <v>14090</v>
      </c>
      <c r="G31" s="40">
        <f>($I31-$F31)/3+F31</f>
        <v>16836.666666666668</v>
      </c>
      <c r="H31" s="40">
        <f>($I31-$F31)/3+G31</f>
        <v>19583.333333333336</v>
      </c>
      <c r="I31" s="40">
        <f>57000-I36</f>
        <v>22330</v>
      </c>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row>
    <row r="32" spans="1:56">
      <c r="A32" s="8" t="s">
        <v>134</v>
      </c>
      <c r="B32" s="40">
        <v>5663.4000000000005</v>
      </c>
      <c r="C32" s="40">
        <v>6063.4000000000005</v>
      </c>
      <c r="D32" s="40">
        <v>6653.4000000000005</v>
      </c>
      <c r="E32" s="40">
        <v>7691.1999999999989</v>
      </c>
      <c r="F32" s="40">
        <f t="shared" ref="F32:F35" si="1">E32+B49</f>
        <v>8201.0499999999993</v>
      </c>
      <c r="G32" s="40">
        <f t="shared" ref="G32:G35" si="2">F32+C49</f>
        <v>8948.83</v>
      </c>
      <c r="H32" s="40">
        <f t="shared" ref="H32:H35" si="3">G32+D49</f>
        <v>9900.5499999999993</v>
      </c>
      <c r="I32" s="40">
        <f t="shared" ref="I32:I35" si="4">H32+E49</f>
        <v>11090.199999999999</v>
      </c>
      <c r="J32" s="41" cm="1">
        <f t="array" ref="J32">TREND($B32:$I32,$B$30:$I$30,J$30)</f>
        <v>11485.583571428666</v>
      </c>
      <c r="K32" s="41" cm="1">
        <f t="array" ref="K32">TREND($B32:$I32,$B$30:$I$30,K$30)</f>
        <v>12254.267976190429</v>
      </c>
      <c r="L32" s="41" cm="1">
        <f t="array" ref="L32">TREND($B32:$I32,$B$30:$I$30,L$30)</f>
        <v>13022.952380952425</v>
      </c>
      <c r="M32" s="41" cm="1">
        <f t="array" ref="M32">TREND($B32:$I32,$B$30:$I$30,M$30)</f>
        <v>13791.636785714189</v>
      </c>
      <c r="N32" s="41" cm="1">
        <f t="array" ref="N32">TREND($B32:$I32,$B$30:$I$30,N$30)</f>
        <v>14560.321190476185</v>
      </c>
      <c r="O32" s="41" cm="1">
        <f t="array" ref="O32">TREND($B32:$I32,$B$30:$I$30,O$30)</f>
        <v>15329.005595238181</v>
      </c>
      <c r="P32" s="41" cm="1">
        <f t="array" ref="P32">TREND($B32:$I32,$B$30:$I$30,P$30)</f>
        <v>16097.689999999944</v>
      </c>
      <c r="Q32" s="41" cm="1">
        <f t="array" ref="Q32">TREND($B32:$I32,$B$30:$I$30,Q$30)</f>
        <v>16866.37440476194</v>
      </c>
      <c r="R32" s="41" cm="1">
        <f t="array" ref="R32">TREND($B32:$I32,$B$30:$I$30,R$30)</f>
        <v>17635.058809523936</v>
      </c>
      <c r="S32" s="41" cm="1">
        <f t="array" ref="S32">TREND($B32:$I32,$B$30:$I$30,S$30)</f>
        <v>18403.7432142857</v>
      </c>
      <c r="T32" s="41" cm="1">
        <f t="array" ref="T32">TREND($B32:$I32,$B$30:$I$30,T$30)</f>
        <v>19172.427619047696</v>
      </c>
      <c r="U32" s="41" cm="1">
        <f t="array" ref="U32">TREND($B32:$I32,$B$30:$I$30,U$30)</f>
        <v>19941.112023809459</v>
      </c>
      <c r="V32" s="41" cm="1">
        <f t="array" ref="V32">TREND($B32:$I32,$B$30:$I$30,V$30)</f>
        <v>20709.796428571455</v>
      </c>
      <c r="W32" s="41" cm="1">
        <f t="array" ref="W32">TREND($B32:$I32,$B$30:$I$30,W$30)</f>
        <v>21478.480833333451</v>
      </c>
      <c r="X32" s="41" cm="1">
        <f t="array" ref="X32">TREND($B32:$I32,$B$30:$I$30,X$30)</f>
        <v>22247.165238095215</v>
      </c>
      <c r="Y32" s="41" cm="1">
        <f t="array" ref="Y32">TREND($B32:$I32,$B$30:$I$30,Y$30)</f>
        <v>23015.849642857211</v>
      </c>
      <c r="Z32" s="41" cm="1">
        <f t="array" ref="Z32">TREND($B32:$I32,$B$30:$I$30,Z$30)</f>
        <v>23784.534047618974</v>
      </c>
      <c r="AA32" s="41" cm="1">
        <f t="array" ref="AA32">TREND($B32:$I32,$B$30:$I$30,AA$30)</f>
        <v>24553.21845238097</v>
      </c>
      <c r="AB32" s="41" cm="1">
        <f t="array" ref="AB32">TREND($B32:$I32,$B$30:$I$30,AB$30)</f>
        <v>25321.902857142966</v>
      </c>
      <c r="AC32" s="41" cm="1">
        <f t="array" ref="AC32">TREND($B32:$I32,$B$30:$I$30,AC$30)</f>
        <v>26090.58726190473</v>
      </c>
      <c r="AD32" s="41" cm="1">
        <f t="array" ref="AD32">TREND($B32:$I32,$B$30:$I$30,AD$30)</f>
        <v>26859.271666666726</v>
      </c>
      <c r="AE32" s="41" cm="1">
        <f t="array" ref="AE32">TREND($B32:$I32,$B$30:$I$30,AE$30)</f>
        <v>27627.956071428489</v>
      </c>
      <c r="AF32" s="41" cm="1">
        <f t="array" ref="AF32">TREND($B32:$I32,$B$30:$I$30,AF$30)</f>
        <v>28396.640476190485</v>
      </c>
      <c r="AG32" s="41" cm="1">
        <f t="array" ref="AG32">TREND($B32:$I32,$B$30:$I$30,AG$30)</f>
        <v>29165.324880952481</v>
      </c>
      <c r="AH32" s="41" cm="1">
        <f t="array" ref="AH32">TREND($B32:$I32,$B$30:$I$30,AH$30)</f>
        <v>29934.009285714244</v>
      </c>
      <c r="AI32" s="41" cm="1">
        <f t="array" ref="AI32">TREND($B32:$I32,$B$30:$I$30,AI$30)</f>
        <v>30702.693690476241</v>
      </c>
      <c r="AJ32" s="41" cm="1">
        <f t="array" ref="AJ32">TREND($B32:$I32,$B$30:$I$30,AJ$30)</f>
        <v>31471.378095238004</v>
      </c>
      <c r="AK32" s="41" cm="1">
        <f t="array" ref="AK32">TREND($B32:$I32,$B$30:$I$30,AK$30)</f>
        <v>32240.0625</v>
      </c>
      <c r="AL32" s="41" cm="1">
        <f t="array" ref="AL32">TREND($B32:$I32,$B$30:$I$30,AL$30)</f>
        <v>33008.746904761996</v>
      </c>
      <c r="AM32" s="41" cm="1">
        <f t="array" ref="AM32">TREND($B32:$I32,$B$30:$I$30,AM$30)</f>
        <v>33777.431309523759</v>
      </c>
      <c r="AN32" s="41" cm="1">
        <f t="array" ref="AN32">TREND($B32:$I32,$B$30:$I$30,AN$30)</f>
        <v>34546.115714285756</v>
      </c>
      <c r="AO32" s="41" cm="1">
        <f t="array" ref="AO32">TREND($B32:$I32,$B$30:$I$30,AO$30)</f>
        <v>35314.800119047519</v>
      </c>
      <c r="AP32" s="41" cm="1">
        <f t="array" ref="AP32">TREND($B32:$I32,$B$30:$I$30,AP$30)</f>
        <v>36083.484523809515</v>
      </c>
      <c r="AQ32" s="41" cm="1">
        <f t="array" ref="AQ32">TREND($B32:$I32,$B$30:$I$30,AQ$30)</f>
        <v>36852.168928571511</v>
      </c>
      <c r="AR32" s="41" cm="1">
        <f t="array" ref="AR32">TREND($B32:$I32,$B$30:$I$30,AR$30)</f>
        <v>37620.853333333274</v>
      </c>
    </row>
    <row r="33" spans="1:44">
      <c r="A33" s="8" t="s">
        <v>135</v>
      </c>
      <c r="B33" s="40">
        <v>1466.5999999999997</v>
      </c>
      <c r="C33" s="40">
        <v>3356.5999999999995</v>
      </c>
      <c r="D33" s="40">
        <v>8016.5999999999995</v>
      </c>
      <c r="E33" s="40">
        <v>15648.800000000001</v>
      </c>
      <c r="F33" s="40">
        <f>F34+F35</f>
        <v>16838.45</v>
      </c>
      <c r="G33" s="40">
        <f t="shared" si="2"/>
        <v>18583.27</v>
      </c>
      <c r="H33" s="40">
        <f t="shared" si="3"/>
        <v>20803.95</v>
      </c>
      <c r="I33" s="40">
        <f t="shared" si="4"/>
        <v>23579.8</v>
      </c>
      <c r="J33" s="40">
        <f>J34+J35</f>
        <v>28264.55214285641</v>
      </c>
      <c r="K33" s="40">
        <f t="shared" ref="K33:AR33" si="5">K34+K35</f>
        <v>31537.39511904656</v>
      </c>
      <c r="L33" s="40">
        <f t="shared" si="5"/>
        <v>34810.238095236709</v>
      </c>
      <c r="M33" s="40">
        <f t="shared" si="5"/>
        <v>38083.081071428023</v>
      </c>
      <c r="N33" s="40">
        <f t="shared" si="5"/>
        <v>41355.924047618173</v>
      </c>
      <c r="O33" s="40">
        <f t="shared" si="5"/>
        <v>44628.767023808323</v>
      </c>
      <c r="P33" s="40">
        <f t="shared" si="5"/>
        <v>45167.211837558243</v>
      </c>
      <c r="Q33" s="40">
        <f t="shared" si="5"/>
        <v>45130.902002730152</v>
      </c>
      <c r="R33" s="40">
        <f t="shared" si="5"/>
        <v>45101.200492254873</v>
      </c>
      <c r="S33" s="40">
        <f t="shared" si="5"/>
        <v>45079.308194547702</v>
      </c>
      <c r="T33" s="40">
        <f t="shared" si="5"/>
        <v>45066.356660856429</v>
      </c>
      <c r="U33" s="40">
        <f t="shared" si="5"/>
        <v>45063.409793039675</v>
      </c>
      <c r="V33" s="40">
        <f t="shared" si="5"/>
        <v>45071.466301253051</v>
      </c>
      <c r="W33" s="40">
        <f t="shared" si="5"/>
        <v>45091.462857591971</v>
      </c>
      <c r="X33" s="40">
        <f t="shared" si="5"/>
        <v>45124.275467456246</v>
      </c>
      <c r="Y33" s="40">
        <f t="shared" si="5"/>
        <v>45170.720454328402</v>
      </c>
      <c r="Z33" s="40">
        <f t="shared" si="5"/>
        <v>45231.55979101533</v>
      </c>
      <c r="AA33" s="40">
        <f t="shared" si="5"/>
        <v>45307.503993817329</v>
      </c>
      <c r="AB33" s="40">
        <f t="shared" si="5"/>
        <v>45399.211140386738</v>
      </c>
      <c r="AC33" s="40">
        <f t="shared" si="5"/>
        <v>45507.293889606131</v>
      </c>
      <c r="AD33" s="40">
        <f t="shared" si="5"/>
        <v>45632.318263400615</v>
      </c>
      <c r="AE33" s="40">
        <f t="shared" si="5"/>
        <v>45774.813521323696</v>
      </c>
      <c r="AF33" s="40">
        <f t="shared" si="5"/>
        <v>45935.267898511069</v>
      </c>
      <c r="AG33" s="40">
        <f t="shared" si="5"/>
        <v>46114.136997904134</v>
      </c>
      <c r="AH33" s="40">
        <f t="shared" si="5"/>
        <v>46311.84562273544</v>
      </c>
      <c r="AI33" s="40">
        <f t="shared" si="5"/>
        <v>46528.790105467255</v>
      </c>
      <c r="AJ33" s="40">
        <f t="shared" si="5"/>
        <v>46765.346493188583</v>
      </c>
      <c r="AK33" s="40">
        <f t="shared" si="5"/>
        <v>47021.867623819933</v>
      </c>
      <c r="AL33" s="40">
        <f t="shared" si="5"/>
        <v>47298.692326144148</v>
      </c>
      <c r="AM33" s="40">
        <f t="shared" si="5"/>
        <v>46898.70445272392</v>
      </c>
      <c r="AN33" s="40">
        <f t="shared" si="5"/>
        <v>46454.473813621575</v>
      </c>
      <c r="AO33" s="40">
        <f t="shared" si="5"/>
        <v>46030.014918664529</v>
      </c>
      <c r="AP33" s="40">
        <f t="shared" si="5"/>
        <v>45626.482983134701</v>
      </c>
      <c r="AQ33" s="40">
        <f t="shared" si="5"/>
        <v>45245.05754670396</v>
      </c>
      <c r="AR33" s="40">
        <f t="shared" si="5"/>
        <v>44886.93631519669</v>
      </c>
    </row>
    <row r="34" spans="1:44">
      <c r="A34" s="8" t="s">
        <v>321</v>
      </c>
      <c r="B34" s="40">
        <f>$B44*B33</f>
        <v>293.31999999999994</v>
      </c>
      <c r="C34" s="40">
        <f t="shared" ref="C34:E34" si="6">$B44*C33</f>
        <v>671.31999999999994</v>
      </c>
      <c r="D34" s="40">
        <f t="shared" si="6"/>
        <v>1603.32</v>
      </c>
      <c r="E34" s="40">
        <f t="shared" si="6"/>
        <v>3129.76</v>
      </c>
      <c r="F34" s="40">
        <f>E34+B51</f>
        <v>3367.69</v>
      </c>
      <c r="G34" s="40">
        <f t="shared" si="2"/>
        <v>3716.654</v>
      </c>
      <c r="H34" s="40">
        <f t="shared" si="3"/>
        <v>4160.79</v>
      </c>
      <c r="I34" s="40">
        <f>H34+E51</f>
        <v>4715.96</v>
      </c>
      <c r="J34" s="41">
        <f>MIN(TREND($B34:$I34,$B$30:$I$30,J$30),户用光伏上限模拟!L29)</f>
        <v>5652.910428571282</v>
      </c>
      <c r="K34" s="41">
        <f>MIN(TREND($B34:$I34,$B$30:$I$30,K$30),户用光伏上限模拟!M29)</f>
        <v>6307.4790238093119</v>
      </c>
      <c r="L34" s="41">
        <f>MIN(TREND($B34:$I34,$B$30:$I$30,L$30),户用光伏上限模拟!N29)</f>
        <v>6962.0476190473419</v>
      </c>
      <c r="M34" s="41">
        <f>MIN(TREND($B34:$I34,$B$30:$I$30,M$30),户用光伏上限模拟!O29)</f>
        <v>7616.6162142856047</v>
      </c>
      <c r="N34" s="41">
        <f>MIN(TREND($B34:$I34,$B$30:$I$30,N$30),户用光伏上限模拟!P29)</f>
        <v>8271.1848095236346</v>
      </c>
      <c r="O34" s="41">
        <f>MIN(TREND($B34:$I34,$B$30:$I$30,O$30),户用光伏上限模拟!Q29)</f>
        <v>8925.7534047616646</v>
      </c>
      <c r="P34" s="41">
        <f>MIN(TREND($B34:$I34,$B$30:$I$30,P$30),户用光伏上限模拟!R29)</f>
        <v>9580.3219999999274</v>
      </c>
      <c r="Q34" s="41">
        <f>MIN(TREND($B34:$I34,$B$30:$I$30,Q$30),户用光伏上限模拟!S29)</f>
        <v>10234.890595237957</v>
      </c>
      <c r="R34" s="41">
        <f>MIN(TREND($B34:$I34,$B$30:$I$30,R$30),户用光伏上限模拟!T29)</f>
        <v>10889.459190475987</v>
      </c>
      <c r="S34" s="41">
        <f>MIN(TREND($B34:$I34,$B$30:$I$30,S$30),户用光伏上限模拟!U29)</f>
        <v>11544.027785714017</v>
      </c>
      <c r="T34" s="41">
        <f>MIN(TREND($B34:$I34,$B$30:$I$30,T$30),户用光伏上限模拟!V29)</f>
        <v>12198.59638095228</v>
      </c>
      <c r="U34" s="41">
        <f>MIN(TREND($B34:$I34,$B$30:$I$30,U$30),户用光伏上限模拟!W29)</f>
        <v>12853.16497619031</v>
      </c>
      <c r="V34" s="41">
        <f>MIN(TREND($B34:$I34,$B$30:$I$30,V$30),户用光伏上限模拟!X29)</f>
        <v>13507.73357142834</v>
      </c>
      <c r="W34" s="41">
        <f>MIN(TREND($B34:$I34,$B$30:$I$30,W$30),户用光伏上限模拟!Y29)</f>
        <v>14162.30216666637</v>
      </c>
      <c r="X34" s="41">
        <f>MIN(TREND($B34:$I34,$B$30:$I$30,X$30),户用光伏上限模拟!Z29)</f>
        <v>14816.870761904633</v>
      </c>
      <c r="Y34" s="41">
        <f>MIN(TREND($B34:$I34,$B$30:$I$30,Y$30),户用光伏上限模拟!AA29)</f>
        <v>15471.439357142663</v>
      </c>
      <c r="Z34" s="41">
        <f>MIN(TREND($B34:$I34,$B$30:$I$30,Z$30),户用光伏上限模拟!AB29)</f>
        <v>16126.007952380693</v>
      </c>
      <c r="AA34" s="41">
        <f>MIN(TREND($B34:$I34,$B$30:$I$30,AA$30),户用光伏上限模拟!AC29)</f>
        <v>16780.576547618955</v>
      </c>
      <c r="AB34" s="41">
        <f>MIN(TREND($B34:$I34,$B$30:$I$30,AB$30),户用光伏上限模拟!AD29)</f>
        <v>17435.145142856985</v>
      </c>
      <c r="AC34" s="41">
        <f>MIN(TREND($B34:$I34,$B$30:$I$30,AC$30),户用光伏上限模拟!AE29)</f>
        <v>18089.713738095015</v>
      </c>
      <c r="AD34" s="41">
        <f>MIN(TREND($B34:$I34,$B$30:$I$30,AD$30),户用光伏上限模拟!AF29)</f>
        <v>18744.282333333045</v>
      </c>
      <c r="AE34" s="41">
        <f>MIN(TREND($B34:$I34,$B$30:$I$30,AE$30),户用光伏上限模拟!AG29)</f>
        <v>19398.850928571308</v>
      </c>
      <c r="AF34" s="41">
        <f>MIN(TREND($B34:$I34,$B$30:$I$30,AF$30),户用光伏上限模拟!AH29)</f>
        <v>20053.419523809338</v>
      </c>
      <c r="AG34" s="41">
        <f>MIN(TREND($B34:$I34,$B$30:$I$30,AG$30),户用光伏上限模拟!AI29)</f>
        <v>20707.988119047368</v>
      </c>
      <c r="AH34" s="41">
        <f>MIN(TREND($B34:$I34,$B$30:$I$30,AH$30),户用光伏上限模拟!AJ29)</f>
        <v>21362.556714285631</v>
      </c>
      <c r="AI34" s="41">
        <f>MIN(TREND($B34:$I34,$B$30:$I$30,AI$30),户用光伏上限模拟!AK29)</f>
        <v>22017.125309523661</v>
      </c>
      <c r="AJ34" s="41">
        <f>MIN(TREND($B34:$I34,$B$30:$I$30,AJ$30),户用光伏上限模拟!AL29)</f>
        <v>22671.693904761691</v>
      </c>
      <c r="AK34" s="41">
        <f>MIN(TREND($B34:$I34,$B$30:$I$30,AK$30),户用光伏上限模拟!AM29)</f>
        <v>23326.262499999721</v>
      </c>
      <c r="AL34" s="41">
        <f>MIN(TREND($B34:$I34,$B$30:$I$30,AL$30),户用光伏上限模拟!AN29)</f>
        <v>23980.831095237983</v>
      </c>
      <c r="AM34" s="41">
        <f>MIN(TREND($B34:$I34,$B$30:$I$30,AM$30),户用光伏上限模拟!AO29)</f>
        <v>23937.954961655232</v>
      </c>
      <c r="AN34" s="41">
        <f>MIN(TREND($B34:$I34,$B$30:$I$30,AN$30),户用光伏上限模拟!AP29)</f>
        <v>23829.883901552719</v>
      </c>
      <c r="AO34" s="41">
        <f>MIN(TREND($B34:$I34,$B$30:$I$30,AO$30),户用光伏上限模拟!AQ29)</f>
        <v>23720.314892476716</v>
      </c>
      <c r="AP34" s="41">
        <f>MIN(TREND($B34:$I34,$B$30:$I$30,AP$30),户用光伏上限模拟!AR29)</f>
        <v>23610.085384986029</v>
      </c>
      <c r="AQ34" s="41">
        <f>MIN(TREND($B34:$I34,$B$30:$I$30,AQ$30),户用光伏上限模拟!AS29)</f>
        <v>23500.048443249027</v>
      </c>
      <c r="AR34" s="41">
        <f>MIN(TREND($B34:$I34,$B$30:$I$30,AR$30),户用光伏上限模拟!AT29)</f>
        <v>23391.066588371148</v>
      </c>
    </row>
    <row r="35" spans="1:44">
      <c r="A35" s="8" t="s">
        <v>322</v>
      </c>
      <c r="B35" s="40">
        <f>$B45*B33</f>
        <v>1173.2799999999997</v>
      </c>
      <c r="C35" s="40">
        <f t="shared" ref="C35:E35" si="7">$B45*C33</f>
        <v>2685.2799999999997</v>
      </c>
      <c r="D35" s="40">
        <f t="shared" si="7"/>
        <v>6413.28</v>
      </c>
      <c r="E35" s="40">
        <f t="shared" si="7"/>
        <v>12519.04</v>
      </c>
      <c r="F35" s="40">
        <f t="shared" si="1"/>
        <v>13470.76</v>
      </c>
      <c r="G35" s="40">
        <f t="shared" si="2"/>
        <v>14866.616</v>
      </c>
      <c r="H35" s="40">
        <f t="shared" si="3"/>
        <v>16643.16</v>
      </c>
      <c r="I35" s="40">
        <f t="shared" si="4"/>
        <v>18863.84</v>
      </c>
      <c r="J35" s="41">
        <f>MIN(TREND($B35:$I35,$B$30:$I$30,J$30),户用光伏上限模拟!L30)</f>
        <v>22611.641714285128</v>
      </c>
      <c r="K35" s="41">
        <f>MIN(TREND($B35:$I35,$B$30:$I$30,K$30),户用光伏上限模拟!M30)</f>
        <v>25229.916095237248</v>
      </c>
      <c r="L35" s="41">
        <f>MIN(TREND($B35:$I35,$B$30:$I$30,L$30),户用光伏上限模拟!N30)</f>
        <v>27848.190476189367</v>
      </c>
      <c r="M35" s="41">
        <f>MIN(TREND($B35:$I35,$B$30:$I$30,M$30),户用光伏上限模拟!O30)</f>
        <v>30466.464857142419</v>
      </c>
      <c r="N35" s="41">
        <f>MIN(TREND($B35:$I35,$B$30:$I$30,N$30),户用光伏上限模拟!P30)</f>
        <v>33084.739238094538</v>
      </c>
      <c r="O35" s="41">
        <f>MIN(TREND($B35:$I35,$B$30:$I$30,O$30),户用光伏上限模拟!Q30)</f>
        <v>35703.013619046658</v>
      </c>
      <c r="P35" s="41">
        <f>MIN(TREND($B35:$I35,$B$30:$I$30,P$30),户用光伏上限模拟!R30)</f>
        <v>35586.889837558316</v>
      </c>
      <c r="Q35" s="41">
        <f>MIN(TREND($B35:$I35,$B$30:$I$30,Q$30),户用光伏上限模拟!S30)</f>
        <v>34896.011407492195</v>
      </c>
      <c r="R35" s="41">
        <f>MIN(TREND($B35:$I35,$B$30:$I$30,R$30),户用光伏上限模拟!T30)</f>
        <v>34211.741301778886</v>
      </c>
      <c r="S35" s="41">
        <f>MIN(TREND($B35:$I35,$B$30:$I$30,S$30),户用光伏上限模拟!U30)</f>
        <v>33535.280408833685</v>
      </c>
      <c r="T35" s="41">
        <f>MIN(TREND($B35:$I35,$B$30:$I$30,T$30),户用光伏上限模拟!V30)</f>
        <v>32867.760279904149</v>
      </c>
      <c r="U35" s="41">
        <f>MIN(TREND($B35:$I35,$B$30:$I$30,U$30),户用光伏上限模拟!W30)</f>
        <v>32210.244816849365</v>
      </c>
      <c r="V35" s="41">
        <f>MIN(TREND($B35:$I35,$B$30:$I$30,V$30),户用光伏上限模拟!X30)</f>
        <v>31563.732729824715</v>
      </c>
      <c r="W35" s="41">
        <f>MIN(TREND($B35:$I35,$B$30:$I$30,W$30),户用光伏上限模拟!Y30)</f>
        <v>30929.160690925601</v>
      </c>
      <c r="X35" s="41">
        <f>MIN(TREND($B35:$I35,$B$30:$I$30,X$30),户用光伏上限模拟!Z30)</f>
        <v>30307.404705551613</v>
      </c>
      <c r="Y35" s="41">
        <f>MIN(TREND($B35:$I35,$B$30:$I$30,Y$30),户用光伏上限模拟!AA30)</f>
        <v>29699.281097185736</v>
      </c>
      <c r="Z35" s="41">
        <f>MIN(TREND($B35:$I35,$B$30:$I$30,Z$30),户用光伏上限模拟!AB30)</f>
        <v>29105.551838634634</v>
      </c>
      <c r="AA35" s="41">
        <f>MIN(TREND($B35:$I35,$B$30:$I$30,AA$30),户用光伏上限模拟!AC30)</f>
        <v>28526.927446198373</v>
      </c>
      <c r="AB35" s="41">
        <f>MIN(TREND($B35:$I35,$B$30:$I$30,AB$30),户用光伏上限模拟!AD30)</f>
        <v>27964.065997529753</v>
      </c>
      <c r="AC35" s="41">
        <f>MIN(TREND($B35:$I35,$B$30:$I$30,AC$30),户用光伏上限模拟!AE30)</f>
        <v>27417.580151511116</v>
      </c>
      <c r="AD35" s="41">
        <f>MIN(TREND($B35:$I35,$B$30:$I$30,AD$30),户用光伏上限模拟!AF30)</f>
        <v>26888.03593006757</v>
      </c>
      <c r="AE35" s="41">
        <f>MIN(TREND($B35:$I35,$B$30:$I$30,AE$30),户用光伏上限模拟!AG30)</f>
        <v>26375.962592752385</v>
      </c>
      <c r="AF35" s="41">
        <f>MIN(TREND($B35:$I35,$B$30:$I$30,AF$30),户用光伏上限模拟!AH30)</f>
        <v>25881.848374701727</v>
      </c>
      <c r="AG35" s="41">
        <f>MIN(TREND($B35:$I35,$B$30:$I$30,AG$30),户用光伏上限模拟!AI30)</f>
        <v>25406.148878856769</v>
      </c>
      <c r="AH35" s="41">
        <f>MIN(TREND($B35:$I35,$B$30:$I$30,AH$30),户用光伏上限模拟!AJ30)</f>
        <v>24949.288908449809</v>
      </c>
      <c r="AI35" s="41">
        <f>MIN(TREND($B35:$I35,$B$30:$I$30,AI$30),户用光伏上限模拟!AK30)</f>
        <v>24511.664795943598</v>
      </c>
      <c r="AJ35" s="41">
        <f>MIN(TREND($B35:$I35,$B$30:$I$30,AJ$30),户用光伏上限模拟!AL30)</f>
        <v>24093.652588426889</v>
      </c>
      <c r="AK35" s="41">
        <f>MIN(TREND($B35:$I35,$B$30:$I$30,AK$30),户用光伏上限模拟!AM30)</f>
        <v>23695.605123820213</v>
      </c>
      <c r="AL35" s="41">
        <f>MIN(TREND($B35:$I35,$B$30:$I$30,AL$30),户用光伏上限模拟!AN30)</f>
        <v>23317.861230906165</v>
      </c>
      <c r="AM35" s="41">
        <f>MIN(TREND($B35:$I35,$B$30:$I$30,AM$30),户用光伏上限模拟!AO30)</f>
        <v>22960.749491068691</v>
      </c>
      <c r="AN35" s="41">
        <f>MIN(TREND($B35:$I35,$B$30:$I$30,AN$30),户用光伏上限模拟!AP30)</f>
        <v>22624.589912068855</v>
      </c>
      <c r="AO35" s="41">
        <f>MIN(TREND($B35:$I35,$B$30:$I$30,AO$30),户用光伏上限模拟!AQ30)</f>
        <v>22309.700026187817</v>
      </c>
      <c r="AP35" s="41">
        <f>MIN(TREND($B35:$I35,$B$30:$I$30,AP$30),户用光伏上限模拟!AR30)</f>
        <v>22016.397598148673</v>
      </c>
      <c r="AQ35" s="41">
        <f>MIN(TREND($B35:$I35,$B$30:$I$30,AQ$30),户用光伏上限模拟!AS30)</f>
        <v>21745.009103454933</v>
      </c>
      <c r="AR35" s="41">
        <f>MIN(TREND($B35:$I35,$B$30:$I$30,AR$30),户用光伏上限模拟!AT30)</f>
        <v>21495.869726825542</v>
      </c>
    </row>
    <row r="36" spans="1:44">
      <c r="A36" s="8" t="s">
        <v>37</v>
      </c>
      <c r="B36" s="40">
        <f t="shared" ref="B36:E36" si="8">B33+B32</f>
        <v>7130</v>
      </c>
      <c r="C36" s="40">
        <f t="shared" si="8"/>
        <v>9420</v>
      </c>
      <c r="D36" s="40">
        <f t="shared" si="8"/>
        <v>14670</v>
      </c>
      <c r="E36" s="40">
        <f t="shared" si="8"/>
        <v>23340</v>
      </c>
      <c r="F36" s="40">
        <f>F33+F32</f>
        <v>25039.5</v>
      </c>
      <c r="G36" s="40">
        <f t="shared" ref="G36:H36" si="9">G33+G32</f>
        <v>27532.1</v>
      </c>
      <c r="H36" s="40">
        <f t="shared" si="9"/>
        <v>30704.5</v>
      </c>
      <c r="I36" s="40">
        <f>I33+I32</f>
        <v>34670</v>
      </c>
      <c r="J36" s="40">
        <f t="shared" ref="J36:AR36" si="10">J33+J32</f>
        <v>39750.135714285076</v>
      </c>
      <c r="K36" s="40">
        <f>K33+K32</f>
        <v>43791.663095236989</v>
      </c>
      <c r="L36" s="40">
        <f t="shared" si="10"/>
        <v>47833.190476189135</v>
      </c>
      <c r="M36" s="40">
        <f t="shared" si="10"/>
        <v>51874.717857142212</v>
      </c>
      <c r="N36" s="40">
        <f t="shared" si="10"/>
        <v>55916.245238094358</v>
      </c>
      <c r="O36" s="40">
        <f t="shared" si="10"/>
        <v>59957.772619046504</v>
      </c>
      <c r="P36" s="40">
        <f t="shared" si="10"/>
        <v>61264.901837558187</v>
      </c>
      <c r="Q36" s="40">
        <f t="shared" si="10"/>
        <v>61997.276407492092</v>
      </c>
      <c r="R36" s="40">
        <f t="shared" si="10"/>
        <v>62736.259301778809</v>
      </c>
      <c r="S36" s="40">
        <f t="shared" si="10"/>
        <v>63483.051408833402</v>
      </c>
      <c r="T36" s="40">
        <f t="shared" si="10"/>
        <v>64238.784279904125</v>
      </c>
      <c r="U36" s="40">
        <f t="shared" si="10"/>
        <v>65004.521816849134</v>
      </c>
      <c r="V36" s="40">
        <f t="shared" si="10"/>
        <v>65781.262729824506</v>
      </c>
      <c r="W36" s="40">
        <f t="shared" si="10"/>
        <v>66569.943690925429</v>
      </c>
      <c r="X36" s="40">
        <f t="shared" si="10"/>
        <v>67371.44070555146</v>
      </c>
      <c r="Y36" s="40">
        <f t="shared" si="10"/>
        <v>68186.570097185613</v>
      </c>
      <c r="Z36" s="40">
        <f t="shared" si="10"/>
        <v>69016.093838634304</v>
      </c>
      <c r="AA36" s="40">
        <f t="shared" si="10"/>
        <v>69860.722446198299</v>
      </c>
      <c r="AB36" s="40">
        <f t="shared" si="10"/>
        <v>70721.113997529697</v>
      </c>
      <c r="AC36" s="40">
        <f t="shared" si="10"/>
        <v>71597.881151510868</v>
      </c>
      <c r="AD36" s="40">
        <f t="shared" si="10"/>
        <v>72491.589930067334</v>
      </c>
      <c r="AE36" s="40">
        <f t="shared" si="10"/>
        <v>73402.769592752185</v>
      </c>
      <c r="AF36" s="40">
        <f t="shared" si="10"/>
        <v>74331.908374701554</v>
      </c>
      <c r="AG36" s="40">
        <f t="shared" si="10"/>
        <v>75279.461878856615</v>
      </c>
      <c r="AH36" s="40">
        <f t="shared" si="10"/>
        <v>76245.854908449692</v>
      </c>
      <c r="AI36" s="40">
        <f t="shared" si="10"/>
        <v>77231.483795943495</v>
      </c>
      <c r="AJ36" s="40">
        <f t="shared" si="10"/>
        <v>78236.724588426587</v>
      </c>
      <c r="AK36" s="40">
        <f t="shared" si="10"/>
        <v>79261.93012381994</v>
      </c>
      <c r="AL36" s="40">
        <f t="shared" si="10"/>
        <v>80307.439230906137</v>
      </c>
      <c r="AM36" s="40">
        <f t="shared" si="10"/>
        <v>80676.135762247679</v>
      </c>
      <c r="AN36" s="40">
        <f t="shared" si="10"/>
        <v>81000.58952790733</v>
      </c>
      <c r="AO36" s="40">
        <f t="shared" si="10"/>
        <v>81344.815037712047</v>
      </c>
      <c r="AP36" s="40">
        <f t="shared" si="10"/>
        <v>81709.967506944216</v>
      </c>
      <c r="AQ36" s="40">
        <f t="shared" si="10"/>
        <v>82097.226475275471</v>
      </c>
      <c r="AR36" s="40">
        <f t="shared" si="10"/>
        <v>82507.789648529957</v>
      </c>
    </row>
    <row r="37" spans="1:44">
      <c r="A37" s="8" t="s">
        <v>320</v>
      </c>
      <c r="B37" s="40">
        <f>B31+B36</f>
        <v>13610</v>
      </c>
      <c r="C37" s="40">
        <f t="shared" ref="C37:F37" si="11">C31+C36</f>
        <v>16190</v>
      </c>
      <c r="D37" s="40">
        <f t="shared" si="11"/>
        <v>22720</v>
      </c>
      <c r="E37" s="40">
        <f t="shared" si="11"/>
        <v>33430</v>
      </c>
      <c r="F37" s="40">
        <f t="shared" si="11"/>
        <v>39129.5</v>
      </c>
      <c r="G37" s="40">
        <f t="shared" ref="G37" si="12">G31+G36</f>
        <v>44368.766666666663</v>
      </c>
      <c r="H37" s="40">
        <f t="shared" ref="H37" si="13">H31+H36</f>
        <v>50287.833333333336</v>
      </c>
      <c r="I37" s="40">
        <f t="shared" ref="I37:J37" si="14">I31+I36</f>
        <v>57000</v>
      </c>
      <c r="J37" s="40">
        <f t="shared" si="14"/>
        <v>39750.135714285076</v>
      </c>
      <c r="K37" s="40">
        <f t="shared" ref="K37" si="15">K31+K36</f>
        <v>43791.663095236989</v>
      </c>
      <c r="L37" s="40">
        <f t="shared" ref="L37" si="16">L31+L36</f>
        <v>47833.190476189135</v>
      </c>
      <c r="M37" s="40">
        <f t="shared" ref="M37:N37" si="17">M31+M36</f>
        <v>51874.717857142212</v>
      </c>
      <c r="N37" s="40">
        <f t="shared" si="17"/>
        <v>55916.245238094358</v>
      </c>
      <c r="O37" s="40">
        <f t="shared" ref="O37" si="18">O31+O36</f>
        <v>59957.772619046504</v>
      </c>
      <c r="P37" s="40">
        <f t="shared" ref="P37" si="19">P31+P36</f>
        <v>61264.901837558187</v>
      </c>
      <c r="Q37" s="40">
        <f t="shared" ref="Q37:R37" si="20">Q31+Q36</f>
        <v>61997.276407492092</v>
      </c>
      <c r="R37" s="40">
        <f t="shared" si="20"/>
        <v>62736.259301778809</v>
      </c>
      <c r="S37" s="40">
        <f t="shared" ref="S37" si="21">S31+S36</f>
        <v>63483.051408833402</v>
      </c>
      <c r="T37" s="40">
        <f t="shared" ref="T37" si="22">T31+T36</f>
        <v>64238.784279904125</v>
      </c>
      <c r="U37" s="40">
        <f t="shared" ref="U37:V37" si="23">U31+U36</f>
        <v>65004.521816849134</v>
      </c>
      <c r="V37" s="40">
        <f t="shared" si="23"/>
        <v>65781.262729824506</v>
      </c>
      <c r="W37" s="40">
        <f t="shared" ref="W37" si="24">W31+W36</f>
        <v>66569.943690925429</v>
      </c>
      <c r="X37" s="40">
        <f t="shared" ref="X37" si="25">X31+X36</f>
        <v>67371.44070555146</v>
      </c>
      <c r="Y37" s="40">
        <f t="shared" ref="Y37:Z37" si="26">Y31+Y36</f>
        <v>68186.570097185613</v>
      </c>
      <c r="Z37" s="40">
        <f t="shared" si="26"/>
        <v>69016.093838634304</v>
      </c>
      <c r="AA37" s="40">
        <f t="shared" ref="AA37" si="27">AA31+AA36</f>
        <v>69860.722446198299</v>
      </c>
      <c r="AB37" s="40">
        <f t="shared" ref="AB37" si="28">AB31+AB36</f>
        <v>70721.113997529697</v>
      </c>
      <c r="AC37" s="40">
        <f t="shared" ref="AC37:AD37" si="29">AC31+AC36</f>
        <v>71597.881151510868</v>
      </c>
      <c r="AD37" s="40">
        <f t="shared" si="29"/>
        <v>72491.589930067334</v>
      </c>
      <c r="AE37" s="40">
        <f t="shared" ref="AE37" si="30">AE31+AE36</f>
        <v>73402.769592752185</v>
      </c>
      <c r="AF37" s="40">
        <f t="shared" ref="AF37" si="31">AF31+AF36</f>
        <v>74331.908374701554</v>
      </c>
      <c r="AG37" s="40">
        <f t="shared" ref="AG37:AH37" si="32">AG31+AG36</f>
        <v>75279.461878856615</v>
      </c>
      <c r="AH37" s="40">
        <f t="shared" si="32"/>
        <v>76245.854908449692</v>
      </c>
      <c r="AI37" s="40">
        <f t="shared" ref="AI37" si="33">AI31+AI36</f>
        <v>77231.483795943495</v>
      </c>
      <c r="AJ37" s="40">
        <f t="shared" ref="AJ37" si="34">AJ31+AJ36</f>
        <v>78236.724588426587</v>
      </c>
      <c r="AK37" s="40">
        <f t="shared" ref="AK37:AL37" si="35">AK31+AK36</f>
        <v>79261.93012381994</v>
      </c>
      <c r="AL37" s="40">
        <f t="shared" si="35"/>
        <v>80307.439230906137</v>
      </c>
      <c r="AM37" s="40">
        <f t="shared" ref="AM37" si="36">AM31+AM36</f>
        <v>80676.135762247679</v>
      </c>
      <c r="AN37" s="40">
        <f t="shared" ref="AN37" si="37">AN31+AN36</f>
        <v>81000.58952790733</v>
      </c>
      <c r="AO37" s="40">
        <f t="shared" ref="AO37:AP37" si="38">AO31+AO36</f>
        <v>81344.815037712047</v>
      </c>
      <c r="AP37" s="40">
        <f t="shared" si="38"/>
        <v>81709.967506944216</v>
      </c>
      <c r="AQ37" s="40">
        <f t="shared" ref="AQ37" si="39">AQ31+AQ36</f>
        <v>82097.226475275471</v>
      </c>
      <c r="AR37" s="40">
        <f t="shared" ref="AR37" si="40">AR31+AR36</f>
        <v>82507.789648529957</v>
      </c>
    </row>
    <row r="38" spans="1:44">
      <c r="A38" s="22" t="s">
        <v>323</v>
      </c>
    </row>
    <row r="39" spans="1:44">
      <c r="A39" t="s">
        <v>328</v>
      </c>
    </row>
    <row r="40" spans="1:44">
      <c r="A40" s="38" t="s">
        <v>329</v>
      </c>
    </row>
    <row r="41" spans="1:44">
      <c r="A41" t="s">
        <v>324</v>
      </c>
      <c r="B41" s="20">
        <f>20000-(E36-D36)</f>
        <v>11330</v>
      </c>
      <c r="C41" s="8">
        <f>B41</f>
        <v>11330</v>
      </c>
      <c r="D41" s="8"/>
      <c r="E41" s="8"/>
    </row>
    <row r="42" spans="1:44">
      <c r="A42" t="s">
        <v>128</v>
      </c>
      <c r="B42" s="37">
        <v>0.3</v>
      </c>
      <c r="C42" s="8">
        <f>B42*B41</f>
        <v>3399</v>
      </c>
      <c r="D42" s="8"/>
      <c r="E42" s="8"/>
    </row>
    <row r="43" spans="1:44">
      <c r="A43" t="s">
        <v>127</v>
      </c>
      <c r="B43" s="37">
        <v>0.7</v>
      </c>
      <c r="C43" s="8">
        <f>B43*B41</f>
        <v>7930.9999999999991</v>
      </c>
      <c r="D43" s="8"/>
      <c r="E43" s="8"/>
    </row>
    <row r="44" spans="1:44">
      <c r="A44" t="s">
        <v>326</v>
      </c>
      <c r="B44" s="37">
        <v>0.2</v>
      </c>
      <c r="C44" s="8">
        <f>B44*C43</f>
        <v>1586.1999999999998</v>
      </c>
      <c r="D44" s="8"/>
      <c r="E44" s="8"/>
    </row>
    <row r="45" spans="1:44">
      <c r="A45" t="s">
        <v>327</v>
      </c>
      <c r="B45" s="37">
        <v>0.8</v>
      </c>
      <c r="C45" s="8">
        <f>B45*C43</f>
        <v>6344.7999999999993</v>
      </c>
      <c r="D45" s="8"/>
      <c r="E45" s="8"/>
    </row>
    <row r="46" spans="1:44">
      <c r="B46" s="8"/>
      <c r="C46" s="8"/>
      <c r="D46" s="8"/>
      <c r="E46" s="8"/>
    </row>
    <row r="47" spans="1:44">
      <c r="A47" t="s">
        <v>325</v>
      </c>
      <c r="B47" s="8">
        <v>2022</v>
      </c>
      <c r="C47" s="8">
        <v>2023</v>
      </c>
      <c r="D47" s="8">
        <v>2024</v>
      </c>
      <c r="E47" s="8">
        <v>2025</v>
      </c>
    </row>
    <row r="48" spans="1:44">
      <c r="B48" s="8">
        <v>0.15</v>
      </c>
      <c r="C48" s="8">
        <v>0.22</v>
      </c>
      <c r="D48" s="8">
        <v>0.28000000000000003</v>
      </c>
      <c r="E48" s="8">
        <v>0.35</v>
      </c>
    </row>
    <row r="49" spans="1:14">
      <c r="A49" s="8" t="s">
        <v>134</v>
      </c>
      <c r="B49" s="8">
        <f>B$48*$C42</f>
        <v>509.84999999999997</v>
      </c>
      <c r="C49" s="8">
        <f t="shared" ref="C49:E49" si="41">C$48*$C42</f>
        <v>747.78</v>
      </c>
      <c r="D49" s="8">
        <f t="shared" si="41"/>
        <v>951.72000000000014</v>
      </c>
      <c r="E49" s="8">
        <f t="shared" si="41"/>
        <v>1189.6499999999999</v>
      </c>
    </row>
    <row r="50" spans="1:14">
      <c r="A50" s="8" t="s">
        <v>135</v>
      </c>
      <c r="B50" s="8">
        <f t="shared" ref="B50:E50" si="42">B$48*$C43</f>
        <v>1189.6499999999999</v>
      </c>
      <c r="C50" s="8">
        <f t="shared" si="42"/>
        <v>1744.8199999999997</v>
      </c>
      <c r="D50" s="8">
        <f t="shared" si="42"/>
        <v>2220.6799999999998</v>
      </c>
      <c r="E50" s="8">
        <f t="shared" si="42"/>
        <v>2775.8499999999995</v>
      </c>
    </row>
    <row r="51" spans="1:14">
      <c r="A51" s="8" t="s">
        <v>321</v>
      </c>
      <c r="B51" s="8">
        <f t="shared" ref="B51:E51" si="43">B$48*$C44</f>
        <v>237.92999999999995</v>
      </c>
      <c r="C51" s="8">
        <f t="shared" si="43"/>
        <v>348.96399999999994</v>
      </c>
      <c r="D51" s="8">
        <f t="shared" si="43"/>
        <v>444.13599999999997</v>
      </c>
      <c r="E51" s="8">
        <f t="shared" si="43"/>
        <v>555.16999999999985</v>
      </c>
    </row>
    <row r="52" spans="1:14">
      <c r="A52" s="8" t="s">
        <v>322</v>
      </c>
      <c r="B52" s="8">
        <f t="shared" ref="B52:E52" si="44">B$48*$C45</f>
        <v>951.7199999999998</v>
      </c>
      <c r="C52" s="8">
        <f t="shared" si="44"/>
        <v>1395.8559999999998</v>
      </c>
      <c r="D52" s="8">
        <f t="shared" si="44"/>
        <v>1776.5439999999999</v>
      </c>
      <c r="E52" s="8">
        <f t="shared" si="44"/>
        <v>2220.6799999999994</v>
      </c>
    </row>
    <row r="53" spans="1:14">
      <c r="A53" s="39"/>
      <c r="M53">
        <v>2022</v>
      </c>
      <c r="N53">
        <v>2025</v>
      </c>
    </row>
    <row r="54" spans="1:14">
      <c r="A54" s="22" t="s">
        <v>330</v>
      </c>
    </row>
    <row r="55" spans="1:14">
      <c r="A55" s="22" t="s">
        <v>331</v>
      </c>
      <c r="M55">
        <v>1500</v>
      </c>
      <c r="N55">
        <v>4200</v>
      </c>
    </row>
    <row r="56" spans="1:14">
      <c r="A56" s="22" t="s">
        <v>332</v>
      </c>
    </row>
    <row r="57" spans="1:14">
      <c r="A57" s="22" t="s">
        <v>335</v>
      </c>
      <c r="M57">
        <v>1500</v>
      </c>
      <c r="N57">
        <v>3000</v>
      </c>
    </row>
    <row r="58" spans="1:14">
      <c r="A58" s="22" t="s">
        <v>333</v>
      </c>
    </row>
    <row r="59" spans="1:14">
      <c r="A59" s="22" t="s">
        <v>334</v>
      </c>
      <c r="M59">
        <v>1000</v>
      </c>
      <c r="N59">
        <v>10000</v>
      </c>
    </row>
    <row r="61" spans="1:14">
      <c r="A61" s="22" t="s">
        <v>357</v>
      </c>
    </row>
    <row r="62" spans="1:14">
      <c r="A62" s="22" t="s">
        <v>358</v>
      </c>
    </row>
  </sheetData>
  <phoneticPr fontId="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F071-0BFC-43D9-9370-555995DD7AF3}">
  <sheetPr>
    <tabColor theme="4"/>
  </sheetPr>
  <dimension ref="A1:D17"/>
  <sheetViews>
    <sheetView workbookViewId="0">
      <selection activeCell="D7" sqref="B7:D7"/>
    </sheetView>
  </sheetViews>
  <sheetFormatPr defaultRowHeight="14.25"/>
  <cols>
    <col min="1" max="1" width="22.25" bestFit="1" customWidth="1"/>
    <col min="2" max="2" width="15.5" bestFit="1" customWidth="1"/>
    <col min="3" max="3" width="14.25" bestFit="1" customWidth="1"/>
    <col min="4" max="4" width="11.125" bestFit="1" customWidth="1"/>
  </cols>
  <sheetData>
    <row r="1" spans="1:4">
      <c r="A1" t="s">
        <v>355</v>
      </c>
      <c r="B1" t="s">
        <v>354</v>
      </c>
      <c r="C1" t="s">
        <v>353</v>
      </c>
      <c r="D1" t="s">
        <v>352</v>
      </c>
    </row>
    <row r="2" spans="1:4">
      <c r="A2" t="s">
        <v>351</v>
      </c>
      <c r="B2">
        <v>0</v>
      </c>
      <c r="C2">
        <v>0</v>
      </c>
      <c r="D2">
        <v>0</v>
      </c>
    </row>
    <row r="3" spans="1:4">
      <c r="A3" t="s">
        <v>350</v>
      </c>
      <c r="B3">
        <v>0</v>
      </c>
      <c r="C3">
        <v>0</v>
      </c>
      <c r="D3">
        <v>0</v>
      </c>
    </row>
    <row r="4" spans="1:4">
      <c r="A4" t="s">
        <v>349</v>
      </c>
      <c r="B4">
        <v>0</v>
      </c>
      <c r="C4">
        <v>0</v>
      </c>
      <c r="D4">
        <v>0</v>
      </c>
    </row>
    <row r="5" spans="1:4">
      <c r="A5" t="s">
        <v>348</v>
      </c>
      <c r="B5">
        <v>0</v>
      </c>
      <c r="C5">
        <v>0</v>
      </c>
      <c r="D5">
        <v>0</v>
      </c>
    </row>
    <row r="6" spans="1:4">
      <c r="A6" t="s">
        <v>347</v>
      </c>
      <c r="B6">
        <v>0</v>
      </c>
      <c r="C6">
        <v>0</v>
      </c>
      <c r="D6">
        <v>0</v>
      </c>
    </row>
    <row r="7" spans="1:4">
      <c r="A7" t="s">
        <v>346</v>
      </c>
      <c r="B7" s="21">
        <f>'National Workbook'!L65*10</f>
        <v>4568.6520140613829</v>
      </c>
      <c r="C7" s="21">
        <f>'National Workbook'!L64*10</f>
        <v>17263.505823217314</v>
      </c>
      <c r="D7" s="21">
        <f>'National Workbook'!M62*10</f>
        <v>75354.789347046681</v>
      </c>
    </row>
    <row r="8" spans="1:4">
      <c r="A8" t="s">
        <v>345</v>
      </c>
      <c r="B8">
        <v>0</v>
      </c>
      <c r="C8">
        <v>0</v>
      </c>
      <c r="D8">
        <v>0</v>
      </c>
    </row>
    <row r="9" spans="1:4">
      <c r="A9" t="s">
        <v>344</v>
      </c>
      <c r="B9">
        <v>0</v>
      </c>
      <c r="C9">
        <v>0</v>
      </c>
      <c r="D9">
        <v>0</v>
      </c>
    </row>
    <row r="10" spans="1:4">
      <c r="A10" t="s">
        <v>343</v>
      </c>
      <c r="B10">
        <v>0</v>
      </c>
      <c r="C10">
        <v>0</v>
      </c>
      <c r="D10">
        <v>0</v>
      </c>
    </row>
    <row r="11" spans="1:4">
      <c r="A11" t="s">
        <v>342</v>
      </c>
      <c r="B11">
        <v>0</v>
      </c>
      <c r="C11">
        <v>0</v>
      </c>
      <c r="D11">
        <v>0</v>
      </c>
    </row>
    <row r="12" spans="1:4">
      <c r="A12" t="s">
        <v>341</v>
      </c>
      <c r="B12">
        <v>0</v>
      </c>
      <c r="C12">
        <v>0</v>
      </c>
      <c r="D12">
        <v>0</v>
      </c>
    </row>
    <row r="13" spans="1:4">
      <c r="A13" t="s">
        <v>340</v>
      </c>
      <c r="B13">
        <v>0</v>
      </c>
      <c r="C13">
        <v>0</v>
      </c>
      <c r="D13">
        <v>0</v>
      </c>
    </row>
    <row r="14" spans="1:4">
      <c r="A14" t="s">
        <v>339</v>
      </c>
      <c r="B14">
        <v>0</v>
      </c>
      <c r="C14">
        <v>0</v>
      </c>
      <c r="D14">
        <v>0</v>
      </c>
    </row>
    <row r="15" spans="1:4">
      <c r="A15" t="s">
        <v>338</v>
      </c>
      <c r="B15">
        <v>0</v>
      </c>
      <c r="C15">
        <v>0</v>
      </c>
      <c r="D15">
        <v>0</v>
      </c>
    </row>
    <row r="16" spans="1:4">
      <c r="A16" t="s">
        <v>337</v>
      </c>
      <c r="B16">
        <v>0</v>
      </c>
      <c r="C16">
        <v>0</v>
      </c>
      <c r="D16">
        <v>0</v>
      </c>
    </row>
    <row r="17" spans="1:4">
      <c r="A17" t="s">
        <v>336</v>
      </c>
      <c r="B17">
        <v>0</v>
      </c>
      <c r="C17">
        <v>0</v>
      </c>
      <c r="D17">
        <v>0</v>
      </c>
    </row>
  </sheetData>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FB20-5812-44C9-A6CD-10793B4B4D45}">
  <sheetPr>
    <tabColor theme="3"/>
  </sheetPr>
  <dimension ref="A1:AR17"/>
  <sheetViews>
    <sheetView topLeftCell="L1" workbookViewId="0">
      <selection activeCell="AR7" sqref="AR7"/>
    </sheetView>
  </sheetViews>
  <sheetFormatPr defaultRowHeight="14.25"/>
  <cols>
    <col min="1" max="1" width="23.375" style="42" customWidth="1"/>
    <col min="2" max="45" width="7" style="42" customWidth="1"/>
    <col min="46" max="16384" width="9" style="42"/>
  </cols>
  <sheetData>
    <row r="1" spans="1:44">
      <c r="A1" s="42" t="s">
        <v>356</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s="51" customFormat="1">
      <c r="A7" s="51" t="s">
        <v>346</v>
      </c>
      <c r="B7" s="51">
        <f>'BDEQ-BDESC-urban-residential'!B7*MAX(能源局光伏并网数据!$AV3:$AY3)*8760</f>
        <v>1159695.7235563425</v>
      </c>
      <c r="C7" s="51">
        <f>'BDEQ-BDESC-urban-residential'!C7*MAX(能源局光伏并网数据!$AV3:$AY3)*8760</f>
        <v>2118241.9697018322</v>
      </c>
      <c r="D7" s="51">
        <f>'BDEQ-BDESC-urban-residential'!D7*MAX(能源局光伏并网数据!$AV3:$AY3)*8760</f>
        <v>3977240.7501052166</v>
      </c>
      <c r="E7" s="51">
        <f>'BDEQ-BDESC-urban-residential'!E7*MAX(能源局光伏并网数据!$AV3:$AY3)*8760</f>
        <v>7911496.4157544961</v>
      </c>
      <c r="F7" s="51">
        <f>'BDEQ-BDESC-urban-residential'!F7*MAX(能源局光伏并网数据!$AV3:$AY3)*8760</f>
        <v>12514474.407298489</v>
      </c>
      <c r="G7" s="51">
        <f>'BDEQ-BDESC-urban-residential'!G7*MAX(能源局光伏并网数据!$AV3:$AY3)*8760</f>
        <v>16671637.514912317</v>
      </c>
      <c r="H7" s="51">
        <f>'BDEQ-BDESC-urban-residential'!H7*MAX(能源局光伏并网数据!$AV3:$AY3)*8760</f>
        <v>20940254.343508374</v>
      </c>
      <c r="I7" s="51">
        <f>'BDEQ-BDESC-urban-residential'!I7*MAX(能源局光伏并网数据!$AV3:$AY3)*8760</f>
        <v>25208871.172105446</v>
      </c>
      <c r="J7" s="51">
        <f>'BDEQ-BDESC-urban-residential'!J7*MAX(能源局光伏并网数据!$AV3:$AY3)*8760</f>
        <v>29477488.000701506</v>
      </c>
      <c r="K7" s="51">
        <f>'BDEQ-BDESC-urban-residential'!K7*MAX(能源局光伏并网数据!$AV3:$AY3)*8760</f>
        <v>33746104.829298578</v>
      </c>
      <c r="L7" s="51">
        <f>'BDEQ-BDESC-urban-residential'!L7*MAX(能源局光伏并网数据!$AV3:$AY3)*8760</f>
        <v>38014721.657895654</v>
      </c>
      <c r="M7" s="51">
        <f>'BDEQ-BDESC-urban-residential'!M7*MAX(能源局光伏并网数据!$AV3:$AY3)*8760</f>
        <v>42283338.48649171</v>
      </c>
      <c r="N7" s="51">
        <f>'BDEQ-BDESC-urban-residential'!N7*MAX(能源局光伏并网数据!$AV3:$AY3)*8760</f>
        <v>46551955.315088771</v>
      </c>
      <c r="O7" s="51">
        <f>'BDEQ-BDESC-urban-residential'!O7*MAX(能源局光伏并网数据!$AV3:$AY3)*8760</f>
        <v>50820572.143684834</v>
      </c>
      <c r="P7" s="51">
        <f>'BDEQ-BDESC-urban-residential'!P7*MAX(能源局光伏并网数据!$AV3:$AY3)*8760</f>
        <v>55089188.972281903</v>
      </c>
      <c r="Q7" s="51">
        <f>'BDEQ-BDESC-urban-residential'!Q7*MAX(能源局光伏并网数据!$AV3:$AY3)*8760</f>
        <v>59357805.800877966</v>
      </c>
      <c r="R7" s="51">
        <f>'BDEQ-BDESC-urban-residential'!R7*MAX(能源局光伏并网数据!$AV3:$AY3)*8760</f>
        <v>63626422.629475035</v>
      </c>
      <c r="S7" s="51">
        <f>'BDEQ-BDESC-urban-residential'!S7*MAX(能源局光伏并网数据!$AV3:$AY3)*8760</f>
        <v>67895039.458072111</v>
      </c>
      <c r="T7" s="51">
        <f>'BDEQ-BDESC-urban-residential'!T7*MAX(能源局光伏并网数据!$AV3:$AY3)*8760</f>
        <v>72163656.286668167</v>
      </c>
      <c r="U7" s="51">
        <f>'BDEQ-BDESC-urban-residential'!U7*MAX(能源局光伏并网数据!$AV3:$AY3)*8760</f>
        <v>76432273.115265235</v>
      </c>
      <c r="V7" s="51">
        <f>'BDEQ-BDESC-urban-residential'!V7*MAX(能源局光伏并网数据!$AV3:$AY3)*8760</f>
        <v>80700889.943861291</v>
      </c>
      <c r="W7" s="51">
        <f>'BDEQ-BDESC-urban-residential'!W7*MAX(能源局光伏并网数据!$AV3:$AY3)*8760</f>
        <v>84969506.772458375</v>
      </c>
      <c r="X7" s="51">
        <f>'BDEQ-BDESC-urban-residential'!X7*MAX(能源局光伏并网数据!$AV3:$AY3)*8760</f>
        <v>89238123.60105443</v>
      </c>
      <c r="Y7" s="51">
        <f>'BDEQ-BDESC-urban-residential'!Y7*MAX(能源局光伏并网数据!$AV3:$AY3)*8760</f>
        <v>90879174.742516473</v>
      </c>
      <c r="Z7" s="51">
        <f>'BDEQ-BDESC-urban-residential'!Z7*MAX(能源局光伏并网数据!$AV3:$AY3)*8760</f>
        <v>91151148.057081461</v>
      </c>
      <c r="AA7" s="51">
        <f>'BDEQ-BDESC-urban-residential'!AA7*MAX(能源局光伏并网数据!$AV3:$AY3)*8760</f>
        <v>91395437.871421933</v>
      </c>
      <c r="AB7" s="51">
        <f>'BDEQ-BDESC-urban-residential'!AB7*MAX(能源局光伏并网数据!$AV3:$AY3)*8760</f>
        <v>91613711.972243935</v>
      </c>
      <c r="AC7" s="51">
        <f>'BDEQ-BDESC-urban-residential'!AC7*MAX(能源局光伏并网数据!$AV3:$AY3)*8760</f>
        <v>91807720.600570425</v>
      </c>
      <c r="AD7" s="51">
        <f>'BDEQ-BDESC-urban-residential'!AD7*MAX(能源局光伏并网数据!$AV3:$AY3)*8760</f>
        <v>91979294.098398685</v>
      </c>
      <c r="AE7" s="51">
        <f>'BDEQ-BDESC-urban-residential'!AE7*MAX(能源局光伏并网数据!$AV3:$AY3)*8760</f>
        <v>92130345.809671268</v>
      </c>
      <c r="AF7" s="51">
        <f>'BDEQ-BDESC-urban-residential'!AF7*MAX(能源局光伏并网数据!$AV3:$AY3)*8760</f>
        <v>92262881.245649576</v>
      </c>
      <c r="AG7" s="51">
        <f>'BDEQ-BDESC-urban-residential'!AG7*MAX(能源局光伏并网数据!$AV3:$AY3)*8760</f>
        <v>92378990.614463091</v>
      </c>
      <c r="AH7" s="51">
        <f>'BDEQ-BDESC-urban-residential'!AH7*MAX(能源局光伏并网数据!$AV3:$AY3)*8760</f>
        <v>92480856.910171196</v>
      </c>
      <c r="AI7" s="51">
        <f>'BDEQ-BDESC-urban-residential'!AI7*MAX(能源局光伏并网数据!$AV3:$AY3)*8760</f>
        <v>92570760.700819805</v>
      </c>
      <c r="AJ7" s="51">
        <f>'BDEQ-BDESC-urban-residential'!AJ7*MAX(能源局光伏并网数据!$AV3:$AY3)*8760</f>
        <v>92642170.279997706</v>
      </c>
      <c r="AK7" s="51">
        <f>'BDEQ-BDESC-urban-residential'!AK7*MAX(能源局光伏并网数据!$AV3:$AY3)*8760</f>
        <v>92706494.000433981</v>
      </c>
      <c r="AL7" s="51">
        <f>'BDEQ-BDESC-urban-residential'!AL7*MAX(能源局光伏并网数据!$AV3:$AY3)*8760</f>
        <v>92766327.274177223</v>
      </c>
      <c r="AM7" s="51">
        <f>'BDEQ-BDESC-urban-residential'!AM7*MAX(能源局光伏并网数据!$AV3:$AY3)*8760</f>
        <v>92824382.862864792</v>
      </c>
      <c r="AN7" s="51">
        <f>'BDEQ-BDESC-urban-residential'!AN7*MAX(能源局光伏并网数据!$AV3:$AY3)*8760</f>
        <v>92883489.752384707</v>
      </c>
      <c r="AO7" s="51">
        <f>'BDEQ-BDESC-urban-residential'!AO7*MAX(能源局光伏并网数据!$AV3:$AY3)*8760</f>
        <v>92946597.916501954</v>
      </c>
      <c r="AP7" s="51">
        <f>'BDEQ-BDESC-urban-residential'!AP7*MAX(能源局光伏并网数据!$AV3:$AY3)*8760</f>
        <v>93016781.80061236</v>
      </c>
      <c r="AQ7" s="51">
        <f>'BDEQ-BDESC-urban-residential'!AQ7*MAX(能源局光伏并网数据!$AV3:$AY3)*8760</f>
        <v>93097245.340673983</v>
      </c>
      <c r="AR7" s="51">
        <f>'BDEQ-BDESC-urban-residential'!AR7*MAX(能源局光伏并网数据!$AV3:$AY3)*8760</f>
        <v>93191327.093692347</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CC6D-5391-43B4-85E6-40B0AD62E247}">
  <sheetPr>
    <tabColor theme="3"/>
  </sheetPr>
  <dimension ref="A1:AR17"/>
  <sheetViews>
    <sheetView topLeftCell="M1" workbookViewId="0">
      <selection activeCell="B7" sqref="B7:AR7"/>
    </sheetView>
  </sheetViews>
  <sheetFormatPr defaultRowHeight="14.25"/>
  <cols>
    <col min="1" max="1" width="23.375" style="42" customWidth="1"/>
    <col min="2" max="44" width="7" style="42" customWidth="1"/>
    <col min="45" max="16384" width="9" style="42"/>
  </cols>
  <sheetData>
    <row r="1" spans="1:44">
      <c r="A1" s="42" t="s">
        <v>356</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51">
        <f>'BDEQ-BDESC-rural-residential'!B7*MAX(能源局光伏并网数据!$AV3:$AY3)*8760</f>
        <v>4382127.1165228533</v>
      </c>
      <c r="C7" s="51">
        <f>'BDEQ-BDESC-rural-residential'!C7*MAX(能源局光伏并网数据!$AV3:$AY3)*8760</f>
        <v>8004173.3242937205</v>
      </c>
      <c r="D7" s="51">
        <f>'BDEQ-BDESC-rural-residential'!D7*MAX(能源局光伏并网数据!$AV3:$AY3)*8760</f>
        <v>15028747.787849376</v>
      </c>
      <c r="E7" s="51">
        <f>'BDEQ-BDESC-rural-residential'!E7*MAX(能源局光伏并网数据!$AV3:$AY3)*8760</f>
        <v>29895068.397281002</v>
      </c>
      <c r="F7" s="51">
        <f>'BDEQ-BDESC-rural-residential'!F7*MAX(能源局光伏并网数据!$AV3:$AY3)*8760</f>
        <v>47288281.34424834</v>
      </c>
      <c r="G7" s="51">
        <f>'BDEQ-BDESC-rural-residential'!G7*MAX(能源局光伏并网数据!$AV3:$AY3)*8760</f>
        <v>62996899.399521723</v>
      </c>
      <c r="H7" s="51">
        <f>'BDEQ-BDESC-rural-residential'!H7*MAX(能源局光伏并网数据!$AV3:$AY3)*8760</f>
        <v>79126666.177724361</v>
      </c>
      <c r="I7" s="51">
        <f>'BDEQ-BDESC-rural-residential'!I7*MAX(能源局光伏并网数据!$AV3:$AY3)*8760</f>
        <v>95256432.955922946</v>
      </c>
      <c r="J7" s="51">
        <f>'BDEQ-BDESC-rural-residential'!J7*MAX(能源局光伏并网数据!$AV3:$AY3)*8760</f>
        <v>111386199.73412155</v>
      </c>
      <c r="K7" s="51">
        <f>'BDEQ-BDESC-rural-residential'!K7*MAX(能源局光伏并网数据!$AV3:$AY3)*8760</f>
        <v>127515966.51232013</v>
      </c>
      <c r="L7" s="51">
        <f>'BDEQ-BDESC-rural-residential'!L7*MAX(能源局光伏并网数据!$AV3:$AY3)*8760</f>
        <v>143645733.29052275</v>
      </c>
      <c r="M7" s="51">
        <f>'BDEQ-BDESC-rural-residential'!M7*MAX(能源局光伏并网数据!$AV3:$AY3)*8760</f>
        <v>159775500.06872138</v>
      </c>
      <c r="N7" s="51">
        <f>'BDEQ-BDESC-rural-residential'!N7*MAX(能源局光伏并网数据!$AV3:$AY3)*8760</f>
        <v>175905266.84691995</v>
      </c>
      <c r="O7" s="51">
        <f>'BDEQ-BDESC-rural-residential'!O7*MAX(能源局光伏并网数据!$AV3:$AY3)*8760</f>
        <v>192035033.62511852</v>
      </c>
      <c r="P7" s="51">
        <f>'BDEQ-BDESC-rural-residential'!P7*MAX(能源局光伏并网数据!$AV3:$AY3)*8760</f>
        <v>208164800.40331712</v>
      </c>
      <c r="Q7" s="51">
        <f>'BDEQ-BDESC-rural-residential'!Q7*MAX(能源局光伏并网数据!$AV3:$AY3)*8760</f>
        <v>224294567.18151978</v>
      </c>
      <c r="R7" s="51">
        <f>'BDEQ-BDESC-rural-residential'!R7*MAX(能源局光伏并网数据!$AV3:$AY3)*8760</f>
        <v>240424333.95971835</v>
      </c>
      <c r="S7" s="51">
        <f>'BDEQ-BDESC-rural-residential'!S7*MAX(能源局光伏并网数据!$AV3:$AY3)*8760</f>
        <v>256554100.73791695</v>
      </c>
      <c r="T7" s="51">
        <f>'BDEQ-BDESC-rural-residential'!T7*MAX(能源局光伏并网数据!$AV3:$AY3)*8760</f>
        <v>272683867.51611555</v>
      </c>
      <c r="U7" s="51">
        <f>'BDEQ-BDESC-rural-residential'!U7*MAX(能源局光伏并网数据!$AV3:$AY3)*8760</f>
        <v>288813634.2943182</v>
      </c>
      <c r="V7" s="51">
        <f>'BDEQ-BDESC-rural-residential'!V7*MAX(能源局光伏并网数据!$AV3:$AY3)*8760</f>
        <v>304943401.07251674</v>
      </c>
      <c r="W7" s="51">
        <f>'BDEQ-BDESC-rural-residential'!W7*MAX(能源局光伏并网数据!$AV3:$AY3)*8760</f>
        <v>321073167.85071534</v>
      </c>
      <c r="X7" s="51">
        <f>'BDEQ-BDESC-rural-residential'!X7*MAX(能源局光伏并网数据!$AV3:$AY3)*8760</f>
        <v>337202934.62891394</v>
      </c>
      <c r="Y7" s="51">
        <f>'BDEQ-BDESC-rural-residential'!Y7*MAX(能源局光伏并网数据!$AV3:$AY3)*8760</f>
        <v>353332701.40711254</v>
      </c>
      <c r="Z7" s="51">
        <f>'BDEQ-BDESC-rural-residential'!Z7*MAX(能源局光伏并网数据!$AV3:$AY3)*8760</f>
        <v>369462468.18531519</v>
      </c>
      <c r="AA7" s="51">
        <f>'BDEQ-BDESC-rural-residential'!AA7*MAX(能源局光伏并网数据!$AV3:$AY3)*8760</f>
        <v>385592234.96351373</v>
      </c>
      <c r="AB7" s="51">
        <f>'BDEQ-BDESC-rural-residential'!AB7*MAX(能源局光伏并网数据!$AV3:$AY3)*8760</f>
        <v>399907275.1769383</v>
      </c>
      <c r="AC7" s="51">
        <f>'BDEQ-BDESC-rural-residential'!AC7*MAX(能源局光伏并网数据!$AV3:$AY3)*8760</f>
        <v>395020472.19008946</v>
      </c>
      <c r="AD7" s="51">
        <f>'BDEQ-BDESC-rural-residential'!AD7*MAX(能源局光伏并网数据!$AV3:$AY3)*8760</f>
        <v>389995556.72294819</v>
      </c>
      <c r="AE7" s="51">
        <f>'BDEQ-BDESC-rural-residential'!AE7*MAX(能源局光伏并网数据!$AV3:$AY3)*8760</f>
        <v>384852269.15666503</v>
      </c>
      <c r="AF7" s="51">
        <f>'BDEQ-BDESC-rural-residential'!AF7*MAX(能源局光伏并网数据!$AV3:$AY3)*8760</f>
        <v>379610949.87975103</v>
      </c>
      <c r="AG7" s="51">
        <f>'BDEQ-BDESC-rural-residential'!AG7*MAX(能源局光伏并网数据!$AV3:$AY3)*8760</f>
        <v>374292495.92010504</v>
      </c>
      <c r="AH7" s="51">
        <f>'BDEQ-BDESC-rural-residential'!AH7*MAX(能源局光伏并网数据!$AV3:$AY3)*8760</f>
        <v>368918352.41202056</v>
      </c>
      <c r="AI7" s="51">
        <f>'BDEQ-BDESC-rural-residential'!AI7*MAX(能源局光伏并网数据!$AV3:$AY3)*8760</f>
        <v>363510502.86280322</v>
      </c>
      <c r="AJ7" s="51">
        <f>'BDEQ-BDESC-rural-residential'!AJ7*MAX(能源局光伏并网数据!$AV3:$AY3)*8760</f>
        <v>358364035.53015733</v>
      </c>
      <c r="AK7" s="51">
        <f>'BDEQ-BDESC-rural-residential'!AK7*MAX(能源局光伏并网数据!$AV3:$AY3)*8760</f>
        <v>353227026.5819478</v>
      </c>
      <c r="AL7" s="51">
        <f>'BDEQ-BDESC-rural-residential'!AL7*MAX(能源局光伏并网数据!$AV3:$AY3)*8760</f>
        <v>348122599.34884769</v>
      </c>
      <c r="AM7" s="51">
        <f>'BDEQ-BDESC-rural-residential'!AM7*MAX(能源局光伏并网数据!$AV3:$AY3)*8760</f>
        <v>343074278.42604047</v>
      </c>
      <c r="AN7" s="51">
        <f>'BDEQ-BDESC-rural-residential'!AN7*MAX(能源局光伏并网数据!$AV3:$AY3)*8760</f>
        <v>338105915.47838074</v>
      </c>
      <c r="AO7" s="51">
        <f>'BDEQ-BDESC-rural-residential'!AO7*MAX(能源局光伏并网数据!$AV3:$AY3)*8760</f>
        <v>333241689.28338468</v>
      </c>
      <c r="AP7" s="51">
        <f>'BDEQ-BDESC-rural-residential'!AP7*MAX(能源局光伏并网数据!$AV3:$AY3)*8760</f>
        <v>328506070.24821174</v>
      </c>
      <c r="AQ7" s="51">
        <f>'BDEQ-BDESC-rural-residential'!AQ7*MAX(能源局光伏并网数据!$AV3:$AY3)*8760</f>
        <v>323923798.2427206</v>
      </c>
      <c r="AR7" s="51">
        <f>'BDEQ-BDESC-rural-residential'!AR7*MAX(能源局光伏并网数据!$AV3:$AY3)*8760</f>
        <v>319519883.82386577</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DF70-A103-4729-9A66-ACE3D8B2EAE3}">
  <sheetPr>
    <tabColor theme="3"/>
  </sheetPr>
  <dimension ref="A1:AR17"/>
  <sheetViews>
    <sheetView tabSelected="1" topLeftCell="M1" workbookViewId="0">
      <selection activeCell="AP16" sqref="AP16"/>
    </sheetView>
  </sheetViews>
  <sheetFormatPr defaultRowHeight="14.25"/>
  <cols>
    <col min="1" max="1" width="23.375" style="42" customWidth="1"/>
    <col min="2" max="44" width="7" style="42" customWidth="1"/>
    <col min="45" max="16384" width="9" style="42"/>
  </cols>
  <sheetData>
    <row r="1" spans="1:44">
      <c r="A1" s="42" t="s">
        <v>356</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51">
        <f>'BDEQ-BDESC-commercial'!B7*MAX(能源局光伏并网数据!$AV3:$AY3)*8760</f>
        <v>48085007.255706571</v>
      </c>
      <c r="C7" s="51">
        <f>'BDEQ-BDESC-commercial'!C7*MAX(能源局光伏并网数据!$AV3:$AY3)*8760</f>
        <v>54192463.860928468</v>
      </c>
      <c r="D7" s="51">
        <f>'BDEQ-BDESC-commercial'!D7*MAX(能源局光伏并网数据!$AV3:$AY3)*8760</f>
        <v>58911862.14678175</v>
      </c>
      <c r="E7" s="51">
        <f>'BDEQ-BDESC-commercial'!E7*MAX(能源局光伏并网数据!$AV3:$AY3)*8760</f>
        <v>65600124.059403099</v>
      </c>
      <c r="F7" s="51">
        <f>'BDEQ-BDESC-commercial'!F7*MAX(能源局光伏并网数据!$AV3:$AY3)*8760</f>
        <v>87225460.628982425</v>
      </c>
      <c r="G7" s="51">
        <f>'BDEQ-BDESC-commercial'!G7*MAX(能源局光伏并网数据!$AV3:$AY3)*8760</f>
        <v>92968318.495764419</v>
      </c>
      <c r="H7" s="51">
        <f>'BDEQ-BDESC-commercial'!H7*MAX(能源局光伏并网数据!$AV3:$AY3)*8760</f>
        <v>103231563.58040209</v>
      </c>
      <c r="I7" s="51">
        <f>'BDEQ-BDESC-commercial'!I7*MAX(能源局光伏并网数据!$AV3:$AY3)*8760</f>
        <v>113494808.66503975</v>
      </c>
      <c r="J7" s="51">
        <f>'BDEQ-BDESC-commercial'!J7*MAX(能源局光伏并网数据!$AV3:$AY3)*8760</f>
        <v>120362923.67838441</v>
      </c>
      <c r="K7" s="51">
        <f>'BDEQ-BDESC-commercial'!K7*MAX(能源局光伏并网数据!$AV3:$AY3)*8760</f>
        <v>122828520.04182129</v>
      </c>
      <c r="L7" s="51">
        <f>'BDEQ-BDESC-commercial'!L7*MAX(能源局光伏并网数据!$AV3:$AY3)*8760</f>
        <v>125248578.2996473</v>
      </c>
      <c r="M7" s="51">
        <f>'BDEQ-BDESC-commercial'!M7*MAX(能源局光伏并网数据!$AV3:$AY3)*8760</f>
        <v>127622934.69223289</v>
      </c>
      <c r="N7" s="51">
        <f>'BDEQ-BDESC-commercial'!N7*MAX(能源局光伏并网数据!$AV3:$AY3)*8760</f>
        <v>129951470.54971817</v>
      </c>
      <c r="O7" s="51">
        <f>'BDEQ-BDESC-commercial'!O7*MAX(能源局光伏并网数据!$AV3:$AY3)*8760</f>
        <v>132234118.42524719</v>
      </c>
      <c r="P7" s="51">
        <f>'BDEQ-BDESC-commercial'!P7*MAX(能源局光伏并网数据!$AV3:$AY3)*8760</f>
        <v>134060117.02066921</v>
      </c>
      <c r="Q7" s="51">
        <f>'BDEQ-BDESC-commercial'!Q7*MAX(能源局光伏并网数据!$AV3:$AY3)*8760</f>
        <v>135832753.71923864</v>
      </c>
      <c r="R7" s="51">
        <f>'BDEQ-BDESC-commercial'!R7*MAX(能源局光伏并网数据!$AV3:$AY3)*8760</f>
        <v>137552754.93468499</v>
      </c>
      <c r="S7" s="51">
        <f>'BDEQ-BDESC-commercial'!S7*MAX(能源局光伏并网数据!$AV3:$AY3)*8760</f>
        <v>139220926.60556677</v>
      </c>
      <c r="T7" s="51">
        <f>'BDEQ-BDESC-commercial'!T7*MAX(能源局光伏并网数据!$AV3:$AY3)*8760</f>
        <v>140838154.85535854</v>
      </c>
      <c r="U7" s="51">
        <f>'BDEQ-BDESC-commercial'!U7*MAX(能源局光伏并网数据!$AV3:$AY3)*8760</f>
        <v>142405416.8763018</v>
      </c>
      <c r="V7" s="51">
        <f>'BDEQ-BDESC-commercial'!V7*MAX(能源局光伏并网数据!$AV3:$AY3)*8760</f>
        <v>143923789.97883323</v>
      </c>
      <c r="W7" s="51">
        <f>'BDEQ-BDESC-commercial'!W7*MAX(能源局光伏并网数据!$AV3:$AY3)*8760</f>
        <v>145394453.84131035</v>
      </c>
      <c r="X7" s="51">
        <f>'BDEQ-BDESC-commercial'!X7*MAX(能源局光伏并网数据!$AV3:$AY3)*8760</f>
        <v>146818705.66622555</v>
      </c>
      <c r="Y7" s="51">
        <f>'BDEQ-BDESC-commercial'!Y7*MAX(能源局光伏并网数据!$AV3:$AY3)*8760</f>
        <v>148197967.00798652</v>
      </c>
      <c r="Z7" s="51">
        <f>'BDEQ-BDESC-commercial'!Z7*MAX(能源局光伏并网数据!$AV3:$AY3)*8760</f>
        <v>149500206.12347263</v>
      </c>
      <c r="AA7" s="51">
        <f>'BDEQ-BDESC-commercial'!AA7*MAX(能源局光伏并网数据!$AV3:$AY3)*8760</f>
        <v>150759531.98680121</v>
      </c>
      <c r="AB7" s="51">
        <f>'BDEQ-BDESC-commercial'!AB7*MAX(能源局光伏并网数据!$AV3:$AY3)*8760</f>
        <v>151977803.94265392</v>
      </c>
      <c r="AC7" s="51">
        <f>'BDEQ-BDESC-commercial'!AC7*MAX(能源局光伏并网数据!$AV3:$AY3)*8760</f>
        <v>153157045.11698294</v>
      </c>
      <c r="AD7" s="51">
        <f>'BDEQ-BDESC-commercial'!AD7*MAX(能源局光伏并网数据!$AV3:$AY3)*8760</f>
        <v>154299445.75520805</v>
      </c>
      <c r="AE7" s="51">
        <f>'BDEQ-BDESC-commercial'!AE7*MAX(能源局光伏并网数据!$AV3:$AY3)*8760</f>
        <v>155407374.19943708</v>
      </c>
      <c r="AF7" s="51">
        <f>'BDEQ-BDESC-commercial'!AF7*MAX(能源局光伏并网数据!$AV3:$AY3)*8760</f>
        <v>156483399.5677979</v>
      </c>
      <c r="AG7" s="51">
        <f>'BDEQ-BDESC-commercial'!AG7*MAX(能源局光伏并网数据!$AV3:$AY3)*8760</f>
        <v>157530285.67132717</v>
      </c>
      <c r="AH7" s="51">
        <f>'BDEQ-BDESC-commercial'!AH7*MAX(能源局光伏并网数据!$AV3:$AY3)*8760</f>
        <v>158551012.74588177</v>
      </c>
      <c r="AI7" s="51">
        <f>'BDEQ-BDESC-commercial'!AI7*MAX(能源局光伏并网数据!$AV3:$AY3)*8760</f>
        <v>159548792.08277342</v>
      </c>
      <c r="AJ7" s="51">
        <f>'BDEQ-BDESC-commercial'!AJ7*MAX(能源局光伏并网数据!$AV3:$AY3)*8760</f>
        <v>160640870.77697644</v>
      </c>
      <c r="AK7" s="51">
        <f>'BDEQ-BDESC-commercial'!AK7*MAX(能源局光伏并网数据!$AV3:$AY3)*8760</f>
        <v>161716897.68624869</v>
      </c>
      <c r="AL7" s="51">
        <f>'BDEQ-BDESC-commercial'!AL7*MAX(能源局光伏并网数据!$AV3:$AY3)*8760</f>
        <v>162780862.04979488</v>
      </c>
      <c r="AM7" s="51">
        <f>'BDEQ-BDESC-commercial'!AM7*MAX(能源局光伏并网数据!$AV3:$AY3)*8760</f>
        <v>163837076.51382414</v>
      </c>
      <c r="AN7" s="51">
        <f>'BDEQ-BDESC-commercial'!AN7*MAX(能源局光伏并网数据!$AV3:$AY3)*8760</f>
        <v>164890184.80554074</v>
      </c>
      <c r="AO7" s="51">
        <f>'BDEQ-BDESC-commercial'!AO7*MAX(能源局光伏并网数据!$AV3:$AY3)*8760</f>
        <v>165945180.5871619</v>
      </c>
      <c r="AP7" s="51">
        <f>'BDEQ-BDESC-commercial'!AP7*MAX(能源局光伏并网数据!$AV3:$AY3)*8760</f>
        <v>167007424.18480647</v>
      </c>
      <c r="AQ7" s="51">
        <f>'BDEQ-BDESC-commercial'!AQ7*MAX(能源局光伏并网数据!$AV3:$AY3)*8760</f>
        <v>168082661.64335224</v>
      </c>
      <c r="AR7" s="51">
        <f>'BDEQ-BDESC-commercial'!AR7*MAX(能源局光伏并网数据!$AV3:$AY3)*8760</f>
        <v>169177044.87633151</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0F341-18E3-4D12-9DF2-2BC371992545}">
  <sheetPr>
    <tabColor theme="3"/>
  </sheetPr>
  <dimension ref="A1:AR17"/>
  <sheetViews>
    <sheetView topLeftCell="K1" workbookViewId="0">
      <selection activeCell="G6" sqref="G6"/>
    </sheetView>
  </sheetViews>
  <sheetFormatPr defaultRowHeight="14.25"/>
  <cols>
    <col min="1" max="1" width="23.375" style="42" customWidth="1"/>
    <col min="2" max="44" width="7" style="42" customWidth="1"/>
    <col min="45" max="16384" width="9" style="42"/>
  </cols>
  <sheetData>
    <row r="1" spans="1:44">
      <c r="A1" s="42" t="s">
        <v>355</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87">
        <f>'National Workbook'!J65*10</f>
        <v>1332.1411843082151</v>
      </c>
      <c r="C7" s="87">
        <f>'National Workbook'!K65*10</f>
        <v>2433.2221882448557</v>
      </c>
      <c r="D7" s="87">
        <f>'National Workbook'!L65*10</f>
        <v>4568.6520140613829</v>
      </c>
      <c r="E7" s="87">
        <f>'National Workbook'!M65*10</f>
        <v>9087.9271095469867</v>
      </c>
      <c r="F7" s="87">
        <f>'National Workbook'!N65*10</f>
        <v>14375.362795000865</v>
      </c>
      <c r="G7" s="87">
        <f>'National Workbook'!O65*10</f>
        <v>19150.691420475487</v>
      </c>
      <c r="H7" s="87">
        <f>'National Workbook'!P65*10</f>
        <v>24054.046810944565</v>
      </c>
      <c r="I7" s="87">
        <f>'National Workbook'!Q65*10</f>
        <v>28957.402201414807</v>
      </c>
      <c r="J7" s="87">
        <f>'National Workbook'!R65*10</f>
        <v>33860.757591883885</v>
      </c>
      <c r="K7" s="87">
        <f>'National Workbook'!S65*10</f>
        <v>38764.112982354127</v>
      </c>
      <c r="L7" s="87">
        <f>'National Workbook'!T65*10</f>
        <v>43667.468372824369</v>
      </c>
      <c r="M7" s="87">
        <f>'National Workbook'!U65*10</f>
        <v>48570.823763293447</v>
      </c>
      <c r="N7" s="87">
        <f>'National Workbook'!V65*10</f>
        <v>53474.179153763689</v>
      </c>
      <c r="O7" s="87">
        <f>'National Workbook'!W65*10</f>
        <v>58377.534544232767</v>
      </c>
      <c r="P7" s="87">
        <f>'National Workbook'!X65*10</f>
        <v>63280.889934703009</v>
      </c>
      <c r="Q7" s="87">
        <f>'National Workbook'!Y65*10</f>
        <v>68184.245325172087</v>
      </c>
      <c r="R7" s="87">
        <f>'National Workbook'!Z65*10</f>
        <v>73087.600715642329</v>
      </c>
      <c r="S7" s="87">
        <f>'National Workbook'!AA65*10</f>
        <v>77990.956106112571</v>
      </c>
      <c r="T7" s="87">
        <f>'National Workbook'!AB65*10</f>
        <v>82894.311496581649</v>
      </c>
      <c r="U7" s="87">
        <f>'National Workbook'!AC65*10</f>
        <v>87797.666887051892</v>
      </c>
      <c r="V7" s="87">
        <f>'National Workbook'!AD65*10</f>
        <v>92701.02227752097</v>
      </c>
      <c r="W7" s="87">
        <f>'National Workbook'!AE65*10</f>
        <v>97604.377667991212</v>
      </c>
      <c r="X7" s="87">
        <f>'National Workbook'!AF65*10</f>
        <v>102507.73305846029</v>
      </c>
      <c r="Y7" s="87">
        <f>'National Workbook'!AG65*10</f>
        <v>104392.80667448918</v>
      </c>
      <c r="Z7" s="87">
        <f>'National Workbook'!AH65*10</f>
        <v>104705.22211761403</v>
      </c>
      <c r="AA7" s="87">
        <f>'National Workbook'!AI65*10</f>
        <v>104985.83755490475</v>
      </c>
      <c r="AB7" s="87">
        <f>'National Workbook'!AJ65*10</f>
        <v>105236.56877109062</v>
      </c>
      <c r="AC7" s="87">
        <f>'National Workbook'!AK65*10</f>
        <v>105459.42626608277</v>
      </c>
      <c r="AD7" s="87">
        <f>'National Workbook'!AL65*10</f>
        <v>105656.51255169217</v>
      </c>
      <c r="AE7" s="87">
        <f>'National Workbook'!AM65*10</f>
        <v>105830.02548397183</v>
      </c>
      <c r="AF7" s="87">
        <f>'National Workbook'!AN65*10</f>
        <v>105982.26879147108</v>
      </c>
      <c r="AG7" s="87">
        <f>'National Workbook'!AO65*10</f>
        <v>106115.64349393715</v>
      </c>
      <c r="AH7" s="87">
        <f>'National Workbook'!AP65*10</f>
        <v>106232.65719421153</v>
      </c>
      <c r="AI7" s="87">
        <f>'National Workbook'!AQ65*10</f>
        <v>106335.92957826515</v>
      </c>
      <c r="AJ7" s="87">
        <f>'National Workbook'!AR65*10</f>
        <v>106417.95768222785</v>
      </c>
      <c r="AK7" s="87">
        <f>'National Workbook'!AS65*10</f>
        <v>106491.8462681565</v>
      </c>
      <c r="AL7" s="87">
        <f>'National Workbook'!AT65*10</f>
        <v>106560.57668297681</v>
      </c>
      <c r="AM7" s="87">
        <f>'National Workbook'!AU65*10</f>
        <v>106627.26507295622</v>
      </c>
      <c r="AN7" s="87">
        <f>'National Workbook'!AV65*10</f>
        <v>106695.16109102927</v>
      </c>
      <c r="AO7" s="87">
        <f>'National Workbook'!AW65*10</f>
        <v>106767.6533687699</v>
      </c>
      <c r="AP7" s="87">
        <f>'National Workbook'!AX65*10</f>
        <v>106848.27351817553</v>
      </c>
      <c r="AQ7" s="87">
        <f>'National Workbook'!AY65*10</f>
        <v>106940.70189690802</v>
      </c>
      <c r="AR7" s="87">
        <f>'National Workbook'!AZ65*10</f>
        <v>107048.77350167635</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A434-071F-4C81-B860-84B3D973AD8F}">
  <sheetPr>
    <tabColor theme="3"/>
  </sheetPr>
  <dimension ref="A1:AR17"/>
  <sheetViews>
    <sheetView workbookViewId="0">
      <selection activeCell="B7" sqref="B7:AR7"/>
    </sheetView>
  </sheetViews>
  <sheetFormatPr defaultRowHeight="14.25"/>
  <cols>
    <col min="1" max="1" width="23.375" style="42" customWidth="1"/>
    <col min="2" max="44" width="7" style="42" customWidth="1"/>
    <col min="45" max="16384" width="9" style="42"/>
  </cols>
  <sheetData>
    <row r="1" spans="1:44">
      <c r="A1" s="42" t="s">
        <v>355</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42">
        <f>'National Workbook'!J64*10</f>
        <v>5033.7445316191888</v>
      </c>
      <c r="C7" s="42">
        <f>'National Workbook'!K64*10</f>
        <v>9194.3849710288468</v>
      </c>
      <c r="D7" s="42">
        <f>'National Workbook'!L64*10</f>
        <v>17263.505823217314</v>
      </c>
      <c r="E7" s="42">
        <f>'National Workbook'!M64*10</f>
        <v>34340.43172773171</v>
      </c>
      <c r="F7" s="42">
        <f>'National Workbook'!N64*10</f>
        <v>54319.996042277839</v>
      </c>
      <c r="G7" s="42">
        <f>'National Workbook'!O64*10</f>
        <v>72364.468083465472</v>
      </c>
      <c r="H7" s="42">
        <f>'National Workbook'!P64*10</f>
        <v>90892.713192999363</v>
      </c>
      <c r="I7" s="42">
        <f>'National Workbook'!Q64*10</f>
        <v>109420.9583025286</v>
      </c>
      <c r="J7" s="42">
        <f>'National Workbook'!R64*10</f>
        <v>127949.20341205783</v>
      </c>
      <c r="K7" s="42">
        <f>'National Workbook'!S64*10</f>
        <v>146477.44852158707</v>
      </c>
      <c r="L7" s="42">
        <f>'National Workbook'!T64*10</f>
        <v>165005.69363112096</v>
      </c>
      <c r="M7" s="42">
        <f>'National Workbook'!U64*10</f>
        <v>183533.93874065019</v>
      </c>
      <c r="N7" s="42">
        <f>'National Workbook'!V64*10</f>
        <v>202062.18385017943</v>
      </c>
      <c r="O7" s="42">
        <f>'National Workbook'!W64*10</f>
        <v>220590.42895970866</v>
      </c>
      <c r="P7" s="42">
        <f>'National Workbook'!X64*10</f>
        <v>239118.6740692379</v>
      </c>
      <c r="Q7" s="42">
        <f>'National Workbook'!Y64*10</f>
        <v>257646.91917877179</v>
      </c>
      <c r="R7" s="42">
        <f>'National Workbook'!Z64*10</f>
        <v>276175.16428830102</v>
      </c>
      <c r="S7" s="42">
        <f>'National Workbook'!AA64*10</f>
        <v>294703.40939783026</v>
      </c>
      <c r="T7" s="42">
        <f>'National Workbook'!AB64*10</f>
        <v>313231.65450735949</v>
      </c>
      <c r="U7" s="42">
        <f>'National Workbook'!AC64*10</f>
        <v>331759.89961689338</v>
      </c>
      <c r="V7" s="42">
        <f>'National Workbook'!AD64*10</f>
        <v>350288.14472642262</v>
      </c>
      <c r="W7" s="42">
        <f>'National Workbook'!AE64*10</f>
        <v>368816.38983595185</v>
      </c>
      <c r="X7" s="42">
        <f>'National Workbook'!AF64*10</f>
        <v>387344.63494548108</v>
      </c>
      <c r="Y7" s="42">
        <f>'National Workbook'!AG64*10</f>
        <v>405872.88005501032</v>
      </c>
      <c r="Z7" s="42">
        <f>'National Workbook'!AH64*10</f>
        <v>424401.12516454421</v>
      </c>
      <c r="AA7" s="42">
        <f>'National Workbook'!AI64*10</f>
        <v>442929.37027407344</v>
      </c>
      <c r="AB7" s="42">
        <f>'National Workbook'!AJ64*10</f>
        <v>459373.04100250534</v>
      </c>
      <c r="AC7" s="42">
        <f>'National Workbook'!AK64*10</f>
        <v>453759.57586147828</v>
      </c>
      <c r="AD7" s="42">
        <f>'National Workbook'!AL64*10</f>
        <v>447987.46106836805</v>
      </c>
      <c r="AE7" s="42">
        <f>'National Workbook'!AM64*10</f>
        <v>442079.37237698701</v>
      </c>
      <c r="AF7" s="42">
        <f>'National Workbook'!AN64*10</f>
        <v>436058.67476893333</v>
      </c>
      <c r="AG7" s="42">
        <f>'National Workbook'!AO64*10</f>
        <v>429949.37263684929</v>
      </c>
      <c r="AH7" s="42">
        <f>'National Workbook'!AP64*10</f>
        <v>423776.09998258122</v>
      </c>
      <c r="AI7" s="42">
        <f>'National Workbook'!AQ64*10</f>
        <v>417564.10923645424</v>
      </c>
      <c r="AJ7" s="42">
        <f>'National Workbook'!AR64*10</f>
        <v>411652.3679509986</v>
      </c>
      <c r="AK7" s="42">
        <f>'National Workbook'!AS64*10</f>
        <v>405751.49150119652</v>
      </c>
      <c r="AL7" s="42">
        <f>'National Workbook'!AT64*10</f>
        <v>399888.04163120419</v>
      </c>
      <c r="AM7" s="42">
        <f>'National Workbook'!AU64*10</f>
        <v>394089.04101727327</v>
      </c>
      <c r="AN7" s="42">
        <f>'National Workbook'!AV64*10</f>
        <v>388381.88804022176</v>
      </c>
      <c r="AO7" s="42">
        <f>'National Workbook'!AW64*10</f>
        <v>382794.35683481733</v>
      </c>
      <c r="AP7" s="42">
        <f>'National Workbook'!AX64*10</f>
        <v>377354.55653047375</v>
      </c>
      <c r="AQ7" s="42">
        <f>'National Workbook'!AY64*10</f>
        <v>372090.90578810655</v>
      </c>
      <c r="AR7" s="42">
        <f>'National Workbook'!AZ64*10</f>
        <v>367032.13420659676</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43FB-146E-4B2C-A476-B4B6A0C84611}">
  <sheetPr>
    <tabColor theme="3"/>
  </sheetPr>
  <dimension ref="A1:AR17"/>
  <sheetViews>
    <sheetView topLeftCell="K1" workbookViewId="0">
      <selection activeCell="B7" sqref="B7:AR7"/>
    </sheetView>
  </sheetViews>
  <sheetFormatPr defaultRowHeight="14.25"/>
  <cols>
    <col min="1" max="1" width="23.375" style="42" customWidth="1"/>
    <col min="2" max="44" width="7" style="42" customWidth="1"/>
    <col min="45" max="16384" width="9" style="42"/>
  </cols>
  <sheetData>
    <row r="1" spans="1:44">
      <c r="A1" s="42" t="s">
        <v>355</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87">
        <f>'National Workbook'!J62*10</f>
        <v>55235.194208227993</v>
      </c>
      <c r="C7" s="87">
        <f>'National Workbook'!K62*10</f>
        <v>62250.822799356494</v>
      </c>
      <c r="D7" s="87">
        <f>'National Workbook'!L62*10</f>
        <v>67671.990347046696</v>
      </c>
      <c r="E7" s="87">
        <f>'National Workbook'!M62*10</f>
        <v>75354.789347046681</v>
      </c>
      <c r="F7" s="87">
        <f>'National Workbook'!N62*10</f>
        <v>100195.78934704674</v>
      </c>
      <c r="G7" s="87">
        <f>'National Workbook'!O62*10</f>
        <v>106792.60377394501</v>
      </c>
      <c r="H7" s="87">
        <f>'National Workbook'!P62*10</f>
        <v>118581.98195667006</v>
      </c>
      <c r="I7" s="87">
        <f>'National Workbook'!Q62*10</f>
        <v>130371.36013939511</v>
      </c>
      <c r="J7" s="87">
        <f>'National Workbook'!R62*10</f>
        <v>138260.7561956163</v>
      </c>
      <c r="K7" s="87">
        <f>'National Workbook'!S62*10</f>
        <v>141092.9839885605</v>
      </c>
      <c r="L7" s="87">
        <f>'National Workbook'!T62*10</f>
        <v>143872.90221037553</v>
      </c>
      <c r="M7" s="87">
        <f>'National Workbook'!U62*10</f>
        <v>146600.32275055748</v>
      </c>
      <c r="N7" s="87">
        <f>'National Workbook'!V62*10</f>
        <v>149275.10929317068</v>
      </c>
      <c r="O7" s="87">
        <f>'National Workbook'!W62*10</f>
        <v>151897.18436208693</v>
      </c>
      <c r="P7" s="87">
        <f>'National Workbook'!X62*10</f>
        <v>153994.70691221853</v>
      </c>
      <c r="Q7" s="87">
        <f>'National Workbook'!Y62*10</f>
        <v>156030.932710947</v>
      </c>
      <c r="R7" s="87">
        <f>'National Workbook'!Z62*10</f>
        <v>158006.69618891325</v>
      </c>
      <c r="S7" s="87">
        <f>'National Workbook'!AA62*10</f>
        <v>159922.92312684064</v>
      </c>
      <c r="T7" s="87">
        <f>'National Workbook'!AB62*10</f>
        <v>161780.63141377617</v>
      </c>
      <c r="U7" s="87">
        <f>'National Workbook'!AC62*10</f>
        <v>163580.94354935782</v>
      </c>
      <c r="V7" s="87">
        <f>'National Workbook'!AD62*10</f>
        <v>165325.09703888278</v>
      </c>
      <c r="W7" s="87">
        <f>'National Workbook'!AE62*10</f>
        <v>167014.44697756466</v>
      </c>
      <c r="X7" s="87">
        <f>'National Workbook'!AF62*10</f>
        <v>168650.48346045983</v>
      </c>
      <c r="Y7" s="87">
        <f>'National Workbook'!AG62*10</f>
        <v>170234.83942553098</v>
      </c>
      <c r="Z7" s="87">
        <f>'National Workbook'!AH62*10</f>
        <v>171730.72004517863</v>
      </c>
      <c r="AA7" s="87">
        <f>'National Workbook'!AI62*10</f>
        <v>173177.3062599315</v>
      </c>
      <c r="AB7" s="87">
        <f>'National Workbook'!AJ62*10</f>
        <v>174576.73389695192</v>
      </c>
      <c r="AC7" s="87">
        <f>'National Workbook'!AK62*10</f>
        <v>175931.3269187648</v>
      </c>
      <c r="AD7" s="87">
        <f>'National Workbook'!AL62*10</f>
        <v>177243.60125784119</v>
      </c>
      <c r="AE7" s="87">
        <f>'National Workbook'!AM62*10</f>
        <v>178516.27742611917</v>
      </c>
      <c r="AF7" s="87">
        <f>'National Workbook'!AN62*10</f>
        <v>179752.30656672694</v>
      </c>
      <c r="AG7" s="87">
        <f>'National Workbook'!AO62*10</f>
        <v>180954.86346632006</v>
      </c>
      <c r="AH7" s="87">
        <f>'National Workbook'!AP62*10</f>
        <v>182127.37151850358</v>
      </c>
      <c r="AI7" s="87">
        <f>'National Workbook'!AQ62*10</f>
        <v>183273.51953002595</v>
      </c>
      <c r="AJ7" s="87">
        <f>'National Workbook'!AR62*10</f>
        <v>184527.98910812533</v>
      </c>
      <c r="AK7" s="87">
        <f>'National Workbook'!AS62*10</f>
        <v>185764.02001877638</v>
      </c>
      <c r="AL7" s="87">
        <f>'National Workbook'!AT62*10</f>
        <v>186986.19469660454</v>
      </c>
      <c r="AM7" s="87">
        <f>'National Workbook'!AU62*10</f>
        <v>188199.46707350059</v>
      </c>
      <c r="AN7" s="87">
        <f>'National Workbook'!AV62*10</f>
        <v>189409.17139372524</v>
      </c>
      <c r="AO7" s="87">
        <f>'National Workbook'!AW62*10</f>
        <v>190621.04387149823</v>
      </c>
      <c r="AP7" s="87">
        <f>'National Workbook'!AX62*10</f>
        <v>191841.24190745427</v>
      </c>
      <c r="AQ7" s="87">
        <f>'National Workbook'!AY62*10</f>
        <v>193076.36597693624</v>
      </c>
      <c r="AR7" s="87">
        <f>'National Workbook'!AZ62*10</f>
        <v>194333.48277615776</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National Workbook</vt:lpstr>
      <vt:lpstr>Capacity Limit</vt:lpstr>
      <vt:lpstr>Population</vt:lpstr>
      <vt:lpstr>Building Area Result</vt:lpstr>
      <vt:lpstr>能源局光伏并网数据</vt:lpstr>
      <vt:lpstr>户用光伏安装数据</vt:lpstr>
      <vt:lpstr>户用光伏上限模拟</vt:lpstr>
      <vt:lpstr>世行山东城市化率</vt:lpstr>
      <vt:lpstr>整县推进试点城市</vt:lpstr>
      <vt:lpstr>山东光伏数据</vt:lpstr>
      <vt:lpstr>SYDEC</vt:lpstr>
      <vt:lpstr>BDEQ-BEOfDS-urban-residential</vt:lpstr>
      <vt:lpstr>BDEQ-BEOfDS-rural-residential</vt:lpstr>
      <vt:lpstr>BDEQ-BEOfDS-commercial</vt:lpstr>
      <vt:lpstr>BDEQ-BDESC-urban-residential</vt:lpstr>
      <vt:lpstr>BDEQ-BDESC-rural-residential</vt:lpstr>
      <vt:lpstr>BDEQ-BDESC-commercial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2022-04-19T10:31:17Z</dcterms:created>
  <dcterms:modified xsi:type="dcterms:W3CDTF">2023-03-10T03:41:40Z</dcterms:modified>
</cp:coreProperties>
</file>