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zhlx1\Desktop\eps-china2019-smart-trans\InputData\bldgs\BDEQ\"/>
    </mc:Choice>
  </mc:AlternateContent>
  <bookViews>
    <workbookView windowWidth="24000" windowHeight="10395" firstSheet="1" activeTab="7"/>
  </bookViews>
  <sheets>
    <sheet name="About" sheetId="18" r:id="rId1"/>
    <sheet name="能源局光伏数据" sheetId="1" r:id="rId2"/>
    <sheet name="用户光伏装机数据" sheetId="9" r:id="rId3"/>
    <sheet name="各省城镇化数据" sheetId="8" r:id="rId4"/>
    <sheet name="用户PV上限模拟" sheetId="2" r:id="rId5"/>
    <sheet name="分布式年运行时间" sheetId="17" r:id="rId6"/>
    <sheet name="中国光伏数据" sheetId="3" r:id="rId7"/>
    <sheet name="SYDEC" sheetId="4" r:id="rId8"/>
    <sheet name="BDEQ-BDESC-urban-residential" sheetId="5" r:id="rId9"/>
    <sheet name="BDEQ-BDESC-rural-residential" sheetId="6" r:id="rId10"/>
    <sheet name="BDEQ-BDESC-commercial" sheetId="7" r:id="rId11"/>
    <sheet name="BDEQ-BEOfDS-urban-residential" sheetId="10" r:id="rId12"/>
    <sheet name="BDEQ-BEOfDS-rural-residential" sheetId="11" r:id="rId13"/>
    <sheet name="BDEQ-BEOfDS-commercial" sheetId="12" r:id="rId14"/>
    <sheet name="reference-New network in 2022" sheetId="16" r:id="rId15"/>
  </sheets>
  <externalReferences>
    <externalReference r:id="rId1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<sst xmlns="http://schemas.openxmlformats.org/spreadsheetml/2006/main" count="393" uniqueCount="144">
  <si>
    <t>SYDEC Start Year Destributed Electricity Capacity</t>
  </si>
  <si>
    <t>source:</t>
  </si>
  <si>
    <t>Distributed photovoltaic installed capacity and power generation in each province</t>
  </si>
  <si>
    <t>Energy Bureau photovoltaic data</t>
  </si>
  <si>
    <t>China Energy Bureau</t>
  </si>
  <si>
    <t>https://www.nea.gov.cn/2019-08/23/c_138330885.htm</t>
  </si>
  <si>
    <t>note:</t>
  </si>
  <si>
    <t>Photovoltaic installed capacity data comes from the National Bureau of Statistics. Multiplied by the annual effective sunshine hours in each province, the annual photovoltaic power generation capacity is obtained. By consulting experts, the upper limit of photovoltaic coverage of each building is obtained, and then the expected changes in photovoltaic power generation are obtained.</t>
  </si>
  <si>
    <t>分布式发电量（亿千瓦时）</t>
  </si>
  <si>
    <t>太阳能总发电量</t>
  </si>
  <si>
    <t>规模以上装机容量</t>
  </si>
  <si>
    <t>规模以上发电量</t>
  </si>
  <si>
    <t>经济指标小时数</t>
  </si>
  <si>
    <t>规模以上运行小时数</t>
  </si>
  <si>
    <t>光伏电站小时数</t>
  </si>
  <si>
    <t>分布式小时数</t>
  </si>
  <si>
    <t>光伏电站</t>
  </si>
  <si>
    <t>分布式光伏</t>
  </si>
  <si>
    <r>
      <rPr>
        <sz val="10"/>
        <rFont val="Arial"/>
        <charset val="134"/>
      </rPr>
      <t>2017</t>
    </r>
    <r>
      <rPr>
        <sz val="10"/>
        <rFont val="宋体"/>
        <charset val="134"/>
      </rPr>
      <t>年</t>
    </r>
  </si>
  <si>
    <r>
      <rPr>
        <sz val="10"/>
        <rFont val="Arial"/>
        <charset val="134"/>
      </rPr>
      <t>2018</t>
    </r>
    <r>
      <rPr>
        <sz val="10"/>
        <rFont val="宋体"/>
        <charset val="134"/>
      </rPr>
      <t>年</t>
    </r>
  </si>
  <si>
    <r>
      <rPr>
        <sz val="10"/>
        <rFont val="Arial"/>
        <charset val="134"/>
      </rPr>
      <t>2019</t>
    </r>
    <r>
      <rPr>
        <sz val="10"/>
        <rFont val="宋体"/>
        <charset val="134"/>
      </rPr>
      <t>年</t>
    </r>
  </si>
  <si>
    <r>
      <rPr>
        <sz val="10"/>
        <rFont val="Arial"/>
        <charset val="134"/>
      </rPr>
      <t>2020</t>
    </r>
    <r>
      <rPr>
        <sz val="10"/>
        <rFont val="宋体"/>
        <charset val="134"/>
      </rPr>
      <t>年</t>
    </r>
  </si>
  <si>
    <t>全国</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</si>
  <si>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</si>
  <si>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</si>
  <si>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</si>
  <si>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</si>
  <si>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</si>
  <si>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</si>
  <si>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</si>
  <si>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</si>
  <si>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</si>
  <si>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</si>
  <si>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</si>
  <si>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</si>
  <si>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</si>
  <si>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</si>
  <si>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</si>
  <si>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</si>
  <si>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</si>
  <si>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</si>
  <si>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</si>
  <si>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</si>
  <si>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</si>
  <si>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</si>
  <si>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</si>
  <si>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</si>
  <si>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</si>
  <si>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</si>
  <si>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甘肃省</t>
  </si>
  <si>
    <t>青海省</t>
  </si>
  <si>
    <t>宁夏回族自治区</t>
  </si>
  <si>
    <t>新疆维吾尔自治区</t>
  </si>
  <si>
    <t>北京</t>
  </si>
  <si>
    <t>天津</t>
  </si>
  <si>
    <t>河北</t>
  </si>
  <si>
    <t>其中：河北南网</t>
  </si>
  <si>
    <t>冀北电网</t>
  </si>
  <si>
    <t>山西</t>
  </si>
  <si>
    <t>内蒙古</t>
  </si>
  <si>
    <t>其中：蒙西</t>
  </si>
  <si>
    <t>蒙东</t>
  </si>
  <si>
    <t>辽宁</t>
  </si>
  <si>
    <t>吉林</t>
  </si>
  <si>
    <t>黑龙江</t>
  </si>
  <si>
    <t>上海</t>
  </si>
  <si>
    <t>江苏</t>
  </si>
  <si>
    <t>浙江</t>
  </si>
  <si>
    <t>安徽</t>
  </si>
  <si>
    <t>福建</t>
  </si>
  <si>
    <t>江西</t>
  </si>
  <si>
    <t>山东</t>
  </si>
  <si>
    <t>河南</t>
  </si>
  <si>
    <t>湖北</t>
  </si>
  <si>
    <t>湖南</t>
  </si>
  <si>
    <t>重庆</t>
  </si>
  <si>
    <t>四川</t>
  </si>
  <si>
    <t>陕西</t>
  </si>
  <si>
    <t>甘肃</t>
  </si>
  <si>
    <t>青海</t>
  </si>
  <si>
    <t>宁夏</t>
  </si>
  <si>
    <t>新疆自治区（含兵团）</t>
  </si>
  <si>
    <t>广东</t>
  </si>
  <si>
    <t>广西</t>
  </si>
  <si>
    <t>云南</t>
  </si>
  <si>
    <t>贵州</t>
  </si>
  <si>
    <t>海南</t>
  </si>
  <si>
    <t>合计</t>
  </si>
  <si>
    <r>
      <rPr>
        <sz val="14"/>
        <color rgb="FF3B3B3B"/>
        <rFont val="微软雅黑"/>
        <charset val="134"/>
      </rPr>
      <t>根据中国光伏行业协会数据显示，</t>
    </r>
    <r>
      <rPr>
        <sz val="14"/>
        <color rgb="FF3B3B3B"/>
        <rFont val="Segoe UI"/>
        <charset val="134"/>
      </rPr>
      <t>2020</t>
    </r>
    <r>
      <rPr>
        <sz val="14"/>
        <color rgb="FF3B3B3B"/>
        <rFont val="微软雅黑"/>
        <charset val="134"/>
      </rPr>
      <t>年全国户用光伏的装机规模累计达到</t>
    </r>
    <r>
      <rPr>
        <sz val="14"/>
        <color rgb="FF3B3B3B"/>
        <rFont val="Segoe UI"/>
        <charset val="134"/>
      </rPr>
      <t>20GW</t>
    </r>
    <r>
      <rPr>
        <sz val="14"/>
        <color rgb="FF3B3B3B"/>
        <rFont val="微软雅黑"/>
        <charset val="134"/>
      </rPr>
      <t>，新增装机规模高达</t>
    </r>
    <r>
      <rPr>
        <sz val="14"/>
        <color rgb="FF3B3B3B"/>
        <rFont val="Segoe UI"/>
        <charset val="134"/>
      </rPr>
      <t>10.1GW</t>
    </r>
    <r>
      <rPr>
        <sz val="14"/>
        <color rgb="FF3B3B3B"/>
        <rFont val="微软雅黑"/>
        <charset val="134"/>
      </rPr>
      <t>。</t>
    </r>
  </si>
  <si>
    <t>城镇化率</t>
  </si>
  <si>
    <t>陕西省</t>
  </si>
  <si>
    <r>
      <rPr>
        <sz val="10"/>
        <rFont val="等线"/>
        <charset val="134"/>
      </rPr>
      <t>全国</t>
    </r>
  </si>
  <si>
    <t>平均层数（相城地图爬取）</t>
  </si>
  <si>
    <t>城市住宅</t>
  </si>
  <si>
    <t>农村住宅</t>
  </si>
  <si>
    <t>公建</t>
  </si>
  <si>
    <t>城市住宅建面 万㎡</t>
  </si>
  <si>
    <t>农村住宅建面 万㎡</t>
  </si>
  <si>
    <t>公共建筑建面 万㎡</t>
  </si>
  <si>
    <t>城市住宅屋顶 万㎡</t>
  </si>
  <si>
    <t>农村住宅屋顶 万㎡</t>
  </si>
  <si>
    <t>公共建筑屋顶 万㎡</t>
  </si>
  <si>
    <t>装机上限 MW</t>
  </si>
  <si>
    <t>工商业光伏</t>
  </si>
  <si>
    <t>城镇光伏</t>
  </si>
  <si>
    <t>乡村光伏</t>
  </si>
  <si>
    <t>户用光伏</t>
  </si>
  <si>
    <t>Capacity Factor (dimensionless)</t>
  </si>
  <si>
    <t>小时数</t>
  </si>
  <si>
    <t>2020新增</t>
  </si>
  <si>
    <t>2021新增</t>
  </si>
  <si>
    <t>光伏合计</t>
  </si>
  <si>
    <t>光伏分布式</t>
  </si>
  <si>
    <t>集中</t>
  </si>
  <si>
    <t>分布式合计</t>
  </si>
  <si>
    <t>工商</t>
  </si>
  <si>
    <t>户用</t>
  </si>
  <si>
    <t>MW</t>
  </si>
  <si>
    <t>工商业</t>
  </si>
  <si>
    <t>城镇分布式</t>
  </si>
  <si>
    <t>乡村分布式</t>
  </si>
  <si>
    <t>分布式</t>
  </si>
  <si>
    <t>总计</t>
  </si>
  <si>
    <t>urban residential</t>
  </si>
  <si>
    <t>rural residential</t>
  </si>
  <si>
    <t>commercial</t>
  </si>
  <si>
    <t>hard coal</t>
  </si>
  <si>
    <t>natural gas nonpeaker</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</si>
  <si>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</si>
  <si>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</si>
  <si>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</si>
  <si>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</si>
  <si>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</si>
  <si>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</si>
  <si>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</si>
  <si>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</si>
  <si>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</si>
  <si>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</si>
  <si>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</si>
  <si>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</si>
  <si>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</si>
  <si>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</si>
  <si>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MW*hour</t>
  </si>
  <si>
    <t>单位：万千瓦</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</si>
</sst>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_);[Red]\(0\)"/>
    <numFmt numFmtId="178" formatCode="0.000_ "/>
    <numFmt numFmtId="179" formatCode="0.0%"/>
    <numFmt numFmtId="180" formatCode="0.00_);[Red]\(0.00\)"/>
  </numFmts>
  <fonts count="31">
    <font>
      <sz val="11"/>
      <color theme="1"/>
      <name val="宋体"/>
      <charset val="134"/>
      <scheme val="minor"/>
    </font>
    <font>
      <b/>
      <sz val="11"/>
      <color theme="1"/>
      <name val="宋体"/>
      <charset val="134"/>
      <scheme val="minor"/>
    </font>
    <font>
      <sz val="11"/>
      <color rgb="FFFF0000"/>
      <name val="宋体"/>
      <charset val="134"/>
      <scheme val="minor"/>
    </font>
    <font>
      <sz val="11"/>
      <color theme="4"/>
      <name val="宋体"/>
      <charset val="134"/>
      <scheme val="minor"/>
    </font>
    <font>
      <sz val="11"/>
      <name val="宋体"/>
      <charset val="134"/>
      <scheme val="minor"/>
    </font>
    <font>
      <sz val="14"/>
      <color rgb="FF3B3B3B"/>
      <name val="Segoe UI"/>
      <charset val="134"/>
    </font>
    <font>
      <sz val="10"/>
      <name val="宋体"/>
      <charset val="134"/>
    </font>
    <font>
      <sz val="10"/>
      <name val="Arial"/>
      <charset val="134"/>
    </font>
    <font>
      <sz val="10"/>
      <color rgb="FF000000"/>
      <name val="Arial"/>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0"/>
      <name val="宋体"/>
      <charset val="134"/>
      <scheme val="minor"/>
    </font>
    <font>
      <sz val="14"/>
      <color rgb="FF3B3B3B"/>
      <name val="微软雅黑"/>
      <charset val="134"/>
    </font>
    <font>
      <sz val="10"/>
      <name val="等线"/>
      <charset val="134"/>
    </font>
  </fonts>
  <fills count="34">
    <fill>
      <patternFill patternType="none"/>
    </fill>
    <fill>
      <patternFill patternType="gray125"/>
    </fill>
    <fill>
      <patternFill patternType="solid">
        <fgColor theme="7" tint="0.799981688894314"/>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5" borderId="8" applyNumberFormat="0" applyAlignment="0" applyProtection="0">
      <alignment vertical="center"/>
    </xf>
    <xf numFmtId="0" fontId="18" fillId="6" borderId="9" applyNumberFormat="0" applyAlignment="0" applyProtection="0">
      <alignment vertical="center"/>
    </xf>
    <xf numFmtId="0" fontId="19" fillId="6" borderId="8" applyNumberFormat="0" applyAlignment="0" applyProtection="0">
      <alignment vertical="center"/>
    </xf>
    <xf numFmtId="0" fontId="20" fillId="7"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7" fillId="0" borderId="0">
      <alignment vertical="center"/>
    </xf>
    <xf numFmtId="0" fontId="0" fillId="0" borderId="0"/>
    <xf numFmtId="0" fontId="28" fillId="0" borderId="0" applyNumberFormat="0" applyFill="0" applyBorder="0" applyAlignment="0" applyProtection="0">
      <alignment vertical="center"/>
    </xf>
  </cellStyleXfs>
  <cellXfs count="45">
    <xf numFmtId="0" fontId="0" fillId="0" borderId="0" xfId="0">
      <alignment vertical="center"/>
    </xf>
    <xf numFmtId="0" fontId="0" fillId="0" borderId="0" xfId="49" applyFont="1" applyAlignment="1"/>
    <xf numFmtId="0" fontId="1" fillId="0" borderId="0" xfId="49" applyFont="1" applyAlignment="1"/>
    <xf numFmtId="0" fontId="1" fillId="0" borderId="0" xfId="0" applyFont="1">
      <alignment vertical="center"/>
    </xf>
    <xf numFmtId="176" fontId="0" fillId="0" borderId="0" xfId="0" applyNumberFormat="1">
      <alignment vertical="center"/>
    </xf>
    <xf numFmtId="0" fontId="0" fillId="0" borderId="0" xfId="0" applyAlignment="1">
      <alignment horizontal="center" vertical="center"/>
    </xf>
    <xf numFmtId="177" fontId="2" fillId="0" borderId="1" xfId="0" applyNumberFormat="1" applyFont="1" applyFill="1" applyBorder="1" applyAlignment="1">
      <alignment vertical="center"/>
    </xf>
    <xf numFmtId="177" fontId="0" fillId="0" borderId="1" xfId="0" applyNumberFormat="1" applyFont="1" applyFill="1" applyBorder="1" applyAlignment="1">
      <alignment vertical="center"/>
    </xf>
    <xf numFmtId="177" fontId="3" fillId="0" borderId="1" xfId="0" applyNumberFormat="1" applyFont="1" applyFill="1" applyBorder="1" applyAlignment="1">
      <alignment vertical="center"/>
    </xf>
    <xf numFmtId="177" fontId="4" fillId="0" borderId="1" xfId="0" applyNumberFormat="1" applyFont="1" applyFill="1" applyBorder="1" applyAlignment="1">
      <alignment vertical="center"/>
    </xf>
    <xf numFmtId="0" fontId="0" fillId="0" borderId="0" xfId="0" applyAlignment="1">
      <alignment horizontal="left" vertical="center"/>
    </xf>
    <xf numFmtId="177" fontId="0" fillId="0" borderId="0" xfId="0" applyNumberFormat="1">
      <alignment vertical="center"/>
    </xf>
    <xf numFmtId="0" fontId="0" fillId="0" borderId="0" xfId="0" applyFont="1">
      <alignment vertical="center"/>
    </xf>
    <xf numFmtId="178" fontId="0" fillId="0" borderId="0" xfId="0" applyNumberFormat="1">
      <alignment vertical="center"/>
    </xf>
    <xf numFmtId="0" fontId="0" fillId="2" borderId="0" xfId="0" applyFill="1">
      <alignment vertical="center"/>
    </xf>
    <xf numFmtId="179" fontId="0" fillId="0" borderId="0" xfId="0" applyNumberFormat="1">
      <alignment vertical="center"/>
    </xf>
    <xf numFmtId="180" fontId="0" fillId="0" borderId="0" xfId="0" applyNumberFormat="1">
      <alignment vertical="center"/>
    </xf>
    <xf numFmtId="180" fontId="2" fillId="0" borderId="0" xfId="0" applyNumberFormat="1" applyFont="1">
      <alignment vertical="center"/>
    </xf>
    <xf numFmtId="0" fontId="5" fillId="0" borderId="0" xfId="0" applyFont="1">
      <alignmen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7" fillId="0" borderId="1" xfId="0" applyFont="1" applyBorder="1">
      <alignment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center" vertical="top" wrapText="1"/>
    </xf>
    <xf numFmtId="0" fontId="8" fillId="0" borderId="1" xfId="0" applyFont="1" applyBorder="1" applyAlignment="1">
      <alignment horizontal="center" vertical="top" shrinkToFit="1"/>
    </xf>
    <xf numFmtId="0" fontId="7" fillId="0" borderId="1" xfId="49" applyBorder="1" applyAlignment="1">
      <alignment horizontal="center" vertical="center"/>
    </xf>
    <xf numFmtId="177" fontId="7" fillId="0" borderId="1" xfId="49" applyNumberFormat="1" applyBorder="1" applyAlignment="1">
      <alignment horizontal="center" vertical="center"/>
    </xf>
    <xf numFmtId="176" fontId="0" fillId="0" borderId="1" xfId="0" applyNumberFormat="1" applyBorder="1">
      <alignment vertical="center"/>
    </xf>
    <xf numFmtId="0" fontId="0" fillId="0" borderId="1" xfId="0" applyBorder="1" applyAlignment="1">
      <alignment horizontal="center"/>
    </xf>
    <xf numFmtId="0" fontId="7" fillId="0" borderId="1" xfId="49" applyBorder="1" applyAlignment="1">
      <alignment horizontal="center" vertical="top"/>
    </xf>
    <xf numFmtId="177" fontId="7" fillId="0" borderId="1" xfId="49" applyNumberFormat="1" applyBorder="1" applyAlignment="1">
      <alignment horizontal="center" vertical="top"/>
    </xf>
    <xf numFmtId="1" fontId="8" fillId="0" borderId="1" xfId="0" applyNumberFormat="1" applyFont="1" applyBorder="1" applyAlignment="1">
      <alignment horizontal="center" vertical="top" shrinkToFit="1"/>
    </xf>
    <xf numFmtId="0" fontId="7" fillId="0" borderId="1" xfId="0" applyFont="1" applyBorder="1" applyAlignment="1">
      <alignment horizontal="center" wrapText="1"/>
    </xf>
    <xf numFmtId="0" fontId="7" fillId="0" borderId="1" xfId="49" applyBorder="1" applyAlignment="1">
      <alignment horizontal="center"/>
    </xf>
    <xf numFmtId="0" fontId="0" fillId="0" borderId="0" xfId="0" applyAlignment="1"/>
    <xf numFmtId="0" fontId="1" fillId="3" borderId="0" xfId="0" applyFont="1" applyFill="1" applyAlignment="1"/>
    <xf numFmtId="0" fontId="0" fillId="0" borderId="0" xfId="0" applyFont="1" applyAlignment="1"/>
    <xf numFmtId="0" fontId="0" fillId="0" borderId="0" xfId="0" applyAlignment="1">
      <alignment horizontal="left"/>
    </xf>
    <xf numFmtId="0" fontId="9" fillId="0" borderId="0" xfId="6" applyAlignment="1"/>
    <xf numFmtId="0" fontId="0" fillId="0" borderId="0" xfId="0" applyFont="1" applyAlignment="1">
      <alignment vertical="center" wrapText="1"/>
    </xf>
    <xf numFmtId="0" fontId="0" fillId="0" borderId="0" xfId="0"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超链接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[1]户用光伏安装数据!$AN$1:$AY$1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[1]户用光伏安装数据!$AN$2:$AY$2</c:f>
              <c:numCache>
                <c:formatCode>General</c:formatCode>
                <c:ptCount val="12"/>
                <c:pt idx="5">
                  <c:v>18.5208</c:v>
                </c:pt>
                <c:pt idx="6">
                  <c:v>19.7179</c:v>
                </c:pt>
                <c:pt idx="7">
                  <c:v>26.5132</c:v>
                </c:pt>
                <c:pt idx="8">
                  <c:v>37.5837</c:v>
                </c:pt>
                <c:pt idx="9">
                  <c:v>44.4781151</c:v>
                </c:pt>
              </c:numCache>
            </c:numRef>
          </c:yVal>
          <c:smooth val="1"/>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dLbls>
            <c:delete val="1"/>
          </c:dLbls>
          <c:xVal>
            <c:numRef>
              <c:f>[1]户用光伏安装数据!$AN$1:$AY$1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[1]户用光伏安装数据!$AN$3:$AY$3</c:f>
              <c:numCache>
                <c:formatCode>General</c:formatCode>
                <c:ptCount val="12"/>
                <c:pt idx="0">
                  <c:v>4.7263237</c:v>
                </c:pt>
                <c:pt idx="1">
                  <c:v>0.4216055</c:v>
                </c:pt>
                <c:pt idx="2">
                  <c:v>4.610248</c:v>
                </c:pt>
                <c:pt idx="3">
                  <c:v>17.147776</c:v>
                </c:pt>
                <c:pt idx="4">
                  <c:v>25.4394065</c:v>
                </c:pt>
                <c:pt idx="5">
                  <c:v>32.9978439</c:v>
                </c:pt>
                <c:pt idx="6">
                  <c:v>38.5484282</c:v>
                </c:pt>
                <c:pt idx="7">
                  <c:v>45.48620967</c:v>
                </c:pt>
                <c:pt idx="8">
                  <c:v>57.9509</c:v>
                </c:pt>
                <c:pt idx="9">
                  <c:v>56.7659</c:v>
                </c:pt>
                <c:pt idx="10">
                  <c:v>173.2052</c:v>
                </c:pt>
              </c:numCache>
            </c:numRef>
          </c:yVal>
          <c:smooth val="1"/>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dLbls>
            <c:delete val="1"/>
          </c:dLbls>
          <c:xVal>
            <c:numRef>
              <c:f>[1]户用光伏安装数据!$AN$1:$AY$1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[1]户用光伏安装数据!$AN$4:$AY$4</c:f>
              <c:numCache>
                <c:formatCode>General</c:formatCode>
                <c:ptCount val="12"/>
                <c:pt idx="0">
                  <c:v>12.035</c:v>
                </c:pt>
                <c:pt idx="1">
                  <c:v>13.3488</c:v>
                </c:pt>
                <c:pt idx="2">
                  <c:v>28.1457</c:v>
                </c:pt>
                <c:pt idx="3">
                  <c:v>55.8136</c:v>
                </c:pt>
                <c:pt idx="4">
                  <c:v>63.3849</c:v>
                </c:pt>
                <c:pt idx="5">
                  <c:v>67.2034</c:v>
                </c:pt>
                <c:pt idx="6">
                  <c:v>65.5694</c:v>
                </c:pt>
                <c:pt idx="7">
                  <c:v>67.8232</c:v>
                </c:pt>
                <c:pt idx="8">
                  <c:v>69.9044</c:v>
                </c:pt>
                <c:pt idx="9">
                  <c:v>64.3601</c:v>
                </c:pt>
                <c:pt idx="10">
                  <c:v>88.13</c:v>
                </c:pt>
                <c:pt idx="11">
                  <c:v>157.9777</c:v>
                </c:pt>
              </c:numCache>
            </c:numRef>
          </c:yVal>
          <c:smooth val="1"/>
        </c:ser>
        <c:dLbls>
          <c:showLegendKey val="0"/>
          <c:showVal val="0"/>
          <c:showCatName val="0"/>
          <c:showSerName val="0"/>
          <c:showPercent val="0"/>
          <c:showBubbleSize val="0"/>
        </c:dLbls>
        <c:axId val="1096146959"/>
        <c:axId val="1096154863"/>
      </c:scatterChart>
      <c:valAx>
        <c:axId val="109614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96154863"/>
        <c:crosses val="autoZero"/>
        <c:crossBetween val="midCat"/>
      </c:valAx>
      <c:valAx>
        <c:axId val="109615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96146959"/>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7d9c992-3c94-4992-ae49-ec23b8249d7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39</xdr:col>
      <xdr:colOff>385762</xdr:colOff>
      <xdr:row>10</xdr:row>
      <xdr:rowOff>19050</xdr:rowOff>
    </xdr:from>
    <xdr:to>
      <xdr:col>46</xdr:col>
      <xdr:colOff>157162</xdr:colOff>
      <xdr:row>25</xdr:row>
      <xdr:rowOff>47625</xdr:rowOff>
    </xdr:to>
    <xdr:graphicFrame>
      <xdr:nvGraphicFramePr>
        <xdr:cNvPr id="2" name="图表 1"/>
        <xdr:cNvGraphicFramePr/>
      </xdr:nvGraphicFramePr>
      <xdr:xfrm>
        <a:off x="26982420" y="1733550"/>
        <a:ext cx="4291965" cy="26003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9</xdr:col>
      <xdr:colOff>17145</xdr:colOff>
      <xdr:row>48</xdr:row>
      <xdr:rowOff>154305</xdr:rowOff>
    </xdr:to>
    <xdr:pic>
      <xdr:nvPicPr>
        <xdr:cNvPr id="2" name="图片 1" descr="2022年各省新增并网数据"/>
        <xdr:cNvPicPr>
          <a:picLocks noChangeAspect="1"/>
        </xdr:cNvPicPr>
      </xdr:nvPicPr>
      <xdr:blipFill>
        <a:blip r:embed="rId1"/>
        <a:stretch>
          <a:fillRect/>
        </a:stretch>
      </xdr:blipFill>
      <xdr:spPr>
        <a:xfrm>
          <a:off x="7620" y="7620"/>
          <a:ext cx="5690235" cy="83762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llyy\Documents\OPT\SX\eps\Building\Building\&#28304;&#25968;&#25454;&#21450;&#21442;&#32771;&#25991;&#29486;\&#20809;&#20239;&#21457;&#3000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能源局光伏并网数据"/>
      <sheetName val="户用光伏安装数据"/>
      <sheetName val="户用光伏上限模拟"/>
      <sheetName val="世行山东城市化率"/>
      <sheetName val="整县推进试点城市"/>
      <sheetName val="山东光伏数据"/>
      <sheetName val="SYDEC"/>
      <sheetName val="BDEQ-BEOfDS-urban-residential"/>
      <sheetName val="BDEQ-BEOfDS-rural-residential"/>
      <sheetName val="BDEQ-BEOfDS-commercial"/>
      <sheetName val="BDEQ-BDESC-urban-residential"/>
      <sheetName val="BDEQ-BDESC-rural-residential"/>
      <sheetName val="BDEQ-BDESC-commercial"/>
    </sheetNames>
    <sheetDataSet>
      <sheetData sheetId="0"/>
      <sheetData sheetId="1">
        <row r="1">
          <cell r="AN1">
            <v>1</v>
          </cell>
          <cell r="AO1">
            <v>2</v>
          </cell>
          <cell r="AP1">
            <v>3</v>
          </cell>
          <cell r="AQ1">
            <v>4</v>
          </cell>
          <cell r="AR1">
            <v>5</v>
          </cell>
          <cell r="AS1">
            <v>6</v>
          </cell>
          <cell r="AT1">
            <v>7</v>
          </cell>
          <cell r="AU1">
            <v>8</v>
          </cell>
          <cell r="AV1">
            <v>9</v>
          </cell>
          <cell r="AW1">
            <v>10</v>
          </cell>
          <cell r="AX1">
            <v>11</v>
          </cell>
          <cell r="AY1">
            <v>12</v>
          </cell>
        </row>
        <row r="2">
          <cell r="AS2">
            <v>18.5208</v>
          </cell>
          <cell r="AT2">
            <v>19.7179</v>
          </cell>
          <cell r="AU2">
            <v>26.5132</v>
          </cell>
          <cell r="AV2">
            <v>37.5837</v>
          </cell>
          <cell r="AW2">
            <v>44.4781151</v>
          </cell>
        </row>
        <row r="3">
          <cell r="AN3">
            <v>4.7263237</v>
          </cell>
          <cell r="AO3">
            <v>0.4216055</v>
          </cell>
          <cell r="AP3">
            <v>4.610248</v>
          </cell>
          <cell r="AQ3">
            <v>17.147776</v>
          </cell>
          <cell r="AR3">
            <v>25.4394065</v>
          </cell>
          <cell r="AS3">
            <v>32.9978439</v>
          </cell>
          <cell r="AT3">
            <v>38.5484282</v>
          </cell>
          <cell r="AU3">
            <v>45.48620967</v>
          </cell>
          <cell r="AV3">
            <v>57.9509</v>
          </cell>
          <cell r="AW3">
            <v>56.7659</v>
          </cell>
          <cell r="AX3">
            <v>173.2052</v>
          </cell>
        </row>
        <row r="4">
          <cell r="AN4">
            <v>12.035</v>
          </cell>
          <cell r="AO4">
            <v>13.3488</v>
          </cell>
          <cell r="AP4">
            <v>28.1457</v>
          </cell>
          <cell r="AQ4">
            <v>55.8136</v>
          </cell>
          <cell r="AR4">
            <v>63.3849</v>
          </cell>
          <cell r="AS4">
            <v>67.2034</v>
          </cell>
          <cell r="AT4">
            <v>65.5694</v>
          </cell>
          <cell r="AU4">
            <v>67.8232</v>
          </cell>
          <cell r="AV4">
            <v>69.9044</v>
          </cell>
          <cell r="AW4">
            <v>64.3601</v>
          </cell>
          <cell r="AX4">
            <v>88.13</v>
          </cell>
          <cell r="AY4">
            <v>157.9777</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nea.gov.cn/2019-08/23/c_138330885.ht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selection activeCell="A1" sqref="A1"/>
    </sheetView>
  </sheetViews>
  <sheetFormatPr defaultColWidth="9.13274336283186" defaultRowHeight="13.5" outlineLevelCol="1"/>
  <cols>
    <col min="1" max="1" width="10.7964601769912" customWidth="1"/>
    <col min="2" max="2" width="102.132743362832" customWidth="1"/>
    <col min="3" max="16384" width="9.13274336283186" style="38"/>
  </cols>
  <sheetData>
    <row r="1" spans="1:2">
      <c r="A1" s="3" t="s">
        <v>0</v>
      </c>
    </row>
    <row r="3" spans="1:2">
      <c r="A3" s="3" t="s">
        <v>1</v>
      </c>
      <c r="B3" s="39" t="s">
        <v>2</v>
      </c>
    </row>
    <row r="4" spans="1:2">
      <c r="B4" s="40" t="s">
        <v>3</v>
      </c>
    </row>
    <row r="5" spans="1:2">
      <c r="B5" s="41">
        <v>2019</v>
      </c>
    </row>
    <row r="6" spans="1:2">
      <c r="B6" s="40" t="s">
        <v>4</v>
      </c>
    </row>
    <row r="7" spans="1:2">
      <c r="B7" s="42" t="s">
        <v>5</v>
      </c>
    </row>
    <row r="10" ht="54" spans="1:2">
      <c r="A10" s="3" t="s">
        <v>6</v>
      </c>
      <c r="B10" s="43" t="s">
        <v>7</v>
      </c>
    </row>
    <row r="11" spans="1:2">
      <c r="B11" s="44"/>
    </row>
    <row r="12" spans="1:2">
      <c r="B12" s="44"/>
    </row>
    <row r="13" spans="1:2">
      <c r="B13" s="44"/>
    </row>
    <row r="14" spans="1:2">
      <c r="B14" s="44"/>
    </row>
    <row r="15" spans="1:2">
      <c r="A15" s="12"/>
      <c r="B15" s="44"/>
    </row>
  </sheetData>
  <hyperlinks>
    <hyperlink ref="B7" r:id="rId1" display="https://www.nea.gov.cn/2019-08/23/c_138330885.ht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34"/>
  <sheetViews>
    <sheetView workbookViewId="0">
      <selection activeCell="H15" sqref="H15"/>
    </sheetView>
  </sheetViews>
  <sheetFormatPr defaultColWidth="9" defaultRowHeight="13.5"/>
  <cols>
    <col min="5" max="6" width="9.47787610619469" customWidth="1"/>
    <col min="8" max="12" width="11" customWidth="1"/>
  </cols>
  <sheetData>
    <row r="1" spans="1:52">
      <c r="B1">
        <v>2017</v>
      </c>
      <c r="C1">
        <v>2018</v>
      </c>
      <c r="D1">
        <v>2019</v>
      </c>
      <c r="E1">
        <v>2020</v>
      </c>
      <c r="F1">
        <v>2021</v>
      </c>
      <c r="H1">
        <v>2017</v>
      </c>
      <c r="I1">
        <v>2018</v>
      </c>
      <c r="J1">
        <v>2019</v>
      </c>
      <c r="K1">
        <v>2020</v>
      </c>
      <c r="L1">
        <v>2021</v>
      </c>
      <c r="N1" s="19" t="s">
        <v>8</v>
      </c>
      <c r="O1" s="20"/>
      <c r="P1" s="20"/>
      <c r="Q1" s="21"/>
      <c r="R1" s="22"/>
      <c r="S1" s="23" t="s">
        <v>9</v>
      </c>
      <c r="T1" s="24"/>
      <c r="U1" s="24"/>
      <c r="V1" s="24"/>
      <c r="X1" s="25" t="s">
        <v>10</v>
      </c>
      <c r="Y1" s="25"/>
      <c r="Z1" s="25"/>
      <c r="AA1" s="25"/>
      <c r="AC1" s="26" t="s">
        <v>11</v>
      </c>
      <c r="AD1" s="26"/>
      <c r="AE1" s="26"/>
      <c r="AF1" s="26"/>
      <c r="AH1" s="26" t="s">
        <v>12</v>
      </c>
      <c r="AI1" s="26"/>
      <c r="AJ1" s="26"/>
      <c r="AK1" s="26"/>
      <c r="AM1" s="26" t="s">
        <v>13</v>
      </c>
      <c r="AN1" s="26"/>
      <c r="AO1" s="26"/>
      <c r="AP1" s="26"/>
      <c r="AR1" s="26" t="s">
        <v>14</v>
      </c>
      <c r="AS1" s="26"/>
      <c r="AT1" s="26"/>
      <c r="AU1" s="26"/>
      <c r="AW1" s="26" t="s">
        <v>15</v>
      </c>
      <c r="AX1" s="26"/>
      <c r="AY1" s="26"/>
      <c r="AZ1" s="26"/>
    </row>
    <row r="2" spans="1:52">
      <c r="B2" t="s">
        <v>16</v>
      </c>
      <c r="C2" t="s">
        <v>16</v>
      </c>
      <c r="D2" t="s">
        <v>16</v>
      </c>
      <c r="E2" t="s">
        <v>16</v>
      </c>
      <c r="F2" t="s">
        <v>16</v>
      </c>
      <c r="H2" t="s">
        <v>17</v>
      </c>
      <c r="I2" t="s">
        <v>17</v>
      </c>
      <c r="J2" t="s">
        <v>17</v>
      </c>
      <c r="K2" t="s">
        <v>17</v>
      </c>
      <c r="L2" t="s">
        <v>17</v>
      </c>
      <c r="N2" s="27" t="s">
        <v>18</v>
      </c>
      <c r="O2" s="27" t="s">
        <v>19</v>
      </c>
      <c r="P2" s="27" t="s">
        <v>20</v>
      </c>
      <c r="Q2" s="27" t="s">
        <v>21</v>
      </c>
      <c r="S2" s="27" t="s">
        <v>18</v>
      </c>
      <c r="T2" s="27" t="s">
        <v>19</v>
      </c>
      <c r="U2" s="27" t="s">
        <v>20</v>
      </c>
      <c r="V2" s="27" t="s">
        <v>21</v>
      </c>
      <c r="X2" s="27" t="s">
        <v>18</v>
      </c>
      <c r="Y2" s="27" t="s">
        <v>19</v>
      </c>
      <c r="Z2" s="27" t="s">
        <v>20</v>
      </c>
      <c r="AA2" s="27" t="s">
        <v>21</v>
      </c>
      <c r="AC2" s="27" t="s">
        <v>18</v>
      </c>
      <c r="AD2" s="27" t="s">
        <v>19</v>
      </c>
      <c r="AE2" s="27" t="s">
        <v>20</v>
      </c>
      <c r="AF2" s="27" t="s">
        <v>21</v>
      </c>
      <c r="AH2" s="27" t="s">
        <v>18</v>
      </c>
      <c r="AI2" s="27" t="s">
        <v>19</v>
      </c>
      <c r="AJ2" s="27" t="s">
        <v>20</v>
      </c>
      <c r="AK2" s="27" t="s">
        <v>21</v>
      </c>
      <c r="AM2" s="27" t="s">
        <v>18</v>
      </c>
      <c r="AN2" s="27" t="s">
        <v>19</v>
      </c>
      <c r="AO2" s="27" t="s">
        <v>20</v>
      </c>
      <c r="AP2" s="27" t="s">
        <v>21</v>
      </c>
      <c r="AR2" s="27" t="s">
        <v>18</v>
      </c>
      <c r="AS2" s="27" t="s">
        <v>19</v>
      </c>
      <c r="AT2" s="27" t="s">
        <v>20</v>
      </c>
      <c r="AU2" s="27" t="s">
        <v>21</v>
      </c>
      <c r="AW2" s="27" t="s">
        <v>18</v>
      </c>
      <c r="AX2" s="27" t="s">
        <v>19</v>
      </c>
      <c r="AY2" s="27" t="s">
        <v>20</v>
      </c>
      <c r="AZ2" s="27" t="s">
        <v>21</v>
      </c>
    </row>
    <row r="3" spans="1:52">
      <c r="A3" t="s">
        <v>22</v>
      </c>
      <c r="B3">
        <v>9384</v>
      </c>
      <c r="C3">
        <v>12406</v>
      </c>
      <c r="D3">
        <v>14167</v>
      </c>
      <c r="E3">
        <v>17287.87</v>
      </c>
      <c r="F3">
        <v>19847.94</v>
      </c>
      <c r="H3">
        <v>3658</v>
      </c>
      <c r="I3">
        <v>5027</v>
      </c>
      <c r="J3">
        <v>6263</v>
      </c>
      <c r="K3">
        <v>7822.9</v>
      </c>
      <c r="L3">
        <v>10750.8</v>
      </c>
      <c r="N3" s="28">
        <v>154</v>
      </c>
      <c r="O3" s="28">
        <v>388</v>
      </c>
      <c r="P3" s="28">
        <v>538</v>
      </c>
      <c r="Q3" s="28">
        <v>679</v>
      </c>
      <c r="S3" s="26">
        <v>1178</v>
      </c>
      <c r="T3" s="26">
        <v>1769</v>
      </c>
      <c r="U3" s="26">
        <v>2240</v>
      </c>
      <c r="V3" s="26">
        <v>2611</v>
      </c>
      <c r="X3" s="29">
        <v>10277</v>
      </c>
      <c r="Y3" s="29">
        <v>12885</v>
      </c>
      <c r="Z3" s="29">
        <v>14709</v>
      </c>
      <c r="AA3" s="29">
        <v>18134</v>
      </c>
      <c r="AC3" s="26">
        <v>1029</v>
      </c>
      <c r="AD3" s="26">
        <v>1412</v>
      </c>
      <c r="AE3" s="29">
        <v>1738</v>
      </c>
      <c r="AF3" s="29">
        <v>1982</v>
      </c>
      <c r="AH3" s="29">
        <v>1205</v>
      </c>
      <c r="AI3" s="29">
        <v>1230</v>
      </c>
      <c r="AJ3" s="29">
        <v>1281</v>
      </c>
      <c r="AK3" s="30">
        <v>1291</v>
      </c>
      <c r="AM3" s="31">
        <f t="shared" ref="AM3:AP3" si="0">AC3*10000/X3</f>
        <v>1001.26496059161</v>
      </c>
      <c r="AN3" s="31">
        <f t="shared" si="0"/>
        <v>1095.84788513776</v>
      </c>
      <c r="AO3" s="31">
        <f t="shared" si="0"/>
        <v>1181.58950302536</v>
      </c>
      <c r="AP3" s="31">
        <f t="shared" si="0"/>
        <v>1092.97452299548</v>
      </c>
      <c r="AR3" s="31">
        <f t="shared" ref="AR3:AR11" si="1">(S3-N3)*10000/B3</f>
        <v>1091.21909633419</v>
      </c>
      <c r="AS3" s="31">
        <f t="shared" ref="AS3:AS24" si="2">(T3-O3)*10000/C3</f>
        <v>1113.17104626793</v>
      </c>
      <c r="AT3" s="31">
        <f t="shared" ref="AT3:AT24" si="3">(U3-P3)*10000/D3</f>
        <v>1201.3834968589</v>
      </c>
      <c r="AU3" s="31">
        <f t="shared" ref="AU3:AU34" si="4">(V3-Q3)*10000/E3</f>
        <v>1117.54658034796</v>
      </c>
      <c r="AW3" s="31">
        <f t="shared" ref="AW3:AZ3" si="5">N3*10000/H3</f>
        <v>420.995079278294</v>
      </c>
      <c r="AX3" s="31">
        <f t="shared" si="5"/>
        <v>771.832106624229</v>
      </c>
      <c r="AY3" s="31">
        <f t="shared" si="5"/>
        <v>859.013252434935</v>
      </c>
      <c r="AZ3" s="31">
        <f t="shared" si="5"/>
        <v>867.964565570313</v>
      </c>
    </row>
    <row r="4" spans="1:52">
      <c r="A4" t="s">
        <v>23</v>
      </c>
      <c r="B4">
        <v>3</v>
      </c>
      <c r="C4">
        <v>5</v>
      </c>
      <c r="D4">
        <v>5</v>
      </c>
      <c r="E4">
        <v>5.1</v>
      </c>
      <c r="F4">
        <v>5.1</v>
      </c>
      <c r="H4">
        <v>22</v>
      </c>
      <c r="I4">
        <v>35</v>
      </c>
      <c r="J4">
        <v>46</v>
      </c>
      <c r="K4">
        <v>56.4</v>
      </c>
      <c r="L4">
        <v>75</v>
      </c>
      <c r="N4" s="28">
        <v>1</v>
      </c>
      <c r="O4" s="28">
        <v>2</v>
      </c>
      <c r="P4" s="28">
        <v>4</v>
      </c>
      <c r="Q4" s="28">
        <v>5</v>
      </c>
      <c r="S4" s="26">
        <v>2</v>
      </c>
      <c r="T4" s="26">
        <v>3</v>
      </c>
      <c r="U4" s="26">
        <v>5</v>
      </c>
      <c r="V4" s="26">
        <v>6</v>
      </c>
      <c r="X4" s="29">
        <v>5</v>
      </c>
      <c r="Y4" s="29">
        <v>8</v>
      </c>
      <c r="Z4" s="29">
        <v>8</v>
      </c>
      <c r="AA4" s="29">
        <v>8</v>
      </c>
      <c r="AC4" s="26">
        <v>1</v>
      </c>
      <c r="AD4" s="26">
        <v>0.8</v>
      </c>
      <c r="AE4" s="29">
        <v>1</v>
      </c>
      <c r="AF4" s="29">
        <v>1</v>
      </c>
      <c r="AH4" s="29">
        <v>1551</v>
      </c>
      <c r="AI4" s="29">
        <v>1261</v>
      </c>
      <c r="AJ4" s="29">
        <v>1242</v>
      </c>
      <c r="AK4" s="30">
        <v>1323</v>
      </c>
      <c r="AM4" s="31"/>
      <c r="AN4" s="31">
        <f t="shared" ref="AN4:AP4" si="6">AD4*10000/Y4</f>
        <v>1000</v>
      </c>
      <c r="AO4" s="31">
        <f t="shared" si="6"/>
        <v>1250</v>
      </c>
      <c r="AP4" s="31">
        <f t="shared" si="6"/>
        <v>1250</v>
      </c>
      <c r="AR4" s="31"/>
      <c r="AS4" s="31"/>
      <c r="AT4" s="31"/>
      <c r="AU4" s="31"/>
      <c r="AW4" s="31">
        <f t="shared" ref="AW4:AZ4" si="7">N4*10000/H4</f>
        <v>454.545454545455</v>
      </c>
      <c r="AX4" s="31">
        <f t="shared" si="7"/>
        <v>571.428571428571</v>
      </c>
      <c r="AY4" s="31">
        <f t="shared" si="7"/>
        <v>869.565217391304</v>
      </c>
      <c r="AZ4" s="31">
        <f t="shared" si="7"/>
        <v>886.524822695035</v>
      </c>
    </row>
    <row r="5" spans="1:52">
      <c r="A5" t="s">
        <v>24</v>
      </c>
      <c r="B5">
        <v>53</v>
      </c>
      <c r="C5">
        <v>97</v>
      </c>
      <c r="D5">
        <v>104</v>
      </c>
      <c r="E5">
        <v>118.84</v>
      </c>
      <c r="F5">
        <v>118.85</v>
      </c>
      <c r="H5">
        <v>15</v>
      </c>
      <c r="I5">
        <v>31</v>
      </c>
      <c r="J5">
        <v>38</v>
      </c>
      <c r="K5">
        <v>44.7</v>
      </c>
      <c r="L5">
        <v>58.9</v>
      </c>
      <c r="N5" s="28">
        <v>1</v>
      </c>
      <c r="O5" s="28">
        <v>2</v>
      </c>
      <c r="P5" s="28">
        <v>3</v>
      </c>
      <c r="Q5" s="28">
        <v>4</v>
      </c>
      <c r="S5" s="26">
        <v>6.2</v>
      </c>
      <c r="T5" s="26">
        <v>8</v>
      </c>
      <c r="U5" s="32">
        <v>15</v>
      </c>
      <c r="V5" s="26">
        <v>19</v>
      </c>
      <c r="X5" s="29">
        <v>55</v>
      </c>
      <c r="Y5" s="29">
        <v>108</v>
      </c>
      <c r="Z5" s="29">
        <v>119</v>
      </c>
      <c r="AA5" s="29">
        <v>134</v>
      </c>
      <c r="AC5" s="26">
        <v>6</v>
      </c>
      <c r="AD5" s="26">
        <v>7</v>
      </c>
      <c r="AE5" s="29">
        <v>13</v>
      </c>
      <c r="AF5" s="29">
        <v>16</v>
      </c>
      <c r="AH5" s="29">
        <v>1027</v>
      </c>
      <c r="AI5" s="29">
        <v>864</v>
      </c>
      <c r="AJ5" s="29">
        <v>1265</v>
      </c>
      <c r="AK5" s="30">
        <v>1144</v>
      </c>
      <c r="AM5" s="31">
        <f t="shared" ref="AM5:AP5" si="8">AC5*10000/X5</f>
        <v>1090.90909090909</v>
      </c>
      <c r="AN5" s="31">
        <f t="shared" si="8"/>
        <v>648.148148148148</v>
      </c>
      <c r="AO5" s="31">
        <f t="shared" si="8"/>
        <v>1092.43697478992</v>
      </c>
      <c r="AP5" s="31">
        <f t="shared" si="8"/>
        <v>1194.02985074627</v>
      </c>
      <c r="AR5" s="31">
        <f t="shared" si="1"/>
        <v>981.132075471698</v>
      </c>
      <c r="AS5" s="31">
        <f t="shared" si="2"/>
        <v>618.556701030928</v>
      </c>
      <c r="AT5" s="31">
        <f t="shared" si="3"/>
        <v>1153.84615384615</v>
      </c>
      <c r="AU5" s="31">
        <f t="shared" si="4"/>
        <v>1262.20127903063</v>
      </c>
      <c r="AW5" s="31">
        <f t="shared" ref="AW5:AZ5" si="9">N5*10000/H5</f>
        <v>666.666666666667</v>
      </c>
      <c r="AX5" s="31">
        <f t="shared" si="9"/>
        <v>645.161290322581</v>
      </c>
      <c r="AY5" s="31">
        <f t="shared" si="9"/>
        <v>789.473684210526</v>
      </c>
      <c r="AZ5" s="31">
        <f t="shared" si="9"/>
        <v>894.854586129754</v>
      </c>
    </row>
    <row r="6" spans="1:52">
      <c r="A6" t="s">
        <v>25</v>
      </c>
      <c r="B6">
        <v>517</v>
      </c>
      <c r="C6">
        <v>856</v>
      </c>
      <c r="D6">
        <v>962</v>
      </c>
      <c r="E6">
        <v>1445.52</v>
      </c>
      <c r="F6">
        <v>1658.84</v>
      </c>
      <c r="H6">
        <v>351</v>
      </c>
      <c r="I6">
        <v>378</v>
      </c>
      <c r="J6">
        <v>512</v>
      </c>
      <c r="K6">
        <v>745.8</v>
      </c>
      <c r="L6">
        <v>1262.5</v>
      </c>
      <c r="N6" s="28">
        <v>11</v>
      </c>
      <c r="O6" s="28">
        <v>32</v>
      </c>
      <c r="P6" s="28">
        <v>53</v>
      </c>
      <c r="Q6" s="28">
        <v>70</v>
      </c>
      <c r="S6" s="26">
        <v>77</v>
      </c>
      <c r="T6" s="26">
        <v>126</v>
      </c>
      <c r="U6" s="26">
        <v>176</v>
      </c>
      <c r="V6" s="26">
        <v>211</v>
      </c>
      <c r="X6" s="29">
        <v>662</v>
      </c>
      <c r="Y6" s="29">
        <v>859</v>
      </c>
      <c r="Z6" s="29">
        <v>965</v>
      </c>
      <c r="AA6" s="29">
        <v>1447</v>
      </c>
      <c r="AC6" s="26">
        <v>67</v>
      </c>
      <c r="AD6" s="26">
        <v>95</v>
      </c>
      <c r="AE6" s="29">
        <v>124</v>
      </c>
      <c r="AF6" s="29">
        <v>141</v>
      </c>
      <c r="AH6" s="29">
        <v>1303</v>
      </c>
      <c r="AI6" s="29">
        <v>1275</v>
      </c>
      <c r="AJ6" s="29">
        <v>1336</v>
      </c>
      <c r="AK6" s="30">
        <v>1379</v>
      </c>
      <c r="AM6" s="31">
        <f t="shared" ref="AM6:AP6" si="10">AC6*10000/X6</f>
        <v>1012.08459214502</v>
      </c>
      <c r="AN6" s="31">
        <f t="shared" si="10"/>
        <v>1105.93713620489</v>
      </c>
      <c r="AO6" s="31">
        <f t="shared" si="10"/>
        <v>1284.97409326425</v>
      </c>
      <c r="AP6" s="31">
        <f t="shared" si="10"/>
        <v>974.429854872149</v>
      </c>
      <c r="AR6" s="31">
        <f t="shared" si="1"/>
        <v>1276.59574468085</v>
      </c>
      <c r="AS6" s="31">
        <f t="shared" si="2"/>
        <v>1098.1308411215</v>
      </c>
      <c r="AT6" s="31">
        <f t="shared" si="3"/>
        <v>1278.58627858628</v>
      </c>
      <c r="AU6" s="31">
        <f t="shared" si="4"/>
        <v>975.427527810061</v>
      </c>
      <c r="AW6" s="31">
        <f t="shared" ref="AW6:AZ6" si="11">N6*10000/H6</f>
        <v>313.390313390313</v>
      </c>
      <c r="AX6" s="31">
        <f t="shared" si="11"/>
        <v>846.560846560847</v>
      </c>
      <c r="AY6" s="31">
        <f t="shared" si="11"/>
        <v>1035.15625</v>
      </c>
      <c r="AZ6" s="31">
        <f t="shared" si="11"/>
        <v>938.589434164655</v>
      </c>
    </row>
    <row r="7" spans="1:52">
      <c r="A7" t="s">
        <v>26</v>
      </c>
      <c r="B7">
        <v>530</v>
      </c>
      <c r="C7">
        <v>681</v>
      </c>
      <c r="D7">
        <v>857</v>
      </c>
      <c r="E7">
        <v>1028.32</v>
      </c>
      <c r="F7">
        <v>1101.84</v>
      </c>
      <c r="H7">
        <v>60</v>
      </c>
      <c r="I7">
        <v>183</v>
      </c>
      <c r="J7">
        <v>231</v>
      </c>
      <c r="K7">
        <v>280.2</v>
      </c>
      <c r="L7">
        <v>355.9</v>
      </c>
      <c r="N7" s="28">
        <v>5</v>
      </c>
      <c r="O7" s="28">
        <v>14</v>
      </c>
      <c r="P7" s="28">
        <v>25</v>
      </c>
      <c r="Q7" s="28">
        <v>31</v>
      </c>
      <c r="S7" s="26">
        <v>56</v>
      </c>
      <c r="T7" s="26">
        <v>94</v>
      </c>
      <c r="U7" s="26">
        <v>128</v>
      </c>
      <c r="V7" s="26">
        <v>159</v>
      </c>
      <c r="X7" s="29">
        <v>534</v>
      </c>
      <c r="Y7" s="29">
        <v>686</v>
      </c>
      <c r="Z7" s="29">
        <v>862</v>
      </c>
      <c r="AA7" s="29">
        <v>1033</v>
      </c>
      <c r="AC7" s="26">
        <v>51</v>
      </c>
      <c r="AD7" s="26">
        <v>80</v>
      </c>
      <c r="AE7" s="29">
        <v>103</v>
      </c>
      <c r="AF7" s="29">
        <v>129</v>
      </c>
      <c r="AH7" s="29">
        <v>1374</v>
      </c>
      <c r="AI7" s="29">
        <v>1265</v>
      </c>
      <c r="AJ7" s="29">
        <v>1277</v>
      </c>
      <c r="AK7" s="30">
        <v>1307</v>
      </c>
      <c r="AM7" s="31">
        <f t="shared" ref="AM7:AP7" si="12">AC7*10000/X7</f>
        <v>955.056179775281</v>
      </c>
      <c r="AN7" s="31">
        <f t="shared" si="12"/>
        <v>1166.18075801749</v>
      </c>
      <c r="AO7" s="31">
        <f t="shared" si="12"/>
        <v>1194.89559164733</v>
      </c>
      <c r="AP7" s="31">
        <f t="shared" si="12"/>
        <v>1248.78993223621</v>
      </c>
      <c r="AR7" s="31">
        <f t="shared" si="1"/>
        <v>962.264150943396</v>
      </c>
      <c r="AS7" s="31">
        <f t="shared" si="2"/>
        <v>1174.74302496329</v>
      </c>
      <c r="AT7" s="31">
        <f t="shared" si="3"/>
        <v>1201.86697782964</v>
      </c>
      <c r="AU7" s="31">
        <f t="shared" si="4"/>
        <v>1244.74871635289</v>
      </c>
      <c r="AW7" s="31">
        <f t="shared" ref="AW7:AZ7" si="13">N7*10000/H7</f>
        <v>833.333333333333</v>
      </c>
      <c r="AX7" s="31">
        <f t="shared" si="13"/>
        <v>765.027322404372</v>
      </c>
      <c r="AY7" s="31">
        <f t="shared" si="13"/>
        <v>1082.25108225108</v>
      </c>
      <c r="AZ7" s="31">
        <f t="shared" si="13"/>
        <v>1106.35260528194</v>
      </c>
    </row>
    <row r="8" spans="1:52">
      <c r="A8" t="s">
        <v>27</v>
      </c>
      <c r="B8">
        <v>741</v>
      </c>
      <c r="C8">
        <v>933</v>
      </c>
      <c r="D8">
        <v>1001</v>
      </c>
      <c r="E8">
        <v>1138</v>
      </c>
      <c r="F8">
        <v>1299.5</v>
      </c>
      <c r="H8">
        <v>2</v>
      </c>
      <c r="I8">
        <v>13</v>
      </c>
      <c r="J8">
        <v>80</v>
      </c>
      <c r="K8">
        <v>90.1</v>
      </c>
      <c r="L8">
        <v>102.5</v>
      </c>
      <c r="N8" s="28">
        <v>0.3</v>
      </c>
      <c r="O8" s="28">
        <v>1</v>
      </c>
      <c r="P8" s="28">
        <v>3</v>
      </c>
      <c r="Q8" s="28">
        <v>13</v>
      </c>
      <c r="S8" s="26">
        <v>113</v>
      </c>
      <c r="T8" s="26">
        <v>130</v>
      </c>
      <c r="U8" s="26">
        <v>163</v>
      </c>
      <c r="V8" s="26">
        <v>188</v>
      </c>
      <c r="X8" s="29">
        <v>740</v>
      </c>
      <c r="Y8" s="29">
        <v>933</v>
      </c>
      <c r="Z8" s="29">
        <v>962</v>
      </c>
      <c r="AA8" s="29">
        <v>1176</v>
      </c>
      <c r="AC8" s="26">
        <v>112</v>
      </c>
      <c r="AD8" s="26">
        <v>129</v>
      </c>
      <c r="AE8" s="29">
        <v>160</v>
      </c>
      <c r="AF8" s="29">
        <v>180</v>
      </c>
      <c r="AH8" s="29">
        <v>1524</v>
      </c>
      <c r="AI8" s="29">
        <v>1632</v>
      </c>
      <c r="AJ8" s="29">
        <v>1654</v>
      </c>
      <c r="AK8" s="30">
        <v>1663</v>
      </c>
      <c r="AM8" s="31">
        <f t="shared" ref="AM8:AP8" si="14">AC8*10000/X8</f>
        <v>1513.51351351351</v>
      </c>
      <c r="AN8" s="31">
        <f t="shared" si="14"/>
        <v>1382.63665594855</v>
      </c>
      <c r="AO8" s="31">
        <f t="shared" si="14"/>
        <v>1663.20166320166</v>
      </c>
      <c r="AP8" s="31">
        <f t="shared" si="14"/>
        <v>1530.61224489796</v>
      </c>
      <c r="AR8" s="31">
        <f t="shared" si="1"/>
        <v>1520.91767881242</v>
      </c>
      <c r="AS8" s="31">
        <f t="shared" si="2"/>
        <v>1382.63665594855</v>
      </c>
      <c r="AT8" s="31">
        <f t="shared" si="3"/>
        <v>1598.4015984016</v>
      </c>
      <c r="AU8" s="31">
        <f t="shared" si="4"/>
        <v>1537.7855887522</v>
      </c>
      <c r="AW8" s="31">
        <f t="shared" ref="AW8:AZ8" si="15">N8*10000/H8</f>
        <v>1500</v>
      </c>
      <c r="AX8" s="31">
        <f t="shared" si="15"/>
        <v>769.230769230769</v>
      </c>
      <c r="AY8" s="31">
        <f t="shared" si="15"/>
        <v>375</v>
      </c>
      <c r="AZ8" s="31">
        <f t="shared" si="15"/>
        <v>1442.84128745838</v>
      </c>
    </row>
    <row r="9" spans="1:52">
      <c r="A9" t="s">
        <v>28</v>
      </c>
      <c r="B9">
        <v>185</v>
      </c>
      <c r="C9">
        <v>219</v>
      </c>
      <c r="D9">
        <v>246</v>
      </c>
      <c r="E9">
        <v>281.89</v>
      </c>
      <c r="F9">
        <v>317.5</v>
      </c>
      <c r="H9">
        <v>38</v>
      </c>
      <c r="I9">
        <v>83</v>
      </c>
      <c r="J9">
        <v>97</v>
      </c>
      <c r="K9">
        <v>117.9</v>
      </c>
      <c r="L9">
        <v>160</v>
      </c>
      <c r="N9" s="28">
        <v>3</v>
      </c>
      <c r="O9" s="28">
        <v>7</v>
      </c>
      <c r="P9" s="28">
        <v>10</v>
      </c>
      <c r="Q9" s="28">
        <v>12</v>
      </c>
      <c r="S9" s="26">
        <v>12</v>
      </c>
      <c r="T9" s="26">
        <v>32</v>
      </c>
      <c r="U9" s="26">
        <v>42</v>
      </c>
      <c r="V9" s="26">
        <v>51</v>
      </c>
      <c r="X9" s="29">
        <v>200</v>
      </c>
      <c r="Y9" s="29">
        <v>248</v>
      </c>
      <c r="Z9" s="29">
        <v>276</v>
      </c>
      <c r="AA9" s="29">
        <v>313</v>
      </c>
      <c r="AC9" s="26">
        <v>10</v>
      </c>
      <c r="AD9" s="26">
        <v>27</v>
      </c>
      <c r="AE9" s="29">
        <v>35</v>
      </c>
      <c r="AF9" s="29">
        <v>43</v>
      </c>
      <c r="AH9" s="29">
        <v>1072</v>
      </c>
      <c r="AI9" s="29">
        <v>1235</v>
      </c>
      <c r="AJ9" s="29">
        <v>1453</v>
      </c>
      <c r="AK9" s="30">
        <v>1396</v>
      </c>
      <c r="AM9" s="31">
        <f t="shared" ref="AM9:AP9" si="16">AC9*10000/X9</f>
        <v>500</v>
      </c>
      <c r="AN9" s="31">
        <f t="shared" si="16"/>
        <v>1088.70967741935</v>
      </c>
      <c r="AO9" s="31">
        <f t="shared" si="16"/>
        <v>1268.11594202899</v>
      </c>
      <c r="AP9" s="31">
        <f t="shared" si="16"/>
        <v>1373.80191693291</v>
      </c>
      <c r="AR9" s="31">
        <f t="shared" si="1"/>
        <v>486.486486486487</v>
      </c>
      <c r="AS9" s="31">
        <f t="shared" si="2"/>
        <v>1141.55251141553</v>
      </c>
      <c r="AT9" s="31">
        <f t="shared" si="3"/>
        <v>1300.81300813008</v>
      </c>
      <c r="AU9" s="31">
        <f t="shared" si="4"/>
        <v>1383.51839369967</v>
      </c>
      <c r="AW9" s="31">
        <f t="shared" ref="AW9:AZ9" si="17">N9*10000/H9</f>
        <v>789.473684210526</v>
      </c>
      <c r="AX9" s="31">
        <f t="shared" si="17"/>
        <v>843.373493975904</v>
      </c>
      <c r="AY9" s="31">
        <f t="shared" si="17"/>
        <v>1030.92783505155</v>
      </c>
      <c r="AZ9" s="31">
        <f t="shared" si="17"/>
        <v>1017.81170483461</v>
      </c>
    </row>
    <row r="10" spans="1:52">
      <c r="A10" t="s">
        <v>29</v>
      </c>
      <c r="B10">
        <v>107</v>
      </c>
      <c r="C10">
        <v>203</v>
      </c>
      <c r="D10">
        <v>205</v>
      </c>
      <c r="E10">
        <v>260.91</v>
      </c>
      <c r="F10">
        <v>265.79</v>
      </c>
      <c r="H10">
        <v>52</v>
      </c>
      <c r="I10">
        <v>62</v>
      </c>
      <c r="J10">
        <v>69</v>
      </c>
      <c r="K10">
        <v>76</v>
      </c>
      <c r="L10">
        <v>80.1</v>
      </c>
      <c r="N10" s="28">
        <v>2</v>
      </c>
      <c r="O10" s="28">
        <v>7</v>
      </c>
      <c r="P10" s="28">
        <v>9</v>
      </c>
      <c r="Q10" s="28">
        <v>9</v>
      </c>
      <c r="S10" s="26">
        <v>13</v>
      </c>
      <c r="T10" s="26">
        <v>24</v>
      </c>
      <c r="U10" s="26">
        <v>40</v>
      </c>
      <c r="V10" s="26">
        <v>45</v>
      </c>
      <c r="X10" s="29">
        <v>130</v>
      </c>
      <c r="Y10" s="29">
        <v>226</v>
      </c>
      <c r="Z10" s="29">
        <v>228</v>
      </c>
      <c r="AA10" s="29">
        <v>285</v>
      </c>
      <c r="AC10" s="26">
        <v>12</v>
      </c>
      <c r="AD10" s="26">
        <v>20</v>
      </c>
      <c r="AE10" s="29">
        <v>34</v>
      </c>
      <c r="AF10" s="29">
        <v>39</v>
      </c>
      <c r="AH10" s="29">
        <v>1251</v>
      </c>
      <c r="AI10" s="29">
        <v>1332</v>
      </c>
      <c r="AJ10" s="29">
        <v>1531</v>
      </c>
      <c r="AK10" s="30">
        <v>1504</v>
      </c>
      <c r="AM10" s="31">
        <f t="shared" ref="AM10:AP10" si="18">AC10*10000/X10</f>
        <v>923.076923076923</v>
      </c>
      <c r="AN10" s="31">
        <f t="shared" si="18"/>
        <v>884.955752212389</v>
      </c>
      <c r="AO10" s="31">
        <f t="shared" si="18"/>
        <v>1491.22807017544</v>
      </c>
      <c r="AP10" s="31">
        <f t="shared" si="18"/>
        <v>1368.42105263158</v>
      </c>
      <c r="AR10" s="31">
        <f t="shared" si="1"/>
        <v>1028.03738317757</v>
      </c>
      <c r="AS10" s="31">
        <f t="shared" si="2"/>
        <v>837.43842364532</v>
      </c>
      <c r="AT10" s="31">
        <f t="shared" si="3"/>
        <v>1512.19512195122</v>
      </c>
      <c r="AU10" s="31">
        <f t="shared" si="4"/>
        <v>1379.78613314936</v>
      </c>
      <c r="AW10" s="31">
        <f t="shared" ref="AW10:AZ10" si="19">N10*10000/H10</f>
        <v>384.615384615385</v>
      </c>
      <c r="AX10" s="31">
        <f t="shared" si="19"/>
        <v>1129.03225806452</v>
      </c>
      <c r="AY10" s="31">
        <f t="shared" si="19"/>
        <v>1304.34782608696</v>
      </c>
      <c r="AZ10" s="31">
        <f t="shared" si="19"/>
        <v>1184.21052631579</v>
      </c>
    </row>
    <row r="11" spans="1:52">
      <c r="A11" t="s">
        <v>30</v>
      </c>
      <c r="B11">
        <v>64</v>
      </c>
      <c r="C11">
        <v>141</v>
      </c>
      <c r="D11">
        <v>195</v>
      </c>
      <c r="E11">
        <v>234.99</v>
      </c>
      <c r="F11">
        <v>329.99</v>
      </c>
      <c r="H11">
        <v>30</v>
      </c>
      <c r="I11">
        <v>74</v>
      </c>
      <c r="J11">
        <v>80</v>
      </c>
      <c r="K11">
        <v>82.7</v>
      </c>
      <c r="L11">
        <v>89.8</v>
      </c>
      <c r="N11" s="28">
        <v>1</v>
      </c>
      <c r="O11" s="28">
        <v>5</v>
      </c>
      <c r="P11" s="28">
        <v>9</v>
      </c>
      <c r="Q11" s="28">
        <v>10</v>
      </c>
      <c r="S11" s="26">
        <v>6</v>
      </c>
      <c r="T11" s="26">
        <v>20</v>
      </c>
      <c r="U11" s="32">
        <v>32</v>
      </c>
      <c r="V11" s="26">
        <v>43</v>
      </c>
      <c r="X11" s="29">
        <v>73</v>
      </c>
      <c r="Y11" s="29">
        <v>144</v>
      </c>
      <c r="Z11" s="29">
        <v>198</v>
      </c>
      <c r="AA11" s="29">
        <v>238</v>
      </c>
      <c r="AC11" s="26">
        <v>5</v>
      </c>
      <c r="AD11" s="26">
        <v>16</v>
      </c>
      <c r="AE11" s="29">
        <v>23</v>
      </c>
      <c r="AF11" s="29">
        <v>33</v>
      </c>
      <c r="AH11" s="29">
        <v>1249</v>
      </c>
      <c r="AI11" s="29">
        <v>1447</v>
      </c>
      <c r="AJ11" s="29">
        <v>1604</v>
      </c>
      <c r="AK11" s="30">
        <v>1566</v>
      </c>
      <c r="AM11" s="31">
        <f t="shared" ref="AM11:AP11" si="20">AC11*10000/X11</f>
        <v>684.931506849315</v>
      </c>
      <c r="AN11" s="31">
        <f t="shared" si="20"/>
        <v>1111.11111111111</v>
      </c>
      <c r="AO11" s="31">
        <f t="shared" si="20"/>
        <v>1161.61616161616</v>
      </c>
      <c r="AP11" s="31">
        <f t="shared" si="20"/>
        <v>1386.55462184874</v>
      </c>
      <c r="AR11" s="31">
        <f t="shared" si="1"/>
        <v>781.25</v>
      </c>
      <c r="AS11" s="31">
        <f t="shared" si="2"/>
        <v>1063.82978723404</v>
      </c>
      <c r="AT11" s="31">
        <f t="shared" si="3"/>
        <v>1179.48717948718</v>
      </c>
      <c r="AU11" s="31">
        <f t="shared" si="4"/>
        <v>1404.31507723733</v>
      </c>
      <c r="AW11" s="31">
        <f t="shared" ref="AW11:AZ11" si="21">N11*10000/H11</f>
        <v>333.333333333333</v>
      </c>
      <c r="AX11" s="31">
        <f t="shared" si="21"/>
        <v>675.675675675676</v>
      </c>
      <c r="AY11" s="31">
        <f t="shared" si="21"/>
        <v>1125</v>
      </c>
      <c r="AZ11" s="31">
        <f t="shared" si="21"/>
        <v>1209.18984280532</v>
      </c>
    </row>
    <row r="12" spans="1:52">
      <c r="A12" t="s">
        <v>31</v>
      </c>
      <c r="C12">
        <v>7</v>
      </c>
      <c r="D12">
        <v>6</v>
      </c>
      <c r="E12">
        <v>19.7</v>
      </c>
      <c r="F12">
        <v>24.09</v>
      </c>
      <c r="H12">
        <v>59</v>
      </c>
      <c r="I12">
        <v>82</v>
      </c>
      <c r="J12">
        <v>103</v>
      </c>
      <c r="K12">
        <v>116.9</v>
      </c>
      <c r="L12">
        <v>144.2</v>
      </c>
      <c r="N12" s="28">
        <v>2</v>
      </c>
      <c r="O12" s="28">
        <v>5</v>
      </c>
      <c r="P12" s="28">
        <v>7</v>
      </c>
      <c r="Q12" s="28">
        <v>9</v>
      </c>
      <c r="S12" s="26">
        <v>3</v>
      </c>
      <c r="T12" s="26">
        <v>6</v>
      </c>
      <c r="U12" s="32">
        <v>8</v>
      </c>
      <c r="V12" s="32">
        <v>10</v>
      </c>
      <c r="X12" s="29">
        <v>7</v>
      </c>
      <c r="Y12" s="29">
        <v>13</v>
      </c>
      <c r="Z12" s="29">
        <v>15</v>
      </c>
      <c r="AA12" s="29">
        <v>28</v>
      </c>
      <c r="AC12" s="26">
        <v>1</v>
      </c>
      <c r="AD12" s="26">
        <v>1</v>
      </c>
      <c r="AE12" s="29">
        <v>1</v>
      </c>
      <c r="AF12" s="29">
        <v>2</v>
      </c>
      <c r="AH12" s="29">
        <v>893</v>
      </c>
      <c r="AI12" s="29">
        <v>946</v>
      </c>
      <c r="AJ12" s="29">
        <v>861</v>
      </c>
      <c r="AK12" s="30">
        <v>867</v>
      </c>
      <c r="AM12" s="31">
        <f t="shared" ref="AM12:AP12" si="22">AC12*10000/X12</f>
        <v>1428.57142857143</v>
      </c>
      <c r="AN12" s="31">
        <f t="shared" si="22"/>
        <v>769.230769230769</v>
      </c>
      <c r="AO12" s="31">
        <f t="shared" si="22"/>
        <v>666.666666666667</v>
      </c>
      <c r="AP12" s="31">
        <f t="shared" si="22"/>
        <v>714.285714285714</v>
      </c>
      <c r="AR12" s="31"/>
      <c r="AS12" s="31">
        <f t="shared" si="2"/>
        <v>1428.57142857143</v>
      </c>
      <c r="AT12" s="31">
        <f t="shared" si="3"/>
        <v>1666.66666666667</v>
      </c>
      <c r="AU12" s="31">
        <f t="shared" si="4"/>
        <v>507.61421319797</v>
      </c>
      <c r="AW12" s="31">
        <f t="shared" ref="AW12:AZ12" si="23">N12*10000/H12</f>
        <v>338.983050847458</v>
      </c>
      <c r="AX12" s="31">
        <f t="shared" si="23"/>
        <v>609.756097560976</v>
      </c>
      <c r="AY12" s="31">
        <f t="shared" si="23"/>
        <v>679.611650485437</v>
      </c>
      <c r="AZ12" s="31">
        <f t="shared" si="23"/>
        <v>769.88879384089</v>
      </c>
    </row>
    <row r="13" spans="1:52">
      <c r="A13" t="s">
        <v>32</v>
      </c>
      <c r="B13">
        <v>580</v>
      </c>
      <c r="C13">
        <v>792</v>
      </c>
      <c r="D13">
        <v>821</v>
      </c>
      <c r="E13">
        <v>895.91</v>
      </c>
      <c r="F13">
        <v>941.08</v>
      </c>
      <c r="H13">
        <v>327</v>
      </c>
      <c r="I13">
        <v>540</v>
      </c>
      <c r="J13">
        <v>665</v>
      </c>
      <c r="K13">
        <v>788.1</v>
      </c>
      <c r="L13">
        <v>974.9</v>
      </c>
      <c r="N13" s="28">
        <v>19</v>
      </c>
      <c r="O13" s="28">
        <v>40</v>
      </c>
      <c r="P13" s="28">
        <v>53</v>
      </c>
      <c r="Q13" s="28">
        <v>61</v>
      </c>
      <c r="S13" s="26">
        <v>81</v>
      </c>
      <c r="T13" s="26">
        <v>120</v>
      </c>
      <c r="U13" s="26">
        <v>154</v>
      </c>
      <c r="V13" s="26">
        <v>167</v>
      </c>
      <c r="X13" s="29">
        <v>571</v>
      </c>
      <c r="Y13" s="29">
        <v>776</v>
      </c>
      <c r="Z13" s="29">
        <v>815</v>
      </c>
      <c r="AA13" s="29">
        <v>898</v>
      </c>
      <c r="AC13" s="26">
        <v>60</v>
      </c>
      <c r="AD13" s="26">
        <v>75</v>
      </c>
      <c r="AE13" s="29">
        <v>95</v>
      </c>
      <c r="AF13" s="29">
        <v>100</v>
      </c>
      <c r="AH13" s="29">
        <v>1188</v>
      </c>
      <c r="AI13" s="29">
        <v>1059</v>
      </c>
      <c r="AJ13" s="29">
        <v>1165</v>
      </c>
      <c r="AK13" s="30">
        <v>1192</v>
      </c>
      <c r="AM13" s="31">
        <f t="shared" ref="AM13:AP13" si="24">AC13*10000/X13</f>
        <v>1050.7880910683</v>
      </c>
      <c r="AN13" s="31">
        <f t="shared" si="24"/>
        <v>966.494845360825</v>
      </c>
      <c r="AO13" s="31">
        <f t="shared" si="24"/>
        <v>1165.64417177914</v>
      </c>
      <c r="AP13" s="31">
        <f t="shared" si="24"/>
        <v>1113.58574610245</v>
      </c>
      <c r="AR13" s="31">
        <f t="shared" ref="AR13:AR15" si="25">(S13-N13)*10000/B13</f>
        <v>1068.96551724138</v>
      </c>
      <c r="AS13" s="31">
        <f t="shared" si="2"/>
        <v>1010.10101010101</v>
      </c>
      <c r="AT13" s="31">
        <f t="shared" si="3"/>
        <v>1230.20706455542</v>
      </c>
      <c r="AU13" s="31">
        <f t="shared" si="4"/>
        <v>1183.15455793551</v>
      </c>
      <c r="AW13" s="31">
        <f t="shared" ref="AW13:AZ13" si="26">N13*10000/H13</f>
        <v>581.039755351682</v>
      </c>
      <c r="AX13" s="31">
        <f t="shared" si="26"/>
        <v>740.740740740741</v>
      </c>
      <c r="AY13" s="31">
        <f t="shared" si="26"/>
        <v>796.992481203008</v>
      </c>
      <c r="AZ13" s="31">
        <f t="shared" si="26"/>
        <v>774.013450069788</v>
      </c>
    </row>
    <row r="14" spans="1:52">
      <c r="A14" t="s">
        <v>33</v>
      </c>
      <c r="B14">
        <v>315</v>
      </c>
      <c r="C14">
        <v>361</v>
      </c>
      <c r="D14">
        <v>414</v>
      </c>
      <c r="E14">
        <v>412.17</v>
      </c>
      <c r="F14">
        <v>577.03</v>
      </c>
      <c r="H14">
        <v>499</v>
      </c>
      <c r="I14">
        <v>777</v>
      </c>
      <c r="J14">
        <v>925</v>
      </c>
      <c r="K14">
        <v>1067.2</v>
      </c>
      <c r="L14">
        <v>1264.8</v>
      </c>
      <c r="N14" s="28">
        <v>31</v>
      </c>
      <c r="O14" s="28">
        <v>63</v>
      </c>
      <c r="P14" s="28">
        <v>75</v>
      </c>
      <c r="Q14" s="28">
        <v>88</v>
      </c>
      <c r="S14" s="26">
        <v>56</v>
      </c>
      <c r="T14" s="26">
        <v>100</v>
      </c>
      <c r="U14" s="26">
        <v>119</v>
      </c>
      <c r="V14" s="26">
        <v>131</v>
      </c>
      <c r="X14" s="29">
        <v>328</v>
      </c>
      <c r="Y14" s="29">
        <v>376</v>
      </c>
      <c r="Z14" s="29">
        <v>428</v>
      </c>
      <c r="AA14" s="29">
        <v>462</v>
      </c>
      <c r="AC14" s="26">
        <v>27</v>
      </c>
      <c r="AD14" s="26">
        <v>38</v>
      </c>
      <c r="AE14" s="29">
        <v>45</v>
      </c>
      <c r="AF14" s="29">
        <v>44</v>
      </c>
      <c r="AH14" s="29">
        <v>1044</v>
      </c>
      <c r="AI14" s="29">
        <v>1085</v>
      </c>
      <c r="AJ14" s="29">
        <v>998</v>
      </c>
      <c r="AK14" s="30">
        <v>1104</v>
      </c>
      <c r="AM14" s="31">
        <f t="shared" ref="AM14:AP14" si="27">AC14*10000/X14</f>
        <v>823.170731707317</v>
      </c>
      <c r="AN14" s="31">
        <f t="shared" si="27"/>
        <v>1010.63829787234</v>
      </c>
      <c r="AO14" s="31">
        <f t="shared" si="27"/>
        <v>1051.40186915888</v>
      </c>
      <c r="AP14" s="31">
        <f t="shared" si="27"/>
        <v>952.380952380952</v>
      </c>
      <c r="AR14" s="31">
        <f t="shared" si="25"/>
        <v>793.650793650794</v>
      </c>
      <c r="AS14" s="31">
        <f t="shared" si="2"/>
        <v>1024.93074792244</v>
      </c>
      <c r="AT14" s="31">
        <f t="shared" si="3"/>
        <v>1062.80193236715</v>
      </c>
      <c r="AU14" s="31">
        <f t="shared" si="4"/>
        <v>1043.25884950385</v>
      </c>
      <c r="AW14" s="31">
        <f t="shared" ref="AW14:AZ14" si="28">N14*10000/H14</f>
        <v>621.24248496994</v>
      </c>
      <c r="AX14" s="31">
        <f t="shared" si="28"/>
        <v>810.810810810811</v>
      </c>
      <c r="AY14" s="31">
        <f t="shared" si="28"/>
        <v>810.810810810811</v>
      </c>
      <c r="AZ14" s="31">
        <f t="shared" si="28"/>
        <v>824.587706146927</v>
      </c>
    </row>
    <row r="15" spans="1:52">
      <c r="A15" t="s">
        <v>34</v>
      </c>
      <c r="B15">
        <v>565</v>
      </c>
      <c r="C15">
        <v>677</v>
      </c>
      <c r="D15">
        <v>773</v>
      </c>
      <c r="E15">
        <v>825.56</v>
      </c>
      <c r="F15">
        <v>947.02</v>
      </c>
      <c r="H15">
        <v>323</v>
      </c>
      <c r="I15">
        <v>441</v>
      </c>
      <c r="J15">
        <v>480</v>
      </c>
      <c r="K15">
        <v>544.1</v>
      </c>
      <c r="L15">
        <v>759.8</v>
      </c>
      <c r="N15" s="28">
        <v>18</v>
      </c>
      <c r="O15" s="28">
        <v>36</v>
      </c>
      <c r="P15" s="28">
        <v>46</v>
      </c>
      <c r="Q15" s="28">
        <v>45</v>
      </c>
      <c r="S15" s="26">
        <v>62</v>
      </c>
      <c r="T15" s="26">
        <v>104</v>
      </c>
      <c r="U15" s="26">
        <v>125</v>
      </c>
      <c r="V15" s="26">
        <v>130</v>
      </c>
      <c r="X15" s="29">
        <v>608</v>
      </c>
      <c r="Y15" s="29">
        <v>743</v>
      </c>
      <c r="Z15" s="29">
        <v>859</v>
      </c>
      <c r="AA15" s="29">
        <v>887</v>
      </c>
      <c r="AC15" s="26">
        <v>48</v>
      </c>
      <c r="AD15" s="26">
        <v>73</v>
      </c>
      <c r="AE15" s="29">
        <v>86</v>
      </c>
      <c r="AF15" s="29">
        <v>89</v>
      </c>
      <c r="AH15" s="29">
        <v>992</v>
      </c>
      <c r="AI15" s="29">
        <v>1065</v>
      </c>
      <c r="AJ15" s="29">
        <v>1071</v>
      </c>
      <c r="AK15" s="30">
        <v>1102</v>
      </c>
      <c r="AM15" s="31">
        <f t="shared" ref="AM15:AP15" si="29">AC15*10000/X15</f>
        <v>789.473684210526</v>
      </c>
      <c r="AN15" s="31">
        <f t="shared" si="29"/>
        <v>982.50336473755</v>
      </c>
      <c r="AO15" s="31">
        <f t="shared" si="29"/>
        <v>1001.1641443539</v>
      </c>
      <c r="AP15" s="31">
        <f t="shared" si="29"/>
        <v>1003.38218714769</v>
      </c>
      <c r="AR15" s="31">
        <f t="shared" si="25"/>
        <v>778.761061946903</v>
      </c>
      <c r="AS15" s="31">
        <f t="shared" si="2"/>
        <v>1004.43131462334</v>
      </c>
      <c r="AT15" s="31">
        <f t="shared" si="3"/>
        <v>1021.99223803364</v>
      </c>
      <c r="AU15" s="31">
        <f t="shared" si="4"/>
        <v>1029.60414748777</v>
      </c>
      <c r="AW15" s="31">
        <f t="shared" ref="AW15:AZ15" si="30">N15*10000/H15</f>
        <v>557.275541795666</v>
      </c>
      <c r="AX15" s="31">
        <f t="shared" si="30"/>
        <v>816.326530612245</v>
      </c>
      <c r="AY15" s="31">
        <f t="shared" si="30"/>
        <v>958.333333333333</v>
      </c>
      <c r="AZ15" s="31">
        <f t="shared" si="30"/>
        <v>827.053850395148</v>
      </c>
    </row>
    <row r="16" spans="1:52">
      <c r="A16" t="s">
        <v>35</v>
      </c>
      <c r="C16">
        <v>37</v>
      </c>
      <c r="D16">
        <v>38</v>
      </c>
      <c r="E16">
        <v>37.8</v>
      </c>
      <c r="F16">
        <v>39.16</v>
      </c>
      <c r="H16">
        <v>109</v>
      </c>
      <c r="I16">
        <v>111</v>
      </c>
      <c r="J16">
        <v>131</v>
      </c>
      <c r="K16">
        <v>164.3</v>
      </c>
      <c r="L16">
        <v>237.9</v>
      </c>
      <c r="N16" s="28">
        <v>3</v>
      </c>
      <c r="O16" s="28">
        <v>9</v>
      </c>
      <c r="P16" s="27">
        <v>11</v>
      </c>
      <c r="Q16" s="27">
        <v>15</v>
      </c>
      <c r="S16" s="26">
        <v>6</v>
      </c>
      <c r="T16" s="26">
        <v>14</v>
      </c>
      <c r="U16" s="26">
        <v>16</v>
      </c>
      <c r="V16" s="26">
        <v>19</v>
      </c>
      <c r="X16" s="29">
        <v>60</v>
      </c>
      <c r="Y16" s="29">
        <v>67</v>
      </c>
      <c r="Z16" s="29">
        <v>72</v>
      </c>
      <c r="AA16" s="29">
        <v>72</v>
      </c>
      <c r="AC16" s="26">
        <v>4</v>
      </c>
      <c r="AD16" s="26">
        <v>7</v>
      </c>
      <c r="AE16" s="29">
        <v>7</v>
      </c>
      <c r="AF16" s="29">
        <v>8</v>
      </c>
      <c r="AH16" s="29">
        <v>843</v>
      </c>
      <c r="AI16" s="29">
        <v>1099</v>
      </c>
      <c r="AJ16" s="29">
        <v>1063</v>
      </c>
      <c r="AK16" s="30">
        <v>1040</v>
      </c>
      <c r="AM16" s="31">
        <f t="shared" ref="AM16:AP16" si="31">AC16*10000/X16</f>
        <v>666.666666666667</v>
      </c>
      <c r="AN16" s="31">
        <f t="shared" si="31"/>
        <v>1044.77611940299</v>
      </c>
      <c r="AO16" s="31">
        <f t="shared" si="31"/>
        <v>972.222222222222</v>
      </c>
      <c r="AP16" s="31">
        <f t="shared" si="31"/>
        <v>1111.11111111111</v>
      </c>
      <c r="AR16" s="31"/>
      <c r="AS16" s="31">
        <f t="shared" si="2"/>
        <v>1351.35135135135</v>
      </c>
      <c r="AT16" s="31">
        <f t="shared" si="3"/>
        <v>1315.78947368421</v>
      </c>
      <c r="AU16" s="31">
        <f t="shared" si="4"/>
        <v>1058.20105820106</v>
      </c>
      <c r="AW16" s="31">
        <f t="shared" ref="AW16:AZ16" si="32">N16*10000/H16</f>
        <v>275.229357798165</v>
      </c>
      <c r="AX16" s="31">
        <f t="shared" si="32"/>
        <v>810.810810810811</v>
      </c>
      <c r="AY16" s="31">
        <f t="shared" si="32"/>
        <v>839.69465648855</v>
      </c>
      <c r="AZ16" s="31">
        <f t="shared" si="32"/>
        <v>912.964090079123</v>
      </c>
    </row>
    <row r="17" spans="1:52">
      <c r="A17" t="s">
        <v>36</v>
      </c>
      <c r="B17">
        <v>277</v>
      </c>
      <c r="C17">
        <v>294</v>
      </c>
      <c r="D17">
        <v>367</v>
      </c>
      <c r="E17">
        <v>476.66</v>
      </c>
      <c r="F17">
        <v>551.95</v>
      </c>
      <c r="H17">
        <v>172</v>
      </c>
      <c r="I17">
        <v>242</v>
      </c>
      <c r="J17">
        <v>263</v>
      </c>
      <c r="K17">
        <v>299.2</v>
      </c>
      <c r="L17">
        <v>359.2</v>
      </c>
      <c r="N17" s="28">
        <v>8</v>
      </c>
      <c r="O17" s="28">
        <v>21</v>
      </c>
      <c r="P17" s="28">
        <v>24</v>
      </c>
      <c r="Q17" s="28">
        <v>26</v>
      </c>
      <c r="S17" s="26">
        <v>30</v>
      </c>
      <c r="T17" s="26">
        <v>52</v>
      </c>
      <c r="U17" s="26">
        <v>56</v>
      </c>
      <c r="V17" s="26">
        <v>62</v>
      </c>
      <c r="X17" s="29">
        <v>287</v>
      </c>
      <c r="Y17" s="29">
        <v>309</v>
      </c>
      <c r="Z17" s="29">
        <v>383</v>
      </c>
      <c r="AA17" s="29">
        <v>500</v>
      </c>
      <c r="AC17" s="26">
        <v>23</v>
      </c>
      <c r="AD17" s="26">
        <v>32</v>
      </c>
      <c r="AE17" s="29">
        <v>33</v>
      </c>
      <c r="AF17" s="29">
        <v>38</v>
      </c>
      <c r="AH17" s="29">
        <v>891</v>
      </c>
      <c r="AI17" s="29">
        <v>1064</v>
      </c>
      <c r="AJ17" s="29">
        <v>917</v>
      </c>
      <c r="AK17" s="30">
        <v>1004</v>
      </c>
      <c r="AM17" s="31">
        <f t="shared" ref="AM17:AP17" si="33">AC17*10000/X17</f>
        <v>801.393728222997</v>
      </c>
      <c r="AN17" s="31">
        <f t="shared" si="33"/>
        <v>1035.59870550162</v>
      </c>
      <c r="AO17" s="31">
        <f t="shared" si="33"/>
        <v>861.618798955614</v>
      </c>
      <c r="AP17" s="31">
        <f t="shared" si="33"/>
        <v>760</v>
      </c>
      <c r="AR17" s="31">
        <f t="shared" ref="AR17:AR22" si="34">(S17-N17)*10000/B17</f>
        <v>794.223826714801</v>
      </c>
      <c r="AS17" s="31">
        <f t="shared" si="2"/>
        <v>1054.42176870748</v>
      </c>
      <c r="AT17" s="31">
        <f t="shared" si="3"/>
        <v>871.934604904632</v>
      </c>
      <c r="AU17" s="31">
        <f t="shared" si="4"/>
        <v>755.255318256199</v>
      </c>
      <c r="AW17" s="31">
        <f t="shared" ref="AW17:AZ17" si="35">N17*10000/H17</f>
        <v>465.116279069767</v>
      </c>
      <c r="AX17" s="31">
        <f t="shared" si="35"/>
        <v>867.768595041322</v>
      </c>
      <c r="AY17" s="31">
        <f t="shared" si="35"/>
        <v>912.54752851711</v>
      </c>
      <c r="AZ17" s="31">
        <f t="shared" si="35"/>
        <v>868.983957219251</v>
      </c>
    </row>
    <row r="18" spans="1:52">
      <c r="A18" t="s">
        <v>37</v>
      </c>
      <c r="B18">
        <v>578</v>
      </c>
      <c r="C18">
        <v>648</v>
      </c>
      <c r="D18">
        <v>677</v>
      </c>
      <c r="E18">
        <v>805.02</v>
      </c>
      <c r="F18">
        <v>1008.97</v>
      </c>
      <c r="H18">
        <v>474</v>
      </c>
      <c r="I18">
        <v>713</v>
      </c>
      <c r="J18">
        <v>943</v>
      </c>
      <c r="K18">
        <v>1467.4</v>
      </c>
      <c r="L18">
        <v>2334.4</v>
      </c>
      <c r="N18" s="28">
        <v>20</v>
      </c>
      <c r="O18" s="28">
        <v>60</v>
      </c>
      <c r="P18" s="28">
        <v>80</v>
      </c>
      <c r="Q18" s="28">
        <v>117</v>
      </c>
      <c r="S18" s="26">
        <v>73</v>
      </c>
      <c r="T18" s="26">
        <v>137</v>
      </c>
      <c r="U18" s="26">
        <v>167</v>
      </c>
      <c r="V18" s="26">
        <v>206</v>
      </c>
      <c r="X18" s="33">
        <v>640</v>
      </c>
      <c r="Y18" s="33">
        <v>708</v>
      </c>
      <c r="Z18" s="33">
        <v>751</v>
      </c>
      <c r="AA18" s="33">
        <v>905</v>
      </c>
      <c r="AC18" s="26">
        <v>56</v>
      </c>
      <c r="AD18" s="26">
        <v>82</v>
      </c>
      <c r="AE18" s="33">
        <v>93</v>
      </c>
      <c r="AF18" s="33">
        <v>99</v>
      </c>
      <c r="AH18" s="29">
        <v>1154</v>
      </c>
      <c r="AI18" s="29">
        <v>1227</v>
      </c>
      <c r="AJ18" s="29">
        <v>1225</v>
      </c>
      <c r="AK18" s="30">
        <v>1284</v>
      </c>
      <c r="AM18" s="31">
        <f t="shared" ref="AM18:AP18" si="36">AC18*10000/X18</f>
        <v>875</v>
      </c>
      <c r="AN18" s="31">
        <f t="shared" si="36"/>
        <v>1158.19209039548</v>
      </c>
      <c r="AO18" s="31">
        <f t="shared" si="36"/>
        <v>1238.34886817577</v>
      </c>
      <c r="AP18" s="31">
        <f t="shared" si="36"/>
        <v>1093.9226519337</v>
      </c>
      <c r="AR18" s="31">
        <f t="shared" si="34"/>
        <v>916.955017301038</v>
      </c>
      <c r="AS18" s="31">
        <f t="shared" si="2"/>
        <v>1188.27160493827</v>
      </c>
      <c r="AT18" s="31">
        <f t="shared" si="3"/>
        <v>1285.08124076809</v>
      </c>
      <c r="AU18" s="31">
        <f t="shared" si="4"/>
        <v>1105.56259471814</v>
      </c>
      <c r="AW18" s="31">
        <f t="shared" ref="AW18:AZ18" si="37">N18*10000/H18</f>
        <v>421.940928270042</v>
      </c>
      <c r="AX18" s="31">
        <f t="shared" si="37"/>
        <v>841.514726507714</v>
      </c>
      <c r="AY18" s="31">
        <f t="shared" si="37"/>
        <v>848.356309650053</v>
      </c>
      <c r="AZ18" s="31">
        <f t="shared" si="37"/>
        <v>797.328608423061</v>
      </c>
    </row>
    <row r="19" spans="1:52">
      <c r="A19" t="s">
        <v>38</v>
      </c>
      <c r="B19">
        <v>492</v>
      </c>
      <c r="C19">
        <v>600</v>
      </c>
      <c r="D19">
        <v>600</v>
      </c>
      <c r="E19">
        <v>603.85</v>
      </c>
      <c r="F19">
        <v>625.8</v>
      </c>
      <c r="H19">
        <v>211</v>
      </c>
      <c r="I19">
        <v>391</v>
      </c>
      <c r="J19">
        <v>454</v>
      </c>
      <c r="K19">
        <v>570.8</v>
      </c>
      <c r="L19">
        <v>929.8</v>
      </c>
      <c r="N19" s="28">
        <v>4</v>
      </c>
      <c r="O19" s="28">
        <v>27</v>
      </c>
      <c r="P19" s="28">
        <v>38</v>
      </c>
      <c r="Q19" s="28">
        <v>49</v>
      </c>
      <c r="S19" s="26">
        <v>44</v>
      </c>
      <c r="T19" s="26">
        <v>84</v>
      </c>
      <c r="U19" s="26">
        <v>102</v>
      </c>
      <c r="V19" s="26">
        <v>112</v>
      </c>
      <c r="X19" s="29">
        <v>532</v>
      </c>
      <c r="Y19" s="29">
        <v>602</v>
      </c>
      <c r="Z19" s="29">
        <v>602</v>
      </c>
      <c r="AA19" s="29">
        <v>604</v>
      </c>
      <c r="AC19" s="26">
        <v>40</v>
      </c>
      <c r="AD19" s="26">
        <v>57</v>
      </c>
      <c r="AE19" s="29">
        <v>64</v>
      </c>
      <c r="AF19" s="29">
        <v>63</v>
      </c>
      <c r="AH19" s="29">
        <v>934</v>
      </c>
      <c r="AI19" s="29">
        <v>998</v>
      </c>
      <c r="AJ19" s="29">
        <v>1055</v>
      </c>
      <c r="AK19" s="30">
        <v>1061</v>
      </c>
      <c r="AM19" s="31">
        <f t="shared" ref="AM19:AP19" si="38">AC19*10000/X19</f>
        <v>751.87969924812</v>
      </c>
      <c r="AN19" s="31">
        <f t="shared" si="38"/>
        <v>946.843853820598</v>
      </c>
      <c r="AO19" s="31">
        <f t="shared" si="38"/>
        <v>1063.12292358804</v>
      </c>
      <c r="AP19" s="31">
        <f t="shared" si="38"/>
        <v>1043.04635761589</v>
      </c>
      <c r="AR19" s="31">
        <f t="shared" si="34"/>
        <v>813.008130081301</v>
      </c>
      <c r="AS19" s="31">
        <f t="shared" si="2"/>
        <v>950</v>
      </c>
      <c r="AT19" s="31">
        <f t="shared" si="3"/>
        <v>1066.66666666667</v>
      </c>
      <c r="AU19" s="31">
        <f t="shared" si="4"/>
        <v>1043.30545665314</v>
      </c>
      <c r="AW19" s="31">
        <f t="shared" ref="AW19:AZ19" si="39">N19*10000/H19</f>
        <v>189.57345971564</v>
      </c>
      <c r="AX19" s="31">
        <f t="shared" si="39"/>
        <v>690.537084398977</v>
      </c>
      <c r="AY19" s="31">
        <f t="shared" si="39"/>
        <v>837.004405286344</v>
      </c>
      <c r="AZ19" s="31">
        <f t="shared" si="39"/>
        <v>858.444288717589</v>
      </c>
    </row>
    <row r="20" spans="1:52">
      <c r="A20" t="s">
        <v>39</v>
      </c>
      <c r="B20">
        <v>236</v>
      </c>
      <c r="C20">
        <v>335</v>
      </c>
      <c r="D20">
        <v>420</v>
      </c>
      <c r="E20">
        <v>485.66</v>
      </c>
      <c r="F20">
        <v>713</v>
      </c>
      <c r="H20">
        <v>177</v>
      </c>
      <c r="I20">
        <v>175</v>
      </c>
      <c r="J20">
        <v>201</v>
      </c>
      <c r="K20">
        <v>211.9</v>
      </c>
      <c r="L20">
        <v>239.6</v>
      </c>
      <c r="N20" s="28">
        <v>5</v>
      </c>
      <c r="O20" s="28">
        <v>13</v>
      </c>
      <c r="P20" s="28">
        <v>17</v>
      </c>
      <c r="Q20" s="28">
        <v>19</v>
      </c>
      <c r="S20" s="26">
        <v>28</v>
      </c>
      <c r="T20" s="26">
        <v>49</v>
      </c>
      <c r="U20" s="26">
        <v>57</v>
      </c>
      <c r="V20" s="26">
        <v>65</v>
      </c>
      <c r="X20" s="29">
        <v>301</v>
      </c>
      <c r="Y20" s="29">
        <v>338</v>
      </c>
      <c r="Z20" s="29">
        <v>425</v>
      </c>
      <c r="AA20" s="29">
        <v>491</v>
      </c>
      <c r="AC20" s="26">
        <v>23</v>
      </c>
      <c r="AD20" s="26">
        <v>36</v>
      </c>
      <c r="AE20" s="29">
        <v>40</v>
      </c>
      <c r="AF20" s="29">
        <v>46</v>
      </c>
      <c r="AH20" s="29">
        <v>987</v>
      </c>
      <c r="AI20" s="29">
        <v>1115</v>
      </c>
      <c r="AJ20" s="29">
        <v>1013</v>
      </c>
      <c r="AK20" s="30">
        <v>1103</v>
      </c>
      <c r="AM20" s="31">
        <f t="shared" ref="AM20:AP20" si="40">AC20*10000/X20</f>
        <v>764.119601328904</v>
      </c>
      <c r="AN20" s="31">
        <f t="shared" si="40"/>
        <v>1065.08875739645</v>
      </c>
      <c r="AO20" s="31">
        <f t="shared" si="40"/>
        <v>941.176470588235</v>
      </c>
      <c r="AP20" s="31">
        <f t="shared" si="40"/>
        <v>936.863543788187</v>
      </c>
      <c r="AR20" s="31">
        <f t="shared" si="34"/>
        <v>974.576271186441</v>
      </c>
      <c r="AS20" s="31">
        <f t="shared" si="2"/>
        <v>1074.62686567164</v>
      </c>
      <c r="AT20" s="31">
        <f t="shared" si="3"/>
        <v>952.380952380952</v>
      </c>
      <c r="AU20" s="31">
        <f t="shared" si="4"/>
        <v>947.164683111642</v>
      </c>
      <c r="AW20" s="31">
        <f t="shared" ref="AW20:AZ20" si="41">N20*10000/H20</f>
        <v>282.485875706215</v>
      </c>
      <c r="AX20" s="31">
        <f t="shared" si="41"/>
        <v>742.857142857143</v>
      </c>
      <c r="AY20" s="31">
        <f t="shared" si="41"/>
        <v>845.771144278607</v>
      </c>
      <c r="AZ20" s="31">
        <f t="shared" si="41"/>
        <v>896.649362907032</v>
      </c>
    </row>
    <row r="21" spans="1:52">
      <c r="A21" t="s">
        <v>40</v>
      </c>
      <c r="B21">
        <v>86</v>
      </c>
      <c r="C21">
        <v>126</v>
      </c>
      <c r="D21">
        <v>155</v>
      </c>
      <c r="E21">
        <v>190.62</v>
      </c>
      <c r="F21">
        <v>220.15</v>
      </c>
      <c r="H21">
        <v>90</v>
      </c>
      <c r="I21">
        <v>166</v>
      </c>
      <c r="J21">
        <v>189</v>
      </c>
      <c r="K21">
        <v>200.1</v>
      </c>
      <c r="L21">
        <v>231</v>
      </c>
      <c r="N21" s="28">
        <v>4</v>
      </c>
      <c r="O21" s="28">
        <v>10</v>
      </c>
      <c r="P21" s="28">
        <v>13</v>
      </c>
      <c r="Q21" s="28">
        <v>14</v>
      </c>
      <c r="S21" s="26">
        <v>6</v>
      </c>
      <c r="T21" s="26">
        <v>20</v>
      </c>
      <c r="U21" s="32">
        <v>26</v>
      </c>
      <c r="V21" s="32">
        <v>30</v>
      </c>
      <c r="X21" s="29">
        <v>113</v>
      </c>
      <c r="Y21" s="29">
        <v>160</v>
      </c>
      <c r="Z21" s="29">
        <v>188</v>
      </c>
      <c r="AA21" s="29">
        <v>242</v>
      </c>
      <c r="AC21" s="26">
        <v>3</v>
      </c>
      <c r="AD21" s="26">
        <v>12</v>
      </c>
      <c r="AE21" s="29">
        <v>16</v>
      </c>
      <c r="AF21" s="29">
        <v>20</v>
      </c>
      <c r="AH21" s="29">
        <v>512</v>
      </c>
      <c r="AI21" s="29">
        <v>933</v>
      </c>
      <c r="AJ21" s="29">
        <v>902</v>
      </c>
      <c r="AK21" s="30">
        <v>905</v>
      </c>
      <c r="AM21" s="31">
        <f t="shared" ref="AM21:AP21" si="42">AC21*10000/X21</f>
        <v>265.486725663717</v>
      </c>
      <c r="AN21" s="31">
        <f t="shared" si="42"/>
        <v>750</v>
      </c>
      <c r="AO21" s="31">
        <f t="shared" si="42"/>
        <v>851.063829787234</v>
      </c>
      <c r="AP21" s="31">
        <f t="shared" si="42"/>
        <v>826.446280991736</v>
      </c>
      <c r="AR21" s="31">
        <f t="shared" si="34"/>
        <v>232.558139534884</v>
      </c>
      <c r="AS21" s="31">
        <f t="shared" si="2"/>
        <v>793.650793650794</v>
      </c>
      <c r="AT21" s="31">
        <f t="shared" si="3"/>
        <v>838.709677419355</v>
      </c>
      <c r="AU21" s="31">
        <f t="shared" si="4"/>
        <v>839.366278459763</v>
      </c>
      <c r="AW21" s="31">
        <f t="shared" ref="AW21:AZ21" si="43">N21*10000/H21</f>
        <v>444.444444444444</v>
      </c>
      <c r="AX21" s="31">
        <f t="shared" si="43"/>
        <v>602.409638554217</v>
      </c>
      <c r="AY21" s="31">
        <f t="shared" si="43"/>
        <v>687.830687830688</v>
      </c>
      <c r="AZ21" s="31">
        <f t="shared" si="43"/>
        <v>699.650174912544</v>
      </c>
    </row>
    <row r="22" spans="1:52">
      <c r="A22" t="s">
        <v>41</v>
      </c>
      <c r="B22">
        <v>210</v>
      </c>
      <c r="C22">
        <v>318</v>
      </c>
      <c r="D22">
        <v>302</v>
      </c>
      <c r="E22">
        <v>408.82</v>
      </c>
      <c r="F22">
        <v>508.2</v>
      </c>
      <c r="H22">
        <v>122</v>
      </c>
      <c r="I22">
        <v>209</v>
      </c>
      <c r="J22">
        <v>308</v>
      </c>
      <c r="K22">
        <v>384.9</v>
      </c>
      <c r="L22">
        <v>511.9</v>
      </c>
      <c r="N22" s="28">
        <v>8</v>
      </c>
      <c r="O22" s="28">
        <v>15</v>
      </c>
      <c r="P22" s="28">
        <v>22</v>
      </c>
      <c r="Q22" s="28">
        <v>32</v>
      </c>
      <c r="S22" s="26">
        <v>20</v>
      </c>
      <c r="T22" s="26">
        <v>38</v>
      </c>
      <c r="U22" s="26">
        <v>53</v>
      </c>
      <c r="V22" s="26">
        <v>74</v>
      </c>
      <c r="X22" s="29">
        <v>229</v>
      </c>
      <c r="Y22" s="29">
        <v>370</v>
      </c>
      <c r="Z22" s="29">
        <v>382</v>
      </c>
      <c r="AA22" s="29">
        <v>495</v>
      </c>
      <c r="AC22" s="26">
        <v>12</v>
      </c>
      <c r="AD22" s="26">
        <v>25</v>
      </c>
      <c r="AE22" s="29">
        <v>34</v>
      </c>
      <c r="AF22" s="29">
        <v>47</v>
      </c>
      <c r="AH22" s="29">
        <v>843</v>
      </c>
      <c r="AI22" s="29">
        <v>884</v>
      </c>
      <c r="AJ22" s="29">
        <v>1020</v>
      </c>
      <c r="AK22" s="30">
        <v>915</v>
      </c>
      <c r="AM22" s="31">
        <f t="shared" ref="AM22:AP22" si="44">AC22*10000/X22</f>
        <v>524.017467248908</v>
      </c>
      <c r="AN22" s="31">
        <f t="shared" si="44"/>
        <v>675.675675675676</v>
      </c>
      <c r="AO22" s="31">
        <f t="shared" si="44"/>
        <v>890.052356020942</v>
      </c>
      <c r="AP22" s="31">
        <f t="shared" si="44"/>
        <v>949.49494949495</v>
      </c>
      <c r="AR22" s="31">
        <f t="shared" si="34"/>
        <v>571.428571428571</v>
      </c>
      <c r="AS22" s="31">
        <f t="shared" si="2"/>
        <v>723.270440251572</v>
      </c>
      <c r="AT22" s="31">
        <f t="shared" si="3"/>
        <v>1026.49006622517</v>
      </c>
      <c r="AU22" s="31">
        <f t="shared" si="4"/>
        <v>1027.34699867913</v>
      </c>
      <c r="AW22" s="31">
        <f t="shared" ref="AW22:AZ22" si="45">N22*10000/H22</f>
        <v>655.737704918033</v>
      </c>
      <c r="AX22" s="31">
        <f t="shared" si="45"/>
        <v>717.703349282297</v>
      </c>
      <c r="AY22" s="31">
        <f t="shared" si="45"/>
        <v>714.285714285714</v>
      </c>
      <c r="AZ22" s="31">
        <f t="shared" si="45"/>
        <v>831.384775266303</v>
      </c>
    </row>
    <row r="23" spans="1:52">
      <c r="A23" t="s">
        <v>42</v>
      </c>
      <c r="C23">
        <v>95</v>
      </c>
      <c r="D23">
        <v>105</v>
      </c>
      <c r="E23">
        <v>162.46</v>
      </c>
      <c r="F23">
        <v>259.16</v>
      </c>
      <c r="H23">
        <v>373</v>
      </c>
      <c r="I23">
        <v>29</v>
      </c>
      <c r="J23">
        <v>30</v>
      </c>
      <c r="K23">
        <v>42.7</v>
      </c>
      <c r="L23">
        <v>52.6</v>
      </c>
      <c r="N23" s="28">
        <v>1</v>
      </c>
      <c r="O23" s="28">
        <v>1</v>
      </c>
      <c r="P23" s="28">
        <v>2</v>
      </c>
      <c r="Q23" s="28">
        <v>3</v>
      </c>
      <c r="S23" s="26">
        <v>4</v>
      </c>
      <c r="T23" s="26">
        <v>9</v>
      </c>
      <c r="U23" s="26">
        <v>14</v>
      </c>
      <c r="V23" s="26">
        <v>19</v>
      </c>
      <c r="X23" s="33">
        <v>69</v>
      </c>
      <c r="Y23" s="33">
        <v>99</v>
      </c>
      <c r="Z23" s="33">
        <v>110</v>
      </c>
      <c r="AA23" s="33">
        <v>170</v>
      </c>
      <c r="AC23" s="26">
        <v>4</v>
      </c>
      <c r="AD23" s="26">
        <v>8</v>
      </c>
      <c r="AE23" s="33">
        <v>12</v>
      </c>
      <c r="AF23" s="33">
        <v>15</v>
      </c>
      <c r="AH23" s="29">
        <v>919</v>
      </c>
      <c r="AI23" s="29">
        <v>1006</v>
      </c>
      <c r="AJ23" s="29">
        <v>1085</v>
      </c>
      <c r="AK23" s="30">
        <v>1097</v>
      </c>
      <c r="AM23" s="31">
        <f t="shared" ref="AM23:AP23" si="46">AC23*10000/X23</f>
        <v>579.710144927536</v>
      </c>
      <c r="AN23" s="31">
        <f t="shared" si="46"/>
        <v>808.080808080808</v>
      </c>
      <c r="AO23" s="31">
        <f t="shared" si="46"/>
        <v>1090.90909090909</v>
      </c>
      <c r="AP23" s="31">
        <f t="shared" si="46"/>
        <v>882.352941176471</v>
      </c>
      <c r="AR23" s="31"/>
      <c r="AS23" s="31">
        <f t="shared" si="2"/>
        <v>842.105263157895</v>
      </c>
      <c r="AT23" s="31">
        <f t="shared" si="3"/>
        <v>1142.85714285714</v>
      </c>
      <c r="AU23" s="31">
        <f t="shared" si="4"/>
        <v>984.857811153515</v>
      </c>
      <c r="AW23" s="31">
        <f t="shared" ref="AW23:AZ23" si="47">N23*10000/H23</f>
        <v>26.8096514745308</v>
      </c>
      <c r="AX23" s="31">
        <f t="shared" si="47"/>
        <v>344.827586206897</v>
      </c>
      <c r="AY23" s="31">
        <f t="shared" si="47"/>
        <v>666.666666666667</v>
      </c>
      <c r="AZ23" s="31">
        <f t="shared" si="47"/>
        <v>702.576112412178</v>
      </c>
    </row>
    <row r="24" spans="1:52">
      <c r="A24" t="s">
        <v>43</v>
      </c>
      <c r="B24">
        <v>32</v>
      </c>
      <c r="C24">
        <v>123</v>
      </c>
      <c r="D24">
        <v>127</v>
      </c>
      <c r="E24">
        <v>108.01</v>
      </c>
      <c r="F24">
        <v>127.1</v>
      </c>
      <c r="H24">
        <v>11</v>
      </c>
      <c r="I24">
        <v>13</v>
      </c>
      <c r="J24">
        <v>13</v>
      </c>
      <c r="K24">
        <v>12.6</v>
      </c>
      <c r="L24">
        <v>19.4</v>
      </c>
      <c r="N24" s="28">
        <v>0.2</v>
      </c>
      <c r="O24" s="28">
        <v>1</v>
      </c>
      <c r="P24" s="28">
        <v>1</v>
      </c>
      <c r="Q24" s="28">
        <v>1</v>
      </c>
      <c r="S24" s="26">
        <v>3</v>
      </c>
      <c r="T24" s="26">
        <v>6</v>
      </c>
      <c r="U24" s="26">
        <v>14</v>
      </c>
      <c r="V24" s="26">
        <v>15</v>
      </c>
      <c r="X24" s="29">
        <v>33</v>
      </c>
      <c r="Y24" s="29">
        <v>125</v>
      </c>
      <c r="Z24" s="29">
        <v>129</v>
      </c>
      <c r="AA24" s="29">
        <v>129</v>
      </c>
      <c r="AC24" s="26">
        <v>3</v>
      </c>
      <c r="AD24" s="26">
        <v>6</v>
      </c>
      <c r="AE24" s="29">
        <v>13</v>
      </c>
      <c r="AF24" s="29">
        <v>14</v>
      </c>
      <c r="AH24" s="29">
        <v>1113</v>
      </c>
      <c r="AI24" s="29">
        <v>752</v>
      </c>
      <c r="AJ24" s="29">
        <v>1061</v>
      </c>
      <c r="AK24" s="30">
        <v>1023</v>
      </c>
      <c r="AM24" s="31">
        <f t="shared" ref="AM24:AP24" si="48">AC24*10000/X24</f>
        <v>909.090909090909</v>
      </c>
      <c r="AN24" s="31">
        <f t="shared" si="48"/>
        <v>480</v>
      </c>
      <c r="AO24" s="31">
        <f t="shared" si="48"/>
        <v>1007.7519379845</v>
      </c>
      <c r="AP24" s="31">
        <f t="shared" si="48"/>
        <v>1085.27131782946</v>
      </c>
      <c r="AR24" s="31">
        <f t="shared" ref="AR24:AR34" si="49">(S24-N24)*10000/B24</f>
        <v>875</v>
      </c>
      <c r="AS24" s="31">
        <f t="shared" si="2"/>
        <v>406.50406504065</v>
      </c>
      <c r="AT24" s="31">
        <f t="shared" si="3"/>
        <v>1023.62204724409</v>
      </c>
      <c r="AU24" s="31">
        <f t="shared" si="4"/>
        <v>1296.17627997408</v>
      </c>
      <c r="AW24" s="31">
        <f t="shared" ref="AW24:AZ24" si="50">N24*10000/H24</f>
        <v>181.818181818182</v>
      </c>
      <c r="AX24" s="31">
        <f t="shared" si="50"/>
        <v>769.230769230769</v>
      </c>
      <c r="AY24" s="31">
        <f t="shared" si="50"/>
        <v>769.230769230769</v>
      </c>
      <c r="AZ24" s="31">
        <f t="shared" si="50"/>
        <v>793.650793650794</v>
      </c>
    </row>
    <row r="25" spans="1:52">
      <c r="A25" t="s">
        <v>44</v>
      </c>
      <c r="D25">
        <v>58</v>
      </c>
      <c r="E25">
        <v>49.17</v>
      </c>
      <c r="F25">
        <v>54.17</v>
      </c>
      <c r="H25">
        <v>12</v>
      </c>
      <c r="I25">
        <v>43</v>
      </c>
      <c r="J25">
        <v>7</v>
      </c>
      <c r="K25">
        <v>7.4</v>
      </c>
      <c r="L25">
        <v>9.2</v>
      </c>
      <c r="N25" s="28">
        <v>0.2</v>
      </c>
      <c r="O25" s="28">
        <v>2</v>
      </c>
      <c r="P25" s="28">
        <v>3</v>
      </c>
      <c r="Q25" s="28">
        <v>0.4</v>
      </c>
      <c r="S25" s="26">
        <v>0.2</v>
      </c>
      <c r="T25" s="26">
        <v>2</v>
      </c>
      <c r="U25" s="32">
        <v>3</v>
      </c>
      <c r="V25" s="26">
        <v>4</v>
      </c>
      <c r="X25" s="29">
        <v>10</v>
      </c>
      <c r="Y25" s="29">
        <v>38</v>
      </c>
      <c r="Z25" s="29">
        <v>58</v>
      </c>
      <c r="AA25" s="29">
        <v>60</v>
      </c>
      <c r="AC25" s="26">
        <v>0.2</v>
      </c>
      <c r="AD25" s="26">
        <v>2</v>
      </c>
      <c r="AE25" s="29">
        <v>3</v>
      </c>
      <c r="AF25" s="29">
        <v>4</v>
      </c>
      <c r="AH25" s="33">
        <v>549</v>
      </c>
      <c r="AI25" s="33">
        <v>602</v>
      </c>
      <c r="AJ25" s="33">
        <v>655</v>
      </c>
      <c r="AK25" s="34">
        <v>606</v>
      </c>
      <c r="AM25" s="31">
        <f t="shared" ref="AM25:AP25" si="51">AC25*10000/X25</f>
        <v>200</v>
      </c>
      <c r="AN25" s="31">
        <f t="shared" si="51"/>
        <v>526.315789473684</v>
      </c>
      <c r="AO25" s="31">
        <f t="shared" si="51"/>
        <v>517.241379310345</v>
      </c>
      <c r="AP25" s="31">
        <f t="shared" si="51"/>
        <v>666.666666666667</v>
      </c>
      <c r="AR25" s="31"/>
      <c r="AS25" s="31"/>
      <c r="AT25" s="31"/>
      <c r="AU25" s="31">
        <f t="shared" si="4"/>
        <v>732.15375228798</v>
      </c>
      <c r="AW25" s="31">
        <f t="shared" ref="AW25:AZ25" si="52">N25*10000/H25</f>
        <v>166.666666666667</v>
      </c>
      <c r="AX25" s="31">
        <f t="shared" si="52"/>
        <v>465.116279069767</v>
      </c>
      <c r="AY25" s="31">
        <f t="shared" si="52"/>
        <v>4285.71428571429</v>
      </c>
      <c r="AZ25" s="31">
        <f t="shared" si="52"/>
        <v>540.540540540541</v>
      </c>
    </row>
    <row r="26" spans="1:52">
      <c r="A26" t="s">
        <v>45</v>
      </c>
      <c r="B26">
        <v>116</v>
      </c>
      <c r="C26">
        <v>168</v>
      </c>
      <c r="D26">
        <v>169</v>
      </c>
      <c r="E26">
        <v>169.01</v>
      </c>
      <c r="F26">
        <v>169.01</v>
      </c>
      <c r="H26">
        <v>19</v>
      </c>
      <c r="I26">
        <v>13</v>
      </c>
      <c r="J26">
        <v>19</v>
      </c>
      <c r="K26">
        <v>22.1</v>
      </c>
      <c r="L26">
        <v>26.9</v>
      </c>
      <c r="N26" s="28">
        <v>1</v>
      </c>
      <c r="O26" s="28">
        <v>1</v>
      </c>
      <c r="P26" s="28">
        <v>2</v>
      </c>
      <c r="Q26" s="28">
        <v>2</v>
      </c>
      <c r="S26" s="26">
        <v>16</v>
      </c>
      <c r="T26" s="26">
        <v>22</v>
      </c>
      <c r="U26" s="32">
        <v>28</v>
      </c>
      <c r="V26" s="32">
        <v>27</v>
      </c>
      <c r="X26" s="29">
        <v>132</v>
      </c>
      <c r="Y26" s="29">
        <v>175</v>
      </c>
      <c r="Z26" s="29">
        <v>179</v>
      </c>
      <c r="AA26" s="29">
        <v>179</v>
      </c>
      <c r="AC26" s="26">
        <v>16</v>
      </c>
      <c r="AD26" s="26">
        <v>22</v>
      </c>
      <c r="AE26" s="29">
        <v>28</v>
      </c>
      <c r="AF26" s="29">
        <v>26</v>
      </c>
      <c r="AH26" s="29">
        <v>1492</v>
      </c>
      <c r="AI26" s="29">
        <v>1461</v>
      </c>
      <c r="AJ26" s="29">
        <v>1466</v>
      </c>
      <c r="AK26" s="30">
        <v>1554</v>
      </c>
      <c r="AM26" s="31">
        <f t="shared" ref="AM26:AP26" si="53">AC26*10000/X26</f>
        <v>1212.12121212121</v>
      </c>
      <c r="AN26" s="31">
        <f t="shared" si="53"/>
        <v>1257.14285714286</v>
      </c>
      <c r="AO26" s="31">
        <f t="shared" si="53"/>
        <v>1564.24581005587</v>
      </c>
      <c r="AP26" s="31">
        <f t="shared" si="53"/>
        <v>1452.51396648045</v>
      </c>
      <c r="AR26" s="31">
        <f t="shared" si="49"/>
        <v>1293.10344827586</v>
      </c>
      <c r="AS26" s="31">
        <f t="shared" ref="AS26:AS34" si="54">(T26-O26)*10000/C26</f>
        <v>1250</v>
      </c>
      <c r="AT26" s="31">
        <f t="shared" ref="AT26:AT34" si="55">(U26-P26)*10000/D26</f>
        <v>1538.46153846154</v>
      </c>
      <c r="AU26" s="31">
        <f t="shared" si="4"/>
        <v>1479.20241405834</v>
      </c>
      <c r="AW26" s="31">
        <f t="shared" ref="AW26:AZ26" si="56">N26*10000/H26</f>
        <v>526.315789473684</v>
      </c>
      <c r="AX26" s="31">
        <f t="shared" si="56"/>
        <v>769.230769230769</v>
      </c>
      <c r="AY26" s="31">
        <f t="shared" si="56"/>
        <v>1052.63157894737</v>
      </c>
      <c r="AZ26" s="31">
        <f t="shared" si="56"/>
        <v>904.977375565611</v>
      </c>
    </row>
    <row r="27" spans="1:52">
      <c r="A27" t="s">
        <v>46</v>
      </c>
      <c r="B27">
        <v>135</v>
      </c>
      <c r="C27">
        <v>161</v>
      </c>
      <c r="D27">
        <v>491</v>
      </c>
      <c r="E27">
        <v>970.67</v>
      </c>
      <c r="F27">
        <v>1117.6</v>
      </c>
      <c r="I27">
        <v>17</v>
      </c>
      <c r="J27">
        <v>19</v>
      </c>
      <c r="K27">
        <v>19</v>
      </c>
      <c r="L27">
        <v>19.4</v>
      </c>
      <c r="N27" s="35"/>
      <c r="O27" s="28">
        <v>1</v>
      </c>
      <c r="P27" s="35">
        <v>1</v>
      </c>
      <c r="Q27" s="35">
        <v>1</v>
      </c>
      <c r="S27" s="26">
        <v>6</v>
      </c>
      <c r="T27" s="26">
        <v>16</v>
      </c>
      <c r="U27" s="32">
        <v>20</v>
      </c>
      <c r="V27" s="32">
        <v>45</v>
      </c>
      <c r="X27" s="29">
        <v>135</v>
      </c>
      <c r="Y27" s="29">
        <v>178</v>
      </c>
      <c r="Z27" s="29">
        <v>510</v>
      </c>
      <c r="AA27" s="29">
        <v>1057</v>
      </c>
      <c r="AC27" s="26">
        <v>6</v>
      </c>
      <c r="AD27" s="26">
        <v>16</v>
      </c>
      <c r="AE27" s="29">
        <v>20</v>
      </c>
      <c r="AF27" s="29">
        <v>45</v>
      </c>
      <c r="AH27" s="29">
        <v>793</v>
      </c>
      <c r="AI27" s="29">
        <v>932</v>
      </c>
      <c r="AJ27" s="29">
        <v>1032</v>
      </c>
      <c r="AK27" s="30">
        <v>1092</v>
      </c>
      <c r="AM27" s="31">
        <f t="shared" ref="AM27:AP27" si="57">AC27*10000/X27</f>
        <v>444.444444444444</v>
      </c>
      <c r="AN27" s="31">
        <f t="shared" si="57"/>
        <v>898.876404494382</v>
      </c>
      <c r="AO27" s="31">
        <f t="shared" si="57"/>
        <v>392.156862745098</v>
      </c>
      <c r="AP27" s="31">
        <f t="shared" si="57"/>
        <v>425.733207190161</v>
      </c>
      <c r="AR27" s="31">
        <f t="shared" si="49"/>
        <v>444.444444444444</v>
      </c>
      <c r="AS27" s="31">
        <f t="shared" si="54"/>
        <v>931.67701863354</v>
      </c>
      <c r="AT27" s="31">
        <f t="shared" si="55"/>
        <v>386.965376782077</v>
      </c>
      <c r="AU27" s="31">
        <f t="shared" si="4"/>
        <v>453.295146651282</v>
      </c>
      <c r="AW27" s="31"/>
      <c r="AX27" s="31">
        <f t="shared" ref="AX27:AZ27" si="58">O27*10000/I27</f>
        <v>588.235294117647</v>
      </c>
      <c r="AY27" s="31">
        <f t="shared" si="58"/>
        <v>526.315789473684</v>
      </c>
      <c r="AZ27" s="31">
        <f t="shared" si="58"/>
        <v>526.315789473684</v>
      </c>
    </row>
    <row r="28" spans="1:52">
      <c r="A28" t="s">
        <v>47</v>
      </c>
      <c r="B28">
        <v>237.5</v>
      </c>
      <c r="C28">
        <v>312</v>
      </c>
      <c r="D28">
        <v>350</v>
      </c>
      <c r="E28">
        <v>295.43</v>
      </c>
      <c r="F28">
        <v>349.91</v>
      </c>
      <c r="H28">
        <v>0.5</v>
      </c>
      <c r="I28">
        <v>14</v>
      </c>
      <c r="J28">
        <v>25</v>
      </c>
      <c r="K28">
        <v>38.4</v>
      </c>
      <c r="L28">
        <v>47.2</v>
      </c>
      <c r="N28" s="28">
        <v>0.3</v>
      </c>
      <c r="O28" s="28">
        <v>1</v>
      </c>
      <c r="P28" s="28">
        <v>2</v>
      </c>
      <c r="Q28" s="28">
        <v>3</v>
      </c>
      <c r="S28" s="26">
        <v>28</v>
      </c>
      <c r="T28" s="26">
        <v>34</v>
      </c>
      <c r="U28" s="26">
        <v>48</v>
      </c>
      <c r="V28" s="26">
        <v>50</v>
      </c>
      <c r="X28" s="33">
        <v>238</v>
      </c>
      <c r="Y28" s="33">
        <v>326</v>
      </c>
      <c r="Z28" s="33">
        <v>350</v>
      </c>
      <c r="AA28" s="33">
        <v>350</v>
      </c>
      <c r="AC28" s="26">
        <v>28</v>
      </c>
      <c r="AD28" s="26">
        <v>34</v>
      </c>
      <c r="AE28" s="33">
        <v>47</v>
      </c>
      <c r="AF28" s="33">
        <v>47</v>
      </c>
      <c r="AH28" s="29">
        <v>1282</v>
      </c>
      <c r="AI28" s="29">
        <v>1182</v>
      </c>
      <c r="AJ28" s="29">
        <v>1332</v>
      </c>
      <c r="AK28" s="30">
        <v>1350</v>
      </c>
      <c r="AM28" s="31">
        <f t="shared" ref="AM28:AP28" si="59">AC28*10000/X28</f>
        <v>1176.47058823529</v>
      </c>
      <c r="AN28" s="31">
        <f t="shared" si="59"/>
        <v>1042.94478527607</v>
      </c>
      <c r="AO28" s="31">
        <f t="shared" si="59"/>
        <v>1342.85714285714</v>
      </c>
      <c r="AP28" s="31">
        <f t="shared" si="59"/>
        <v>1342.85714285714</v>
      </c>
      <c r="AR28" s="31">
        <f t="shared" si="49"/>
        <v>1166.31578947368</v>
      </c>
      <c r="AS28" s="31">
        <f t="shared" si="54"/>
        <v>1057.69230769231</v>
      </c>
      <c r="AT28" s="31">
        <f t="shared" si="55"/>
        <v>1314.28571428571</v>
      </c>
      <c r="AU28" s="31">
        <f t="shared" si="4"/>
        <v>1590.90139796229</v>
      </c>
      <c r="AW28" s="31"/>
      <c r="AX28" s="31">
        <f t="shared" ref="AX28:AZ28" si="60">O28*10000/I28</f>
        <v>714.285714285714</v>
      </c>
      <c r="AY28" s="31">
        <f t="shared" si="60"/>
        <v>800</v>
      </c>
      <c r="AZ28" s="31">
        <f t="shared" si="60"/>
        <v>781.25</v>
      </c>
    </row>
    <row r="29" spans="1:52">
      <c r="A29" t="s">
        <v>48</v>
      </c>
      <c r="B29">
        <v>79</v>
      </c>
      <c r="C29">
        <v>98</v>
      </c>
      <c r="D29">
        <v>110</v>
      </c>
      <c r="E29">
        <v>136.26</v>
      </c>
      <c r="F29">
        <v>136.51</v>
      </c>
      <c r="J29">
        <v>0</v>
      </c>
      <c r="K29">
        <v>0</v>
      </c>
      <c r="L29">
        <v>2.2</v>
      </c>
      <c r="N29" s="36"/>
      <c r="O29" s="36"/>
      <c r="P29" s="36"/>
      <c r="Q29" s="36"/>
      <c r="S29" s="26">
        <v>6</v>
      </c>
      <c r="T29" s="26">
        <v>8</v>
      </c>
      <c r="U29" s="32">
        <v>13</v>
      </c>
      <c r="V29" s="26">
        <v>14</v>
      </c>
      <c r="X29" s="29">
        <v>79</v>
      </c>
      <c r="Y29" s="29">
        <v>98</v>
      </c>
      <c r="Z29" s="29">
        <v>110</v>
      </c>
      <c r="AA29" s="29">
        <v>137</v>
      </c>
      <c r="AC29" s="26">
        <v>6</v>
      </c>
      <c r="AD29" s="26">
        <v>8</v>
      </c>
      <c r="AE29" s="29">
        <v>13</v>
      </c>
      <c r="AF29" s="29">
        <v>14</v>
      </c>
      <c r="AH29" s="29">
        <v>894</v>
      </c>
      <c r="AI29" s="29">
        <v>900</v>
      </c>
      <c r="AJ29" s="29">
        <v>1116</v>
      </c>
      <c r="AK29" s="30">
        <v>1210</v>
      </c>
      <c r="AM29" s="31">
        <f t="shared" ref="AM29:AP29" si="61">AC29*10000/X29</f>
        <v>759.493670886076</v>
      </c>
      <c r="AN29" s="31">
        <f t="shared" si="61"/>
        <v>816.326530612245</v>
      </c>
      <c r="AO29" s="31">
        <f t="shared" si="61"/>
        <v>1181.81818181818</v>
      </c>
      <c r="AP29" s="31">
        <f t="shared" si="61"/>
        <v>1021.89781021898</v>
      </c>
      <c r="AR29" s="31">
        <f t="shared" si="49"/>
        <v>759.493670886076</v>
      </c>
      <c r="AS29" s="31">
        <f t="shared" si="54"/>
        <v>816.326530612245</v>
      </c>
      <c r="AT29" s="31">
        <f t="shared" si="55"/>
        <v>1181.81818181818</v>
      </c>
      <c r="AU29" s="31">
        <f t="shared" si="4"/>
        <v>1027.44752678702</v>
      </c>
      <c r="AW29" s="31"/>
      <c r="AX29" s="31"/>
      <c r="AY29" s="31"/>
      <c r="AZ29" s="31"/>
    </row>
    <row r="30" spans="1:52">
      <c r="A30" t="s">
        <v>26</v>
      </c>
      <c r="B30">
        <v>484</v>
      </c>
      <c r="C30">
        <v>640</v>
      </c>
      <c r="D30">
        <v>778</v>
      </c>
      <c r="E30">
        <v>893.42</v>
      </c>
      <c r="F30">
        <v>1102.82</v>
      </c>
      <c r="H30">
        <v>51</v>
      </c>
      <c r="I30">
        <v>76</v>
      </c>
      <c r="J30">
        <v>162</v>
      </c>
      <c r="K30">
        <v>190.7</v>
      </c>
      <c r="L30">
        <v>210.9</v>
      </c>
      <c r="N30" s="28">
        <v>2</v>
      </c>
      <c r="O30" s="28">
        <v>6</v>
      </c>
      <c r="P30" s="28">
        <v>9</v>
      </c>
      <c r="Q30" s="28">
        <v>16</v>
      </c>
      <c r="S30" s="26">
        <v>52</v>
      </c>
      <c r="T30" s="26">
        <v>71</v>
      </c>
      <c r="U30" s="26">
        <v>94</v>
      </c>
      <c r="V30" s="26">
        <v>119</v>
      </c>
      <c r="X30" s="29">
        <v>406</v>
      </c>
      <c r="Y30" s="29">
        <v>659</v>
      </c>
      <c r="Z30" s="29">
        <v>806</v>
      </c>
      <c r="AA30" s="29">
        <v>926</v>
      </c>
      <c r="AC30" s="26">
        <v>40</v>
      </c>
      <c r="AD30" s="26">
        <v>65</v>
      </c>
      <c r="AE30" s="29">
        <v>83</v>
      </c>
      <c r="AF30" s="29">
        <v>104</v>
      </c>
      <c r="AH30" s="29">
        <v>1270</v>
      </c>
      <c r="AI30" s="29">
        <v>1274</v>
      </c>
      <c r="AJ30" s="29">
        <v>1392</v>
      </c>
      <c r="AK30" s="30">
        <v>1273</v>
      </c>
      <c r="AM30" s="31">
        <f t="shared" ref="AM30:AP30" si="62">AC30*10000/X30</f>
        <v>985.221674876847</v>
      </c>
      <c r="AN30" s="31">
        <f t="shared" si="62"/>
        <v>986.342943854325</v>
      </c>
      <c r="AO30" s="31">
        <f t="shared" si="62"/>
        <v>1029.77667493797</v>
      </c>
      <c r="AP30" s="31">
        <f t="shared" si="62"/>
        <v>1123.1101511879</v>
      </c>
      <c r="AR30" s="31">
        <f t="shared" si="49"/>
        <v>1033.05785123967</v>
      </c>
      <c r="AS30" s="31">
        <f t="shared" si="54"/>
        <v>1015.625</v>
      </c>
      <c r="AT30" s="31">
        <f t="shared" si="55"/>
        <v>1092.54498714653</v>
      </c>
      <c r="AU30" s="31">
        <f t="shared" si="4"/>
        <v>1152.87322871662</v>
      </c>
      <c r="AW30" s="31">
        <f t="shared" ref="AW30:AZ30" si="63">N30*10000/H30</f>
        <v>392.156862745098</v>
      </c>
      <c r="AX30" s="31">
        <f t="shared" si="63"/>
        <v>789.473684210526</v>
      </c>
      <c r="AY30" s="31">
        <f t="shared" si="63"/>
        <v>555.555555555556</v>
      </c>
      <c r="AZ30" s="31">
        <f t="shared" si="63"/>
        <v>839.014158363922</v>
      </c>
    </row>
    <row r="31" spans="1:52">
      <c r="A31" t="s">
        <v>49</v>
      </c>
      <c r="B31">
        <v>768</v>
      </c>
      <c r="C31">
        <v>790</v>
      </c>
      <c r="D31">
        <v>836</v>
      </c>
      <c r="E31">
        <v>891.32</v>
      </c>
      <c r="F31">
        <v>1047.65</v>
      </c>
      <c r="H31">
        <v>18</v>
      </c>
      <c r="I31">
        <v>49</v>
      </c>
      <c r="J31">
        <v>71</v>
      </c>
      <c r="K31">
        <v>74</v>
      </c>
      <c r="L31">
        <v>77.1</v>
      </c>
      <c r="N31" s="28">
        <v>1</v>
      </c>
      <c r="O31" s="28">
        <v>2</v>
      </c>
      <c r="P31" s="28">
        <v>6</v>
      </c>
      <c r="Q31" s="28">
        <v>9</v>
      </c>
      <c r="S31" s="26">
        <v>73</v>
      </c>
      <c r="T31" s="26">
        <v>95</v>
      </c>
      <c r="U31" s="26">
        <v>118</v>
      </c>
      <c r="V31" s="32">
        <v>133</v>
      </c>
      <c r="X31" s="37">
        <v>769</v>
      </c>
      <c r="Y31" s="37">
        <v>790</v>
      </c>
      <c r="Z31" s="37">
        <v>852</v>
      </c>
      <c r="AA31" s="37">
        <v>908</v>
      </c>
      <c r="AC31" s="26">
        <v>73</v>
      </c>
      <c r="AD31" s="26">
        <v>93</v>
      </c>
      <c r="AE31" s="37">
        <v>112</v>
      </c>
      <c r="AF31" s="37">
        <v>125</v>
      </c>
      <c r="AH31" s="29">
        <v>1123</v>
      </c>
      <c r="AI31" s="29">
        <v>1336</v>
      </c>
      <c r="AJ31" s="29">
        <v>1511</v>
      </c>
      <c r="AK31" s="30">
        <v>1422</v>
      </c>
      <c r="AM31" s="31">
        <f t="shared" ref="AM31:AP31" si="64">AC31*10000/X31</f>
        <v>949.284785435631</v>
      </c>
      <c r="AN31" s="31">
        <f t="shared" si="64"/>
        <v>1177.21518987342</v>
      </c>
      <c r="AO31" s="31">
        <f t="shared" si="64"/>
        <v>1314.55399061033</v>
      </c>
      <c r="AP31" s="31">
        <f t="shared" si="64"/>
        <v>1376.65198237885</v>
      </c>
      <c r="AR31" s="31">
        <f t="shared" si="49"/>
        <v>937.5</v>
      </c>
      <c r="AS31" s="31">
        <f t="shared" si="54"/>
        <v>1177.21518987342</v>
      </c>
      <c r="AT31" s="31">
        <f t="shared" si="55"/>
        <v>1339.71291866029</v>
      </c>
      <c r="AU31" s="31">
        <f t="shared" si="4"/>
        <v>1391.19508145223</v>
      </c>
      <c r="AW31" s="31">
        <f t="shared" ref="AW31:AZ31" si="65">N31*10000/H31</f>
        <v>555.555555555556</v>
      </c>
      <c r="AX31" s="31">
        <f t="shared" si="65"/>
        <v>408.163265306122</v>
      </c>
      <c r="AY31" s="31">
        <f t="shared" si="65"/>
        <v>845.070422535211</v>
      </c>
      <c r="AZ31" s="31">
        <f t="shared" si="65"/>
        <v>1216.21621621622</v>
      </c>
    </row>
    <row r="32" spans="1:52">
      <c r="A32" t="s">
        <v>50</v>
      </c>
      <c r="B32">
        <v>786</v>
      </c>
      <c r="C32">
        <v>952</v>
      </c>
      <c r="D32">
        <v>1086</v>
      </c>
      <c r="E32">
        <v>1532.09</v>
      </c>
      <c r="F32">
        <v>1594.77</v>
      </c>
      <c r="H32">
        <v>5</v>
      </c>
      <c r="I32">
        <v>10</v>
      </c>
      <c r="J32">
        <v>15</v>
      </c>
      <c r="K32">
        <v>15.7</v>
      </c>
      <c r="L32">
        <v>16</v>
      </c>
      <c r="N32" s="28">
        <v>0.3</v>
      </c>
      <c r="O32" s="28">
        <v>1</v>
      </c>
      <c r="P32" s="28">
        <v>2</v>
      </c>
      <c r="Q32" s="28">
        <v>2</v>
      </c>
      <c r="S32" s="26">
        <v>113</v>
      </c>
      <c r="T32" s="26">
        <v>131</v>
      </c>
      <c r="U32" s="26">
        <v>158</v>
      </c>
      <c r="V32" s="26">
        <v>167</v>
      </c>
      <c r="X32" s="33">
        <v>785</v>
      </c>
      <c r="Y32" s="33">
        <v>946</v>
      </c>
      <c r="Z32" s="33">
        <v>1102</v>
      </c>
      <c r="AA32" s="33">
        <v>1565</v>
      </c>
      <c r="AC32" s="26">
        <v>113</v>
      </c>
      <c r="AD32" s="26">
        <v>130</v>
      </c>
      <c r="AE32" s="33">
        <v>155</v>
      </c>
      <c r="AF32" s="33">
        <v>162</v>
      </c>
      <c r="AH32" s="29">
        <v>1518</v>
      </c>
      <c r="AI32" s="29">
        <v>1464</v>
      </c>
      <c r="AJ32" s="29">
        <v>1376</v>
      </c>
      <c r="AK32" s="30">
        <v>1487</v>
      </c>
      <c r="AM32" s="31">
        <f t="shared" ref="AM32:AP32" si="66">AC32*10000/X32</f>
        <v>1439.49044585987</v>
      </c>
      <c r="AN32" s="31">
        <f t="shared" si="66"/>
        <v>1374.20718816068</v>
      </c>
      <c r="AO32" s="31">
        <f t="shared" si="66"/>
        <v>1406.5335753176</v>
      </c>
      <c r="AP32" s="31">
        <f t="shared" si="66"/>
        <v>1035.14376996805</v>
      </c>
      <c r="AR32" s="31">
        <f t="shared" si="49"/>
        <v>1433.84223918575</v>
      </c>
      <c r="AS32" s="31">
        <f t="shared" si="54"/>
        <v>1365.54621848739</v>
      </c>
      <c r="AT32" s="31">
        <f t="shared" si="55"/>
        <v>1436.46408839779</v>
      </c>
      <c r="AU32" s="31">
        <f t="shared" si="4"/>
        <v>1076.96023079584</v>
      </c>
      <c r="AW32" s="31">
        <f t="shared" ref="AW32:AZ32" si="67">N32*10000/H32</f>
        <v>600</v>
      </c>
      <c r="AX32" s="31">
        <f t="shared" si="67"/>
        <v>1000</v>
      </c>
      <c r="AY32" s="31">
        <f t="shared" si="67"/>
        <v>1333.33333333333</v>
      </c>
      <c r="AZ32" s="31">
        <f t="shared" si="67"/>
        <v>1273.88535031847</v>
      </c>
    </row>
    <row r="33" spans="1:52">
      <c r="A33" t="s">
        <v>51</v>
      </c>
      <c r="B33">
        <v>587</v>
      </c>
      <c r="C33">
        <v>761</v>
      </c>
      <c r="D33">
        <v>844</v>
      </c>
      <c r="E33">
        <v>1121.96</v>
      </c>
      <c r="F33">
        <v>1303.36</v>
      </c>
      <c r="H33">
        <v>33</v>
      </c>
      <c r="I33">
        <v>55</v>
      </c>
      <c r="J33">
        <v>74</v>
      </c>
      <c r="K33">
        <v>75.2</v>
      </c>
      <c r="L33">
        <v>80.6</v>
      </c>
      <c r="N33" s="28">
        <v>3</v>
      </c>
      <c r="O33" s="28">
        <v>4</v>
      </c>
      <c r="P33" s="28">
        <v>8</v>
      </c>
      <c r="Q33" s="28">
        <v>10</v>
      </c>
      <c r="S33" s="26">
        <v>76</v>
      </c>
      <c r="T33" s="26">
        <v>97</v>
      </c>
      <c r="U33" s="26">
        <v>115</v>
      </c>
      <c r="V33" s="26">
        <v>136</v>
      </c>
      <c r="X33" s="29">
        <v>612</v>
      </c>
      <c r="Y33" s="29">
        <v>799</v>
      </c>
      <c r="Z33" s="29">
        <v>895</v>
      </c>
      <c r="AA33" s="29">
        <v>1173</v>
      </c>
      <c r="AC33" s="26">
        <v>75</v>
      </c>
      <c r="AD33" s="26">
        <v>96</v>
      </c>
      <c r="AE33" s="29">
        <v>112</v>
      </c>
      <c r="AF33" s="29">
        <v>133</v>
      </c>
      <c r="AH33" s="29">
        <v>1326</v>
      </c>
      <c r="AI33" s="29">
        <v>1383</v>
      </c>
      <c r="AJ33" s="29">
        <v>1393</v>
      </c>
      <c r="AK33" s="30">
        <v>1371</v>
      </c>
      <c r="AM33" s="31">
        <f t="shared" ref="AM33:AP33" si="68">AC33*10000/X33</f>
        <v>1225.49019607843</v>
      </c>
      <c r="AN33" s="31">
        <f t="shared" si="68"/>
        <v>1201.50187734668</v>
      </c>
      <c r="AO33" s="31">
        <f t="shared" si="68"/>
        <v>1251.39664804469</v>
      </c>
      <c r="AP33" s="31">
        <f t="shared" si="68"/>
        <v>1133.84484228474</v>
      </c>
      <c r="AR33" s="31">
        <f t="shared" si="49"/>
        <v>1243.61158432709</v>
      </c>
      <c r="AS33" s="31">
        <f t="shared" si="54"/>
        <v>1222.07621550591</v>
      </c>
      <c r="AT33" s="31">
        <f t="shared" si="55"/>
        <v>1267.77251184834</v>
      </c>
      <c r="AU33" s="31">
        <f t="shared" si="4"/>
        <v>1123.03468929374</v>
      </c>
      <c r="AW33" s="31">
        <f t="shared" ref="AW33:AZ33" si="69">N33*10000/H33</f>
        <v>909.090909090909</v>
      </c>
      <c r="AX33" s="31">
        <f t="shared" si="69"/>
        <v>727.272727272727</v>
      </c>
      <c r="AY33" s="31">
        <f t="shared" si="69"/>
        <v>1081.08108108108</v>
      </c>
      <c r="AZ33" s="31">
        <f t="shared" si="69"/>
        <v>1329.78723404255</v>
      </c>
    </row>
    <row r="34" spans="1:52">
      <c r="A34" t="s">
        <v>52</v>
      </c>
      <c r="B34">
        <v>933</v>
      </c>
      <c r="C34">
        <v>976</v>
      </c>
      <c r="D34">
        <v>1027</v>
      </c>
      <c r="E34">
        <v>1282.68</v>
      </c>
      <c r="F34">
        <v>1331.98</v>
      </c>
      <c r="H34">
        <v>1</v>
      </c>
      <c r="I34">
        <v>2</v>
      </c>
      <c r="J34">
        <v>14</v>
      </c>
      <c r="K34">
        <v>16.7</v>
      </c>
      <c r="L34">
        <v>17.2</v>
      </c>
      <c r="N34" s="27">
        <v>0.01</v>
      </c>
      <c r="O34" s="35">
        <v>0.1</v>
      </c>
      <c r="P34" s="28">
        <v>1</v>
      </c>
      <c r="Q34" s="28">
        <v>2</v>
      </c>
      <c r="S34" s="26">
        <v>107</v>
      </c>
      <c r="T34" s="26">
        <v>116</v>
      </c>
      <c r="U34" s="26">
        <v>132</v>
      </c>
      <c r="V34" s="26">
        <v>157</v>
      </c>
      <c r="X34" s="29">
        <v>934</v>
      </c>
      <c r="Y34" s="29">
        <v>978</v>
      </c>
      <c r="Z34" s="29">
        <v>1072</v>
      </c>
      <c r="AA34" s="29">
        <v>1266</v>
      </c>
      <c r="AC34" s="26">
        <v>107</v>
      </c>
      <c r="AD34" s="26">
        <v>116</v>
      </c>
      <c r="AE34" s="29">
        <v>132</v>
      </c>
      <c r="AF34" s="29">
        <v>157</v>
      </c>
      <c r="AH34" s="33">
        <v>1156</v>
      </c>
      <c r="AI34" s="33">
        <v>1228</v>
      </c>
      <c r="AJ34" s="33">
        <v>1396</v>
      </c>
      <c r="AK34" s="34">
        <v>1284</v>
      </c>
      <c r="AM34" s="31">
        <f t="shared" ref="AM34:AP34" si="70">AC34*10000/X34</f>
        <v>1145.61027837259</v>
      </c>
      <c r="AN34" s="31">
        <f t="shared" si="70"/>
        <v>1186.09406952965</v>
      </c>
      <c r="AO34" s="31">
        <f t="shared" si="70"/>
        <v>1231.34328358209</v>
      </c>
      <c r="AP34" s="31">
        <f t="shared" si="70"/>
        <v>1240.12638230648</v>
      </c>
      <c r="AR34" s="31">
        <f t="shared" si="49"/>
        <v>1146.73097534834</v>
      </c>
      <c r="AS34" s="31">
        <f t="shared" si="54"/>
        <v>1187.5</v>
      </c>
      <c r="AT34" s="31">
        <f t="shared" si="55"/>
        <v>1275.55988315482</v>
      </c>
      <c r="AU34" s="31">
        <f t="shared" si="4"/>
        <v>1208.40739701251</v>
      </c>
      <c r="AW34" s="31">
        <f t="shared" ref="AW34:AZ34" si="71">N34*10000/H34</f>
        <v>100</v>
      </c>
      <c r="AX34" s="31">
        <f t="shared" si="71"/>
        <v>500</v>
      </c>
      <c r="AY34" s="31">
        <f t="shared" si="71"/>
        <v>714.285714285714</v>
      </c>
      <c r="AZ34" s="31">
        <f t="shared" si="71"/>
        <v>1197.60479041916</v>
      </c>
    </row>
  </sheetData>
  <mergeCells count="8">
    <mergeCell ref="N1:Q1"/>
    <mergeCell ref="S1:V1"/>
    <mergeCell ref="X1:AA1"/>
    <mergeCell ref="AC1:AF1"/>
    <mergeCell ref="AH1:AK1"/>
    <mergeCell ref="AM1:AP1"/>
    <mergeCell ref="AR1:AU1"/>
    <mergeCell ref="AW1:AZ1"/>
  </mergeCells>
  <conditionalFormatting sqref="AH3:AU34">
    <cfRule type="colorScale" priority="2">
      <colorScale>
        <cfvo type="min"/>
        <cfvo type="percentile" val="50"/>
        <cfvo type="max"/>
        <color rgb="FFF8696B"/>
        <color rgb="FFFFEB84"/>
        <color rgb="FF63BE7B"/>
      </colorScale>
    </cfRule>
  </conditionalFormatting>
  <conditionalFormatting sqref="AW3:AZ34">
    <cfRule type="colorScale" priority="1">
      <colorScale>
        <cfvo type="min"/>
        <cfvo type="percentile" val="50"/>
        <cfvo type="max"/>
        <color rgb="FFF8696B"/>
        <color rgb="FFFFEB84"/>
        <color rgb="FF63BE7B"/>
      </colorScale>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75"/>
  <sheetViews>
    <sheetView workbookViewId="0">
      <selection activeCell="A1" sqref="A1"/>
    </sheetView>
  </sheetViews>
  <sheetFormatPr defaultColWidth="9" defaultRowHeight="13.5"/>
  <cols>
    <col min="1" max="1" width="21.3362831858407" customWidth="1"/>
    <col min="2" max="37" width="9.20353982300885" customWidth="1"/>
  </cols>
  <sheetData>
    <row r="1" spans="1:51">
      <c r="B1">
        <v>201901</v>
      </c>
      <c r="C1">
        <v>201902</v>
      </c>
      <c r="D1">
        <v>201903</v>
      </c>
      <c r="E1">
        <v>201904</v>
      </c>
      <c r="F1">
        <v>201905</v>
      </c>
      <c r="G1">
        <v>201906</v>
      </c>
      <c r="H1">
        <v>201907</v>
      </c>
      <c r="I1">
        <v>201908</v>
      </c>
      <c r="J1">
        <v>201909</v>
      </c>
      <c r="K1">
        <v>201910</v>
      </c>
      <c r="L1">
        <v>201911</v>
      </c>
      <c r="M1">
        <v>201912</v>
      </c>
      <c r="N1">
        <v>202001</v>
      </c>
      <c r="O1">
        <v>202002</v>
      </c>
      <c r="P1">
        <v>202003</v>
      </c>
      <c r="Q1">
        <v>202004</v>
      </c>
      <c r="R1">
        <v>202005</v>
      </c>
      <c r="S1">
        <v>202006</v>
      </c>
      <c r="T1">
        <v>202007</v>
      </c>
      <c r="U1">
        <v>202008</v>
      </c>
      <c r="V1">
        <v>202009</v>
      </c>
      <c r="W1">
        <v>202010</v>
      </c>
      <c r="X1">
        <v>202011</v>
      </c>
      <c r="Y1">
        <v>202012</v>
      </c>
      <c r="Z1">
        <v>202101</v>
      </c>
      <c r="AA1">
        <v>202102</v>
      </c>
      <c r="AB1">
        <v>202103</v>
      </c>
      <c r="AC1">
        <v>202104</v>
      </c>
      <c r="AD1">
        <v>202105</v>
      </c>
      <c r="AE1">
        <v>202106</v>
      </c>
      <c r="AF1">
        <v>202107</v>
      </c>
      <c r="AG1">
        <v>202108</v>
      </c>
      <c r="AH1">
        <v>202109</v>
      </c>
      <c r="AI1">
        <v>202110</v>
      </c>
      <c r="AJ1">
        <v>202111</v>
      </c>
      <c r="AK1">
        <v>202112</v>
      </c>
      <c r="AN1">
        <v>1</v>
      </c>
      <c r="AO1">
        <v>2</v>
      </c>
      <c r="AP1">
        <v>3</v>
      </c>
      <c r="AQ1">
        <v>4</v>
      </c>
      <c r="AR1">
        <v>5</v>
      </c>
      <c r="AS1">
        <v>6</v>
      </c>
      <c r="AT1">
        <v>7</v>
      </c>
      <c r="AU1">
        <v>8</v>
      </c>
      <c r="AV1">
        <v>9</v>
      </c>
      <c r="AW1">
        <v>10</v>
      </c>
      <c r="AX1">
        <v>11</v>
      </c>
      <c r="AY1">
        <v>12</v>
      </c>
    </row>
    <row r="2" spans="1:51">
      <c r="A2" t="s">
        <v>53</v>
      </c>
      <c r="B2" s="16"/>
      <c r="C2" s="16"/>
      <c r="D2" s="16"/>
      <c r="E2" s="16"/>
      <c r="F2" s="16"/>
      <c r="G2" s="16">
        <v>0.35</v>
      </c>
      <c r="H2" s="16">
        <v>0.063897</v>
      </c>
      <c r="I2" s="16">
        <v>0.2317335</v>
      </c>
      <c r="J2" s="16">
        <v>0.247972</v>
      </c>
      <c r="K2" s="16">
        <v>0.888244</v>
      </c>
      <c r="L2" s="16"/>
      <c r="M2" s="16"/>
      <c r="N2" s="16">
        <v>0.040062</v>
      </c>
      <c r="O2" s="16">
        <v>0</v>
      </c>
      <c r="P2" s="16">
        <v>0.003069</v>
      </c>
      <c r="Q2" s="16">
        <v>0.021942</v>
      </c>
      <c r="R2" s="16">
        <v>0.058974</v>
      </c>
      <c r="S2" s="16">
        <v>0.090849</v>
      </c>
      <c r="T2" s="16">
        <v>0.065412</v>
      </c>
      <c r="U2" s="16">
        <f t="shared" ref="U2:U35" si="0">U39-T39</f>
        <v>0.138801</v>
      </c>
      <c r="V2" s="16">
        <v>0.1535</v>
      </c>
      <c r="W2" s="16">
        <v>0.1281</v>
      </c>
      <c r="X2" s="16">
        <v>0.2161</v>
      </c>
      <c r="Y2" s="16"/>
      <c r="Z2" s="16">
        <v>0.1786</v>
      </c>
      <c r="AA2" s="16">
        <v>0.0738</v>
      </c>
      <c r="AB2" s="16">
        <v>0.1198</v>
      </c>
      <c r="AC2" s="16">
        <v>0.2117</v>
      </c>
      <c r="AD2" s="16">
        <v>0.3528</v>
      </c>
      <c r="AE2" s="16">
        <v>0.3831</v>
      </c>
      <c r="AF2" s="16">
        <v>0.8349</v>
      </c>
      <c r="AG2" s="16">
        <v>0.4129</v>
      </c>
      <c r="AH2" s="16">
        <v>0.9094</v>
      </c>
      <c r="AI2" s="16">
        <v>0.5307</v>
      </c>
      <c r="AJ2" s="16">
        <v>1.6774</v>
      </c>
      <c r="AK2" s="16">
        <v>5.2768</v>
      </c>
      <c r="AN2" s="16"/>
      <c r="AO2" s="16"/>
      <c r="AP2" s="16"/>
      <c r="AQ2" s="16"/>
      <c r="AR2" s="16"/>
      <c r="AS2" s="16">
        <v>18.5208</v>
      </c>
      <c r="AT2" s="16">
        <v>19.7179</v>
      </c>
      <c r="AU2" s="16">
        <v>26.5132</v>
      </c>
      <c r="AV2" s="16">
        <v>37.5837</v>
      </c>
      <c r="AW2" s="16">
        <v>44.4781151</v>
      </c>
      <c r="AX2" s="16"/>
      <c r="AY2" s="16"/>
    </row>
    <row r="3" spans="1:51">
      <c r="A3" t="s">
        <v>54</v>
      </c>
      <c r="B3" s="16"/>
      <c r="C3" s="16"/>
      <c r="D3" s="16"/>
      <c r="E3" s="16"/>
      <c r="F3" s="16"/>
      <c r="G3" s="16">
        <v>0.04</v>
      </c>
      <c r="H3" s="16">
        <v>0.411</v>
      </c>
      <c r="I3" s="16">
        <v>0.056102</v>
      </c>
      <c r="J3" s="16">
        <v>0.025725</v>
      </c>
      <c r="K3" s="16">
        <v>0.150136</v>
      </c>
      <c r="L3" s="16"/>
      <c r="M3" s="16"/>
      <c r="N3" s="16">
        <v>0.0008</v>
      </c>
      <c r="O3" s="16">
        <v>0</v>
      </c>
      <c r="P3" s="16">
        <v>0</v>
      </c>
      <c r="Q3" s="16">
        <v>0.00338</v>
      </c>
      <c r="R3" s="16">
        <v>0.0024</v>
      </c>
      <c r="S3" s="16">
        <v>0.0096</v>
      </c>
      <c r="T3" s="16">
        <v>0.14733</v>
      </c>
      <c r="U3" s="16">
        <f t="shared" si="0"/>
        <v>0.155124</v>
      </c>
      <c r="V3" s="16">
        <v>0.1373</v>
      </c>
      <c r="W3" s="16">
        <v>0.1514</v>
      </c>
      <c r="X3" s="16">
        <v>0.4185</v>
      </c>
      <c r="Y3" s="16"/>
      <c r="Z3" s="16">
        <v>0.0438</v>
      </c>
      <c r="AA3" s="16">
        <v>0.0489</v>
      </c>
      <c r="AB3" s="16">
        <v>0.0628</v>
      </c>
      <c r="AC3" s="16">
        <v>0.1516</v>
      </c>
      <c r="AD3" s="16">
        <v>0.2041</v>
      </c>
      <c r="AE3" s="16">
        <v>0.2821</v>
      </c>
      <c r="AF3" s="16">
        <v>0.1881</v>
      </c>
      <c r="AG3" s="16">
        <v>0.2924</v>
      </c>
      <c r="AH3" s="16">
        <v>0.3213</v>
      </c>
      <c r="AI3" s="16">
        <v>0.2483</v>
      </c>
      <c r="AJ3" s="16">
        <v>0.3474</v>
      </c>
      <c r="AK3" s="16">
        <v>0.5951</v>
      </c>
      <c r="AN3">
        <v>4.7263237</v>
      </c>
      <c r="AO3">
        <v>0.4216055</v>
      </c>
      <c r="AP3">
        <v>4.610248</v>
      </c>
      <c r="AQ3">
        <v>17.147776</v>
      </c>
      <c r="AR3">
        <v>25.4394065</v>
      </c>
      <c r="AS3">
        <v>32.9978439</v>
      </c>
      <c r="AT3">
        <v>38.5484282</v>
      </c>
      <c r="AU3">
        <v>45.48620967</v>
      </c>
      <c r="AV3">
        <v>57.9509</v>
      </c>
      <c r="AW3">
        <v>56.7659</v>
      </c>
      <c r="AX3">
        <v>173.2052</v>
      </c>
    </row>
    <row r="4" spans="1:51">
      <c r="A4" t="s">
        <v>55</v>
      </c>
      <c r="B4" s="16"/>
      <c r="C4" s="16"/>
      <c r="D4" s="16"/>
      <c r="E4" s="16"/>
      <c r="F4" s="16"/>
      <c r="G4" s="16">
        <v>9.108782</v>
      </c>
      <c r="H4" s="16">
        <v>7.613066</v>
      </c>
      <c r="I4" s="16">
        <v>12.893203</v>
      </c>
      <c r="J4" s="16">
        <v>17.390082</v>
      </c>
      <c r="K4" s="16">
        <v>12.927215</v>
      </c>
      <c r="L4" s="16"/>
      <c r="M4" s="16"/>
      <c r="N4" s="16">
        <v>2.6241187</v>
      </c>
      <c r="O4" s="16">
        <v>0.1307875</v>
      </c>
      <c r="P4" s="16">
        <v>1.5698509</v>
      </c>
      <c r="Q4" s="16">
        <v>9.6245205</v>
      </c>
      <c r="R4" s="16">
        <v>12.905168</v>
      </c>
      <c r="S4" s="16">
        <v>16.8376417</v>
      </c>
      <c r="T4" s="16">
        <v>17.3631857</v>
      </c>
      <c r="U4" s="16">
        <f t="shared" si="0"/>
        <v>23.966927</v>
      </c>
      <c r="V4" s="16">
        <v>31.2149</v>
      </c>
      <c r="W4" s="16">
        <v>35.1162</v>
      </c>
      <c r="X4" s="16">
        <v>64.0835</v>
      </c>
      <c r="Y4" s="16"/>
      <c r="Z4" s="16">
        <v>5.9675</v>
      </c>
      <c r="AA4" s="16">
        <v>4.1371</v>
      </c>
      <c r="AB4" s="16">
        <v>17.1836</v>
      </c>
      <c r="AC4" s="16">
        <v>37.2244</v>
      </c>
      <c r="AD4" s="16">
        <v>37.7382</v>
      </c>
      <c r="AE4" s="16">
        <v>45.6523</v>
      </c>
      <c r="AF4" s="16">
        <v>44.8371</v>
      </c>
      <c r="AG4" s="16">
        <v>49.7806</v>
      </c>
      <c r="AH4" s="16">
        <v>57.8999</v>
      </c>
      <c r="AI4" s="16">
        <v>46.1181</v>
      </c>
      <c r="AJ4" s="16">
        <v>64.4772</v>
      </c>
      <c r="AK4" s="16">
        <v>123.0571</v>
      </c>
      <c r="AN4">
        <v>12.035</v>
      </c>
      <c r="AO4">
        <v>13.3488</v>
      </c>
      <c r="AP4">
        <v>28.1457</v>
      </c>
      <c r="AQ4">
        <v>55.8136</v>
      </c>
      <c r="AR4">
        <v>63.3849</v>
      </c>
      <c r="AS4">
        <v>67.2034</v>
      </c>
      <c r="AT4">
        <v>65.5694</v>
      </c>
      <c r="AU4">
        <v>67.8232</v>
      </c>
      <c r="AV4">
        <v>69.9044</v>
      </c>
      <c r="AW4">
        <v>64.3601</v>
      </c>
      <c r="AX4">
        <v>88.13</v>
      </c>
      <c r="AY4">
        <v>157.9777</v>
      </c>
    </row>
    <row r="5" spans="1:51">
      <c r="A5" t="s">
        <v>56</v>
      </c>
      <c r="B5" s="16"/>
      <c r="C5" s="16"/>
      <c r="D5" s="16"/>
      <c r="E5" s="16"/>
      <c r="F5" s="16"/>
      <c r="G5" s="16">
        <v>6.958782</v>
      </c>
      <c r="H5" s="16">
        <v>7.2</v>
      </c>
      <c r="I5" s="16">
        <v>10.8374</v>
      </c>
      <c r="J5" s="16">
        <v>15.113119</v>
      </c>
      <c r="K5" s="16">
        <v>11.0172</v>
      </c>
      <c r="L5" s="16"/>
      <c r="M5" s="16"/>
      <c r="N5" s="16">
        <v>2.5451667</v>
      </c>
      <c r="O5" s="16">
        <v>0.1240625</v>
      </c>
      <c r="P5" s="16">
        <v>1.3597949</v>
      </c>
      <c r="Q5" s="16">
        <v>8.960305</v>
      </c>
      <c r="R5" s="16">
        <v>11.930059</v>
      </c>
      <c r="S5" s="16">
        <v>15.4752117</v>
      </c>
      <c r="T5" s="16">
        <v>15.8954722</v>
      </c>
      <c r="U5" s="16">
        <f t="shared" si="0"/>
        <v>22.71462796</v>
      </c>
      <c r="V5" s="16">
        <v>28.7508</v>
      </c>
      <c r="W5" s="16">
        <v>32.0827</v>
      </c>
      <c r="X5" s="16">
        <v>55.7591</v>
      </c>
      <c r="Y5" s="16"/>
      <c r="Z5" s="16">
        <v>5.4018</v>
      </c>
      <c r="AA5" s="16">
        <v>3.4495</v>
      </c>
      <c r="AB5" s="16">
        <v>16.2044</v>
      </c>
      <c r="AC5" s="16">
        <v>34.4905</v>
      </c>
      <c r="AD5" s="16">
        <v>33.5382</v>
      </c>
      <c r="AE5" s="16">
        <v>41.2945</v>
      </c>
      <c r="AF5" s="16">
        <v>39.2908</v>
      </c>
      <c r="AG5" s="16">
        <v>43.1765</v>
      </c>
      <c r="AH5" s="16">
        <v>51.5353</v>
      </c>
      <c r="AI5" s="16">
        <v>40.9591</v>
      </c>
      <c r="AJ5" s="16">
        <v>58.0853</v>
      </c>
      <c r="AK5" s="16">
        <v>109.535</v>
      </c>
    </row>
    <row r="6" spans="1:51">
      <c r="A6" t="s">
        <v>57</v>
      </c>
      <c r="B6" s="16"/>
      <c r="C6" s="16"/>
      <c r="D6" s="16"/>
      <c r="E6" s="16"/>
      <c r="F6" s="16"/>
      <c r="G6" s="16">
        <v>2.15</v>
      </c>
      <c r="H6" s="16">
        <v>0.413662</v>
      </c>
      <c r="I6" s="16">
        <v>2.055803</v>
      </c>
      <c r="J6" s="16">
        <v>2.276963</v>
      </c>
      <c r="K6" s="16">
        <v>1.910015</v>
      </c>
      <c r="L6" s="16"/>
      <c r="M6" s="16"/>
      <c r="N6" s="16">
        <v>0.078952</v>
      </c>
      <c r="O6" s="16">
        <v>0.006725</v>
      </c>
      <c r="P6" s="16">
        <v>0.210056</v>
      </c>
      <c r="Q6" s="16">
        <v>0.6642155</v>
      </c>
      <c r="R6" s="16">
        <v>0.975109</v>
      </c>
      <c r="S6" s="16">
        <v>1.36243</v>
      </c>
      <c r="T6" s="16">
        <v>1.4677135</v>
      </c>
      <c r="U6" s="16">
        <f t="shared" si="0"/>
        <v>1.252199</v>
      </c>
      <c r="V6" s="16">
        <v>2.4642</v>
      </c>
      <c r="W6" s="16">
        <v>3.0335</v>
      </c>
      <c r="X6" s="16">
        <v>8.3245</v>
      </c>
      <c r="Y6" s="16"/>
      <c r="Z6" s="16">
        <v>0.5657</v>
      </c>
      <c r="AA6" s="16">
        <v>0.6875</v>
      </c>
      <c r="AB6" s="16">
        <v>0.9792</v>
      </c>
      <c r="AC6" s="16">
        <v>2.7339</v>
      </c>
      <c r="AD6" s="16">
        <v>4.2</v>
      </c>
      <c r="AE6" s="16">
        <v>4.3578</v>
      </c>
      <c r="AF6" s="16">
        <v>5.5462</v>
      </c>
      <c r="AG6" s="16">
        <v>6.6041</v>
      </c>
      <c r="AH6" s="16">
        <v>6.3646</v>
      </c>
      <c r="AI6" s="16">
        <v>5.159</v>
      </c>
      <c r="AJ6" s="16">
        <v>6.3918</v>
      </c>
      <c r="AK6" s="16">
        <v>13.522</v>
      </c>
    </row>
    <row r="7" spans="1:51">
      <c r="A7" t="s">
        <v>58</v>
      </c>
      <c r="B7" s="16"/>
      <c r="C7" s="16"/>
      <c r="D7" s="16"/>
      <c r="E7" s="16"/>
      <c r="F7" s="16"/>
      <c r="G7" s="16">
        <v>1.679881</v>
      </c>
      <c r="H7" s="16">
        <v>1.289771</v>
      </c>
      <c r="I7" s="16">
        <v>2.179311</v>
      </c>
      <c r="J7" s="16">
        <v>4.2711197</v>
      </c>
      <c r="K7" s="16">
        <v>7.5039975</v>
      </c>
      <c r="L7" s="16"/>
      <c r="M7" s="16"/>
      <c r="N7" s="16">
        <v>0.097213</v>
      </c>
      <c r="O7" s="16">
        <v>0.003</v>
      </c>
      <c r="P7" s="16">
        <v>0.0946615</v>
      </c>
      <c r="Q7" s="16">
        <v>0.4809445</v>
      </c>
      <c r="R7" s="16">
        <v>1.506641</v>
      </c>
      <c r="S7" s="16">
        <v>2.857445</v>
      </c>
      <c r="T7" s="16">
        <v>3.8275771</v>
      </c>
      <c r="U7" s="16">
        <f t="shared" si="0"/>
        <v>4.6087179</v>
      </c>
      <c r="V7" s="16">
        <v>5.8826</v>
      </c>
      <c r="W7" s="16">
        <v>6.0878</v>
      </c>
      <c r="X7" s="16">
        <v>20.3292</v>
      </c>
      <c r="Y7" s="16"/>
      <c r="Z7" s="16">
        <v>0.8123</v>
      </c>
      <c r="AA7" s="16">
        <v>0.3844</v>
      </c>
      <c r="AB7" s="16">
        <v>1.0245</v>
      </c>
      <c r="AC7" s="16">
        <v>2.3394</v>
      </c>
      <c r="AD7" s="16">
        <v>4.2833</v>
      </c>
      <c r="AE7" s="16">
        <v>5.8873</v>
      </c>
      <c r="AF7" s="16">
        <v>6.7127</v>
      </c>
      <c r="AG7" s="16">
        <v>7.0306</v>
      </c>
      <c r="AH7" s="16">
        <v>7.238</v>
      </c>
      <c r="AI7" s="16">
        <v>5.9761</v>
      </c>
      <c r="AJ7" s="16">
        <v>9.9275</v>
      </c>
      <c r="AK7" s="16">
        <v>22.6447</v>
      </c>
    </row>
    <row r="8" spans="1:51">
      <c r="A8" t="s">
        <v>59</v>
      </c>
      <c r="B8" s="16"/>
      <c r="C8" s="16"/>
      <c r="D8" s="16"/>
      <c r="E8" s="16"/>
      <c r="F8" s="16"/>
      <c r="G8" s="16">
        <v>0.204246</v>
      </c>
      <c r="H8" s="16">
        <v>0.11902</v>
      </c>
      <c r="I8" s="16">
        <v>0.044382</v>
      </c>
      <c r="J8" s="16">
        <v>0.177113</v>
      </c>
      <c r="K8" s="16">
        <v>1.697067</v>
      </c>
      <c r="L8" s="16"/>
      <c r="M8" s="16"/>
      <c r="N8" s="16">
        <v>0.065763</v>
      </c>
      <c r="O8" s="16">
        <v>0</v>
      </c>
      <c r="P8" s="16">
        <v>0.0008</v>
      </c>
      <c r="Q8" s="16">
        <v>0.035856</v>
      </c>
      <c r="R8" s="16">
        <v>0.01832</v>
      </c>
      <c r="S8" s="16">
        <v>0.128705</v>
      </c>
      <c r="T8" s="16">
        <v>0.04712</v>
      </c>
      <c r="U8" s="16">
        <f t="shared" si="0"/>
        <v>0.092936</v>
      </c>
      <c r="V8" s="16">
        <v>0.3413</v>
      </c>
      <c r="W8" s="16">
        <v>0.1561</v>
      </c>
      <c r="X8" s="16">
        <v>1.0987</v>
      </c>
      <c r="Y8" s="16"/>
      <c r="Z8" s="16">
        <v>0.0726</v>
      </c>
      <c r="AA8" s="16">
        <v>0.106</v>
      </c>
      <c r="AB8" s="16">
        <v>0.0087</v>
      </c>
      <c r="AC8" s="16">
        <v>0.1003</v>
      </c>
      <c r="AD8" s="16">
        <v>0.1175</v>
      </c>
      <c r="AE8" s="16">
        <v>0.0634</v>
      </c>
      <c r="AF8" s="16">
        <v>0.2646</v>
      </c>
      <c r="AG8" s="16">
        <v>0.1491</v>
      </c>
      <c r="AH8" s="16">
        <v>0.1323</v>
      </c>
      <c r="AI8" s="16">
        <v>0.552</v>
      </c>
      <c r="AJ8" s="16">
        <v>0.7906</v>
      </c>
      <c r="AK8" s="16">
        <v>2.9517</v>
      </c>
    </row>
    <row r="9" spans="1:51">
      <c r="A9" t="s">
        <v>60</v>
      </c>
      <c r="B9" s="16"/>
      <c r="C9" s="16"/>
      <c r="D9" s="16"/>
      <c r="E9" s="16"/>
      <c r="F9" s="16"/>
      <c r="G9" s="16">
        <v>0.0016</v>
      </c>
      <c r="H9" s="16">
        <v>0.003</v>
      </c>
      <c r="I9" s="16">
        <v>0.0084</v>
      </c>
      <c r="J9" s="16">
        <v>0.0015</v>
      </c>
      <c r="K9" s="16">
        <v>0.026671</v>
      </c>
      <c r="L9" s="16"/>
      <c r="M9" s="16"/>
      <c r="N9" s="16">
        <v>0.0535</v>
      </c>
      <c r="O9" s="16">
        <v>0</v>
      </c>
      <c r="P9" s="16">
        <v>0</v>
      </c>
      <c r="Q9" s="16">
        <v>0.0091</v>
      </c>
      <c r="R9" s="16">
        <v>0.00105</v>
      </c>
      <c r="S9" s="16">
        <v>0.05856</v>
      </c>
      <c r="T9" s="16">
        <v>0.00827</v>
      </c>
      <c r="U9" s="16">
        <f t="shared" si="0"/>
        <v>0.01592</v>
      </c>
      <c r="V9" s="16">
        <v>0.0968</v>
      </c>
      <c r="W9" s="16">
        <v>0.0285</v>
      </c>
      <c r="X9" s="16">
        <v>0.4838</v>
      </c>
      <c r="Y9" s="16"/>
      <c r="Z9" s="16">
        <v>0.0616</v>
      </c>
      <c r="AA9" s="16">
        <v>0.0705</v>
      </c>
      <c r="AB9" s="16">
        <v>0.0065</v>
      </c>
      <c r="AC9" s="16">
        <v>0.088</v>
      </c>
      <c r="AD9" s="16">
        <v>0.0163</v>
      </c>
      <c r="AE9" s="16">
        <v>0.0406</v>
      </c>
      <c r="AF9" s="16">
        <v>0.2371</v>
      </c>
      <c r="AG9" s="16">
        <v>0.0325</v>
      </c>
      <c r="AH9" s="16">
        <v>0.0654</v>
      </c>
      <c r="AI9" s="16">
        <v>0.1404</v>
      </c>
      <c r="AJ9" s="16">
        <v>0.1982</v>
      </c>
      <c r="AK9" s="16">
        <v>0.281</v>
      </c>
    </row>
    <row r="10" spans="1:51">
      <c r="A10" t="s">
        <v>61</v>
      </c>
      <c r="B10" s="16"/>
      <c r="C10" s="16"/>
      <c r="D10" s="16"/>
      <c r="E10" s="16"/>
      <c r="F10" s="16"/>
      <c r="G10" s="16">
        <v>0.202646</v>
      </c>
      <c r="H10" s="16">
        <v>0.11602</v>
      </c>
      <c r="I10" s="16">
        <v>0.035982</v>
      </c>
      <c r="J10" s="16">
        <v>0.175613</v>
      </c>
      <c r="K10" s="16">
        <v>1.670396</v>
      </c>
      <c r="L10" s="16"/>
      <c r="M10" s="16"/>
      <c r="N10" s="16">
        <v>0.012263</v>
      </c>
      <c r="O10" s="16">
        <v>0</v>
      </c>
      <c r="P10" s="16">
        <v>0.0008</v>
      </c>
      <c r="Q10" s="16">
        <v>0.026756</v>
      </c>
      <c r="R10" s="16">
        <v>0.01727</v>
      </c>
      <c r="S10" s="16">
        <v>0.070145</v>
      </c>
      <c r="T10" s="16">
        <v>0.03885</v>
      </c>
      <c r="U10" s="16">
        <f t="shared" si="0"/>
        <v>0.077016</v>
      </c>
      <c r="V10" s="16">
        <v>0.2445</v>
      </c>
      <c r="W10" s="16">
        <v>0.1276</v>
      </c>
      <c r="X10" s="16">
        <v>0.6149</v>
      </c>
      <c r="Y10" s="16"/>
      <c r="Z10" s="16">
        <v>0.011</v>
      </c>
      <c r="AA10" s="16">
        <v>0.0355</v>
      </c>
      <c r="AB10" s="16">
        <v>0.0022</v>
      </c>
      <c r="AC10" s="16">
        <v>0.0123</v>
      </c>
      <c r="AD10" s="16">
        <v>0.1013</v>
      </c>
      <c r="AE10" s="16">
        <v>0.0228</v>
      </c>
      <c r="AF10" s="16">
        <v>0.0274</v>
      </c>
      <c r="AG10" s="16">
        <v>0.1166</v>
      </c>
      <c r="AH10" s="16">
        <v>0.0669</v>
      </c>
      <c r="AI10" s="16">
        <v>0.4116</v>
      </c>
      <c r="AJ10" s="16">
        <v>0.5924</v>
      </c>
      <c r="AK10" s="16">
        <v>2.6707</v>
      </c>
    </row>
    <row r="11" spans="1:51">
      <c r="A11" t="s">
        <v>62</v>
      </c>
      <c r="B11" s="16"/>
      <c r="C11" s="16"/>
      <c r="D11" s="16"/>
      <c r="E11" s="16"/>
      <c r="F11" s="16"/>
      <c r="G11" s="16">
        <v>0.8758</v>
      </c>
      <c r="H11" s="16">
        <v>0.4055</v>
      </c>
      <c r="I11" s="16">
        <v>0.701206</v>
      </c>
      <c r="J11" s="16">
        <v>1.007487</v>
      </c>
      <c r="K11" s="16">
        <v>1.357455</v>
      </c>
      <c r="L11" s="16"/>
      <c r="M11" s="16"/>
      <c r="N11" s="16">
        <v>0.011195</v>
      </c>
      <c r="O11" s="16">
        <v>0.00417</v>
      </c>
      <c r="P11" s="16">
        <v>0.00749</v>
      </c>
      <c r="Q11" s="16">
        <v>0.0783</v>
      </c>
      <c r="R11" s="16">
        <v>0.254865</v>
      </c>
      <c r="S11" s="16">
        <v>0.7939015</v>
      </c>
      <c r="T11" s="16">
        <v>1.488858</v>
      </c>
      <c r="U11" s="16">
        <f t="shared" si="0"/>
        <v>1.3783205</v>
      </c>
      <c r="V11" s="16">
        <v>1.7548</v>
      </c>
      <c r="W11" s="16">
        <v>2.3567</v>
      </c>
      <c r="X11" s="16">
        <v>6.5393</v>
      </c>
      <c r="Y11" s="16"/>
      <c r="Z11" s="16">
        <v>0.101</v>
      </c>
      <c r="AA11" s="16">
        <v>0.0711</v>
      </c>
      <c r="AB11" s="16">
        <v>0.0685</v>
      </c>
      <c r="AC11" s="16">
        <v>0.5611</v>
      </c>
      <c r="AD11" s="16">
        <v>4.2</v>
      </c>
      <c r="AE11" s="16">
        <v>2.0447</v>
      </c>
      <c r="AF11" s="16">
        <v>1.847</v>
      </c>
      <c r="AG11" s="16">
        <v>2.5361</v>
      </c>
      <c r="AH11" s="16">
        <v>3.14</v>
      </c>
      <c r="AI11" s="16">
        <v>1.028</v>
      </c>
      <c r="AJ11" s="16">
        <v>4.1059</v>
      </c>
      <c r="AK11" s="16">
        <v>11.6456</v>
      </c>
    </row>
    <row r="12" spans="1:51">
      <c r="A12" t="s">
        <v>63</v>
      </c>
      <c r="B12" s="16"/>
      <c r="C12" s="16"/>
      <c r="D12" s="16"/>
      <c r="E12" s="16"/>
      <c r="F12" s="16"/>
      <c r="G12" s="16">
        <v>0.413608</v>
      </c>
      <c r="H12" s="16">
        <v>0.133081</v>
      </c>
      <c r="I12" s="16">
        <v>0.310494</v>
      </c>
      <c r="J12" s="16">
        <v>0.617114</v>
      </c>
      <c r="K12" s="16">
        <v>0.787384</v>
      </c>
      <c r="L12" s="16"/>
      <c r="M12" s="16"/>
      <c r="N12" s="16">
        <v>0.00364</v>
      </c>
      <c r="O12" s="16">
        <v>0.145563</v>
      </c>
      <c r="P12" s="16">
        <v>0.019536</v>
      </c>
      <c r="Q12" s="16">
        <v>0.073166</v>
      </c>
      <c r="R12" s="16">
        <v>0.425222</v>
      </c>
      <c r="S12" s="16">
        <v>0.137029</v>
      </c>
      <c r="T12" s="16">
        <v>0.3465525</v>
      </c>
      <c r="U12" s="16">
        <f t="shared" si="0"/>
        <v>0.6061915</v>
      </c>
      <c r="V12" s="16">
        <v>0.6826</v>
      </c>
      <c r="W12" s="16">
        <v>0.6614</v>
      </c>
      <c r="X12" s="16">
        <v>2.9643</v>
      </c>
      <c r="Y12" s="16"/>
      <c r="Z12" s="16">
        <v>0.0559</v>
      </c>
      <c r="AA12" s="16">
        <v>0.0268</v>
      </c>
      <c r="AB12" s="16">
        <v>0.0204</v>
      </c>
      <c r="AC12" s="16">
        <v>0.1176</v>
      </c>
      <c r="AD12" s="16">
        <v>0.0856</v>
      </c>
      <c r="AE12" s="16">
        <v>0.2453</v>
      </c>
      <c r="AF12" s="16">
        <v>0.314</v>
      </c>
      <c r="AG12" s="16">
        <v>0.4064</v>
      </c>
      <c r="AH12" s="16">
        <v>0.3774</v>
      </c>
      <c r="AI12" s="16">
        <v>0.3504</v>
      </c>
      <c r="AJ12" s="16">
        <v>0.3849</v>
      </c>
      <c r="AK12" s="16">
        <v>2.6022</v>
      </c>
    </row>
    <row r="13" spans="1:51">
      <c r="A13" t="s">
        <v>64</v>
      </c>
      <c r="B13" s="16"/>
      <c r="C13" s="16"/>
      <c r="D13" s="16"/>
      <c r="E13" s="16"/>
      <c r="F13" s="16"/>
      <c r="G13" s="16">
        <v>0.068</v>
      </c>
      <c r="H13" s="16">
        <v>0.0384</v>
      </c>
      <c r="I13" s="16">
        <v>0.1291</v>
      </c>
      <c r="J13" s="16">
        <v>0.519546</v>
      </c>
      <c r="K13" s="16">
        <v>0.3276</v>
      </c>
      <c r="L13" s="16"/>
      <c r="M13" s="16"/>
      <c r="N13" s="16">
        <v>0.012</v>
      </c>
      <c r="O13" s="16">
        <v>0.0009</v>
      </c>
      <c r="P13" s="16">
        <v>0.0005</v>
      </c>
      <c r="Q13" s="16">
        <v>0.05426</v>
      </c>
      <c r="R13" s="16">
        <v>0.043028</v>
      </c>
      <c r="S13" s="16">
        <v>0.051908</v>
      </c>
      <c r="T13" s="16">
        <v>0.068205</v>
      </c>
      <c r="U13" s="16">
        <f t="shared" si="0"/>
        <v>0.103619</v>
      </c>
      <c r="V13" s="16">
        <v>0.0601</v>
      </c>
      <c r="W13" s="16">
        <v>0.2</v>
      </c>
      <c r="X13" s="16">
        <v>1.0297</v>
      </c>
      <c r="Y13" s="16"/>
      <c r="Z13" s="16">
        <v>0.0278</v>
      </c>
      <c r="AA13" s="16">
        <v>0</v>
      </c>
      <c r="AB13" s="16">
        <v>0.045</v>
      </c>
      <c r="AC13" s="16">
        <v>0.0311</v>
      </c>
      <c r="AD13" s="16">
        <v>0.0412</v>
      </c>
      <c r="AE13" s="16">
        <v>0.0694</v>
      </c>
      <c r="AF13" s="16">
        <v>0.0718</v>
      </c>
      <c r="AG13" s="16">
        <v>0.131</v>
      </c>
      <c r="AH13" s="16">
        <v>0.0915</v>
      </c>
      <c r="AI13" s="16">
        <v>0.2171</v>
      </c>
      <c r="AJ13" s="16">
        <v>0.2662</v>
      </c>
      <c r="AK13" s="16">
        <v>1.1844</v>
      </c>
    </row>
    <row r="14" spans="1:51">
      <c r="A14" t="s">
        <v>65</v>
      </c>
      <c r="B14" s="16"/>
      <c r="C14" s="16"/>
      <c r="D14" s="16"/>
      <c r="E14" s="16"/>
      <c r="F14" s="16"/>
      <c r="G14" s="16">
        <v>0.22</v>
      </c>
      <c r="H14" s="16">
        <v>0.2055</v>
      </c>
      <c r="I14" s="16">
        <v>0.2272</v>
      </c>
      <c r="J14" s="16">
        <v>0.1506</v>
      </c>
      <c r="K14" s="16">
        <v>0.3345</v>
      </c>
      <c r="L14" s="16"/>
      <c r="M14" s="16"/>
      <c r="N14" s="16">
        <v>0.046544</v>
      </c>
      <c r="O14" s="16">
        <v>0</v>
      </c>
      <c r="P14" s="16">
        <v>0.018565</v>
      </c>
      <c r="Q14" s="16">
        <v>0.0459022</v>
      </c>
      <c r="R14" s="16">
        <v>0.0726795</v>
      </c>
      <c r="S14" s="16">
        <v>0.1440565</v>
      </c>
      <c r="T14" s="16">
        <v>0.1641623</v>
      </c>
      <c r="U14" s="16">
        <f t="shared" si="0"/>
        <v>0.1490905</v>
      </c>
      <c r="V14" s="16">
        <v>0.184</v>
      </c>
      <c r="W14" s="16">
        <v>0.1204</v>
      </c>
      <c r="X14" s="16">
        <v>0.3435</v>
      </c>
      <c r="Y14" s="16"/>
      <c r="Z14" s="16">
        <v>0.0617</v>
      </c>
      <c r="AA14" s="16">
        <v>0.0365</v>
      </c>
      <c r="AB14" s="16">
        <v>0.0453</v>
      </c>
      <c r="AC14" s="16">
        <v>0.1083</v>
      </c>
      <c r="AD14" s="16">
        <v>0.1375</v>
      </c>
      <c r="AE14" s="16">
        <v>0.1329</v>
      </c>
      <c r="AF14" s="16">
        <v>0.1495</v>
      </c>
      <c r="AG14" s="16">
        <v>0.1676</v>
      </c>
      <c r="AH14" s="16">
        <v>0.1876</v>
      </c>
      <c r="AI14" s="16">
        <v>0.0716</v>
      </c>
      <c r="AJ14" s="16">
        <v>0.2706</v>
      </c>
      <c r="AK14" s="16">
        <v>0.4717</v>
      </c>
    </row>
    <row r="15" spans="1:51">
      <c r="A15" t="s">
        <v>66</v>
      </c>
      <c r="B15" s="16"/>
      <c r="C15" s="16"/>
      <c r="D15" s="16"/>
      <c r="E15" s="16"/>
      <c r="F15" s="16"/>
      <c r="G15" s="16">
        <v>2.07776</v>
      </c>
      <c r="H15" s="16">
        <v>1.8031639</v>
      </c>
      <c r="I15" s="16">
        <v>3.427096</v>
      </c>
      <c r="J15" s="16">
        <v>3.6969945</v>
      </c>
      <c r="K15" s="16">
        <v>3.6943895</v>
      </c>
      <c r="L15" s="16"/>
      <c r="M15" s="16"/>
      <c r="N15" s="16">
        <v>0.3323056</v>
      </c>
      <c r="O15" s="16">
        <v>0.009638</v>
      </c>
      <c r="P15" s="16">
        <v>0.386241</v>
      </c>
      <c r="Q15" s="16">
        <v>1.3082675</v>
      </c>
      <c r="R15" s="16">
        <v>1.754988</v>
      </c>
      <c r="S15" s="16">
        <v>1.97121</v>
      </c>
      <c r="T15" s="16">
        <v>2.2841789</v>
      </c>
      <c r="U15" s="16">
        <f t="shared" si="0"/>
        <v>2.2189055</v>
      </c>
      <c r="V15" s="16">
        <v>3.0691</v>
      </c>
      <c r="W15" s="16">
        <v>2.9263</v>
      </c>
      <c r="X15" s="16">
        <v>6.9188</v>
      </c>
      <c r="Y15" s="16"/>
      <c r="Z15" s="16">
        <v>0.3055</v>
      </c>
      <c r="AA15" s="16">
        <v>0.6522</v>
      </c>
      <c r="AB15" s="16">
        <v>1.891</v>
      </c>
      <c r="AC15" s="16">
        <v>3.0393</v>
      </c>
      <c r="AD15" s="16">
        <v>2.6704</v>
      </c>
      <c r="AE15" s="16">
        <v>2.859</v>
      </c>
      <c r="AF15" s="16">
        <v>4.0384</v>
      </c>
      <c r="AG15" s="16">
        <v>3.0402</v>
      </c>
      <c r="AH15" s="16">
        <v>3.608</v>
      </c>
      <c r="AI15" s="16">
        <v>3.6764</v>
      </c>
      <c r="AJ15" s="16">
        <v>4.9271</v>
      </c>
      <c r="AK15" s="16">
        <v>13.0681</v>
      </c>
    </row>
    <row r="16" spans="1:51">
      <c r="A16" t="s">
        <v>67</v>
      </c>
      <c r="B16" s="16"/>
      <c r="C16" s="16"/>
      <c r="D16" s="16"/>
      <c r="E16" s="16"/>
      <c r="F16" s="16"/>
      <c r="G16" s="16">
        <v>3.82102</v>
      </c>
      <c r="H16" s="16">
        <v>2.9892</v>
      </c>
      <c r="I16" s="16">
        <v>3.4746</v>
      </c>
      <c r="J16" s="16">
        <v>4.1095</v>
      </c>
      <c r="K16" s="16">
        <v>5.372</v>
      </c>
      <c r="L16" s="16"/>
      <c r="M16" s="16"/>
      <c r="N16" s="16">
        <v>1.0887465</v>
      </c>
      <c r="O16" s="16">
        <v>0.0136165</v>
      </c>
      <c r="P16" s="16">
        <v>0.7763235</v>
      </c>
      <c r="Q16" s="16">
        <v>1.7573965</v>
      </c>
      <c r="R16" s="16">
        <v>2.052077</v>
      </c>
      <c r="S16" s="16">
        <v>2.6506145</v>
      </c>
      <c r="T16" s="16">
        <v>2.5063612</v>
      </c>
      <c r="U16" s="16">
        <f t="shared" si="0"/>
        <v>2.7453643</v>
      </c>
      <c r="V16" s="16">
        <v>2.2441</v>
      </c>
      <c r="W16" s="16">
        <v>2.2235</v>
      </c>
      <c r="X16" s="16">
        <v>5.7009</v>
      </c>
      <c r="Y16" s="16"/>
      <c r="Z16" s="16">
        <v>0.8739</v>
      </c>
      <c r="AA16" s="16">
        <v>0.3364</v>
      </c>
      <c r="AB16" s="16">
        <v>0.7451</v>
      </c>
      <c r="AC16" s="16">
        <v>1.7078</v>
      </c>
      <c r="AD16" s="16">
        <v>1.3473</v>
      </c>
      <c r="AE16" s="16">
        <v>1.7208</v>
      </c>
      <c r="AF16" s="16">
        <v>1.6721</v>
      </c>
      <c r="AG16" s="16">
        <v>1.7316</v>
      </c>
      <c r="AH16" s="16">
        <v>2.7864</v>
      </c>
      <c r="AI16" s="16">
        <v>1.1857</v>
      </c>
      <c r="AJ16" s="16">
        <v>1.5615</v>
      </c>
      <c r="AK16" s="16">
        <v>2.6349</v>
      </c>
    </row>
    <row r="17" spans="1:37">
      <c r="A17" t="s">
        <v>68</v>
      </c>
      <c r="B17" s="16"/>
      <c r="C17" s="16"/>
      <c r="D17" s="16"/>
      <c r="E17" s="16"/>
      <c r="F17" s="16"/>
      <c r="G17" s="16">
        <v>1.59</v>
      </c>
      <c r="H17" s="16">
        <v>1.61722</v>
      </c>
      <c r="I17" s="16">
        <v>2.24107</v>
      </c>
      <c r="J17" s="16">
        <v>3.803373</v>
      </c>
      <c r="K17" s="16">
        <v>2.598653</v>
      </c>
      <c r="L17" s="16"/>
      <c r="M17" s="16"/>
      <c r="N17" s="16">
        <v>0.532637</v>
      </c>
      <c r="O17" s="16">
        <v>0.026503</v>
      </c>
      <c r="P17" s="16">
        <v>0.823978</v>
      </c>
      <c r="Q17" s="16">
        <v>2.1780105</v>
      </c>
      <c r="R17" s="16">
        <v>2.66089</v>
      </c>
      <c r="S17" s="16">
        <v>2.6506145</v>
      </c>
      <c r="T17" s="16">
        <v>2.9103995</v>
      </c>
      <c r="U17" s="16">
        <f t="shared" si="0"/>
        <v>3.2159675</v>
      </c>
      <c r="V17" s="16">
        <v>4.0095</v>
      </c>
      <c r="W17" s="16">
        <v>5.3842</v>
      </c>
      <c r="X17" s="16">
        <v>10.5205</v>
      </c>
      <c r="Y17" s="16"/>
      <c r="Z17" s="16">
        <v>1.7242</v>
      </c>
      <c r="AA17" s="16">
        <v>1.6982</v>
      </c>
      <c r="AB17" s="16">
        <v>3.6326</v>
      </c>
      <c r="AC17" s="16">
        <v>6.6354</v>
      </c>
      <c r="AD17" s="16">
        <v>7.1126</v>
      </c>
      <c r="AE17" s="16">
        <v>8.1017</v>
      </c>
      <c r="AF17" s="16">
        <v>7.9334</v>
      </c>
      <c r="AG17" s="16">
        <v>10.4804</v>
      </c>
      <c r="AH17" s="16">
        <v>14.6124</v>
      </c>
      <c r="AI17" s="16">
        <v>15.6656</v>
      </c>
      <c r="AJ17" s="16">
        <v>24.4845</v>
      </c>
      <c r="AK17" s="16">
        <v>35.2862</v>
      </c>
    </row>
    <row r="18" spans="1:37">
      <c r="A18" t="s">
        <v>69</v>
      </c>
      <c r="B18" s="16"/>
      <c r="C18" s="16"/>
      <c r="D18" s="16"/>
      <c r="E18" s="16"/>
      <c r="F18" s="16"/>
      <c r="G18" s="16">
        <v>0.479481</v>
      </c>
      <c r="H18" s="16">
        <v>0.7827</v>
      </c>
      <c r="I18" s="16">
        <v>1.2474</v>
      </c>
      <c r="J18" s="16">
        <v>2.3032</v>
      </c>
      <c r="K18" s="16">
        <v>2.2728</v>
      </c>
      <c r="L18" s="16"/>
      <c r="M18" s="16"/>
      <c r="N18" s="16">
        <v>0.1916311</v>
      </c>
      <c r="O18" s="16">
        <v>0.0202135</v>
      </c>
      <c r="P18" s="16">
        <v>0.2456995</v>
      </c>
      <c r="Q18" s="16">
        <v>0.6455225</v>
      </c>
      <c r="R18" s="16">
        <v>1.0073625</v>
      </c>
      <c r="S18" s="16">
        <v>1.617757</v>
      </c>
      <c r="T18" s="16">
        <v>2.3501231</v>
      </c>
      <c r="U18" s="16">
        <f t="shared" si="0"/>
        <v>2.4115068</v>
      </c>
      <c r="V18" s="16">
        <v>2.8574</v>
      </c>
      <c r="W18" s="16">
        <v>2.4506</v>
      </c>
      <c r="X18" s="16">
        <v>5.955</v>
      </c>
      <c r="Y18" s="16"/>
      <c r="Z18" s="16">
        <v>0.3664</v>
      </c>
      <c r="AA18" s="16">
        <v>0.5073</v>
      </c>
      <c r="AB18" s="16">
        <v>0.6691</v>
      </c>
      <c r="AC18" s="16">
        <v>1.596</v>
      </c>
      <c r="AD18" s="16">
        <v>2.1213</v>
      </c>
      <c r="AE18" s="16">
        <v>3.0151</v>
      </c>
      <c r="AF18" s="16">
        <v>4.9699</v>
      </c>
      <c r="AG18" s="16">
        <v>5.0143</v>
      </c>
      <c r="AH18" s="16">
        <v>6.3035</v>
      </c>
      <c r="AI18" s="16">
        <v>4.8906</v>
      </c>
      <c r="AJ18" s="16">
        <v>6.3267</v>
      </c>
      <c r="AK18" s="16">
        <v>11.6806</v>
      </c>
    </row>
    <row r="19" spans="1:37">
      <c r="A19" t="s">
        <v>70</v>
      </c>
      <c r="B19" s="16"/>
      <c r="C19" s="16"/>
      <c r="D19" s="16"/>
      <c r="E19" s="16"/>
      <c r="F19" s="16"/>
      <c r="G19" s="16">
        <v>0.85</v>
      </c>
      <c r="H19" s="16">
        <v>0.4949</v>
      </c>
      <c r="I19" s="16">
        <v>1.2747</v>
      </c>
      <c r="J19" s="16">
        <v>1.3528</v>
      </c>
      <c r="K19" s="16">
        <v>2.1525</v>
      </c>
      <c r="L19" s="16"/>
      <c r="M19" s="16"/>
      <c r="N19" s="16">
        <v>0.263909</v>
      </c>
      <c r="O19" s="16">
        <v>0.02988</v>
      </c>
      <c r="P19" s="16">
        <v>0.148262</v>
      </c>
      <c r="Q19" s="16">
        <v>0.474058</v>
      </c>
      <c r="R19" s="16">
        <v>0.848709</v>
      </c>
      <c r="S19" s="16">
        <v>1.0493385</v>
      </c>
      <c r="T19" s="16">
        <v>1.566737</v>
      </c>
      <c r="U19" s="16">
        <f t="shared" si="0"/>
        <v>1.4013665</v>
      </c>
      <c r="V19" s="16">
        <v>1.6899</v>
      </c>
      <c r="W19" s="16">
        <v>1.6599</v>
      </c>
      <c r="X19" s="16">
        <v>5.6977</v>
      </c>
      <c r="Y19" s="16"/>
      <c r="Z19" s="16">
        <v>0.5313</v>
      </c>
      <c r="AA19" s="16">
        <v>0.4902</v>
      </c>
      <c r="AB19" s="16">
        <v>0.9202</v>
      </c>
      <c r="AC19" s="16">
        <v>2.1099</v>
      </c>
      <c r="AD19" s="16">
        <v>2.3317</v>
      </c>
      <c r="AE19" s="16">
        <v>3.6781</v>
      </c>
      <c r="AF19" s="16">
        <v>4.1883</v>
      </c>
      <c r="AG19" s="16">
        <v>4.6162</v>
      </c>
      <c r="AH19" s="16">
        <v>5.5831</v>
      </c>
      <c r="AI19" s="16">
        <v>5.0449</v>
      </c>
      <c r="AJ19" s="16">
        <v>6.03</v>
      </c>
      <c r="AK19" s="16">
        <v>13.4564</v>
      </c>
    </row>
    <row r="20" spans="1:37">
      <c r="A20" t="s">
        <v>71</v>
      </c>
      <c r="B20" s="16"/>
      <c r="C20" s="16"/>
      <c r="D20" s="16"/>
      <c r="E20" s="16"/>
      <c r="F20" s="16"/>
      <c r="G20" s="16">
        <v>18.5208</v>
      </c>
      <c r="H20" s="16">
        <v>19.7179</v>
      </c>
      <c r="I20" s="16">
        <v>26.5132</v>
      </c>
      <c r="J20" s="16">
        <v>37.5837</v>
      </c>
      <c r="K20" s="16">
        <v>44.4781151</v>
      </c>
      <c r="L20" s="17"/>
      <c r="M20" s="17"/>
      <c r="N20" s="16">
        <v>4.7263237</v>
      </c>
      <c r="O20" s="16">
        <v>0.4216055</v>
      </c>
      <c r="P20" s="16">
        <v>4.610248</v>
      </c>
      <c r="Q20" s="16">
        <v>17.147776</v>
      </c>
      <c r="R20" s="16">
        <v>25.4394065</v>
      </c>
      <c r="S20" s="16">
        <v>32.9978439</v>
      </c>
      <c r="T20" s="16">
        <v>38.5484282</v>
      </c>
      <c r="U20" s="16">
        <f t="shared" si="0"/>
        <v>45.48620967</v>
      </c>
      <c r="V20" s="16">
        <v>57.9509</v>
      </c>
      <c r="W20" s="16">
        <v>56.7659</v>
      </c>
      <c r="X20" s="16">
        <v>173.2052</v>
      </c>
      <c r="Y20" s="16"/>
      <c r="Z20" s="16">
        <v>12.035</v>
      </c>
      <c r="AA20" s="16">
        <v>13.3488</v>
      </c>
      <c r="AB20" s="16">
        <v>28.1457</v>
      </c>
      <c r="AC20" s="16">
        <v>55.8136</v>
      </c>
      <c r="AD20" s="16">
        <v>63.3849</v>
      </c>
      <c r="AE20" s="16">
        <v>67.2034</v>
      </c>
      <c r="AF20" s="16">
        <v>65.5694</v>
      </c>
      <c r="AG20" s="16">
        <v>67.8232</v>
      </c>
      <c r="AH20" s="16">
        <v>69.9044</v>
      </c>
      <c r="AI20" s="16">
        <v>64.3601</v>
      </c>
      <c r="AJ20" s="16">
        <v>88.13</v>
      </c>
      <c r="AK20" s="16">
        <v>157.9777</v>
      </c>
    </row>
    <row r="21" spans="1:37">
      <c r="A21" t="s">
        <v>72</v>
      </c>
      <c r="B21" s="16"/>
      <c r="C21" s="16"/>
      <c r="D21" s="16"/>
      <c r="E21" s="16"/>
      <c r="F21" s="16"/>
      <c r="G21" s="16">
        <v>3.989911</v>
      </c>
      <c r="H21" s="16">
        <v>6.1993</v>
      </c>
      <c r="I21" s="16">
        <v>7.2633</v>
      </c>
      <c r="J21" s="16">
        <v>10.1397</v>
      </c>
      <c r="K21" s="16">
        <v>7.0479</v>
      </c>
      <c r="L21" s="16"/>
      <c r="M21" s="16"/>
      <c r="N21" s="16">
        <v>2.0353965</v>
      </c>
      <c r="O21" s="16">
        <v>0.1361685</v>
      </c>
      <c r="P21" s="16">
        <v>2.3036127</v>
      </c>
      <c r="Q21" s="16">
        <v>5.102198</v>
      </c>
      <c r="R21" s="16">
        <v>8.1400053</v>
      </c>
      <c r="S21" s="16">
        <v>9.1970828</v>
      </c>
      <c r="T21" s="16">
        <v>11.2035825</v>
      </c>
      <c r="U21" s="16">
        <f t="shared" si="0"/>
        <v>10.3740537</v>
      </c>
      <c r="V21" s="16">
        <v>13.3619</v>
      </c>
      <c r="W21" s="16">
        <v>12.2759</v>
      </c>
      <c r="X21" s="16">
        <v>30.8146</v>
      </c>
      <c r="Y21" s="16"/>
      <c r="Z21" s="16">
        <v>5.1144</v>
      </c>
      <c r="AA21" s="16">
        <v>4.8556</v>
      </c>
      <c r="AB21" s="16">
        <v>10.9216</v>
      </c>
      <c r="AC21" s="16">
        <v>19.5125</v>
      </c>
      <c r="AD21" s="16">
        <v>23.9423</v>
      </c>
      <c r="AE21" s="16">
        <v>25.5999</v>
      </c>
      <c r="AF21" s="16">
        <v>25.7589</v>
      </c>
      <c r="AG21" s="16">
        <v>23.665</v>
      </c>
      <c r="AH21" s="16">
        <v>32.3042</v>
      </c>
      <c r="AI21" s="16">
        <v>36.1791</v>
      </c>
      <c r="AJ21" s="16">
        <v>60.1343</v>
      </c>
      <c r="AK21" s="16">
        <v>81.3585</v>
      </c>
    </row>
    <row r="22" spans="1:37">
      <c r="A22" t="s">
        <v>73</v>
      </c>
      <c r="B22" s="16"/>
      <c r="C22" s="16"/>
      <c r="D22" s="16"/>
      <c r="E22" s="16"/>
      <c r="F22" s="16"/>
      <c r="G22" s="16">
        <v>0.07</v>
      </c>
      <c r="H22" s="16">
        <v>0.37</v>
      </c>
      <c r="I22" s="16">
        <v>0.667745</v>
      </c>
      <c r="J22" s="16">
        <v>0.7520806</v>
      </c>
      <c r="K22" s="16">
        <v>0.7861515</v>
      </c>
      <c r="L22" s="16"/>
      <c r="M22" s="16"/>
      <c r="N22" s="16">
        <v>0.091982</v>
      </c>
      <c r="O22" s="16">
        <v>0</v>
      </c>
      <c r="P22" s="16">
        <v>0.003725</v>
      </c>
      <c r="Q22" s="16">
        <v>0.0808935</v>
      </c>
      <c r="R22" s="16">
        <v>0.177876</v>
      </c>
      <c r="S22" s="16">
        <v>0.225732</v>
      </c>
      <c r="T22" s="16">
        <v>0.2498435</v>
      </c>
      <c r="U22" s="16">
        <f t="shared" si="0"/>
        <v>0.328436</v>
      </c>
      <c r="V22" s="16">
        <v>0.6532</v>
      </c>
      <c r="W22" s="16">
        <v>0.2377</v>
      </c>
      <c r="X22" s="16">
        <v>0.9347</v>
      </c>
      <c r="Y22" s="16"/>
      <c r="Z22" s="16">
        <v>0.3888</v>
      </c>
      <c r="AA22" s="16">
        <v>0.13</v>
      </c>
      <c r="AB22" s="16">
        <v>0.2149</v>
      </c>
      <c r="AC22" s="16">
        <v>0.2022</v>
      </c>
      <c r="AD22" s="16">
        <v>0.4327</v>
      </c>
      <c r="AE22" s="16">
        <v>0.5198</v>
      </c>
      <c r="AF22" s="16">
        <v>0.5188</v>
      </c>
      <c r="AG22" s="16">
        <v>0.5213</v>
      </c>
      <c r="AH22" s="16">
        <v>0.6615</v>
      </c>
      <c r="AI22" s="16">
        <v>0.5253</v>
      </c>
      <c r="AJ22" s="16">
        <v>0.8261</v>
      </c>
      <c r="AK22" s="16">
        <v>2.1849</v>
      </c>
    </row>
    <row r="23" spans="1:37">
      <c r="A23" t="s">
        <v>74</v>
      </c>
      <c r="B23" s="16"/>
      <c r="C23" s="16"/>
      <c r="D23" s="16"/>
      <c r="E23" s="16"/>
      <c r="F23" s="16"/>
      <c r="G23" s="16">
        <v>0.577608</v>
      </c>
      <c r="H23" s="16">
        <v>1.3045</v>
      </c>
      <c r="I23" s="16">
        <v>0.4682</v>
      </c>
      <c r="J23" s="16">
        <v>0.5686</v>
      </c>
      <c r="K23" s="16">
        <v>1.1127625</v>
      </c>
      <c r="L23" s="16"/>
      <c r="M23" s="16"/>
      <c r="N23" s="16">
        <v>0.1873</v>
      </c>
      <c r="O23" s="16">
        <v>0.0329</v>
      </c>
      <c r="P23" s="16">
        <v>0.1204</v>
      </c>
      <c r="Q23" s="16">
        <v>0.2969</v>
      </c>
      <c r="R23" s="16">
        <v>0.54001</v>
      </c>
      <c r="S23" s="16">
        <v>0.4393</v>
      </c>
      <c r="T23" s="16">
        <v>0.7314</v>
      </c>
      <c r="U23" s="16">
        <f t="shared" si="0"/>
        <v>0.69249</v>
      </c>
      <c r="V23" s="16">
        <v>0.5845</v>
      </c>
      <c r="W23" s="16">
        <v>0.7641</v>
      </c>
      <c r="X23" s="16">
        <v>2.9051</v>
      </c>
      <c r="Y23" s="16"/>
      <c r="Z23" s="16">
        <v>0.395</v>
      </c>
      <c r="AA23" s="16">
        <v>0.2492</v>
      </c>
      <c r="AB23" s="16">
        <v>0.4629</v>
      </c>
      <c r="AC23" s="16">
        <v>0.7853</v>
      </c>
      <c r="AD23" s="16">
        <v>0.8428</v>
      </c>
      <c r="AE23" s="16">
        <v>1.3032</v>
      </c>
      <c r="AF23" s="16">
        <v>1.4451</v>
      </c>
      <c r="AG23" s="16">
        <v>1.5877</v>
      </c>
      <c r="AH23" s="16">
        <v>2.3339</v>
      </c>
      <c r="AI23" s="16">
        <v>1.8666</v>
      </c>
      <c r="AJ23" s="16">
        <v>2.2483</v>
      </c>
      <c r="AK23" s="16">
        <v>5.4855</v>
      </c>
    </row>
    <row r="24" spans="1:37">
      <c r="A24" t="s">
        <v>75</v>
      </c>
      <c r="B24" s="16"/>
      <c r="C24" s="16"/>
      <c r="D24" s="16"/>
      <c r="E24" s="16"/>
      <c r="F24" s="16"/>
      <c r="G24" s="16">
        <v>0.02979</v>
      </c>
      <c r="H24" s="16">
        <v>0.010244</v>
      </c>
      <c r="I24" s="16">
        <v>0.066333</v>
      </c>
      <c r="J24" s="16">
        <v>0.0406</v>
      </c>
      <c r="K24" s="16">
        <v>0.026011</v>
      </c>
      <c r="L24" s="16"/>
      <c r="M24" s="16"/>
      <c r="N24" s="16">
        <v>0.001918</v>
      </c>
      <c r="O24" s="16">
        <v>0</v>
      </c>
      <c r="P24" s="16">
        <v>0.005626</v>
      </c>
      <c r="Q24" s="16">
        <v>0.019724</v>
      </c>
      <c r="R24" s="16">
        <v>0.005309</v>
      </c>
      <c r="S24" s="16">
        <v>0.028344</v>
      </c>
      <c r="T24" s="16">
        <v>0.022389</v>
      </c>
      <c r="U24" s="16">
        <f t="shared" si="0"/>
        <v>0.032477</v>
      </c>
      <c r="V24" s="16">
        <v>0.0062</v>
      </c>
      <c r="W24" s="16">
        <v>0.0218</v>
      </c>
      <c r="X24" s="16">
        <v>0.014</v>
      </c>
      <c r="Y24" s="16"/>
      <c r="Z24" s="16">
        <v>0.0158</v>
      </c>
      <c r="AA24" s="16">
        <v>0.0024</v>
      </c>
      <c r="AB24" s="16">
        <v>0.0096</v>
      </c>
      <c r="AC24" s="16">
        <v>0.0178</v>
      </c>
      <c r="AD24" s="16">
        <v>0.0259</v>
      </c>
      <c r="AE24" s="16">
        <v>0.0182</v>
      </c>
      <c r="AF24" s="16">
        <v>0.0334</v>
      </c>
      <c r="AG24" s="16">
        <v>0.0227</v>
      </c>
      <c r="AH24" s="16">
        <v>0.0214</v>
      </c>
      <c r="AI24" s="16">
        <v>0.0329</v>
      </c>
      <c r="AJ24" s="16">
        <v>0.0427</v>
      </c>
      <c r="AK24" s="16">
        <v>0.0754</v>
      </c>
    </row>
    <row r="25" spans="1:37">
      <c r="A25" t="s">
        <v>76</v>
      </c>
      <c r="B25" s="16"/>
      <c r="C25" s="16"/>
      <c r="D25" s="16"/>
      <c r="E25" s="16"/>
      <c r="F25" s="16"/>
      <c r="G25" s="16">
        <v>0.0451</v>
      </c>
      <c r="H25" s="16">
        <v>0.3926915</v>
      </c>
      <c r="I25" s="16">
        <v>0.067653</v>
      </c>
      <c r="J25" s="16">
        <v>0.139311</v>
      </c>
      <c r="K25" s="16">
        <v>0.24292</v>
      </c>
      <c r="L25" s="16"/>
      <c r="M25" s="16"/>
      <c r="N25" s="16">
        <v>0.052872</v>
      </c>
      <c r="O25" s="16">
        <v>0.0028</v>
      </c>
      <c r="P25" s="16">
        <v>0.01729</v>
      </c>
      <c r="Q25" s="16">
        <v>0.053575</v>
      </c>
      <c r="R25" s="16">
        <v>0.093432</v>
      </c>
      <c r="S25" s="16">
        <v>0.161192</v>
      </c>
      <c r="T25" s="16">
        <v>0.16962</v>
      </c>
      <c r="U25" s="16">
        <f t="shared" si="0"/>
        <v>0.181469</v>
      </c>
      <c r="V25" s="16">
        <v>0.1158</v>
      </c>
      <c r="W25" s="16">
        <v>0.0768</v>
      </c>
      <c r="X25" s="16">
        <v>0.6538</v>
      </c>
      <c r="Y25" s="16"/>
      <c r="Z25" s="16">
        <v>0.0411</v>
      </c>
      <c r="AA25" s="16">
        <v>0.0617</v>
      </c>
      <c r="AB25" s="16">
        <v>0.1096</v>
      </c>
      <c r="AC25" s="16">
        <v>0.3159</v>
      </c>
      <c r="AD25" s="16">
        <v>0.2469</v>
      </c>
      <c r="AE25" s="16">
        <v>0.1794</v>
      </c>
      <c r="AF25" s="16">
        <v>0.2552</v>
      </c>
      <c r="AG25" s="16">
        <v>0.3713</v>
      </c>
      <c r="AH25" s="16">
        <v>0.2741</v>
      </c>
      <c r="AI25" s="16">
        <v>0.1777</v>
      </c>
      <c r="AJ25" s="16">
        <v>0.8788</v>
      </c>
      <c r="AK25" s="16">
        <v>0.6633</v>
      </c>
    </row>
    <row r="26" spans="1:37">
      <c r="A26" t="s">
        <v>77</v>
      </c>
      <c r="B26" s="16"/>
      <c r="C26" s="16"/>
      <c r="D26" s="16"/>
      <c r="E26" s="16"/>
      <c r="F26" s="16"/>
      <c r="G26" s="16">
        <v>0.522532</v>
      </c>
      <c r="H26" s="16">
        <v>0.692597</v>
      </c>
      <c r="I26" s="16">
        <v>0.963236</v>
      </c>
      <c r="J26" s="16">
        <v>1.0876035</v>
      </c>
      <c r="K26" s="16">
        <v>1.352477</v>
      </c>
      <c r="L26" s="16"/>
      <c r="M26" s="16"/>
      <c r="N26" s="16">
        <v>0.069535</v>
      </c>
      <c r="O26" s="16">
        <v>0.017766</v>
      </c>
      <c r="P26" s="16">
        <v>0.023517</v>
      </c>
      <c r="Q26" s="16">
        <v>0.244308</v>
      </c>
      <c r="R26" s="16">
        <v>0.918487</v>
      </c>
      <c r="S26" s="16">
        <v>1.5463318</v>
      </c>
      <c r="T26" s="16">
        <v>1.3042017</v>
      </c>
      <c r="U26" s="16">
        <f t="shared" si="0"/>
        <v>2.0667652</v>
      </c>
      <c r="V26" s="16">
        <v>1.4908</v>
      </c>
      <c r="W26" s="16">
        <v>1.3628</v>
      </c>
      <c r="X26" s="16">
        <v>4.1327</v>
      </c>
      <c r="Y26" s="16"/>
      <c r="Z26" s="16">
        <v>0.0447</v>
      </c>
      <c r="AA26" s="16">
        <v>0.0444</v>
      </c>
      <c r="AB26" s="16">
        <v>0.2815</v>
      </c>
      <c r="AC26" s="16">
        <v>0.7049</v>
      </c>
      <c r="AD26" s="16">
        <v>1.0837</v>
      </c>
      <c r="AE26" s="16">
        <v>1.7691</v>
      </c>
      <c r="AF26" s="16">
        <v>1.4676</v>
      </c>
      <c r="AG26" s="16">
        <v>1.623</v>
      </c>
      <c r="AH26" s="16">
        <v>1.7329</v>
      </c>
      <c r="AI26" s="16">
        <v>1.3692</v>
      </c>
      <c r="AJ26" s="16">
        <v>2.4459</v>
      </c>
      <c r="AK26" s="16">
        <v>4.7524</v>
      </c>
    </row>
    <row r="27" spans="1:37">
      <c r="A27" t="s">
        <v>78</v>
      </c>
      <c r="B27" s="16"/>
      <c r="C27" s="16"/>
      <c r="D27" s="16"/>
      <c r="E27" s="16"/>
      <c r="F27" s="16"/>
      <c r="G27" s="16">
        <v>0.114453</v>
      </c>
      <c r="H27" s="16">
        <v>0.06131</v>
      </c>
      <c r="I27" s="16">
        <v>0.1179005</v>
      </c>
      <c r="J27" s="16">
        <v>0.162048</v>
      </c>
      <c r="K27" s="16">
        <v>0.678239</v>
      </c>
      <c r="L27" s="16"/>
      <c r="M27" s="16"/>
      <c r="N27" s="16">
        <v>0.00536</v>
      </c>
      <c r="O27" s="16">
        <v>0</v>
      </c>
      <c r="P27" s="16">
        <v>0.0092</v>
      </c>
      <c r="Q27" s="16">
        <v>0.012456</v>
      </c>
      <c r="R27" s="16">
        <v>0.029318</v>
      </c>
      <c r="S27" s="16">
        <v>0.03655</v>
      </c>
      <c r="T27" s="16">
        <v>0.052658</v>
      </c>
      <c r="U27" s="16">
        <f t="shared" si="0"/>
        <v>0.079358</v>
      </c>
      <c r="V27" s="16">
        <v>0.0544</v>
      </c>
      <c r="W27" s="16">
        <v>0.1491</v>
      </c>
      <c r="X27" s="16">
        <v>0.2991</v>
      </c>
      <c r="Y27" s="16"/>
      <c r="Z27" s="16">
        <v>0.0235</v>
      </c>
      <c r="AA27" s="16">
        <v>0.003</v>
      </c>
      <c r="AB27" s="16">
        <v>0.0268</v>
      </c>
      <c r="AC27" s="16">
        <v>0.083</v>
      </c>
      <c r="AD27" s="16">
        <v>0.0381</v>
      </c>
      <c r="AE27" s="16">
        <v>0.0537</v>
      </c>
      <c r="AF27" s="16">
        <v>0.0992</v>
      </c>
      <c r="AG27" s="16">
        <v>0.1176</v>
      </c>
      <c r="AH27" s="16">
        <v>0.0888</v>
      </c>
      <c r="AI27" s="16">
        <v>0.065</v>
      </c>
      <c r="AJ27" s="16">
        <v>0.1611</v>
      </c>
      <c r="AK27" s="16">
        <v>0.2951</v>
      </c>
    </row>
    <row r="28" spans="1:37">
      <c r="A28" t="s">
        <v>79</v>
      </c>
      <c r="B28" s="16"/>
      <c r="C28" s="16"/>
      <c r="D28" s="16"/>
      <c r="E28" s="16"/>
      <c r="F28" s="16"/>
      <c r="G28" s="16">
        <v>0.1711</v>
      </c>
      <c r="H28" s="16">
        <v>0.028</v>
      </c>
      <c r="I28" s="16">
        <v>0.0015</v>
      </c>
      <c r="J28" s="16">
        <v>0.019</v>
      </c>
      <c r="K28" s="16">
        <v>0.06676</v>
      </c>
      <c r="L28" s="16"/>
      <c r="M28" s="16"/>
      <c r="N28" s="16">
        <v>0</v>
      </c>
      <c r="O28" s="16">
        <v>0.0012</v>
      </c>
      <c r="P28" s="16">
        <v>0.318955</v>
      </c>
      <c r="Q28" s="16">
        <v>0.013824</v>
      </c>
      <c r="R28" s="16">
        <v>0.00831</v>
      </c>
      <c r="S28" s="16">
        <v>0.017066</v>
      </c>
      <c r="T28" s="16">
        <v>0.008882</v>
      </c>
      <c r="U28" s="16">
        <f t="shared" si="0"/>
        <v>0.006463</v>
      </c>
      <c r="V28" s="16">
        <v>0.0217</v>
      </c>
      <c r="W28" s="16">
        <v>0.0074</v>
      </c>
      <c r="X28" s="16">
        <v>0.1098</v>
      </c>
      <c r="Y28" s="16"/>
      <c r="Z28" s="16">
        <v>0.0012</v>
      </c>
      <c r="AA28" s="16">
        <v>0.0005</v>
      </c>
      <c r="AB28" s="16">
        <v>0.0105</v>
      </c>
      <c r="AC28" s="16">
        <v>0.0135</v>
      </c>
      <c r="AD28" s="16">
        <v>0.0135</v>
      </c>
      <c r="AE28" s="16">
        <v>0.0379</v>
      </c>
      <c r="AF28" s="16">
        <v>0.0425</v>
      </c>
      <c r="AG28" s="16">
        <v>0.0618</v>
      </c>
      <c r="AH28" s="16">
        <v>0.0317</v>
      </c>
      <c r="AI28" s="16">
        <v>0.0435</v>
      </c>
      <c r="AJ28" s="16">
        <v>0.0313</v>
      </c>
      <c r="AK28" s="16">
        <v>0.0639</v>
      </c>
    </row>
    <row r="29" spans="1:37">
      <c r="A29" t="s">
        <v>80</v>
      </c>
      <c r="B29" s="16"/>
      <c r="C29" s="16"/>
      <c r="D29" s="16"/>
      <c r="E29" s="16"/>
      <c r="F29" s="16"/>
      <c r="G29" s="16">
        <v>0.073982</v>
      </c>
      <c r="H29" s="16">
        <v>0.0302</v>
      </c>
      <c r="I29" s="16">
        <v>0.03477</v>
      </c>
      <c r="J29" s="16">
        <v>0.05875</v>
      </c>
      <c r="K29" s="16">
        <v>0.23844</v>
      </c>
      <c r="L29" s="16"/>
      <c r="M29" s="16"/>
      <c r="N29" s="16">
        <v>0.002</v>
      </c>
      <c r="O29" s="16">
        <v>0</v>
      </c>
      <c r="P29" s="16">
        <v>0.0094</v>
      </c>
      <c r="Q29" s="16">
        <v>0.0012</v>
      </c>
      <c r="R29" s="16">
        <v>0</v>
      </c>
      <c r="S29" s="16">
        <v>0.023034</v>
      </c>
      <c r="T29" s="16">
        <v>0.04463</v>
      </c>
      <c r="U29" s="16">
        <f t="shared" si="0"/>
        <v>0.039736</v>
      </c>
      <c r="V29" s="16">
        <v>0.0189</v>
      </c>
      <c r="W29" s="16">
        <v>0.0461</v>
      </c>
      <c r="X29" s="16">
        <v>0.1475</v>
      </c>
      <c r="Y29" s="16"/>
      <c r="Z29" s="16">
        <v>0.0015</v>
      </c>
      <c r="AA29" s="16">
        <v>0.0014</v>
      </c>
      <c r="AB29" s="16">
        <v>0.004</v>
      </c>
      <c r="AC29" s="16">
        <v>0.0017</v>
      </c>
      <c r="AD29" s="16">
        <v>0.0218</v>
      </c>
      <c r="AE29" s="16">
        <v>0.0118</v>
      </c>
      <c r="AF29" s="16">
        <v>0.025</v>
      </c>
      <c r="AG29" s="16">
        <v>0.0077</v>
      </c>
      <c r="AH29" s="16">
        <v>0.0265</v>
      </c>
      <c r="AI29" s="16">
        <v>0.0425</v>
      </c>
      <c r="AJ29" s="16">
        <v>0.488</v>
      </c>
      <c r="AK29" s="16">
        <v>0.1128</v>
      </c>
    </row>
    <row r="30" spans="1:37">
      <c r="A30" t="s">
        <v>81</v>
      </c>
      <c r="B30" s="16"/>
      <c r="C30" s="16"/>
      <c r="D30" s="16"/>
      <c r="E30" s="16"/>
      <c r="F30" s="16"/>
      <c r="G30" s="16">
        <v>0.0193</v>
      </c>
      <c r="H30" s="16">
        <v>0.0125</v>
      </c>
      <c r="I30" s="16">
        <v>0.0245</v>
      </c>
      <c r="J30" s="16">
        <v>0.015</v>
      </c>
      <c r="K30" s="16">
        <v>0.028156</v>
      </c>
      <c r="L30" s="16"/>
      <c r="M30" s="16"/>
      <c r="N30" s="16">
        <v>0.0013</v>
      </c>
      <c r="O30" s="16">
        <v>0</v>
      </c>
      <c r="P30" s="16">
        <v>0</v>
      </c>
      <c r="Q30" s="16">
        <v>0</v>
      </c>
      <c r="R30" s="16">
        <v>0.0226</v>
      </c>
      <c r="S30" s="16">
        <v>0</v>
      </c>
      <c r="T30" s="16">
        <v>0.00898</v>
      </c>
      <c r="U30" s="16">
        <f t="shared" si="0"/>
        <v>0.23072</v>
      </c>
      <c r="V30" s="16">
        <v>0.0191</v>
      </c>
      <c r="W30" s="16">
        <v>0.1348</v>
      </c>
      <c r="X30" s="16">
        <v>0.18</v>
      </c>
      <c r="Y30" s="16"/>
      <c r="Z30" s="16">
        <v>0.1515</v>
      </c>
      <c r="AA30" s="16">
        <v>0</v>
      </c>
      <c r="AB30" s="16">
        <v>0</v>
      </c>
      <c r="AC30" s="16">
        <v>0.0011</v>
      </c>
      <c r="AD30" s="16">
        <v>0.003</v>
      </c>
      <c r="AE30" s="16">
        <v>0</v>
      </c>
      <c r="AF30" s="16">
        <v>0.014</v>
      </c>
      <c r="AG30" s="16">
        <v>0.004</v>
      </c>
      <c r="AH30" s="16">
        <v>0</v>
      </c>
      <c r="AI30" s="16">
        <v>0.004</v>
      </c>
      <c r="AJ30" s="16">
        <v>0.0145</v>
      </c>
      <c r="AK30" s="16">
        <v>0.2086</v>
      </c>
    </row>
    <row r="31" spans="1:37">
      <c r="A31" t="s">
        <v>82</v>
      </c>
      <c r="B31" s="16"/>
      <c r="C31" s="16"/>
      <c r="D31" s="16"/>
      <c r="E31" s="16"/>
      <c r="F31" s="16"/>
      <c r="G31" s="16">
        <v>1.3559</v>
      </c>
      <c r="H31" s="16">
        <v>0.8779</v>
      </c>
      <c r="I31" s="16">
        <v>1.1135</v>
      </c>
      <c r="J31" s="16">
        <v>1.3995</v>
      </c>
      <c r="K31" s="16">
        <v>2.594</v>
      </c>
      <c r="L31" s="16"/>
      <c r="M31" s="16"/>
      <c r="N31" s="16">
        <v>0.4044185</v>
      </c>
      <c r="O31" s="16">
        <v>0.034648</v>
      </c>
      <c r="P31" s="16">
        <v>0.250464</v>
      </c>
      <c r="Q31" s="16">
        <v>0.4143295</v>
      </c>
      <c r="R31" s="16">
        <v>0.538662</v>
      </c>
      <c r="S31" s="16">
        <v>0.940128</v>
      </c>
      <c r="T31" s="16">
        <v>1.0618125</v>
      </c>
      <c r="U31" s="16">
        <f t="shared" si="0"/>
        <v>1.2222755</v>
      </c>
      <c r="V31" s="16">
        <v>1.3488</v>
      </c>
      <c r="W31" s="16">
        <v>1.6452</v>
      </c>
      <c r="X31" s="16">
        <v>3.5468</v>
      </c>
      <c r="Y31" s="16"/>
      <c r="Z31" s="16">
        <v>1.3471</v>
      </c>
      <c r="AA31" s="16">
        <v>0.659</v>
      </c>
      <c r="AB31" s="16">
        <v>0.7677</v>
      </c>
      <c r="AC31" s="16">
        <v>1.3387</v>
      </c>
      <c r="AD31" s="16">
        <v>1.396</v>
      </c>
      <c r="AE31" s="16">
        <v>1.7292</v>
      </c>
      <c r="AF31" s="16">
        <v>2.3342</v>
      </c>
      <c r="AG31" s="16">
        <v>2.5656</v>
      </c>
      <c r="AH31" s="16">
        <v>3.1139</v>
      </c>
      <c r="AI31" s="16">
        <v>2.6278</v>
      </c>
      <c r="AJ31" s="16">
        <v>4.4317</v>
      </c>
      <c r="AK31" s="16">
        <v>7.7105</v>
      </c>
    </row>
    <row r="32" spans="1:37">
      <c r="A32" t="s">
        <v>83</v>
      </c>
      <c r="B32" s="16"/>
      <c r="C32" s="16"/>
      <c r="D32" s="16"/>
      <c r="E32" s="16"/>
      <c r="F32" s="16"/>
      <c r="G32" s="16">
        <v>0.07035</v>
      </c>
      <c r="H32" s="16">
        <v>0.1758</v>
      </c>
      <c r="I32" s="16">
        <v>0.4628</v>
      </c>
      <c r="J32" s="16">
        <v>0.2199</v>
      </c>
      <c r="K32" s="16">
        <v>0.308748</v>
      </c>
      <c r="L32" s="16"/>
      <c r="M32" s="16"/>
      <c r="N32" s="16">
        <v>0.050226</v>
      </c>
      <c r="O32" s="16">
        <v>0.0109</v>
      </c>
      <c r="P32" s="16">
        <v>0.0267805</v>
      </c>
      <c r="Q32" s="16">
        <v>0.078228</v>
      </c>
      <c r="R32" s="16">
        <v>0.062393</v>
      </c>
      <c r="S32" s="16">
        <v>0.054775</v>
      </c>
      <c r="T32" s="16">
        <v>0.0713</v>
      </c>
      <c r="U32" s="16">
        <f t="shared" si="0"/>
        <v>0.0654835</v>
      </c>
      <c r="V32" s="16">
        <v>0.1418</v>
      </c>
      <c r="W32" s="16">
        <v>0.1412</v>
      </c>
      <c r="X32" s="16">
        <v>0.3631</v>
      </c>
      <c r="Y32" s="16"/>
      <c r="Z32" s="16">
        <v>0.1082</v>
      </c>
      <c r="AA32" s="16">
        <v>0.0529</v>
      </c>
      <c r="AB32" s="16">
        <v>0.0638</v>
      </c>
      <c r="AC32" s="16">
        <v>0.1244</v>
      </c>
      <c r="AD32" s="16">
        <v>0.1353</v>
      </c>
      <c r="AE32" s="16">
        <v>0.1517</v>
      </c>
      <c r="AF32" s="16">
        <v>0.2331</v>
      </c>
      <c r="AG32" s="16">
        <v>0.2302</v>
      </c>
      <c r="AH32" s="16">
        <v>0.2852</v>
      </c>
      <c r="AI32" s="16">
        <v>0.2241</v>
      </c>
      <c r="AJ32" s="16">
        <v>0.3233</v>
      </c>
      <c r="AK32" s="16">
        <v>0.6014</v>
      </c>
    </row>
    <row r="33" spans="1:37">
      <c r="A33" t="s">
        <v>84</v>
      </c>
      <c r="B33" s="16"/>
      <c r="C33" s="16"/>
      <c r="D33" s="16"/>
      <c r="E33" s="16"/>
      <c r="F33" s="16"/>
      <c r="G33" s="16">
        <v>0.0373</v>
      </c>
      <c r="H33" s="16">
        <v>0.1564</v>
      </c>
      <c r="I33" s="16">
        <v>0.0396</v>
      </c>
      <c r="J33" s="16">
        <v>0.0385</v>
      </c>
      <c r="K33" s="16">
        <v>0.1217</v>
      </c>
      <c r="L33" s="16"/>
      <c r="M33" s="16"/>
      <c r="N33" s="16">
        <v>0.0254</v>
      </c>
      <c r="O33" s="16">
        <v>0.00787</v>
      </c>
      <c r="P33" s="16">
        <v>0.0194</v>
      </c>
      <c r="Q33" s="16">
        <v>0.00735</v>
      </c>
      <c r="R33" s="16">
        <v>0.02718</v>
      </c>
      <c r="S33" s="16">
        <v>0.06235</v>
      </c>
      <c r="T33" s="16">
        <v>0.0092</v>
      </c>
      <c r="U33" s="16">
        <f t="shared" si="0"/>
        <v>-0.301045</v>
      </c>
      <c r="V33" s="16">
        <v>0.0047</v>
      </c>
      <c r="W33" s="16">
        <v>0.0517</v>
      </c>
      <c r="X33" s="16">
        <v>0.1358</v>
      </c>
      <c r="Y33" s="16"/>
      <c r="Z33" s="16">
        <v>0.0229</v>
      </c>
      <c r="AA33" s="16">
        <v>0.0468</v>
      </c>
      <c r="AB33" s="16">
        <v>0.0083</v>
      </c>
      <c r="AC33" s="16">
        <v>0.0624</v>
      </c>
      <c r="AD33" s="16">
        <v>0.0104</v>
      </c>
      <c r="AE33" s="16">
        <v>0.0894</v>
      </c>
      <c r="AF33" s="16">
        <v>0.0687</v>
      </c>
      <c r="AG33" s="16">
        <v>0.0943</v>
      </c>
      <c r="AH33" s="16">
        <v>0.1556</v>
      </c>
      <c r="AI33" s="16">
        <v>0.0791</v>
      </c>
      <c r="AJ33" s="16">
        <v>0.1317</v>
      </c>
      <c r="AK33" s="16">
        <v>0.2756</v>
      </c>
    </row>
    <row r="34" spans="1:37">
      <c r="A34" t="s">
        <v>85</v>
      </c>
      <c r="B34" s="16"/>
      <c r="C34" s="16"/>
      <c r="D34" s="16"/>
      <c r="E34" s="16"/>
      <c r="F34" s="16"/>
      <c r="G34" s="16">
        <v>0.01616</v>
      </c>
      <c r="H34" s="16">
        <v>0.008422</v>
      </c>
      <c r="I34" s="16">
        <v>0.00149</v>
      </c>
      <c r="J34" s="16">
        <v>0.004</v>
      </c>
      <c r="K34" s="16">
        <v>0.00824</v>
      </c>
      <c r="L34" s="16"/>
      <c r="M34" s="16"/>
      <c r="N34" s="16">
        <v>0.0098</v>
      </c>
      <c r="O34" s="16">
        <v>0</v>
      </c>
      <c r="P34" s="16">
        <v>0.0028</v>
      </c>
      <c r="Q34" s="16">
        <v>5e-5</v>
      </c>
      <c r="R34" s="16">
        <v>0.0062</v>
      </c>
      <c r="S34" s="16">
        <v>0.001</v>
      </c>
      <c r="T34" s="16">
        <v>0.01331</v>
      </c>
      <c r="U34" s="16">
        <f t="shared" si="0"/>
        <v>0.003753</v>
      </c>
      <c r="V34" s="16">
        <v>0.0058</v>
      </c>
      <c r="W34" s="16">
        <v>0.03</v>
      </c>
      <c r="X34" s="16">
        <v>0.0061</v>
      </c>
      <c r="Y34" s="16"/>
      <c r="Z34" s="16">
        <v>0.0219</v>
      </c>
      <c r="AA34" s="16">
        <v>0</v>
      </c>
      <c r="AB34" s="16">
        <v>0.0061</v>
      </c>
      <c r="AC34" s="16">
        <v>0.0199</v>
      </c>
      <c r="AD34" s="16">
        <v>0.0227</v>
      </c>
      <c r="AE34" s="16">
        <v>0.0214</v>
      </c>
      <c r="AF34" s="16">
        <v>0.014</v>
      </c>
      <c r="AG34" s="16">
        <v>0.0298</v>
      </c>
      <c r="AH34" s="16">
        <v>0.0108</v>
      </c>
      <c r="AI34" s="16">
        <v>0.0053</v>
      </c>
      <c r="AJ34" s="16">
        <v>0.027</v>
      </c>
      <c r="AK34" s="16">
        <v>0.0475</v>
      </c>
    </row>
    <row r="35" spans="1:37">
      <c r="A35" t="s">
        <v>86</v>
      </c>
      <c r="B35" s="16"/>
      <c r="C35" s="16"/>
      <c r="D35" s="16"/>
      <c r="E35" s="16"/>
      <c r="F35" s="16"/>
      <c r="G35" s="16">
        <v>0.012713</v>
      </c>
      <c r="H35" s="16">
        <v>0.387322</v>
      </c>
      <c r="I35" s="16">
        <v>0.0353345</v>
      </c>
      <c r="J35" s="16">
        <v>0.125937</v>
      </c>
      <c r="K35" s="16">
        <v>0.2809755</v>
      </c>
      <c r="L35" s="16"/>
      <c r="M35" s="16"/>
      <c r="N35" s="16">
        <v>0.016884</v>
      </c>
      <c r="O35" s="16">
        <v>0.023</v>
      </c>
      <c r="P35" s="16">
        <v>0.014303</v>
      </c>
      <c r="Q35" s="16">
        <v>0.00602</v>
      </c>
      <c r="R35" s="16">
        <v>0.019539</v>
      </c>
      <c r="S35" s="16">
        <v>0.02977</v>
      </c>
      <c r="T35" s="16">
        <v>0.038793</v>
      </c>
      <c r="U35" s="16">
        <f t="shared" si="0"/>
        <v>0.085791</v>
      </c>
      <c r="V35" s="16">
        <v>0.0409</v>
      </c>
      <c r="W35" s="16">
        <v>0.1034</v>
      </c>
      <c r="X35" s="16">
        <v>0.4566</v>
      </c>
      <c r="Y35" s="16"/>
      <c r="Z35" s="16">
        <v>0.0272</v>
      </c>
      <c r="AA35" s="16">
        <v>0.0863</v>
      </c>
      <c r="AB35" s="16">
        <v>0.0161</v>
      </c>
      <c r="AC35" s="16">
        <v>0.0424</v>
      </c>
      <c r="AD35" s="16">
        <v>0.0668</v>
      </c>
      <c r="AE35" s="16">
        <v>0.0333</v>
      </c>
      <c r="AF35" s="16">
        <v>0.0318</v>
      </c>
      <c r="AG35" s="16">
        <v>0.0749</v>
      </c>
      <c r="AH35" s="16">
        <v>0.0908</v>
      </c>
      <c r="AI35" s="16">
        <v>0.1088</v>
      </c>
      <c r="AJ35" s="16">
        <v>0.1126</v>
      </c>
      <c r="AK35" s="16">
        <v>0.6128</v>
      </c>
    </row>
    <row r="36" spans="1:37">
      <c r="A36" s="12" t="s">
        <v>87</v>
      </c>
      <c r="B36" s="16"/>
      <c r="C36" s="16"/>
      <c r="D36" s="16"/>
      <c r="E36" s="16"/>
      <c r="F36" s="16"/>
      <c r="G36" s="16">
        <f>SUM(G2:G35)</f>
        <v>56.718605</v>
      </c>
      <c r="H36" s="16">
        <f t="shared" ref="H36:K36" si="1">SUM(H2:H35)</f>
        <v>56.1241874</v>
      </c>
      <c r="I36" s="16">
        <f t="shared" si="1"/>
        <v>79.2162445</v>
      </c>
      <c r="J36" s="16">
        <f t="shared" si="1"/>
        <v>109.5940513</v>
      </c>
      <c r="K36" s="16">
        <f t="shared" si="1"/>
        <v>116.0598186</v>
      </c>
      <c r="L36" s="16"/>
      <c r="M36" s="16"/>
      <c r="N36" s="16">
        <f t="shared" ref="N36" si="2">SUM(N2:N35)</f>
        <v>15.6811623</v>
      </c>
      <c r="O36" s="16">
        <f t="shared" ref="O36" si="3">SUM(O2:O35)</f>
        <v>1.203917</v>
      </c>
      <c r="P36" s="16">
        <f t="shared" ref="P36" si="4">SUM(P2:P35)</f>
        <v>13.4013485</v>
      </c>
      <c r="Q36" s="16">
        <f t="shared" ref="Q36" si="5">SUM(Q2:Q35)</f>
        <v>49.9207347</v>
      </c>
      <c r="R36" s="16">
        <f t="shared" ref="R36" si="6">SUM(R2:R35)</f>
        <v>72.5635398</v>
      </c>
      <c r="S36" s="16">
        <f t="shared" ref="S36" si="7">SUM(S2:S35)</f>
        <v>93.7175164</v>
      </c>
      <c r="T36" s="16">
        <f t="shared" ref="T36" si="8">SUM(T2:T35)</f>
        <v>106.0855384</v>
      </c>
      <c r="U36" s="16">
        <f t="shared" ref="U36" si="9">SUM(U2:U35)</f>
        <v>127.84703653</v>
      </c>
      <c r="V36" s="16">
        <f t="shared" ref="V36" si="10">SUM(V2:V35)</f>
        <v>161.6568</v>
      </c>
      <c r="W36" s="16">
        <f t="shared" ref="W36" si="11">SUM(W2:W35)</f>
        <v>168.7088</v>
      </c>
      <c r="X36" s="16">
        <f t="shared" ref="X36:Z36" si="12">SUM(X2:X35)</f>
        <v>414.9029</v>
      </c>
      <c r="Y36" s="16"/>
      <c r="Z36" s="16">
        <f t="shared" si="12"/>
        <v>36.9024</v>
      </c>
      <c r="AA36" s="16">
        <f t="shared" ref="AA36" si="13">SUM(AA2:AA35)</f>
        <v>32.3539</v>
      </c>
      <c r="AB36" s="16">
        <f t="shared" ref="AB36" si="14">SUM(AB2:AB35)</f>
        <v>84.678</v>
      </c>
      <c r="AC36" s="16">
        <f t="shared" ref="AC36" si="15">SUM(AC2:AC35)</f>
        <v>172.2979</v>
      </c>
      <c r="AD36" s="16">
        <f t="shared" ref="AD36" si="16">SUM(AD2:AD35)</f>
        <v>192.2661</v>
      </c>
      <c r="AE36" s="16">
        <f t="shared" ref="AE36" si="17">SUM(AE2:AE35)</f>
        <v>218.5723</v>
      </c>
      <c r="AF36" s="16">
        <f t="shared" ref="AF36" si="18">SUM(AF2:AF35)</f>
        <v>221.0342</v>
      </c>
      <c r="AG36" s="16">
        <f t="shared" ref="AG36" si="19">SUM(AG2:AG35)</f>
        <v>234.5192</v>
      </c>
      <c r="AH36" s="16">
        <f t="shared" ref="AH36" si="20">SUM(AH2:AH35)</f>
        <v>272.2587</v>
      </c>
      <c r="AI36" s="16">
        <f t="shared" ref="AI36" si="21">SUM(AI2:AI35)</f>
        <v>239.9366</v>
      </c>
      <c r="AJ36" s="16">
        <f t="shared" ref="AJ36" si="22">SUM(AJ2:AJ35)</f>
        <v>351.2725</v>
      </c>
      <c r="AK36" s="16">
        <f t="shared" ref="AK36" si="23">SUM(AK2:AK35)</f>
        <v>634.9901</v>
      </c>
    </row>
    <row r="38" spans="1:37">
      <c r="B38">
        <v>201901</v>
      </c>
      <c r="C38">
        <v>201902</v>
      </c>
      <c r="D38">
        <v>201903</v>
      </c>
      <c r="E38">
        <v>201904</v>
      </c>
      <c r="F38">
        <v>201905</v>
      </c>
      <c r="G38">
        <v>201906</v>
      </c>
      <c r="H38">
        <v>201907</v>
      </c>
      <c r="I38">
        <v>201908</v>
      </c>
      <c r="J38">
        <v>201909</v>
      </c>
      <c r="K38">
        <v>201910</v>
      </c>
      <c r="L38">
        <v>201911</v>
      </c>
      <c r="M38">
        <v>201912</v>
      </c>
      <c r="N38">
        <v>202001</v>
      </c>
      <c r="O38">
        <v>202002</v>
      </c>
      <c r="P38">
        <v>202003</v>
      </c>
      <c r="Q38">
        <v>202004</v>
      </c>
      <c r="R38">
        <v>202005</v>
      </c>
      <c r="S38">
        <v>202006</v>
      </c>
      <c r="T38">
        <v>202007</v>
      </c>
      <c r="U38">
        <v>202008</v>
      </c>
      <c r="V38">
        <v>202009</v>
      </c>
      <c r="W38">
        <v>202010</v>
      </c>
      <c r="X38">
        <v>202011</v>
      </c>
      <c r="Y38">
        <v>202012</v>
      </c>
      <c r="Z38">
        <v>202101</v>
      </c>
      <c r="AA38">
        <v>202102</v>
      </c>
      <c r="AB38">
        <v>202103</v>
      </c>
      <c r="AC38">
        <v>202104</v>
      </c>
      <c r="AD38">
        <v>202105</v>
      </c>
      <c r="AE38">
        <v>202106</v>
      </c>
      <c r="AF38">
        <v>202107</v>
      </c>
      <c r="AG38">
        <v>202108</v>
      </c>
      <c r="AH38">
        <v>202109</v>
      </c>
      <c r="AI38">
        <v>202110</v>
      </c>
      <c r="AJ38">
        <v>202111</v>
      </c>
      <c r="AK38">
        <v>202112</v>
      </c>
    </row>
    <row r="39" spans="1:37">
      <c r="A39" t="s">
        <v>53</v>
      </c>
      <c r="B39" s="16"/>
      <c r="C39" s="16"/>
      <c r="D39" s="16"/>
      <c r="E39" s="16"/>
      <c r="F39" s="16">
        <v>3.15</v>
      </c>
      <c r="G39" s="16">
        <f t="shared" ref="G39:G72" si="24">H39-H2</f>
        <v>3.500527</v>
      </c>
      <c r="H39" s="16">
        <v>3.564424</v>
      </c>
      <c r="I39" s="16">
        <v>4.0771135</v>
      </c>
      <c r="J39" s="16">
        <f t="shared" ref="J39:P39" si="25">I39+J2</f>
        <v>4.3250855</v>
      </c>
      <c r="K39" s="16">
        <f t="shared" si="25"/>
        <v>5.2133295</v>
      </c>
      <c r="L39" s="16"/>
      <c r="M39" s="16"/>
      <c r="N39" s="16">
        <f t="shared" si="25"/>
        <v>0.040062</v>
      </c>
      <c r="O39" s="16">
        <f t="shared" si="25"/>
        <v>0.040062</v>
      </c>
      <c r="P39" s="16">
        <f t="shared" si="25"/>
        <v>0.043131</v>
      </c>
      <c r="Q39" s="16">
        <v>0.065073</v>
      </c>
      <c r="R39" s="16">
        <v>0.124047</v>
      </c>
      <c r="S39" s="16">
        <v>0.216487</v>
      </c>
      <c r="T39" s="16">
        <v>0.284999</v>
      </c>
      <c r="U39" s="16">
        <f t="shared" ref="U39:U72" si="26">V39-V2</f>
        <v>0.4238</v>
      </c>
      <c r="V39" s="16">
        <v>0.5773</v>
      </c>
      <c r="W39" s="16">
        <v>0.7053</v>
      </c>
      <c r="X39" s="16">
        <v>0.9214</v>
      </c>
      <c r="Y39" s="16"/>
      <c r="Z39" s="16">
        <f t="shared" ref="Z39:Z72" si="27">Z2</f>
        <v>0.1786</v>
      </c>
      <c r="AA39" s="16">
        <f t="shared" ref="AA39:AD39" si="28">Z39+AA2</f>
        <v>0.2524</v>
      </c>
      <c r="AB39" s="16">
        <f t="shared" si="28"/>
        <v>0.3722</v>
      </c>
      <c r="AC39" s="16">
        <f t="shared" si="28"/>
        <v>0.5839</v>
      </c>
      <c r="AD39" s="16">
        <f t="shared" si="28"/>
        <v>0.9367</v>
      </c>
      <c r="AE39" s="16">
        <v>1.3199</v>
      </c>
      <c r="AF39" s="16">
        <v>2.1548</v>
      </c>
      <c r="AG39" s="16">
        <v>2.5677</v>
      </c>
      <c r="AH39" s="16">
        <v>3.4891</v>
      </c>
      <c r="AI39" s="16">
        <v>4.0626</v>
      </c>
      <c r="AJ39" s="16">
        <v>5.8045</v>
      </c>
      <c r="AK39" s="16">
        <v>11.5264</v>
      </c>
    </row>
    <row r="40" spans="1:37">
      <c r="A40" t="s">
        <v>54</v>
      </c>
      <c r="B40" s="16"/>
      <c r="C40" s="16"/>
      <c r="D40" s="16"/>
      <c r="E40" s="16"/>
      <c r="F40" s="16">
        <v>0.13</v>
      </c>
      <c r="G40" s="16">
        <f t="shared" si="24"/>
        <v>0.169</v>
      </c>
      <c r="H40" s="16">
        <v>0.58</v>
      </c>
      <c r="I40" s="16">
        <v>0.6354775</v>
      </c>
      <c r="J40" s="16">
        <f t="shared" ref="J40:P40" si="29">I40+J3</f>
        <v>0.6612025</v>
      </c>
      <c r="K40" s="16">
        <f t="shared" si="29"/>
        <v>0.8113385</v>
      </c>
      <c r="L40" s="16"/>
      <c r="M40" s="16"/>
      <c r="N40" s="16">
        <f t="shared" si="29"/>
        <v>0.0008</v>
      </c>
      <c r="O40" s="16">
        <f t="shared" si="29"/>
        <v>0.0008</v>
      </c>
      <c r="P40" s="16">
        <f t="shared" si="29"/>
        <v>0.0008</v>
      </c>
      <c r="Q40" s="16">
        <v>0.006275</v>
      </c>
      <c r="R40" s="16">
        <v>0.008675</v>
      </c>
      <c r="S40" s="16">
        <v>0.035075</v>
      </c>
      <c r="T40" s="16">
        <v>0.338776</v>
      </c>
      <c r="U40" s="16">
        <f t="shared" si="26"/>
        <v>0.4939</v>
      </c>
      <c r="V40" s="16">
        <v>0.6312</v>
      </c>
      <c r="W40" s="16">
        <v>0.7826</v>
      </c>
      <c r="X40" s="16">
        <v>1.2011</v>
      </c>
      <c r="Y40" s="16"/>
      <c r="Z40" s="16">
        <f t="shared" si="27"/>
        <v>0.0438</v>
      </c>
      <c r="AA40" s="16">
        <f t="shared" ref="AA40:AD40" si="30">Z40+AA3</f>
        <v>0.0927</v>
      </c>
      <c r="AB40" s="16">
        <f t="shared" si="30"/>
        <v>0.1555</v>
      </c>
      <c r="AC40" s="16">
        <f t="shared" si="30"/>
        <v>0.3071</v>
      </c>
      <c r="AD40" s="16">
        <f t="shared" si="30"/>
        <v>0.5112</v>
      </c>
      <c r="AE40" s="16">
        <v>0.7933</v>
      </c>
      <c r="AF40" s="16">
        <v>0.9815</v>
      </c>
      <c r="AG40" s="16">
        <v>1.2739</v>
      </c>
      <c r="AH40" s="16">
        <v>1.5951</v>
      </c>
      <c r="AI40" s="16">
        <v>1.8435</v>
      </c>
      <c r="AJ40" s="16">
        <v>2.1909</v>
      </c>
      <c r="AK40" s="16">
        <v>2.7859</v>
      </c>
    </row>
    <row r="41" spans="1:37">
      <c r="A41" t="s">
        <v>55</v>
      </c>
      <c r="B41" s="16"/>
      <c r="C41" s="16"/>
      <c r="D41" s="16"/>
      <c r="E41" s="16"/>
      <c r="F41" s="16">
        <v>23.74884</v>
      </c>
      <c r="G41" s="16">
        <f t="shared" si="24"/>
        <v>32.85658</v>
      </c>
      <c r="H41" s="16">
        <v>40.469646</v>
      </c>
      <c r="I41" s="16">
        <v>53.362828</v>
      </c>
      <c r="J41" s="16">
        <f t="shared" ref="J41:P41" si="31">I41+J4</f>
        <v>70.75291</v>
      </c>
      <c r="K41" s="16">
        <f t="shared" si="31"/>
        <v>83.680125</v>
      </c>
      <c r="L41" s="16"/>
      <c r="M41" s="16"/>
      <c r="N41" s="16">
        <f t="shared" si="31"/>
        <v>2.6241187</v>
      </c>
      <c r="O41" s="16">
        <f t="shared" si="31"/>
        <v>2.7549062</v>
      </c>
      <c r="P41" s="16">
        <f t="shared" si="31"/>
        <v>4.3247571</v>
      </c>
      <c r="Q41" s="16">
        <v>13.9492776</v>
      </c>
      <c r="R41" s="16">
        <v>26.8544456</v>
      </c>
      <c r="S41" s="16">
        <v>43.6920873</v>
      </c>
      <c r="T41" s="16">
        <v>61.055273</v>
      </c>
      <c r="U41" s="16">
        <f t="shared" si="26"/>
        <v>85.0222</v>
      </c>
      <c r="V41" s="16">
        <v>116.2371</v>
      </c>
      <c r="W41" s="16">
        <v>151.3534</v>
      </c>
      <c r="X41" s="16">
        <v>215.4475</v>
      </c>
      <c r="Y41" s="16"/>
      <c r="Z41" s="16">
        <f t="shared" si="27"/>
        <v>5.9675</v>
      </c>
      <c r="AA41" s="16">
        <f t="shared" ref="AA41:AD41" si="32">Z41+AA4</f>
        <v>10.1046</v>
      </c>
      <c r="AB41" s="16">
        <f t="shared" si="32"/>
        <v>27.2882</v>
      </c>
      <c r="AC41" s="16">
        <f t="shared" si="32"/>
        <v>64.5126</v>
      </c>
      <c r="AD41" s="16">
        <f t="shared" si="32"/>
        <v>102.2508</v>
      </c>
      <c r="AE41" s="16">
        <v>147.9031</v>
      </c>
      <c r="AF41" s="16">
        <v>192.7401</v>
      </c>
      <c r="AG41" s="16">
        <v>242.5224</v>
      </c>
      <c r="AH41" s="16">
        <v>300.4223</v>
      </c>
      <c r="AI41" s="16">
        <v>346.5404</v>
      </c>
      <c r="AJ41" s="16">
        <v>411.0176</v>
      </c>
      <c r="AK41" s="16">
        <v>534.0746</v>
      </c>
    </row>
    <row r="42" spans="1:37">
      <c r="A42" t="s">
        <v>56</v>
      </c>
      <c r="B42" s="16"/>
      <c r="C42" s="16"/>
      <c r="D42" s="16"/>
      <c r="E42" s="16"/>
      <c r="F42" s="16">
        <v>19.00884</v>
      </c>
      <c r="G42" s="16">
        <f t="shared" si="24"/>
        <v>25.97</v>
      </c>
      <c r="H42" s="16">
        <v>33.17</v>
      </c>
      <c r="I42" s="16">
        <v>44.0044</v>
      </c>
      <c r="J42" s="16">
        <f t="shared" ref="J42:P42" si="33">I42+J5</f>
        <v>59.117519</v>
      </c>
      <c r="K42" s="16">
        <f t="shared" si="33"/>
        <v>70.134719</v>
      </c>
      <c r="L42" s="16"/>
      <c r="M42" s="16"/>
      <c r="N42" s="16">
        <f t="shared" si="33"/>
        <v>2.5451667</v>
      </c>
      <c r="O42" s="16">
        <f t="shared" si="33"/>
        <v>2.6692292</v>
      </c>
      <c r="P42" s="16">
        <f t="shared" si="33"/>
        <v>4.0290241</v>
      </c>
      <c r="Q42" s="16">
        <v>12.9893291</v>
      </c>
      <c r="R42" s="16">
        <v>24.9193881</v>
      </c>
      <c r="S42" s="16">
        <v>40.39459984</v>
      </c>
      <c r="T42" s="16">
        <v>56.29007204</v>
      </c>
      <c r="U42" s="16">
        <f t="shared" si="26"/>
        <v>79.0047</v>
      </c>
      <c r="V42" s="16">
        <v>107.7555</v>
      </c>
      <c r="W42" s="16">
        <v>139.8382</v>
      </c>
      <c r="X42" s="16">
        <v>195.6079</v>
      </c>
      <c r="Y42" s="16"/>
      <c r="Z42" s="16">
        <f t="shared" si="27"/>
        <v>5.4018</v>
      </c>
      <c r="AA42" s="16">
        <f t="shared" ref="AA42:AD42" si="34">Z42+AA5</f>
        <v>8.8513</v>
      </c>
      <c r="AB42" s="16">
        <f t="shared" si="34"/>
        <v>25.0557</v>
      </c>
      <c r="AC42" s="16">
        <f t="shared" si="34"/>
        <v>59.5462</v>
      </c>
      <c r="AD42" s="16">
        <f t="shared" si="34"/>
        <v>93.0844</v>
      </c>
      <c r="AE42" s="16">
        <v>134.3789</v>
      </c>
      <c r="AF42" s="16">
        <v>173.6697</v>
      </c>
      <c r="AG42" s="16">
        <v>216.8479</v>
      </c>
      <c r="AH42" s="16">
        <v>268.3832</v>
      </c>
      <c r="AI42" s="16">
        <v>309.3423</v>
      </c>
      <c r="AJ42" s="16">
        <v>367.4277</v>
      </c>
      <c r="AK42" s="16">
        <v>476.9627</v>
      </c>
    </row>
    <row r="43" spans="1:37">
      <c r="A43" t="s">
        <v>57</v>
      </c>
      <c r="B43" s="16"/>
      <c r="C43" s="16"/>
      <c r="D43" s="16"/>
      <c r="E43" s="16"/>
      <c r="F43" s="16">
        <v>4.74</v>
      </c>
      <c r="G43" s="16">
        <f t="shared" si="24"/>
        <v>6.888963</v>
      </c>
      <c r="H43" s="16">
        <v>7.302625</v>
      </c>
      <c r="I43" s="16">
        <v>9.358428</v>
      </c>
      <c r="J43" s="16">
        <f t="shared" ref="J43:P43" si="35">I43+J6</f>
        <v>11.635391</v>
      </c>
      <c r="K43" s="16">
        <f t="shared" si="35"/>
        <v>13.545406</v>
      </c>
      <c r="L43" s="16"/>
      <c r="M43" s="16"/>
      <c r="N43" s="16">
        <f t="shared" si="35"/>
        <v>0.078952</v>
      </c>
      <c r="O43" s="16">
        <f t="shared" si="35"/>
        <v>0.085677</v>
      </c>
      <c r="P43" s="16">
        <f t="shared" si="35"/>
        <v>0.295733</v>
      </c>
      <c r="Q43" s="16">
        <v>0.9599485</v>
      </c>
      <c r="R43" s="16">
        <v>1.9350575</v>
      </c>
      <c r="S43" s="16">
        <v>3.2974875</v>
      </c>
      <c r="T43" s="16">
        <v>4.765201</v>
      </c>
      <c r="U43" s="16">
        <f t="shared" si="26"/>
        <v>6.0174</v>
      </c>
      <c r="V43" s="16">
        <v>8.4816</v>
      </c>
      <c r="W43" s="16">
        <v>11.5151</v>
      </c>
      <c r="X43" s="16">
        <v>19.8396</v>
      </c>
      <c r="Y43" s="16"/>
      <c r="Z43" s="16">
        <f t="shared" si="27"/>
        <v>0.5657</v>
      </c>
      <c r="AA43" s="16">
        <f t="shared" ref="AA43:AD43" si="36">Z43+AA6</f>
        <v>1.2532</v>
      </c>
      <c r="AB43" s="16">
        <f t="shared" si="36"/>
        <v>2.2324</v>
      </c>
      <c r="AC43" s="16">
        <f t="shared" si="36"/>
        <v>4.9663</v>
      </c>
      <c r="AD43" s="16">
        <f t="shared" si="36"/>
        <v>9.1663</v>
      </c>
      <c r="AE43" s="16">
        <v>13.5242</v>
      </c>
      <c r="AF43" s="16">
        <v>19.0704</v>
      </c>
      <c r="AG43" s="16">
        <v>25.6745</v>
      </c>
      <c r="AH43" s="16">
        <v>32.0391</v>
      </c>
      <c r="AI43" s="16">
        <v>37.1981</v>
      </c>
      <c r="AJ43" s="16">
        <v>43.5899</v>
      </c>
      <c r="AK43" s="16">
        <v>57.1119</v>
      </c>
    </row>
    <row r="44" spans="1:37">
      <c r="A44" t="s">
        <v>58</v>
      </c>
      <c r="B44" s="16"/>
      <c r="C44" s="16"/>
      <c r="D44" s="16"/>
      <c r="E44" s="16"/>
      <c r="F44" s="16">
        <v>10.16097</v>
      </c>
      <c r="G44" s="16">
        <f t="shared" si="24"/>
        <v>11.8408505</v>
      </c>
      <c r="H44" s="16">
        <v>13.1306215</v>
      </c>
      <c r="I44" s="16">
        <v>15.4142875</v>
      </c>
      <c r="J44" s="16">
        <f t="shared" ref="J44:P44" si="37">I44+J7</f>
        <v>19.6854072</v>
      </c>
      <c r="K44" s="16">
        <f t="shared" si="37"/>
        <v>27.1894047</v>
      </c>
      <c r="L44" s="16"/>
      <c r="M44" s="16"/>
      <c r="N44" s="16">
        <f t="shared" si="37"/>
        <v>0.097213</v>
      </c>
      <c r="O44" s="16">
        <f t="shared" si="37"/>
        <v>0.100213</v>
      </c>
      <c r="P44" s="16">
        <f t="shared" si="37"/>
        <v>0.1948745</v>
      </c>
      <c r="Q44" s="16">
        <v>0.675819</v>
      </c>
      <c r="R44" s="16">
        <v>2.18246</v>
      </c>
      <c r="S44" s="16">
        <v>5.039905</v>
      </c>
      <c r="T44" s="16">
        <v>8.8674821</v>
      </c>
      <c r="U44" s="16">
        <f t="shared" si="26"/>
        <v>13.4762</v>
      </c>
      <c r="V44" s="16">
        <v>19.3588</v>
      </c>
      <c r="W44" s="16">
        <v>25.476</v>
      </c>
      <c r="X44" s="16">
        <v>45.8052</v>
      </c>
      <c r="Y44" s="16"/>
      <c r="Z44" s="16">
        <f t="shared" si="27"/>
        <v>0.8123</v>
      </c>
      <c r="AA44" s="16">
        <f t="shared" ref="AA44:AD44" si="38">Z44+AA7</f>
        <v>1.1967</v>
      </c>
      <c r="AB44" s="16">
        <f t="shared" si="38"/>
        <v>2.2212</v>
      </c>
      <c r="AC44" s="16">
        <f t="shared" si="38"/>
        <v>4.5606</v>
      </c>
      <c r="AD44" s="16">
        <f t="shared" si="38"/>
        <v>8.8439</v>
      </c>
      <c r="AE44" s="16">
        <v>14.7313</v>
      </c>
      <c r="AF44" s="16">
        <v>21.4439</v>
      </c>
      <c r="AG44" s="16">
        <v>28.4745</v>
      </c>
      <c r="AH44" s="16">
        <v>35.7125</v>
      </c>
      <c r="AI44" s="16">
        <v>41.6886</v>
      </c>
      <c r="AJ44" s="16">
        <v>51.6161</v>
      </c>
      <c r="AK44" s="16">
        <v>74.2915</v>
      </c>
    </row>
    <row r="45" spans="1:37">
      <c r="A45" t="s">
        <v>59</v>
      </c>
      <c r="B45" s="16"/>
      <c r="C45" s="16"/>
      <c r="D45" s="16"/>
      <c r="E45" s="16"/>
      <c r="F45" s="16">
        <v>1.702584</v>
      </c>
      <c r="G45" s="16">
        <f t="shared" si="24"/>
        <v>1.90683</v>
      </c>
      <c r="H45" s="16">
        <v>2.02585</v>
      </c>
      <c r="I45" s="16">
        <v>2.070232</v>
      </c>
      <c r="J45" s="16">
        <f t="shared" ref="J45:P45" si="39">I45+J8</f>
        <v>2.247345</v>
      </c>
      <c r="K45" s="16">
        <f t="shared" si="39"/>
        <v>3.944412</v>
      </c>
      <c r="L45" s="16"/>
      <c r="M45" s="16"/>
      <c r="N45" s="16">
        <f t="shared" si="39"/>
        <v>0.065763</v>
      </c>
      <c r="O45" s="16">
        <f t="shared" si="39"/>
        <v>0.065763</v>
      </c>
      <c r="P45" s="16">
        <f t="shared" si="39"/>
        <v>0.066563</v>
      </c>
      <c r="Q45" s="16">
        <v>0.102419</v>
      </c>
      <c r="R45" s="16">
        <v>0.120739</v>
      </c>
      <c r="S45" s="16">
        <v>0.251244</v>
      </c>
      <c r="T45" s="16">
        <v>0.298364</v>
      </c>
      <c r="U45" s="16">
        <f t="shared" si="26"/>
        <v>0.3913</v>
      </c>
      <c r="V45" s="16">
        <v>0.7326</v>
      </c>
      <c r="W45" s="16">
        <v>0.8908</v>
      </c>
      <c r="X45" s="16">
        <v>1.9904</v>
      </c>
      <c r="Y45" s="16"/>
      <c r="Z45" s="16">
        <f t="shared" si="27"/>
        <v>0.0726</v>
      </c>
      <c r="AA45" s="16">
        <f t="shared" ref="AA45:AD45" si="40">Z45+AA8</f>
        <v>0.1786</v>
      </c>
      <c r="AB45" s="16">
        <f t="shared" si="40"/>
        <v>0.1873</v>
      </c>
      <c r="AC45" s="16">
        <f t="shared" si="40"/>
        <v>0.2876</v>
      </c>
      <c r="AD45" s="16">
        <f t="shared" si="40"/>
        <v>0.4051</v>
      </c>
      <c r="AE45" s="16">
        <v>0.4686</v>
      </c>
      <c r="AF45" s="16">
        <v>0.7449</v>
      </c>
      <c r="AG45" s="16">
        <v>0.8953</v>
      </c>
      <c r="AH45" s="16">
        <v>1.0376</v>
      </c>
      <c r="AI45" s="16">
        <v>1.6026</v>
      </c>
      <c r="AJ45" s="16">
        <v>2.3984</v>
      </c>
      <c r="AK45" s="16">
        <v>5.3501</v>
      </c>
    </row>
    <row r="46" spans="1:37">
      <c r="A46" t="s">
        <v>60</v>
      </c>
      <c r="B46" s="16"/>
      <c r="C46" s="16"/>
      <c r="D46" s="16"/>
      <c r="E46" s="16"/>
      <c r="F46" s="16">
        <v>0.129183</v>
      </c>
      <c r="G46" s="16">
        <f t="shared" si="24"/>
        <v>0.130783</v>
      </c>
      <c r="H46" s="16">
        <v>0.133783</v>
      </c>
      <c r="I46" s="16">
        <v>0.142183</v>
      </c>
      <c r="J46" s="16">
        <f t="shared" ref="J46:P46" si="41">I46+J9</f>
        <v>0.143683</v>
      </c>
      <c r="K46" s="16">
        <f t="shared" si="41"/>
        <v>0.170354</v>
      </c>
      <c r="L46" s="16"/>
      <c r="M46" s="16"/>
      <c r="N46" s="16">
        <f t="shared" si="41"/>
        <v>0.0535</v>
      </c>
      <c r="O46" s="16">
        <f t="shared" si="41"/>
        <v>0.0535</v>
      </c>
      <c r="P46" s="16">
        <f t="shared" si="41"/>
        <v>0.0535</v>
      </c>
      <c r="Q46" s="16">
        <v>0.0626</v>
      </c>
      <c r="R46" s="16">
        <v>0.06365</v>
      </c>
      <c r="S46" s="16">
        <v>0.12401</v>
      </c>
      <c r="T46" s="16">
        <v>0.13228</v>
      </c>
      <c r="U46" s="16">
        <f t="shared" si="26"/>
        <v>0.1482</v>
      </c>
      <c r="V46" s="16">
        <v>0.245</v>
      </c>
      <c r="W46" s="16">
        <v>0.2756</v>
      </c>
      <c r="X46" s="16">
        <v>0.7594</v>
      </c>
      <c r="Y46" s="16"/>
      <c r="Z46" s="16">
        <f t="shared" si="27"/>
        <v>0.0616</v>
      </c>
      <c r="AA46" s="16">
        <f t="shared" ref="AA46:AD46" si="42">Z46+AA9</f>
        <v>0.1321</v>
      </c>
      <c r="AB46" s="16">
        <f t="shared" si="42"/>
        <v>0.1386</v>
      </c>
      <c r="AC46" s="16">
        <f t="shared" si="42"/>
        <v>0.2266</v>
      </c>
      <c r="AD46" s="16">
        <f t="shared" si="42"/>
        <v>0.2429</v>
      </c>
      <c r="AE46" s="16">
        <v>0.2835</v>
      </c>
      <c r="AF46" s="16">
        <v>0.5323</v>
      </c>
      <c r="AG46" s="16">
        <v>0.5661</v>
      </c>
      <c r="AH46" s="16">
        <v>0.6416</v>
      </c>
      <c r="AI46" s="16">
        <v>0.795</v>
      </c>
      <c r="AJ46" s="16">
        <v>0.9962</v>
      </c>
      <c r="AK46" s="16">
        <v>1.2772</v>
      </c>
    </row>
    <row r="47" spans="1:37">
      <c r="A47" t="s">
        <v>61</v>
      </c>
      <c r="B47" s="16"/>
      <c r="C47" s="16"/>
      <c r="D47" s="16"/>
      <c r="E47" s="16"/>
      <c r="F47" s="16">
        <v>1.573401</v>
      </c>
      <c r="G47" s="16">
        <f t="shared" si="24"/>
        <v>1.776047</v>
      </c>
      <c r="H47" s="16">
        <v>1.892067</v>
      </c>
      <c r="I47" s="16">
        <v>1.928049</v>
      </c>
      <c r="J47" s="16">
        <f t="shared" ref="J47:P47" si="43">I47+J10</f>
        <v>2.103662</v>
      </c>
      <c r="K47" s="16">
        <f t="shared" si="43"/>
        <v>3.774058</v>
      </c>
      <c r="L47" s="16"/>
      <c r="M47" s="16"/>
      <c r="N47" s="16">
        <f t="shared" si="43"/>
        <v>0.012263</v>
      </c>
      <c r="O47" s="16">
        <f t="shared" si="43"/>
        <v>0.012263</v>
      </c>
      <c r="P47" s="16">
        <f t="shared" si="43"/>
        <v>0.013063</v>
      </c>
      <c r="Q47" s="16">
        <v>0.039819</v>
      </c>
      <c r="R47" s="16">
        <v>0.057089</v>
      </c>
      <c r="S47" s="16">
        <v>0.127234</v>
      </c>
      <c r="T47" s="16">
        <v>0.166084</v>
      </c>
      <c r="U47" s="16">
        <f t="shared" si="26"/>
        <v>0.2431</v>
      </c>
      <c r="V47" s="16">
        <v>0.4876</v>
      </c>
      <c r="W47" s="16">
        <v>0.6152</v>
      </c>
      <c r="X47" s="16">
        <v>1.231</v>
      </c>
      <c r="Y47" s="16"/>
      <c r="Z47" s="16">
        <f t="shared" si="27"/>
        <v>0.011</v>
      </c>
      <c r="AA47" s="16">
        <f t="shared" ref="AA47:AD47" si="44">Z47+AA10</f>
        <v>0.0465</v>
      </c>
      <c r="AB47" s="16">
        <f t="shared" si="44"/>
        <v>0.0487</v>
      </c>
      <c r="AC47" s="16">
        <f t="shared" si="44"/>
        <v>0.061</v>
      </c>
      <c r="AD47" s="16">
        <f t="shared" si="44"/>
        <v>0.1623</v>
      </c>
      <c r="AE47" s="16">
        <v>0.1851</v>
      </c>
      <c r="AF47" s="16">
        <v>0.2126</v>
      </c>
      <c r="AG47" s="16">
        <v>0.3291</v>
      </c>
      <c r="AH47" s="16">
        <v>0.396</v>
      </c>
      <c r="AI47" s="16">
        <v>0.8076</v>
      </c>
      <c r="AJ47" s="16">
        <v>1.4022</v>
      </c>
      <c r="AK47" s="16">
        <v>4.0729</v>
      </c>
    </row>
    <row r="48" spans="1:37">
      <c r="A48" t="s">
        <v>62</v>
      </c>
      <c r="B48" s="16"/>
      <c r="C48" s="16"/>
      <c r="D48" s="16"/>
      <c r="E48" s="16"/>
      <c r="F48" s="16">
        <v>2.4835</v>
      </c>
      <c r="G48" s="16">
        <f t="shared" si="24"/>
        <v>3.3593</v>
      </c>
      <c r="H48" s="16">
        <v>3.7648</v>
      </c>
      <c r="I48" s="16">
        <v>4.465963</v>
      </c>
      <c r="J48" s="16">
        <f t="shared" ref="J48:P48" si="45">I48+J11</f>
        <v>5.47345</v>
      </c>
      <c r="K48" s="16">
        <f t="shared" si="45"/>
        <v>6.830905</v>
      </c>
      <c r="L48" s="16"/>
      <c r="M48" s="16"/>
      <c r="N48" s="16">
        <f t="shared" si="45"/>
        <v>0.011195</v>
      </c>
      <c r="O48" s="16">
        <f t="shared" si="45"/>
        <v>0.015365</v>
      </c>
      <c r="P48" s="16">
        <f t="shared" si="45"/>
        <v>0.022855</v>
      </c>
      <c r="Q48" s="16">
        <v>0.101155</v>
      </c>
      <c r="R48" s="16">
        <v>0.35602</v>
      </c>
      <c r="S48" s="16">
        <v>1.1499215</v>
      </c>
      <c r="T48" s="16">
        <v>2.6387795</v>
      </c>
      <c r="U48" s="16">
        <f t="shared" si="26"/>
        <v>4.0171</v>
      </c>
      <c r="V48" s="16">
        <v>5.7719</v>
      </c>
      <c r="W48" s="16">
        <v>8.1286</v>
      </c>
      <c r="X48" s="16">
        <v>14.6679</v>
      </c>
      <c r="Y48" s="16"/>
      <c r="Z48" s="16">
        <f t="shared" si="27"/>
        <v>0.101</v>
      </c>
      <c r="AA48" s="16">
        <f t="shared" ref="AA48:AD48" si="46">Z48+AA11</f>
        <v>0.1721</v>
      </c>
      <c r="AB48" s="16">
        <f t="shared" si="46"/>
        <v>0.2406</v>
      </c>
      <c r="AC48" s="16">
        <f t="shared" si="46"/>
        <v>0.8017</v>
      </c>
      <c r="AD48" s="16">
        <f t="shared" si="46"/>
        <v>5.0017</v>
      </c>
      <c r="AE48" s="16">
        <v>3.716</v>
      </c>
      <c r="AF48" s="16">
        <v>5.563</v>
      </c>
      <c r="AG48" s="16">
        <v>8.1308</v>
      </c>
      <c r="AH48" s="16">
        <v>11.2708</v>
      </c>
      <c r="AI48" s="16">
        <v>12.2988</v>
      </c>
      <c r="AJ48" s="16">
        <v>16.4047</v>
      </c>
      <c r="AK48" s="16">
        <v>29.1297</v>
      </c>
    </row>
    <row r="49" spans="1:37">
      <c r="A49" t="s">
        <v>63</v>
      </c>
      <c r="B49" s="16"/>
      <c r="C49" s="16"/>
      <c r="D49" s="16"/>
      <c r="E49" s="16"/>
      <c r="F49" s="16">
        <v>0.756171</v>
      </c>
      <c r="G49" s="16">
        <f t="shared" si="24"/>
        <v>1.2282323</v>
      </c>
      <c r="H49" s="16">
        <v>1.3613133</v>
      </c>
      <c r="I49" s="16">
        <v>1.592207</v>
      </c>
      <c r="J49" s="16">
        <f t="shared" ref="J49:P49" si="47">I49+J12</f>
        <v>2.209321</v>
      </c>
      <c r="K49" s="16">
        <f t="shared" si="47"/>
        <v>2.996705</v>
      </c>
      <c r="L49" s="16"/>
      <c r="M49" s="16"/>
      <c r="N49" s="16">
        <f t="shared" si="47"/>
        <v>0.00364</v>
      </c>
      <c r="O49" s="16">
        <f t="shared" si="47"/>
        <v>0.149203</v>
      </c>
      <c r="P49" s="16">
        <f t="shared" si="47"/>
        <v>0.168739</v>
      </c>
      <c r="Q49" s="16">
        <v>0.241905</v>
      </c>
      <c r="R49" s="16">
        <v>0.667127</v>
      </c>
      <c r="S49" s="16">
        <v>0.804156</v>
      </c>
      <c r="T49" s="16">
        <v>1.1507085</v>
      </c>
      <c r="U49" s="16">
        <f t="shared" si="26"/>
        <v>1.7569</v>
      </c>
      <c r="V49" s="16">
        <v>2.4395</v>
      </c>
      <c r="W49" s="16">
        <v>3.1039</v>
      </c>
      <c r="X49" s="16">
        <v>6.0682</v>
      </c>
      <c r="Y49" s="16"/>
      <c r="Z49" s="16">
        <f t="shared" si="27"/>
        <v>0.0559</v>
      </c>
      <c r="AA49" s="16">
        <f t="shared" ref="AA49:AD49" si="48">Z49+AA12</f>
        <v>0.0827</v>
      </c>
      <c r="AB49" s="16">
        <f t="shared" si="48"/>
        <v>0.1031</v>
      </c>
      <c r="AC49" s="16">
        <f t="shared" si="48"/>
        <v>0.2207</v>
      </c>
      <c r="AD49" s="16">
        <f t="shared" si="48"/>
        <v>0.3063</v>
      </c>
      <c r="AE49" s="16">
        <v>0.5517</v>
      </c>
      <c r="AF49" s="16">
        <v>0.8657</v>
      </c>
      <c r="AG49" s="16">
        <v>1.2721</v>
      </c>
      <c r="AH49" s="16">
        <v>1.6495</v>
      </c>
      <c r="AI49" s="16">
        <v>1.9998</v>
      </c>
      <c r="AJ49" s="16">
        <v>2.3878</v>
      </c>
      <c r="AK49" s="16">
        <v>4.9921</v>
      </c>
    </row>
    <row r="50" spans="1:37">
      <c r="A50" t="s">
        <v>64</v>
      </c>
      <c r="B50" s="16"/>
      <c r="C50" s="16"/>
      <c r="D50" s="16"/>
      <c r="E50" s="16"/>
      <c r="F50" s="16">
        <v>0.8282</v>
      </c>
      <c r="G50" s="16">
        <f t="shared" si="24"/>
        <v>0.8225</v>
      </c>
      <c r="H50" s="16">
        <v>0.8609</v>
      </c>
      <c r="I50" s="16">
        <v>0.9899</v>
      </c>
      <c r="J50" s="16">
        <f t="shared" ref="J50:P50" si="49">I50+J13</f>
        <v>1.509446</v>
      </c>
      <c r="K50" s="16">
        <f t="shared" si="49"/>
        <v>1.837046</v>
      </c>
      <c r="L50" s="16"/>
      <c r="M50" s="16"/>
      <c r="N50" s="16">
        <f t="shared" si="49"/>
        <v>0.012</v>
      </c>
      <c r="O50" s="16">
        <f t="shared" si="49"/>
        <v>0.0129</v>
      </c>
      <c r="P50" s="16">
        <f t="shared" si="49"/>
        <v>0.0134</v>
      </c>
      <c r="Q50" s="16">
        <v>0.06766</v>
      </c>
      <c r="R50" s="16">
        <v>0.110688</v>
      </c>
      <c r="S50" s="16">
        <v>0.209576</v>
      </c>
      <c r="T50" s="16">
        <v>0.277781</v>
      </c>
      <c r="U50" s="16">
        <f t="shared" si="26"/>
        <v>0.3814</v>
      </c>
      <c r="V50" s="16">
        <v>0.4415</v>
      </c>
      <c r="W50" s="16">
        <v>0.6415</v>
      </c>
      <c r="X50" s="16">
        <v>1.6807</v>
      </c>
      <c r="Y50" s="16"/>
      <c r="Z50" s="16">
        <f t="shared" si="27"/>
        <v>0.0278</v>
      </c>
      <c r="AA50" s="16">
        <f t="shared" ref="AA50:AD50" si="50">Z50+AA13</f>
        <v>0.0278</v>
      </c>
      <c r="AB50" s="16">
        <f t="shared" si="50"/>
        <v>0.0728</v>
      </c>
      <c r="AC50" s="16">
        <f t="shared" si="50"/>
        <v>0.1039</v>
      </c>
      <c r="AD50" s="16">
        <f t="shared" si="50"/>
        <v>0.1451</v>
      </c>
      <c r="AE50" s="16">
        <v>0.2145</v>
      </c>
      <c r="AF50" s="16">
        <v>0.2863</v>
      </c>
      <c r="AG50" s="16">
        <v>0.4173</v>
      </c>
      <c r="AH50" s="16">
        <v>0.5089</v>
      </c>
      <c r="AI50" s="16">
        <v>0.726</v>
      </c>
      <c r="AJ50" s="16">
        <v>1.018</v>
      </c>
      <c r="AK50" s="16">
        <v>2.2025</v>
      </c>
    </row>
    <row r="51" spans="1:37">
      <c r="A51" t="s">
        <v>65</v>
      </c>
      <c r="B51" s="16"/>
      <c r="C51" s="16"/>
      <c r="D51" s="16"/>
      <c r="E51" s="16"/>
      <c r="F51" s="16">
        <v>3.23</v>
      </c>
      <c r="G51" s="16">
        <f t="shared" si="24"/>
        <v>3.4394</v>
      </c>
      <c r="H51" s="16">
        <v>3.6449</v>
      </c>
      <c r="I51" s="16">
        <v>3.8717</v>
      </c>
      <c r="J51" s="16">
        <f t="shared" ref="J51:P51" si="51">I51+J14</f>
        <v>4.0223</v>
      </c>
      <c r="K51" s="16">
        <f t="shared" si="51"/>
        <v>4.3568</v>
      </c>
      <c r="L51" s="16"/>
      <c r="M51" s="16"/>
      <c r="N51" s="16">
        <f t="shared" si="51"/>
        <v>0.046544</v>
      </c>
      <c r="O51" s="16">
        <f t="shared" si="51"/>
        <v>0.046544</v>
      </c>
      <c r="P51" s="16">
        <f t="shared" si="51"/>
        <v>0.065109</v>
      </c>
      <c r="Q51" s="16">
        <v>0.1110112</v>
      </c>
      <c r="R51" s="16">
        <v>0.1836907</v>
      </c>
      <c r="S51" s="16">
        <v>0.3277472</v>
      </c>
      <c r="T51" s="16">
        <v>0.4919095</v>
      </c>
      <c r="U51" s="16">
        <f t="shared" si="26"/>
        <v>0.641</v>
      </c>
      <c r="V51" s="16">
        <v>0.825</v>
      </c>
      <c r="W51" s="16">
        <v>0.9454</v>
      </c>
      <c r="X51" s="16">
        <v>1.2889</v>
      </c>
      <c r="Y51" s="16"/>
      <c r="Z51" s="16">
        <f t="shared" si="27"/>
        <v>0.0617</v>
      </c>
      <c r="AA51" s="16">
        <f t="shared" ref="AA51:AD51" si="52">Z51+AA14</f>
        <v>0.0982</v>
      </c>
      <c r="AB51" s="16">
        <f t="shared" si="52"/>
        <v>0.1435</v>
      </c>
      <c r="AC51" s="16">
        <f t="shared" si="52"/>
        <v>0.2518</v>
      </c>
      <c r="AD51" s="16">
        <f t="shared" si="52"/>
        <v>0.3893</v>
      </c>
      <c r="AE51" s="16">
        <v>0.5244</v>
      </c>
      <c r="AF51" s="16">
        <v>0.6776</v>
      </c>
      <c r="AG51" s="16">
        <v>0.8452</v>
      </c>
      <c r="AH51" s="16">
        <v>1.0343</v>
      </c>
      <c r="AI51" s="16">
        <v>1.1142</v>
      </c>
      <c r="AJ51" s="16">
        <v>1.3872</v>
      </c>
      <c r="AK51" s="16">
        <v>1.8567</v>
      </c>
    </row>
    <row r="52" spans="1:37">
      <c r="A52" t="s">
        <v>66</v>
      </c>
      <c r="B52" s="16"/>
      <c r="C52" s="16"/>
      <c r="D52" s="16"/>
      <c r="E52" s="16"/>
      <c r="F52" s="16">
        <v>7.278411</v>
      </c>
      <c r="G52" s="16">
        <f t="shared" si="24"/>
        <v>9.3561705</v>
      </c>
      <c r="H52" s="16">
        <v>11.1593344</v>
      </c>
      <c r="I52" s="16">
        <v>14.5864304</v>
      </c>
      <c r="J52" s="16">
        <f t="shared" ref="J52:P52" si="53">I52+J15</f>
        <v>18.2834249</v>
      </c>
      <c r="K52" s="16">
        <f t="shared" si="53"/>
        <v>21.9778144</v>
      </c>
      <c r="L52" s="16"/>
      <c r="M52" s="16"/>
      <c r="N52" s="16">
        <f t="shared" si="53"/>
        <v>0.3323056</v>
      </c>
      <c r="O52" s="16">
        <f t="shared" si="53"/>
        <v>0.3419436</v>
      </c>
      <c r="P52" s="16">
        <f t="shared" si="53"/>
        <v>0.7281846</v>
      </c>
      <c r="Q52" s="16">
        <v>2.0376521</v>
      </c>
      <c r="R52" s="16">
        <v>3.7997716</v>
      </c>
      <c r="S52" s="16">
        <v>5.7709816</v>
      </c>
      <c r="T52" s="16">
        <v>8.0899945</v>
      </c>
      <c r="U52" s="16">
        <f t="shared" si="26"/>
        <v>10.3089</v>
      </c>
      <c r="V52" s="16">
        <v>13.378</v>
      </c>
      <c r="W52" s="16">
        <v>16.3522</v>
      </c>
      <c r="X52" s="16">
        <v>23.2824</v>
      </c>
      <c r="Y52" s="16"/>
      <c r="Z52" s="16">
        <f t="shared" si="27"/>
        <v>0.3055</v>
      </c>
      <c r="AA52" s="16">
        <f t="shared" ref="AA52:AD52" si="54">Z52+AA15</f>
        <v>0.9577</v>
      </c>
      <c r="AB52" s="16">
        <f t="shared" si="54"/>
        <v>2.8487</v>
      </c>
      <c r="AC52" s="16">
        <f t="shared" si="54"/>
        <v>5.888</v>
      </c>
      <c r="AD52" s="16">
        <f t="shared" si="54"/>
        <v>8.5584</v>
      </c>
      <c r="AE52" s="16">
        <v>11.4752</v>
      </c>
      <c r="AF52" s="16">
        <v>15.5237</v>
      </c>
      <c r="AG52" s="16">
        <v>18.5821</v>
      </c>
      <c r="AH52" s="16">
        <v>22.2325</v>
      </c>
      <c r="AI52" s="16">
        <v>25.9396</v>
      </c>
      <c r="AJ52" s="16">
        <v>30.8847</v>
      </c>
      <c r="AK52" s="16">
        <v>43.9746</v>
      </c>
    </row>
    <row r="53" spans="1:37">
      <c r="A53" t="s">
        <v>67</v>
      </c>
      <c r="B53" s="16"/>
      <c r="C53" s="16"/>
      <c r="D53" s="16"/>
      <c r="E53" s="16"/>
      <c r="F53" s="16">
        <v>19.61599</v>
      </c>
      <c r="G53" s="16">
        <f t="shared" si="24"/>
        <v>23.437</v>
      </c>
      <c r="H53" s="16">
        <v>26.4262</v>
      </c>
      <c r="I53" s="16">
        <v>29.4656</v>
      </c>
      <c r="J53" s="16">
        <f t="shared" ref="J53:P53" si="55">I53+J16</f>
        <v>33.5751</v>
      </c>
      <c r="K53" s="16">
        <f t="shared" si="55"/>
        <v>38.9471</v>
      </c>
      <c r="L53" s="16"/>
      <c r="M53" s="16"/>
      <c r="N53" s="16">
        <f t="shared" si="55"/>
        <v>1.0887465</v>
      </c>
      <c r="O53" s="16">
        <f t="shared" si="55"/>
        <v>1.102363</v>
      </c>
      <c r="P53" s="16">
        <f t="shared" si="55"/>
        <v>1.8786865</v>
      </c>
      <c r="Q53" s="16">
        <v>3.636083</v>
      </c>
      <c r="R53" s="16">
        <v>5.68816</v>
      </c>
      <c r="S53" s="16">
        <v>8.3387745</v>
      </c>
      <c r="T53" s="16">
        <v>10.8451357</v>
      </c>
      <c r="U53" s="16">
        <f t="shared" si="26"/>
        <v>13.5905</v>
      </c>
      <c r="V53" s="16">
        <v>15.8346</v>
      </c>
      <c r="W53" s="16">
        <v>18.0581</v>
      </c>
      <c r="X53" s="16">
        <v>23.759</v>
      </c>
      <c r="Y53" s="16"/>
      <c r="Z53" s="16">
        <f t="shared" si="27"/>
        <v>0.8739</v>
      </c>
      <c r="AA53" s="16">
        <f t="shared" ref="AA53:AD53" si="56">Z53+AA16</f>
        <v>1.2103</v>
      </c>
      <c r="AB53" s="16">
        <f t="shared" si="56"/>
        <v>1.9554</v>
      </c>
      <c r="AC53" s="16">
        <f t="shared" si="56"/>
        <v>3.6632</v>
      </c>
      <c r="AD53" s="16">
        <f t="shared" si="56"/>
        <v>5.0105</v>
      </c>
      <c r="AE53" s="16">
        <v>6.7312</v>
      </c>
      <c r="AF53" s="16">
        <v>8.4033</v>
      </c>
      <c r="AG53" s="16">
        <v>10.135</v>
      </c>
      <c r="AH53" s="16">
        <v>12.9213</v>
      </c>
      <c r="AI53" s="16">
        <v>13.0427</v>
      </c>
      <c r="AJ53" s="16">
        <v>14.6042</v>
      </c>
      <c r="AK53" s="16">
        <v>17.2588</v>
      </c>
    </row>
    <row r="54" spans="1:37">
      <c r="A54" t="s">
        <v>68</v>
      </c>
      <c r="B54" s="16"/>
      <c r="C54" s="16"/>
      <c r="D54" s="16"/>
      <c r="E54" s="16"/>
      <c r="F54" s="16">
        <v>6.43</v>
      </c>
      <c r="G54" s="16">
        <f t="shared" si="24"/>
        <v>8.02</v>
      </c>
      <c r="H54" s="16">
        <v>9.63722</v>
      </c>
      <c r="I54" s="16">
        <v>11.874875</v>
      </c>
      <c r="J54" s="16">
        <f t="shared" ref="J54:P54" si="57">I54+J17</f>
        <v>15.678248</v>
      </c>
      <c r="K54" s="16">
        <f t="shared" si="57"/>
        <v>18.276901</v>
      </c>
      <c r="L54" s="16"/>
      <c r="M54" s="16"/>
      <c r="N54" s="16">
        <f t="shared" si="57"/>
        <v>0.532637</v>
      </c>
      <c r="O54" s="16">
        <f t="shared" si="57"/>
        <v>0.55914</v>
      </c>
      <c r="P54" s="16">
        <f t="shared" si="57"/>
        <v>1.383118</v>
      </c>
      <c r="Q54" s="16">
        <v>3.5611285</v>
      </c>
      <c r="R54" s="16">
        <v>6.2220185</v>
      </c>
      <c r="S54" s="16">
        <v>8.872633</v>
      </c>
      <c r="T54" s="16">
        <v>11.7830325</v>
      </c>
      <c r="U54" s="16">
        <f t="shared" si="26"/>
        <v>14.999</v>
      </c>
      <c r="V54" s="16">
        <v>19.0085</v>
      </c>
      <c r="W54" s="16">
        <v>24.3927</v>
      </c>
      <c r="X54" s="16">
        <v>34.9132</v>
      </c>
      <c r="Y54" s="16"/>
      <c r="Z54" s="16">
        <f t="shared" si="27"/>
        <v>1.7242</v>
      </c>
      <c r="AA54" s="16">
        <f t="shared" ref="AA54:AD54" si="58">Z54+AA17</f>
        <v>3.4224</v>
      </c>
      <c r="AB54" s="16">
        <f t="shared" si="58"/>
        <v>7.055</v>
      </c>
      <c r="AC54" s="16">
        <f t="shared" si="58"/>
        <v>13.6904</v>
      </c>
      <c r="AD54" s="16">
        <f t="shared" si="58"/>
        <v>20.803</v>
      </c>
      <c r="AE54" s="16">
        <v>28.9222</v>
      </c>
      <c r="AF54" s="16">
        <v>36.6139</v>
      </c>
      <c r="AG54" s="16">
        <v>47.1131</v>
      </c>
      <c r="AH54" s="16">
        <v>61.7255</v>
      </c>
      <c r="AI54" s="16">
        <v>77.3949</v>
      </c>
      <c r="AJ54" s="16">
        <v>101.9403</v>
      </c>
      <c r="AK54" s="16">
        <v>137.238</v>
      </c>
    </row>
    <row r="55" spans="1:37">
      <c r="A55" t="s">
        <v>69</v>
      </c>
      <c r="B55" s="16"/>
      <c r="C55" s="16"/>
      <c r="D55" s="16"/>
      <c r="E55" s="16"/>
      <c r="F55" s="16">
        <v>3.24837</v>
      </c>
      <c r="G55" s="16">
        <f t="shared" si="24"/>
        <v>3.7279</v>
      </c>
      <c r="H55" s="16">
        <v>4.5106</v>
      </c>
      <c r="I55" s="16">
        <v>5.758</v>
      </c>
      <c r="J55" s="16">
        <f t="shared" ref="J55:P55" si="59">I55+J18</f>
        <v>8.0612</v>
      </c>
      <c r="K55" s="16">
        <f t="shared" si="59"/>
        <v>10.334</v>
      </c>
      <c r="L55" s="16"/>
      <c r="M55" s="16"/>
      <c r="N55" s="16">
        <f t="shared" si="59"/>
        <v>0.1916311</v>
      </c>
      <c r="O55" s="16">
        <f t="shared" si="59"/>
        <v>0.2118446</v>
      </c>
      <c r="P55" s="16">
        <f t="shared" si="59"/>
        <v>0.4575441</v>
      </c>
      <c r="Q55" s="16">
        <v>1.1030666</v>
      </c>
      <c r="R55" s="16">
        <v>2.1104291</v>
      </c>
      <c r="S55" s="16">
        <v>3.7281861</v>
      </c>
      <c r="T55" s="16">
        <v>6.0798932</v>
      </c>
      <c r="U55" s="16">
        <f t="shared" si="26"/>
        <v>8.4914</v>
      </c>
      <c r="V55" s="16">
        <v>11.3488</v>
      </c>
      <c r="W55" s="16">
        <v>13.7994</v>
      </c>
      <c r="X55" s="16">
        <v>19.7597</v>
      </c>
      <c r="Y55" s="16"/>
      <c r="Z55" s="16">
        <f t="shared" si="27"/>
        <v>0.3664</v>
      </c>
      <c r="AA55" s="16">
        <f t="shared" ref="AA55:AD55" si="60">Z55+AA18</f>
        <v>0.8737</v>
      </c>
      <c r="AB55" s="16">
        <f t="shared" si="60"/>
        <v>1.5428</v>
      </c>
      <c r="AC55" s="16">
        <f t="shared" si="60"/>
        <v>3.1388</v>
      </c>
      <c r="AD55" s="16">
        <f t="shared" si="60"/>
        <v>5.2601</v>
      </c>
      <c r="AE55" s="16">
        <v>8.2751</v>
      </c>
      <c r="AF55" s="16">
        <v>13.245</v>
      </c>
      <c r="AG55" s="16">
        <v>18.2594</v>
      </c>
      <c r="AH55" s="16">
        <v>24.5628</v>
      </c>
      <c r="AI55" s="16">
        <v>29.4534</v>
      </c>
      <c r="AJ55" s="16">
        <v>35.7801</v>
      </c>
      <c r="AK55" s="16">
        <v>47.4288</v>
      </c>
    </row>
    <row r="56" spans="1:37">
      <c r="A56" t="s">
        <v>70</v>
      </c>
      <c r="B56" s="16"/>
      <c r="C56" s="16"/>
      <c r="D56" s="16"/>
      <c r="E56" s="16"/>
      <c r="F56" s="16">
        <v>3.86</v>
      </c>
      <c r="G56" s="16">
        <f t="shared" si="24"/>
        <v>4.7123</v>
      </c>
      <c r="H56" s="16">
        <v>5.2072</v>
      </c>
      <c r="I56" s="16">
        <v>6.3192</v>
      </c>
      <c r="J56" s="16">
        <f t="shared" ref="J56:P56" si="61">I56+J19</f>
        <v>7.672</v>
      </c>
      <c r="K56" s="16">
        <f t="shared" si="61"/>
        <v>9.8245</v>
      </c>
      <c r="L56" s="16"/>
      <c r="M56" s="16"/>
      <c r="N56" s="16">
        <f t="shared" si="61"/>
        <v>0.263909</v>
      </c>
      <c r="O56" s="16">
        <f t="shared" si="61"/>
        <v>0.293789</v>
      </c>
      <c r="P56" s="16">
        <f t="shared" si="61"/>
        <v>0.442051</v>
      </c>
      <c r="Q56" s="16">
        <v>0.916109</v>
      </c>
      <c r="R56" s="16">
        <v>1.766758</v>
      </c>
      <c r="S56" s="16">
        <v>2.8160965</v>
      </c>
      <c r="T56" s="16">
        <v>4.3828335</v>
      </c>
      <c r="U56" s="16">
        <f t="shared" si="26"/>
        <v>5.7842</v>
      </c>
      <c r="V56" s="16">
        <v>7.4741</v>
      </c>
      <c r="W56" s="16">
        <v>9.134</v>
      </c>
      <c r="X56" s="16">
        <v>14.8327</v>
      </c>
      <c r="Y56" s="16"/>
      <c r="Z56" s="16">
        <f t="shared" si="27"/>
        <v>0.5313</v>
      </c>
      <c r="AA56" s="16">
        <f t="shared" ref="AA56:AD56" si="62">Z56+AA19</f>
        <v>1.0215</v>
      </c>
      <c r="AB56" s="16">
        <f t="shared" si="62"/>
        <v>1.9417</v>
      </c>
      <c r="AC56" s="16">
        <f t="shared" si="62"/>
        <v>4.0516</v>
      </c>
      <c r="AD56" s="16">
        <f t="shared" si="62"/>
        <v>6.3833</v>
      </c>
      <c r="AE56" s="16">
        <v>10.0767</v>
      </c>
      <c r="AF56" s="16">
        <v>14.265</v>
      </c>
      <c r="AG56" s="16">
        <v>18.8812</v>
      </c>
      <c r="AH56" s="16">
        <v>24.4653</v>
      </c>
      <c r="AI56" s="16">
        <v>29.5102</v>
      </c>
      <c r="AJ56" s="16">
        <v>35.5597</v>
      </c>
      <c r="AK56" s="16">
        <v>49.0241</v>
      </c>
    </row>
    <row r="57" spans="1:37">
      <c r="A57" t="s">
        <v>71</v>
      </c>
      <c r="B57" s="16"/>
      <c r="C57" s="16"/>
      <c r="D57" s="16"/>
      <c r="E57" s="16"/>
      <c r="F57" s="16">
        <v>42.9135</v>
      </c>
      <c r="G57" s="16">
        <f t="shared" si="24"/>
        <v>61.4343</v>
      </c>
      <c r="H57" s="16">
        <v>81.1522</v>
      </c>
      <c r="I57" s="16">
        <v>107.665</v>
      </c>
      <c r="J57" s="16">
        <f t="shared" ref="J57:P57" si="63">I57+J20</f>
        <v>145.2487</v>
      </c>
      <c r="K57" s="16">
        <f t="shared" si="63"/>
        <v>189.7268151</v>
      </c>
      <c r="L57" s="16"/>
      <c r="M57" s="16"/>
      <c r="N57" s="16">
        <f t="shared" si="63"/>
        <v>4.7263237</v>
      </c>
      <c r="O57" s="16">
        <f t="shared" si="63"/>
        <v>5.1479292</v>
      </c>
      <c r="P57" s="16">
        <f t="shared" si="63"/>
        <v>9.7581772</v>
      </c>
      <c r="Q57" s="16">
        <v>26.9059532</v>
      </c>
      <c r="R57" s="16">
        <v>52.3453597</v>
      </c>
      <c r="S57" s="16">
        <v>85.58376213</v>
      </c>
      <c r="T57" s="16">
        <v>124.13249033</v>
      </c>
      <c r="U57" s="16">
        <f t="shared" si="26"/>
        <v>169.6187</v>
      </c>
      <c r="V57" s="16">
        <v>227.5696</v>
      </c>
      <c r="W57" s="16">
        <v>284.3355</v>
      </c>
      <c r="X57" s="16">
        <v>457.5407</v>
      </c>
      <c r="Y57" s="16">
        <v>466</v>
      </c>
      <c r="Z57" s="16">
        <f t="shared" si="27"/>
        <v>12.035</v>
      </c>
      <c r="AA57" s="16">
        <f t="shared" ref="AA57:AD57" si="64">Z57+AA20</f>
        <v>25.3838</v>
      </c>
      <c r="AB57" s="16">
        <f t="shared" si="64"/>
        <v>53.5295</v>
      </c>
      <c r="AC57" s="16">
        <f t="shared" si="64"/>
        <v>109.3431</v>
      </c>
      <c r="AD57" s="16">
        <f t="shared" si="64"/>
        <v>172.728</v>
      </c>
      <c r="AE57" s="16">
        <v>240.4745</v>
      </c>
      <c r="AF57" s="16">
        <v>309.919</v>
      </c>
      <c r="AG57" s="16">
        <v>378.1659</v>
      </c>
      <c r="AH57" s="16">
        <v>448.2107</v>
      </c>
      <c r="AI57" s="16">
        <v>512.6124</v>
      </c>
      <c r="AJ57" s="16">
        <v>600.8018</v>
      </c>
      <c r="AK57" s="16">
        <v>763.2183</v>
      </c>
    </row>
    <row r="58" spans="1:37">
      <c r="A58" t="s">
        <v>72</v>
      </c>
      <c r="B58" s="16"/>
      <c r="C58" s="16"/>
      <c r="D58" s="16"/>
      <c r="E58" s="16"/>
      <c r="F58" s="16">
        <v>13.63934</v>
      </c>
      <c r="G58" s="16">
        <f t="shared" si="24"/>
        <v>17.6293</v>
      </c>
      <c r="H58" s="16">
        <v>23.8286</v>
      </c>
      <c r="I58" s="16">
        <v>31.0919</v>
      </c>
      <c r="J58" s="16">
        <f t="shared" ref="J58:P58" si="65">I58+J21</f>
        <v>41.2316</v>
      </c>
      <c r="K58" s="16">
        <f t="shared" si="65"/>
        <v>48.2795</v>
      </c>
      <c r="L58" s="16"/>
      <c r="M58" s="16"/>
      <c r="N58" s="16">
        <f t="shared" si="65"/>
        <v>2.0353965</v>
      </c>
      <c r="O58" s="16">
        <f t="shared" si="65"/>
        <v>2.171565</v>
      </c>
      <c r="P58" s="16">
        <f t="shared" si="65"/>
        <v>4.4751777</v>
      </c>
      <c r="Q58" s="16">
        <v>9.5836757</v>
      </c>
      <c r="R58" s="16">
        <v>17.728381</v>
      </c>
      <c r="S58" s="16">
        <v>26.9900638</v>
      </c>
      <c r="T58" s="16">
        <v>38.1994463</v>
      </c>
      <c r="U58" s="16">
        <f t="shared" si="26"/>
        <v>48.5735</v>
      </c>
      <c r="V58" s="16">
        <v>61.9354</v>
      </c>
      <c r="W58" s="16">
        <v>74.2602</v>
      </c>
      <c r="X58" s="16">
        <v>105.3314</v>
      </c>
      <c r="Y58" s="16"/>
      <c r="Z58" s="16">
        <f t="shared" si="27"/>
        <v>5.1144</v>
      </c>
      <c r="AA58" s="16">
        <f t="shared" ref="AA58:AD58" si="66">Z58+AA21</f>
        <v>9.97</v>
      </c>
      <c r="AB58" s="16">
        <f t="shared" si="66"/>
        <v>20.8916</v>
      </c>
      <c r="AC58" s="16">
        <f t="shared" si="66"/>
        <v>40.4041</v>
      </c>
      <c r="AD58" s="16">
        <f t="shared" si="66"/>
        <v>64.3464</v>
      </c>
      <c r="AE58" s="16">
        <v>89.9464</v>
      </c>
      <c r="AF58" s="16">
        <v>115.7053</v>
      </c>
      <c r="AG58" s="16">
        <v>139.3703</v>
      </c>
      <c r="AH58" s="16">
        <v>171.6745</v>
      </c>
      <c r="AI58" s="16">
        <v>207.8536</v>
      </c>
      <c r="AJ58" s="16">
        <v>267.9879</v>
      </c>
      <c r="AK58" s="16">
        <v>343.2272</v>
      </c>
    </row>
    <row r="59" spans="1:37">
      <c r="A59" t="s">
        <v>73</v>
      </c>
      <c r="B59" s="16"/>
      <c r="C59" s="16"/>
      <c r="D59" s="16"/>
      <c r="E59" s="16"/>
      <c r="F59" s="16">
        <v>2.44</v>
      </c>
      <c r="G59" s="16">
        <f t="shared" si="24"/>
        <v>2.51</v>
      </c>
      <c r="H59" s="16">
        <v>2.88</v>
      </c>
      <c r="I59" s="16">
        <v>3.5501355</v>
      </c>
      <c r="J59" s="16">
        <f t="shared" ref="J59:P59" si="67">I59+J22</f>
        <v>4.3022161</v>
      </c>
      <c r="K59" s="16">
        <f t="shared" si="67"/>
        <v>5.0883676</v>
      </c>
      <c r="L59" s="16"/>
      <c r="M59" s="16"/>
      <c r="N59" s="16">
        <f t="shared" si="67"/>
        <v>0.091982</v>
      </c>
      <c r="O59" s="16">
        <f t="shared" si="67"/>
        <v>0.091982</v>
      </c>
      <c r="P59" s="16">
        <f t="shared" si="67"/>
        <v>0.095707</v>
      </c>
      <c r="Q59" s="16">
        <v>0.1766005</v>
      </c>
      <c r="R59" s="16">
        <v>0.3544765</v>
      </c>
      <c r="S59" s="16">
        <v>0.5805865</v>
      </c>
      <c r="T59" s="16">
        <v>0.839664</v>
      </c>
      <c r="U59" s="16">
        <f t="shared" si="26"/>
        <v>1.1681</v>
      </c>
      <c r="V59" s="16">
        <v>1.8213</v>
      </c>
      <c r="W59" s="16">
        <v>2.0703</v>
      </c>
      <c r="X59" s="16">
        <v>3.005</v>
      </c>
      <c r="Y59" s="16"/>
      <c r="Z59" s="16">
        <f t="shared" si="27"/>
        <v>0.3888</v>
      </c>
      <c r="AA59" s="16">
        <f t="shared" ref="AA59:AD59" si="68">Z59+AA22</f>
        <v>0.5188</v>
      </c>
      <c r="AB59" s="16">
        <f t="shared" si="68"/>
        <v>0.7337</v>
      </c>
      <c r="AC59" s="16">
        <f t="shared" si="68"/>
        <v>0.9359</v>
      </c>
      <c r="AD59" s="16">
        <f t="shared" si="68"/>
        <v>1.3686</v>
      </c>
      <c r="AE59" s="16">
        <v>1.543</v>
      </c>
      <c r="AF59" s="16">
        <v>2.0678</v>
      </c>
      <c r="AG59" s="16">
        <v>2.5983</v>
      </c>
      <c r="AH59" s="16">
        <v>3.3159</v>
      </c>
      <c r="AI59" s="16">
        <v>3.8932</v>
      </c>
      <c r="AJ59" s="16">
        <v>4.9037</v>
      </c>
      <c r="AK59" s="16">
        <v>7.3506</v>
      </c>
    </row>
    <row r="60" spans="1:37">
      <c r="A60" t="s">
        <v>74</v>
      </c>
      <c r="B60" s="16"/>
      <c r="C60" s="16"/>
      <c r="D60" s="16"/>
      <c r="E60" s="16"/>
      <c r="F60" s="16">
        <v>5.851063</v>
      </c>
      <c r="G60" s="16">
        <f t="shared" si="24"/>
        <v>6.4286</v>
      </c>
      <c r="H60" s="16">
        <v>7.7331</v>
      </c>
      <c r="I60" s="16">
        <v>8.2013</v>
      </c>
      <c r="J60" s="16">
        <f t="shared" ref="J60:P60" si="69">I60+J23</f>
        <v>8.7699</v>
      </c>
      <c r="K60" s="16">
        <f t="shared" si="69"/>
        <v>9.8826625</v>
      </c>
      <c r="L60" s="16"/>
      <c r="M60" s="16"/>
      <c r="N60" s="16">
        <f t="shared" si="69"/>
        <v>0.1873</v>
      </c>
      <c r="O60" s="16">
        <f t="shared" si="69"/>
        <v>0.2202</v>
      </c>
      <c r="P60" s="16">
        <f t="shared" si="69"/>
        <v>0.3406</v>
      </c>
      <c r="Q60" s="16">
        <v>0.6375</v>
      </c>
      <c r="R60" s="16">
        <v>1.17751</v>
      </c>
      <c r="S60" s="16">
        <v>1.61731</v>
      </c>
      <c r="T60" s="16">
        <v>2.34871</v>
      </c>
      <c r="U60" s="16">
        <f t="shared" si="26"/>
        <v>3.0412</v>
      </c>
      <c r="V60" s="16">
        <v>3.6257</v>
      </c>
      <c r="W60" s="16">
        <v>4.3898</v>
      </c>
      <c r="X60" s="16">
        <v>7.2949</v>
      </c>
      <c r="Y60" s="16"/>
      <c r="Z60" s="16">
        <f t="shared" si="27"/>
        <v>0.395</v>
      </c>
      <c r="AA60" s="16">
        <f t="shared" ref="AA60:AD60" si="70">Z60+AA23</f>
        <v>0.6442</v>
      </c>
      <c r="AB60" s="16">
        <f t="shared" si="70"/>
        <v>1.1071</v>
      </c>
      <c r="AC60" s="16">
        <f t="shared" si="70"/>
        <v>1.8924</v>
      </c>
      <c r="AD60" s="16">
        <f t="shared" si="70"/>
        <v>2.7352</v>
      </c>
      <c r="AE60" s="16">
        <v>4.0384</v>
      </c>
      <c r="AF60" s="16">
        <v>5.4836</v>
      </c>
      <c r="AG60" s="16">
        <v>7.0713</v>
      </c>
      <c r="AH60" s="16">
        <v>9.4154</v>
      </c>
      <c r="AI60" s="16">
        <v>11.2964</v>
      </c>
      <c r="AJ60" s="16">
        <v>13.5559</v>
      </c>
      <c r="AK60" s="16">
        <v>19.0448</v>
      </c>
    </row>
    <row r="61" spans="1:37">
      <c r="A61" t="s">
        <v>75</v>
      </c>
      <c r="B61" s="16"/>
      <c r="C61" s="16"/>
      <c r="D61" s="16"/>
      <c r="E61" s="16"/>
      <c r="F61" s="16">
        <v>0.218251</v>
      </c>
      <c r="G61" s="16">
        <f t="shared" si="24"/>
        <v>0.248041</v>
      </c>
      <c r="H61" s="16">
        <v>0.258285</v>
      </c>
      <c r="I61" s="16">
        <v>0.324618</v>
      </c>
      <c r="J61" s="16">
        <f t="shared" ref="J61:P61" si="71">I61+J24</f>
        <v>0.365218</v>
      </c>
      <c r="K61" s="16">
        <f t="shared" si="71"/>
        <v>0.391229</v>
      </c>
      <c r="L61" s="16"/>
      <c r="M61" s="16"/>
      <c r="N61" s="16">
        <f t="shared" si="71"/>
        <v>0.001918</v>
      </c>
      <c r="O61" s="16">
        <f t="shared" si="71"/>
        <v>0.001918</v>
      </c>
      <c r="P61" s="16">
        <f t="shared" si="71"/>
        <v>0.007544</v>
      </c>
      <c r="Q61" s="16">
        <v>0.027268</v>
      </c>
      <c r="R61" s="16">
        <v>0.03539</v>
      </c>
      <c r="S61" s="16">
        <v>0.063734</v>
      </c>
      <c r="T61" s="16">
        <v>0.094223</v>
      </c>
      <c r="U61" s="16">
        <f t="shared" si="26"/>
        <v>0.1267</v>
      </c>
      <c r="V61" s="16">
        <v>0.1329</v>
      </c>
      <c r="W61" s="16">
        <v>0.162</v>
      </c>
      <c r="X61" s="16">
        <v>0.176</v>
      </c>
      <c r="Y61" s="16"/>
      <c r="Z61" s="16">
        <f t="shared" si="27"/>
        <v>0.0158</v>
      </c>
      <c r="AA61" s="16">
        <f t="shared" ref="AA61:AD61" si="72">Z61+AA24</f>
        <v>0.0182</v>
      </c>
      <c r="AB61" s="16">
        <f t="shared" si="72"/>
        <v>0.0278</v>
      </c>
      <c r="AC61" s="16">
        <f t="shared" si="72"/>
        <v>0.0456</v>
      </c>
      <c r="AD61" s="16">
        <f t="shared" si="72"/>
        <v>0.0715</v>
      </c>
      <c r="AE61" s="16">
        <v>0.0897</v>
      </c>
      <c r="AF61" s="16">
        <v>0.1231</v>
      </c>
      <c r="AG61" s="16">
        <v>0.1517</v>
      </c>
      <c r="AH61" s="16">
        <v>0.1731</v>
      </c>
      <c r="AI61" s="16">
        <v>0.2097</v>
      </c>
      <c r="AJ61" s="16">
        <v>0.2585</v>
      </c>
      <c r="AK61" s="16">
        <v>0.3459</v>
      </c>
    </row>
    <row r="62" spans="1:37">
      <c r="A62" t="s">
        <v>76</v>
      </c>
      <c r="B62" s="16"/>
      <c r="C62" s="16"/>
      <c r="D62" s="16"/>
      <c r="E62" s="16"/>
      <c r="F62" s="16">
        <v>0.4535</v>
      </c>
      <c r="G62" s="16">
        <f t="shared" si="24"/>
        <v>0.452105</v>
      </c>
      <c r="H62" s="16">
        <v>0.8447965</v>
      </c>
      <c r="I62" s="16">
        <v>0.9124495</v>
      </c>
      <c r="J62" s="16">
        <f t="shared" ref="J62:P62" si="73">I62+J25</f>
        <v>1.0517605</v>
      </c>
      <c r="K62" s="16">
        <f t="shared" si="73"/>
        <v>1.2946805</v>
      </c>
      <c r="L62" s="16"/>
      <c r="M62" s="16"/>
      <c r="N62" s="16">
        <f t="shared" si="73"/>
        <v>0.052872</v>
      </c>
      <c r="O62" s="16">
        <f t="shared" si="73"/>
        <v>0.055672</v>
      </c>
      <c r="P62" s="16">
        <f t="shared" si="73"/>
        <v>0.072962</v>
      </c>
      <c r="Q62" s="16">
        <v>0.126537</v>
      </c>
      <c r="R62" s="16">
        <v>0.219969</v>
      </c>
      <c r="S62" s="16">
        <v>0.499661</v>
      </c>
      <c r="T62" s="16">
        <v>0.764531</v>
      </c>
      <c r="U62" s="16">
        <f t="shared" si="26"/>
        <v>0.946</v>
      </c>
      <c r="V62" s="16">
        <v>1.0618</v>
      </c>
      <c r="W62" s="16">
        <v>1.1988</v>
      </c>
      <c r="X62" s="16">
        <v>1.9801</v>
      </c>
      <c r="Y62" s="16"/>
      <c r="Z62" s="16">
        <f t="shared" si="27"/>
        <v>0.0411</v>
      </c>
      <c r="AA62" s="16">
        <f t="shared" ref="AA62:AD62" si="74">Z62+AA25</f>
        <v>0.1028</v>
      </c>
      <c r="AB62" s="16">
        <f t="shared" si="74"/>
        <v>0.2124</v>
      </c>
      <c r="AC62" s="16">
        <f t="shared" si="74"/>
        <v>0.5283</v>
      </c>
      <c r="AD62" s="16">
        <f t="shared" si="74"/>
        <v>0.7752</v>
      </c>
      <c r="AE62" s="16">
        <v>0.9662</v>
      </c>
      <c r="AF62" s="16">
        <v>1.2243</v>
      </c>
      <c r="AG62" s="16">
        <v>1.7284</v>
      </c>
      <c r="AH62" s="16">
        <v>2.0112</v>
      </c>
      <c r="AI62" s="16">
        <v>2.2019</v>
      </c>
      <c r="AJ62" s="16">
        <v>3.106</v>
      </c>
      <c r="AK62" s="16">
        <v>3.8123</v>
      </c>
    </row>
    <row r="63" spans="1:37">
      <c r="A63" t="s">
        <v>77</v>
      </c>
      <c r="B63" s="16"/>
      <c r="C63" s="16"/>
      <c r="D63" s="16"/>
      <c r="E63" s="16"/>
      <c r="F63" s="16">
        <v>2.207777</v>
      </c>
      <c r="G63" s="16">
        <f t="shared" si="24"/>
        <v>2.584636</v>
      </c>
      <c r="H63" s="16">
        <v>3.277233</v>
      </c>
      <c r="I63" s="16">
        <v>4.240469</v>
      </c>
      <c r="J63" s="16">
        <f t="shared" ref="J63:P63" si="75">I63+J26</f>
        <v>5.3280725</v>
      </c>
      <c r="K63" s="16">
        <f t="shared" si="75"/>
        <v>6.6805495</v>
      </c>
      <c r="L63" s="16"/>
      <c r="M63" s="16"/>
      <c r="N63" s="16">
        <f t="shared" si="75"/>
        <v>0.069535</v>
      </c>
      <c r="O63" s="16">
        <f t="shared" si="75"/>
        <v>0.087301</v>
      </c>
      <c r="P63" s="16">
        <f t="shared" si="75"/>
        <v>0.110818</v>
      </c>
      <c r="Q63" s="16">
        <v>0.359284</v>
      </c>
      <c r="R63" s="16">
        <v>1.277771</v>
      </c>
      <c r="S63" s="16">
        <v>2.9671331</v>
      </c>
      <c r="T63" s="16">
        <v>4.2713348</v>
      </c>
      <c r="U63" s="16">
        <f t="shared" si="26"/>
        <v>6.3381</v>
      </c>
      <c r="V63" s="16">
        <v>7.8289</v>
      </c>
      <c r="W63" s="16">
        <v>9.2298</v>
      </c>
      <c r="X63" s="16">
        <v>13.5018</v>
      </c>
      <c r="Y63" s="16"/>
      <c r="Z63" s="16">
        <f t="shared" si="27"/>
        <v>0.0447</v>
      </c>
      <c r="AA63" s="16">
        <f t="shared" ref="AA63:AD63" si="76">Z63+AA26</f>
        <v>0.0891</v>
      </c>
      <c r="AB63" s="16">
        <f t="shared" si="76"/>
        <v>0.3706</v>
      </c>
      <c r="AC63" s="16">
        <f t="shared" si="76"/>
        <v>1.0755</v>
      </c>
      <c r="AD63" s="16">
        <f t="shared" si="76"/>
        <v>2.1592</v>
      </c>
      <c r="AE63" s="16">
        <v>4.2139</v>
      </c>
      <c r="AF63" s="16">
        <v>5.9322</v>
      </c>
      <c r="AG63" s="16">
        <v>8.3188</v>
      </c>
      <c r="AH63" s="16">
        <v>10.5095</v>
      </c>
      <c r="AI63" s="16">
        <v>12.647</v>
      </c>
      <c r="AJ63" s="16">
        <v>16.0348</v>
      </c>
      <c r="AK63" s="16">
        <v>21.7042</v>
      </c>
    </row>
    <row r="64" spans="1:37">
      <c r="A64" t="s">
        <v>78</v>
      </c>
      <c r="B64" s="16"/>
      <c r="C64" s="16"/>
      <c r="D64" s="16"/>
      <c r="E64" s="16"/>
      <c r="F64" s="16">
        <v>2.117933</v>
      </c>
      <c r="G64" s="16">
        <f t="shared" si="24"/>
        <v>2.2323855</v>
      </c>
      <c r="H64" s="16">
        <v>2.2936955</v>
      </c>
      <c r="I64" s="16">
        <v>2.411596</v>
      </c>
      <c r="J64" s="16">
        <f t="shared" ref="J64:P64" si="77">I64+J27</f>
        <v>2.573644</v>
      </c>
      <c r="K64" s="16">
        <f t="shared" si="77"/>
        <v>3.251883</v>
      </c>
      <c r="L64" s="16"/>
      <c r="M64" s="16"/>
      <c r="N64" s="16">
        <f t="shared" si="77"/>
        <v>0.00536</v>
      </c>
      <c r="O64" s="16">
        <f t="shared" si="77"/>
        <v>0.00536</v>
      </c>
      <c r="P64" s="16">
        <f t="shared" si="77"/>
        <v>0.01456</v>
      </c>
      <c r="Q64" s="16">
        <v>0.027016</v>
      </c>
      <c r="R64" s="16">
        <v>0.056334</v>
      </c>
      <c r="S64" s="16">
        <v>0.092884</v>
      </c>
      <c r="T64" s="16">
        <v>0.145542</v>
      </c>
      <c r="U64" s="16">
        <f t="shared" si="26"/>
        <v>0.2249</v>
      </c>
      <c r="V64" s="16">
        <v>0.2793</v>
      </c>
      <c r="W64" s="16">
        <v>0.4284</v>
      </c>
      <c r="X64" s="16">
        <v>0.7275</v>
      </c>
      <c r="Y64" s="16"/>
      <c r="Z64" s="16">
        <f t="shared" si="27"/>
        <v>0.0235</v>
      </c>
      <c r="AA64" s="16">
        <f t="shared" ref="AA64:AD64" si="78">Z64+AA27</f>
        <v>0.0265</v>
      </c>
      <c r="AB64" s="16">
        <f t="shared" si="78"/>
        <v>0.0533</v>
      </c>
      <c r="AC64" s="16">
        <f t="shared" si="78"/>
        <v>0.1363</v>
      </c>
      <c r="AD64" s="16">
        <f t="shared" si="78"/>
        <v>0.1744</v>
      </c>
      <c r="AE64" s="16">
        <v>0.2282</v>
      </c>
      <c r="AF64" s="16">
        <v>0.3274</v>
      </c>
      <c r="AG64" s="16">
        <v>0.445</v>
      </c>
      <c r="AH64" s="16">
        <v>0.5349</v>
      </c>
      <c r="AI64" s="16">
        <v>0.5915</v>
      </c>
      <c r="AJ64" s="16">
        <v>0.7526</v>
      </c>
      <c r="AK64" s="16">
        <v>1.0777</v>
      </c>
    </row>
    <row r="65" spans="1:37">
      <c r="A65" t="s">
        <v>79</v>
      </c>
      <c r="B65" s="16"/>
      <c r="C65" s="16"/>
      <c r="D65" s="16"/>
      <c r="E65" s="16"/>
      <c r="F65" s="16">
        <v>0.221434</v>
      </c>
      <c r="G65" s="16">
        <f t="shared" si="24"/>
        <v>0.3925335</v>
      </c>
      <c r="H65" s="16">
        <v>0.4205335</v>
      </c>
      <c r="I65" s="16">
        <v>0.4220335</v>
      </c>
      <c r="J65" s="16">
        <f t="shared" ref="J65:P65" si="79">I65+J28</f>
        <v>0.4410335</v>
      </c>
      <c r="K65" s="16">
        <f t="shared" si="79"/>
        <v>0.5077935</v>
      </c>
      <c r="L65" s="16"/>
      <c r="M65" s="16"/>
      <c r="N65" s="16">
        <f t="shared" si="79"/>
        <v>0</v>
      </c>
      <c r="O65" s="16">
        <f t="shared" si="79"/>
        <v>0.0012</v>
      </c>
      <c r="P65" s="16">
        <f t="shared" si="79"/>
        <v>0.320155</v>
      </c>
      <c r="Q65" s="16">
        <v>0.333979</v>
      </c>
      <c r="R65" s="16">
        <v>0.342289</v>
      </c>
      <c r="S65" s="16">
        <v>0.359355</v>
      </c>
      <c r="T65" s="16">
        <v>0.368237</v>
      </c>
      <c r="U65" s="16">
        <f t="shared" si="26"/>
        <v>0.3747</v>
      </c>
      <c r="V65" s="16">
        <v>0.3964</v>
      </c>
      <c r="W65" s="16">
        <v>0.4038</v>
      </c>
      <c r="X65" s="16">
        <v>0.5136</v>
      </c>
      <c r="Y65" s="16"/>
      <c r="Z65" s="16">
        <f t="shared" si="27"/>
        <v>0.0012</v>
      </c>
      <c r="AA65" s="16">
        <f t="shared" ref="AA65:AD65" si="80">Z65+AA28</f>
        <v>0.0017</v>
      </c>
      <c r="AB65" s="16">
        <f t="shared" si="80"/>
        <v>0.0122</v>
      </c>
      <c r="AC65" s="16">
        <f t="shared" si="80"/>
        <v>0.0257</v>
      </c>
      <c r="AD65" s="16">
        <f t="shared" si="80"/>
        <v>0.0392</v>
      </c>
      <c r="AE65" s="16">
        <v>0.077</v>
      </c>
      <c r="AF65" s="16">
        <v>0.1195</v>
      </c>
      <c r="AG65" s="16">
        <v>0.1813</v>
      </c>
      <c r="AH65" s="16">
        <v>0.213</v>
      </c>
      <c r="AI65" s="16">
        <v>0.2565</v>
      </c>
      <c r="AJ65" s="16">
        <v>0.2878</v>
      </c>
      <c r="AK65" s="16">
        <v>0.3517</v>
      </c>
    </row>
    <row r="66" spans="1:37">
      <c r="A66" t="s">
        <v>80</v>
      </c>
      <c r="B66" s="16"/>
      <c r="C66" s="16"/>
      <c r="D66" s="16"/>
      <c r="E66" s="16"/>
      <c r="F66" s="16">
        <v>0.371239</v>
      </c>
      <c r="G66" s="16">
        <f t="shared" si="24"/>
        <v>0.4453</v>
      </c>
      <c r="H66" s="16">
        <v>0.4755</v>
      </c>
      <c r="I66" s="16">
        <v>0.51023</v>
      </c>
      <c r="J66" s="16">
        <f t="shared" ref="J66:P66" si="81">I66+J29</f>
        <v>0.56898</v>
      </c>
      <c r="K66" s="16">
        <f t="shared" si="81"/>
        <v>0.80742</v>
      </c>
      <c r="L66" s="16"/>
      <c r="M66" s="16"/>
      <c r="N66" s="16">
        <f t="shared" si="81"/>
        <v>0.002</v>
      </c>
      <c r="O66" s="16">
        <f t="shared" si="81"/>
        <v>0.002</v>
      </c>
      <c r="P66" s="16">
        <f t="shared" si="81"/>
        <v>0.0114</v>
      </c>
      <c r="Q66" s="16">
        <v>0.0126</v>
      </c>
      <c r="R66" s="16">
        <v>0.0126</v>
      </c>
      <c r="S66" s="16">
        <v>0.035634</v>
      </c>
      <c r="T66" s="16">
        <v>0.080264</v>
      </c>
      <c r="U66" s="16">
        <f t="shared" si="26"/>
        <v>0.12</v>
      </c>
      <c r="V66" s="16">
        <v>0.1389</v>
      </c>
      <c r="W66" s="16">
        <v>0.185</v>
      </c>
      <c r="X66" s="16">
        <v>0.3325</v>
      </c>
      <c r="Y66" s="16"/>
      <c r="Z66" s="16">
        <f t="shared" si="27"/>
        <v>0.0015</v>
      </c>
      <c r="AA66" s="16">
        <f t="shared" ref="AA66:AD66" si="82">Z66+AA29</f>
        <v>0.0029</v>
      </c>
      <c r="AB66" s="16">
        <f t="shared" si="82"/>
        <v>0.0069</v>
      </c>
      <c r="AC66" s="16">
        <f t="shared" si="82"/>
        <v>0.0086</v>
      </c>
      <c r="AD66" s="16">
        <f t="shared" si="82"/>
        <v>0.0304</v>
      </c>
      <c r="AE66" s="16">
        <v>0.0422</v>
      </c>
      <c r="AF66" s="16">
        <v>0.0672</v>
      </c>
      <c r="AG66" s="16">
        <v>0.0749</v>
      </c>
      <c r="AH66" s="16">
        <v>0.1014</v>
      </c>
      <c r="AI66" s="16">
        <v>0.1439</v>
      </c>
      <c r="AJ66" s="16">
        <v>0.6319</v>
      </c>
      <c r="AK66" s="16">
        <v>0.4052</v>
      </c>
    </row>
    <row r="67" spans="1:37">
      <c r="A67" t="s">
        <v>81</v>
      </c>
      <c r="B67" s="16"/>
      <c r="C67" s="16"/>
      <c r="D67" s="16"/>
      <c r="E67" s="16"/>
      <c r="F67" s="16">
        <v>0.0847</v>
      </c>
      <c r="G67" s="16">
        <f t="shared" si="24"/>
        <v>0.104</v>
      </c>
      <c r="H67" s="16">
        <v>0.1165</v>
      </c>
      <c r="I67" s="16">
        <v>0.141</v>
      </c>
      <c r="J67" s="16">
        <f t="shared" ref="J67:P67" si="83">I67+J30</f>
        <v>0.156</v>
      </c>
      <c r="K67" s="16">
        <f t="shared" si="83"/>
        <v>0.184156</v>
      </c>
      <c r="L67" s="16"/>
      <c r="M67" s="16"/>
      <c r="N67" s="16">
        <f t="shared" si="83"/>
        <v>0.0013</v>
      </c>
      <c r="O67" s="16">
        <f t="shared" si="83"/>
        <v>0.0013</v>
      </c>
      <c r="P67" s="16">
        <f t="shared" si="83"/>
        <v>0.0013</v>
      </c>
      <c r="Q67" s="16">
        <v>0.0013</v>
      </c>
      <c r="R67" s="16">
        <v>0.0239</v>
      </c>
      <c r="S67" s="16">
        <v>0.0239</v>
      </c>
      <c r="T67" s="16">
        <v>0.03288</v>
      </c>
      <c r="U67" s="16">
        <f t="shared" si="26"/>
        <v>0.2636</v>
      </c>
      <c r="V67" s="16">
        <v>0.2827</v>
      </c>
      <c r="W67" s="16">
        <v>0.4175</v>
      </c>
      <c r="X67" s="16">
        <v>0.5974</v>
      </c>
      <c r="Y67" s="16"/>
      <c r="Z67" s="16">
        <f t="shared" si="27"/>
        <v>0.1515</v>
      </c>
      <c r="AA67" s="16">
        <f t="shared" ref="AA67:AD67" si="84">Z67+AA30</f>
        <v>0.1515</v>
      </c>
      <c r="AB67" s="16">
        <f t="shared" si="84"/>
        <v>0.1515</v>
      </c>
      <c r="AC67" s="16">
        <f t="shared" si="84"/>
        <v>0.1526</v>
      </c>
      <c r="AD67" s="16">
        <f t="shared" si="84"/>
        <v>0.1556</v>
      </c>
      <c r="AE67" s="16">
        <v>0.1556</v>
      </c>
      <c r="AF67" s="16">
        <v>0.1696</v>
      </c>
      <c r="AG67" s="16">
        <v>0.1735</v>
      </c>
      <c r="AH67" s="16">
        <v>0.1735</v>
      </c>
      <c r="AI67" s="16">
        <v>0.1775</v>
      </c>
      <c r="AJ67" s="16">
        <v>0.192</v>
      </c>
      <c r="AK67" s="16">
        <v>0.4005</v>
      </c>
    </row>
    <row r="68" spans="1:37">
      <c r="A68" t="s">
        <v>82</v>
      </c>
      <c r="B68" s="16"/>
      <c r="C68" s="16"/>
      <c r="D68" s="16"/>
      <c r="E68" s="16"/>
      <c r="F68" s="16">
        <v>13.5746</v>
      </c>
      <c r="G68" s="16">
        <f t="shared" si="24"/>
        <v>14.9305</v>
      </c>
      <c r="H68" s="16">
        <v>15.8084</v>
      </c>
      <c r="I68" s="16">
        <v>16.9219</v>
      </c>
      <c r="J68" s="16">
        <f t="shared" ref="J68:P68" si="85">I68+J31</f>
        <v>18.3214</v>
      </c>
      <c r="K68" s="16">
        <f t="shared" si="85"/>
        <v>20.9154</v>
      </c>
      <c r="L68" s="16"/>
      <c r="M68" s="16"/>
      <c r="N68" s="16">
        <f t="shared" si="85"/>
        <v>0.4044185</v>
      </c>
      <c r="O68" s="16">
        <f t="shared" si="85"/>
        <v>0.4390665</v>
      </c>
      <c r="P68" s="16">
        <f t="shared" si="85"/>
        <v>0.6895305</v>
      </c>
      <c r="Q68" s="16">
        <v>1.134502</v>
      </c>
      <c r="R68" s="16">
        <v>1.673164</v>
      </c>
      <c r="S68" s="16">
        <v>2.727325</v>
      </c>
      <c r="T68" s="16">
        <v>3.8691245</v>
      </c>
      <c r="U68" s="16">
        <f t="shared" si="26"/>
        <v>5.0914</v>
      </c>
      <c r="V68" s="16">
        <v>6.4402</v>
      </c>
      <c r="W68" s="16">
        <v>8.4176</v>
      </c>
      <c r="X68" s="16">
        <v>12.4418</v>
      </c>
      <c r="Y68" s="16"/>
      <c r="Z68" s="16">
        <f t="shared" si="27"/>
        <v>1.3471</v>
      </c>
      <c r="AA68" s="16">
        <f t="shared" ref="AA68:AD68" si="86">Z68+AA31</f>
        <v>2.0061</v>
      </c>
      <c r="AB68" s="16">
        <f t="shared" si="86"/>
        <v>2.7738</v>
      </c>
      <c r="AC68" s="16">
        <f t="shared" si="86"/>
        <v>4.1125</v>
      </c>
      <c r="AD68" s="16">
        <f t="shared" si="86"/>
        <v>5.5085</v>
      </c>
      <c r="AE68" s="16">
        <v>7.3231</v>
      </c>
      <c r="AF68" s="16">
        <v>9.7364</v>
      </c>
      <c r="AG68" s="16">
        <v>12.4123</v>
      </c>
      <c r="AH68" s="16">
        <v>15.5939</v>
      </c>
      <c r="AI68" s="16">
        <v>18.3569</v>
      </c>
      <c r="AJ68" s="16">
        <v>22.9256</v>
      </c>
      <c r="AK68" s="16">
        <v>31.1558</v>
      </c>
    </row>
    <row r="69" spans="1:37">
      <c r="A69" t="s">
        <v>83</v>
      </c>
      <c r="B69" s="16"/>
      <c r="C69" s="16"/>
      <c r="D69" s="16"/>
      <c r="E69" s="16"/>
      <c r="F69" s="16">
        <v>3.048305</v>
      </c>
      <c r="G69" s="16">
        <f t="shared" si="24"/>
        <v>1.9831</v>
      </c>
      <c r="H69" s="16">
        <v>2.1589</v>
      </c>
      <c r="I69" s="16">
        <v>2.6216885</v>
      </c>
      <c r="J69" s="16">
        <f t="shared" ref="J69:P69" si="87">I69+J32</f>
        <v>2.8415885</v>
      </c>
      <c r="K69" s="16">
        <f t="shared" si="87"/>
        <v>3.1503365</v>
      </c>
      <c r="L69" s="16"/>
      <c r="M69" s="16"/>
      <c r="N69" s="16">
        <f t="shared" si="87"/>
        <v>0.050226</v>
      </c>
      <c r="O69" s="16">
        <f t="shared" si="87"/>
        <v>0.061126</v>
      </c>
      <c r="P69" s="16">
        <f t="shared" si="87"/>
        <v>0.0879065</v>
      </c>
      <c r="Q69" s="16">
        <v>0.1753745</v>
      </c>
      <c r="R69" s="16">
        <v>0.2402095</v>
      </c>
      <c r="S69" s="16">
        <v>0.3006845</v>
      </c>
      <c r="T69" s="16">
        <v>0.4096165</v>
      </c>
      <c r="U69" s="16">
        <f t="shared" si="26"/>
        <v>0.4751</v>
      </c>
      <c r="V69" s="16">
        <v>0.6169</v>
      </c>
      <c r="W69" s="16">
        <v>0.7581</v>
      </c>
      <c r="X69" s="16">
        <v>1.1213</v>
      </c>
      <c r="Y69" s="16"/>
      <c r="Z69" s="16">
        <f t="shared" si="27"/>
        <v>0.1082</v>
      </c>
      <c r="AA69" s="16">
        <f t="shared" ref="AA69:AD69" si="88">Z69+AA32</f>
        <v>0.1611</v>
      </c>
      <c r="AB69" s="16">
        <f t="shared" si="88"/>
        <v>0.2249</v>
      </c>
      <c r="AC69" s="16">
        <f t="shared" si="88"/>
        <v>0.3493</v>
      </c>
      <c r="AD69" s="16">
        <f t="shared" si="88"/>
        <v>0.4846</v>
      </c>
      <c r="AE69" s="16">
        <v>0.6424</v>
      </c>
      <c r="AF69" s="16">
        <v>0.8929</v>
      </c>
      <c r="AG69" s="16">
        <v>1.1483</v>
      </c>
      <c r="AH69" s="16">
        <v>1.4629</v>
      </c>
      <c r="AI69" s="16">
        <v>1.7409</v>
      </c>
      <c r="AJ69" s="16">
        <v>2.1517</v>
      </c>
      <c r="AK69" s="16">
        <v>2.8014</v>
      </c>
    </row>
    <row r="70" spans="1:37">
      <c r="A70" t="s">
        <v>84</v>
      </c>
      <c r="B70" s="16"/>
      <c r="C70" s="16"/>
      <c r="D70" s="16"/>
      <c r="E70" s="16"/>
      <c r="F70" s="16">
        <v>1.1825</v>
      </c>
      <c r="G70" s="16">
        <f t="shared" si="24"/>
        <v>1.2198</v>
      </c>
      <c r="H70" s="16">
        <v>1.3762</v>
      </c>
      <c r="I70" s="16">
        <v>1.4158</v>
      </c>
      <c r="J70" s="16">
        <f t="shared" ref="J70:P70" si="89">I70+J33</f>
        <v>1.4543</v>
      </c>
      <c r="K70" s="16">
        <f t="shared" si="89"/>
        <v>1.576</v>
      </c>
      <c r="L70" s="16"/>
      <c r="M70" s="16"/>
      <c r="N70" s="16">
        <f t="shared" si="89"/>
        <v>0.0254</v>
      </c>
      <c r="O70" s="16">
        <f t="shared" si="89"/>
        <v>0.03327</v>
      </c>
      <c r="P70" s="16">
        <f t="shared" si="89"/>
        <v>0.05267</v>
      </c>
      <c r="Q70" s="16">
        <v>0.067047</v>
      </c>
      <c r="R70" s="16">
        <v>0.137295</v>
      </c>
      <c r="S70" s="16">
        <v>0.702395</v>
      </c>
      <c r="T70" s="16">
        <v>1.180245</v>
      </c>
      <c r="U70" s="16">
        <f t="shared" si="26"/>
        <v>0.8792</v>
      </c>
      <c r="V70" s="16">
        <v>0.8839</v>
      </c>
      <c r="W70" s="16">
        <v>0.9356</v>
      </c>
      <c r="X70" s="16">
        <v>1.1014</v>
      </c>
      <c r="Y70" s="16"/>
      <c r="Z70" s="16">
        <f t="shared" si="27"/>
        <v>0.0229</v>
      </c>
      <c r="AA70" s="16">
        <f t="shared" ref="AA70:AD70" si="90">Z70+AA33</f>
        <v>0.0697</v>
      </c>
      <c r="AB70" s="16">
        <f t="shared" si="90"/>
        <v>0.078</v>
      </c>
      <c r="AC70" s="16">
        <f t="shared" si="90"/>
        <v>0.1404</v>
      </c>
      <c r="AD70" s="16">
        <f t="shared" si="90"/>
        <v>0.1508</v>
      </c>
      <c r="AE70" s="16">
        <v>0.329</v>
      </c>
      <c r="AF70" s="16">
        <v>0.4381</v>
      </c>
      <c r="AG70" s="16">
        <v>0.6082</v>
      </c>
      <c r="AH70" s="16">
        <v>0.8774</v>
      </c>
      <c r="AI70" s="16">
        <v>1.0212</v>
      </c>
      <c r="AJ70" s="16">
        <v>1.2516</v>
      </c>
      <c r="AK70" s="16">
        <v>1.7673</v>
      </c>
    </row>
    <row r="71" spans="1:37">
      <c r="A71" t="s">
        <v>85</v>
      </c>
      <c r="B71" s="16"/>
      <c r="C71" s="16"/>
      <c r="D71" s="16"/>
      <c r="E71" s="16"/>
      <c r="F71" s="16">
        <v>0.07145</v>
      </c>
      <c r="G71" s="16">
        <f t="shared" si="24"/>
        <v>0.08761</v>
      </c>
      <c r="H71" s="16">
        <v>0.096032</v>
      </c>
      <c r="I71" s="16">
        <v>0.097522</v>
      </c>
      <c r="J71" s="16">
        <f t="shared" ref="J71:P71" si="91">I71+J34</f>
        <v>0.101522</v>
      </c>
      <c r="K71" s="16">
        <f t="shared" si="91"/>
        <v>0.109762</v>
      </c>
      <c r="L71" s="16"/>
      <c r="M71" s="16"/>
      <c r="N71" s="16">
        <f t="shared" si="91"/>
        <v>0.0098</v>
      </c>
      <c r="O71" s="16">
        <f t="shared" si="91"/>
        <v>0.0098</v>
      </c>
      <c r="P71" s="16">
        <f t="shared" si="91"/>
        <v>0.0126</v>
      </c>
      <c r="Q71" s="16">
        <v>0.014175</v>
      </c>
      <c r="R71" s="16">
        <v>0.020875</v>
      </c>
      <c r="S71" s="16">
        <v>0.025537</v>
      </c>
      <c r="T71" s="16">
        <v>0.038847</v>
      </c>
      <c r="U71" s="16">
        <f t="shared" si="26"/>
        <v>0.0426</v>
      </c>
      <c r="V71" s="16">
        <v>0.0484</v>
      </c>
      <c r="W71" s="16">
        <v>0.0878</v>
      </c>
      <c r="X71" s="16">
        <v>0.0995</v>
      </c>
      <c r="Y71" s="16"/>
      <c r="Z71" s="16">
        <f t="shared" si="27"/>
        <v>0.0219</v>
      </c>
      <c r="AA71" s="16">
        <f t="shared" ref="AA71:AD71" si="92">Z71+AA34</f>
        <v>0.0219</v>
      </c>
      <c r="AB71" s="16">
        <f t="shared" si="92"/>
        <v>0.028</v>
      </c>
      <c r="AC71" s="16">
        <f t="shared" si="92"/>
        <v>0.0479</v>
      </c>
      <c r="AD71" s="16">
        <f t="shared" si="92"/>
        <v>0.0706</v>
      </c>
      <c r="AE71" s="16">
        <v>0.0919</v>
      </c>
      <c r="AF71" s="16">
        <v>0.1102</v>
      </c>
      <c r="AG71" s="16">
        <v>0.143</v>
      </c>
      <c r="AH71" s="16">
        <v>0.1547</v>
      </c>
      <c r="AI71" s="16">
        <v>0.1833</v>
      </c>
      <c r="AJ71" s="16">
        <v>0.2198</v>
      </c>
      <c r="AK71" s="16">
        <v>0.304</v>
      </c>
    </row>
    <row r="72" spans="1:37">
      <c r="A72" t="s">
        <v>86</v>
      </c>
      <c r="B72" s="16"/>
      <c r="C72" s="16"/>
      <c r="D72" s="16"/>
      <c r="E72" s="16"/>
      <c r="F72" s="16">
        <v>0.261713</v>
      </c>
      <c r="G72" s="16">
        <f t="shared" si="24"/>
        <v>0.274425</v>
      </c>
      <c r="H72" s="16">
        <v>0.661747</v>
      </c>
      <c r="I72" s="16">
        <v>0.6970815</v>
      </c>
      <c r="J72" s="16">
        <f t="shared" ref="J72:P72" si="93">I72+J35</f>
        <v>0.8230185</v>
      </c>
      <c r="K72" s="16">
        <f t="shared" si="93"/>
        <v>1.103994</v>
      </c>
      <c r="L72" s="16"/>
      <c r="M72" s="16"/>
      <c r="N72" s="16">
        <f t="shared" si="93"/>
        <v>0.016884</v>
      </c>
      <c r="O72" s="16">
        <f t="shared" si="93"/>
        <v>0.039884</v>
      </c>
      <c r="P72" s="16">
        <f t="shared" si="93"/>
        <v>0.054187</v>
      </c>
      <c r="Q72" s="16">
        <v>0.060207</v>
      </c>
      <c r="R72" s="16">
        <v>0.079746</v>
      </c>
      <c r="S72" s="16">
        <v>0.109516</v>
      </c>
      <c r="T72" s="16">
        <v>0.148309</v>
      </c>
      <c r="U72" s="16">
        <f t="shared" si="26"/>
        <v>0.2341</v>
      </c>
      <c r="V72" s="16">
        <v>0.275</v>
      </c>
      <c r="W72" s="16">
        <v>0.3924</v>
      </c>
      <c r="X72" s="16">
        <v>0.8751</v>
      </c>
      <c r="Y72" s="16"/>
      <c r="Z72" s="16">
        <f t="shared" si="27"/>
        <v>0.0272</v>
      </c>
      <c r="AA72" s="16">
        <f t="shared" ref="AA72:AD72" si="94">Z72+AA35</f>
        <v>0.1135</v>
      </c>
      <c r="AB72" s="16">
        <f t="shared" si="94"/>
        <v>0.1296</v>
      </c>
      <c r="AC72" s="16">
        <f t="shared" si="94"/>
        <v>0.172</v>
      </c>
      <c r="AD72" s="16">
        <f t="shared" si="94"/>
        <v>0.2388</v>
      </c>
      <c r="AE72" s="16">
        <v>0.2752</v>
      </c>
      <c r="AF72" s="16">
        <v>0.3098</v>
      </c>
      <c r="AG72" s="16">
        <v>0.3908</v>
      </c>
      <c r="AH72" s="16">
        <v>0.5368</v>
      </c>
      <c r="AI72" s="16">
        <v>0.6903</v>
      </c>
      <c r="AJ72" s="16">
        <v>0.8091</v>
      </c>
      <c r="AK72" s="16">
        <v>1.5194</v>
      </c>
    </row>
    <row r="73" spans="1:37">
      <c r="A73" s="12" t="s">
        <v>87</v>
      </c>
      <c r="F73" s="16">
        <f>SUM(F39:F72)</f>
        <v>200.731765</v>
      </c>
      <c r="G73" s="16">
        <f t="shared" ref="G73:K73" si="95">SUM(G39:G72)</f>
        <v>256.0990193</v>
      </c>
      <c r="H73" s="16">
        <f t="shared" si="95"/>
        <v>312.2232067</v>
      </c>
      <c r="I73" s="16">
        <f t="shared" si="95"/>
        <v>391.1415974</v>
      </c>
      <c r="J73" s="16">
        <f t="shared" si="95"/>
        <v>500.7356487</v>
      </c>
      <c r="K73" s="16">
        <f t="shared" si="95"/>
        <v>616.7954673</v>
      </c>
      <c r="N73" s="16">
        <f t="shared" ref="N73" si="96">SUM(N39:N72)</f>
        <v>15.6811623</v>
      </c>
      <c r="O73" s="16">
        <f t="shared" ref="O73" si="97">SUM(O39:O72)</f>
        <v>16.8850793</v>
      </c>
      <c r="P73" s="16">
        <f t="shared" ref="P73" si="98">SUM(P39:P72)</f>
        <v>30.2864278</v>
      </c>
      <c r="Q73" s="16">
        <f t="shared" ref="Q73" si="99">SUM(Q39:Q72)</f>
        <v>80.2693495</v>
      </c>
      <c r="R73" s="16">
        <f t="shared" ref="R73" si="100">SUM(R39:R72)</f>
        <v>152.8954838</v>
      </c>
      <c r="S73" s="16">
        <f t="shared" ref="S73" si="101">SUM(S39:S72)</f>
        <v>247.87568307</v>
      </c>
      <c r="T73" s="16">
        <f t="shared" ref="T73" si="102">SUM(T39:T72)</f>
        <v>354.86206347</v>
      </c>
      <c r="U73" s="16">
        <f t="shared" ref="U73" si="103">SUM(U39:U72)</f>
        <v>482.7091</v>
      </c>
      <c r="V73" s="16">
        <f t="shared" ref="V73" si="104">SUM(V39:V72)</f>
        <v>644.3659</v>
      </c>
      <c r="W73" s="16">
        <f t="shared" ref="W73" si="105">SUM(W39:W72)</f>
        <v>813.6806</v>
      </c>
      <c r="X73" s="16">
        <f t="shared" ref="X73:Z73" si="106">SUM(X39:X72)</f>
        <v>1229.6962</v>
      </c>
      <c r="Z73" s="16">
        <f t="shared" si="106"/>
        <v>36.9024</v>
      </c>
      <c r="AA73" s="16">
        <f t="shared" ref="AA73" si="107">SUM(AA39:AA72)</f>
        <v>69.2563</v>
      </c>
      <c r="AB73" s="16">
        <f t="shared" ref="AB73" si="108">SUM(AB39:AB72)</f>
        <v>153.9343</v>
      </c>
      <c r="AC73" s="16">
        <f t="shared" ref="AC73" si="109">SUM(AC39:AC72)</f>
        <v>326.2322</v>
      </c>
      <c r="AD73" s="16">
        <f t="shared" ref="AD73" si="110">SUM(AD39:AD72)</f>
        <v>518.4983</v>
      </c>
      <c r="AE73" s="16">
        <f t="shared" ref="AE73" si="111">SUM(AE39:AE72)</f>
        <v>734.5116</v>
      </c>
      <c r="AF73" s="16">
        <f t="shared" ref="AF73" si="112">SUM(AF39:AF72)</f>
        <v>959.6201</v>
      </c>
      <c r="AG73" s="16">
        <f t="shared" ref="AG73" si="113">SUM(AG39:AG72)</f>
        <v>1195.7696</v>
      </c>
      <c r="AH73" s="16">
        <f t="shared" ref="AH73" si="114">SUM(AH39:AH72)</f>
        <v>1469.0462</v>
      </c>
      <c r="AI73" s="16">
        <f t="shared" ref="AI73" si="115">SUM(AI39:AI72)</f>
        <v>1709.2365</v>
      </c>
      <c r="AJ73" s="16">
        <f t="shared" ref="AJ73" si="116">SUM(AJ39:AJ72)</f>
        <v>2062.2809</v>
      </c>
      <c r="AK73" s="16">
        <f t="shared" ref="AK73" si="117">SUM(AK39:AK72)</f>
        <v>2699.0448</v>
      </c>
    </row>
    <row r="75" ht="20.25" spans="1:37">
      <c r="A75" s="18" t="s">
        <v>88</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33"/>
  <sheetViews>
    <sheetView workbookViewId="0">
      <selection activeCell="A1" sqref="A1"/>
    </sheetView>
  </sheetViews>
  <sheetFormatPr defaultColWidth="8.79646017699115" defaultRowHeight="13.5"/>
  <sheetData>
    <row r="1" spans="1:58">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c r="AW1">
        <v>2051</v>
      </c>
      <c r="AX1">
        <v>2052</v>
      </c>
      <c r="AY1">
        <v>2053</v>
      </c>
      <c r="AZ1">
        <v>2054</v>
      </c>
      <c r="BA1">
        <v>2055</v>
      </c>
      <c r="BB1">
        <v>2056</v>
      </c>
      <c r="BC1">
        <v>2057</v>
      </c>
      <c r="BD1">
        <v>2058</v>
      </c>
      <c r="BE1">
        <v>2059</v>
      </c>
      <c r="BF1">
        <v>2060</v>
      </c>
    </row>
    <row r="2" spans="1:58">
      <c r="A2" t="s">
        <v>23</v>
      </c>
      <c r="B2" t="s">
        <v>89</v>
      </c>
      <c r="C2" s="15">
        <v>0.836150845253576</v>
      </c>
      <c r="D2" s="15">
        <v>0.843222985633979</v>
      </c>
      <c r="E2" s="15">
        <v>0.844868735083532</v>
      </c>
      <c r="F2" s="15">
        <v>0.849237718802936</v>
      </c>
      <c r="G2" s="15">
        <v>0.85</v>
      </c>
      <c r="H2" s="15">
        <v>0.859327217125382</v>
      </c>
      <c r="I2" s="15">
        <v>0.862154150197628</v>
      </c>
      <c r="J2" s="15">
        <v>0.862848893166506</v>
      </c>
      <c r="K2" s="15">
        <v>0.864</v>
      </c>
      <c r="L2" s="15">
        <v>0.865039152464302</v>
      </c>
      <c r="M2" s="15">
        <v>0.867001828153565</v>
      </c>
      <c r="N2" s="15">
        <v>0.867425968109339</v>
      </c>
      <c r="O2" s="15">
        <v>0.86918869644485</v>
      </c>
      <c r="P2" s="15">
        <v>0.870894160583942</v>
      </c>
      <c r="Q2" s="15">
        <v>0.87351598173516</v>
      </c>
      <c r="R2" s="15">
        <v>0.875285518501599</v>
      </c>
      <c r="S2" s="15">
        <v>0.874828688899041</v>
      </c>
      <c r="T2" s="15">
        <v>0.881054735763837</v>
      </c>
      <c r="U2" s="15">
        <v>0.887325092629041</v>
      </c>
      <c r="V2" s="15">
        <v>0.893640074843411</v>
      </c>
      <c r="W2" s="15">
        <v>0.9</v>
      </c>
      <c r="X2" s="15">
        <v>0.900995034904183</v>
      </c>
      <c r="Y2" s="15">
        <v>0.901991169913323</v>
      </c>
      <c r="Z2" s="15">
        <v>0.902988406243688</v>
      </c>
      <c r="AA2" s="15">
        <v>0.903986745112894</v>
      </c>
      <c r="AB2" s="15">
        <v>0.904986187739901</v>
      </c>
      <c r="AC2" s="15">
        <v>0.905986735345018</v>
      </c>
      <c r="AD2" s="15">
        <v>0.906988389149901</v>
      </c>
      <c r="AE2" s="15">
        <v>0.90799115037756</v>
      </c>
      <c r="AF2" s="15">
        <v>0.908995020252355</v>
      </c>
      <c r="AG2" s="15">
        <v>0.91</v>
      </c>
      <c r="AH2" s="15">
        <v>0.91455</v>
      </c>
      <c r="AI2" s="15">
        <v>0.91912275</v>
      </c>
      <c r="AJ2" s="15">
        <v>0.92371836375</v>
      </c>
      <c r="AK2" s="15">
        <v>0.92833695556875</v>
      </c>
      <c r="AL2" s="15">
        <v>0.932978640346593</v>
      </c>
      <c r="AM2" s="15">
        <v>0.936499262660467</v>
      </c>
      <c r="AN2" s="15">
        <v>0.940033170146091</v>
      </c>
      <c r="AO2" s="15">
        <v>0.943580412935452</v>
      </c>
      <c r="AP2" s="15">
        <v>0.947141041349711</v>
      </c>
      <c r="AQ2" s="15">
        <v>0.950715105899915</v>
      </c>
      <c r="AR2" s="15">
        <v>0.95430265728772</v>
      </c>
      <c r="AS2" s="15">
        <v>0.957903746406103</v>
      </c>
      <c r="AT2" s="15">
        <v>0.961518424340088</v>
      </c>
      <c r="AU2" s="15">
        <v>0.96514674236747</v>
      </c>
      <c r="AV2" s="15">
        <v>0.968788751959543</v>
      </c>
      <c r="AW2" s="15">
        <v>0.97</v>
      </c>
      <c r="AX2" s="15">
        <v>0.97</v>
      </c>
      <c r="AY2" s="15">
        <v>0.97</v>
      </c>
      <c r="AZ2" s="15">
        <v>0.97</v>
      </c>
      <c r="BA2" s="15">
        <v>0.97</v>
      </c>
      <c r="BB2" s="15">
        <v>0.97</v>
      </c>
      <c r="BC2" s="15">
        <v>0.97</v>
      </c>
      <c r="BD2" s="15">
        <v>0.97</v>
      </c>
      <c r="BE2" s="15">
        <v>0.97</v>
      </c>
      <c r="BF2" s="15">
        <v>0.97</v>
      </c>
    </row>
    <row r="3" spans="1:58">
      <c r="A3" t="s">
        <v>24</v>
      </c>
      <c r="B3" t="s">
        <v>89</v>
      </c>
      <c r="C3" s="15">
        <v>0.75071907957814</v>
      </c>
      <c r="D3" s="15">
        <v>0.757209302325581</v>
      </c>
      <c r="E3" s="15">
        <v>0.763228699551569</v>
      </c>
      <c r="F3" s="15">
        <v>0.772108843537415</v>
      </c>
      <c r="G3" s="15">
        <v>0.780130293159609</v>
      </c>
      <c r="H3" s="15">
        <v>0.795996920708237</v>
      </c>
      <c r="I3" s="15">
        <v>0.80462341536167</v>
      </c>
      <c r="J3" s="15">
        <v>0.815674891146589</v>
      </c>
      <c r="K3" s="15">
        <v>0.822695035460993</v>
      </c>
      <c r="L3" s="15">
        <v>0.825752274317705</v>
      </c>
      <c r="M3" s="15">
        <v>0.829047949965254</v>
      </c>
      <c r="N3" s="15">
        <v>0.832986832986833</v>
      </c>
      <c r="O3" s="15">
        <v>0.835460992907801</v>
      </c>
      <c r="P3" s="15">
        <v>0.839479392624729</v>
      </c>
      <c r="Q3" s="15">
        <v>0.843321299638989</v>
      </c>
      <c r="R3" s="15">
        <v>0.847152126892574</v>
      </c>
      <c r="S3" s="15">
        <v>0.848506919155135</v>
      </c>
      <c r="T3" s="15">
        <v>0.85136570913229</v>
      </c>
      <c r="U3" s="15">
        <v>0.854234130946204</v>
      </c>
      <c r="V3" s="15">
        <v>0.857112217048465</v>
      </c>
      <c r="W3" s="15">
        <v>0.86</v>
      </c>
      <c r="X3" s="15">
        <v>0.862953921787018</v>
      </c>
      <c r="Y3" s="15">
        <v>0.865917989683251</v>
      </c>
      <c r="Z3" s="15">
        <v>0.868892238538479</v>
      </c>
      <c r="AA3" s="15">
        <v>0.871876703322189</v>
      </c>
      <c r="AB3" s="15">
        <v>0.874871419123976</v>
      </c>
      <c r="AC3" s="15">
        <v>0.877876421153965</v>
      </c>
      <c r="AD3" s="15">
        <v>0.880891744743216</v>
      </c>
      <c r="AE3" s="15">
        <v>0.883917425344149</v>
      </c>
      <c r="AF3" s="15">
        <v>0.88695349853095</v>
      </c>
      <c r="AG3" s="15">
        <v>0.89</v>
      </c>
      <c r="AH3" s="15">
        <v>0.89445</v>
      </c>
      <c r="AI3" s="15">
        <v>0.89892225</v>
      </c>
      <c r="AJ3" s="15">
        <v>0.90341686125</v>
      </c>
      <c r="AK3" s="15">
        <v>0.90793394555625</v>
      </c>
      <c r="AL3" s="15">
        <v>0.912473615284031</v>
      </c>
      <c r="AM3" s="15">
        <v>0.915916861283314</v>
      </c>
      <c r="AN3" s="15">
        <v>0.91937310047255</v>
      </c>
      <c r="AO3" s="15">
        <v>0.922842381881926</v>
      </c>
      <c r="AP3" s="15">
        <v>0.92632475472664</v>
      </c>
      <c r="AQ3" s="15">
        <v>0.92982026840761</v>
      </c>
      <c r="AR3" s="15">
        <v>0.933328972512166</v>
      </c>
      <c r="AS3" s="15">
        <v>0.93685091681476</v>
      </c>
      <c r="AT3" s="15">
        <v>0.940386151277669</v>
      </c>
      <c r="AU3" s="15">
        <v>0.943934726051702</v>
      </c>
      <c r="AV3" s="15">
        <v>0.947496691476916</v>
      </c>
      <c r="AW3" s="15">
        <v>0.951072098083326</v>
      </c>
      <c r="AX3" s="15">
        <v>0.954660996591624</v>
      </c>
      <c r="AY3" s="15">
        <v>0.9582634379139</v>
      </c>
      <c r="AZ3" s="15">
        <v>0.961879473154359</v>
      </c>
      <c r="BA3" s="15">
        <v>0.965509153610051</v>
      </c>
      <c r="BB3" s="15">
        <v>0.969152530771596</v>
      </c>
      <c r="BC3" s="15">
        <v>0.97</v>
      </c>
      <c r="BD3" s="15">
        <v>0.97</v>
      </c>
      <c r="BE3" s="15">
        <v>0.97</v>
      </c>
      <c r="BF3" s="15">
        <v>0.97</v>
      </c>
    </row>
    <row r="4" spans="1:58">
      <c r="A4" t="s">
        <v>25</v>
      </c>
      <c r="B4" t="s">
        <v>89</v>
      </c>
      <c r="C4" s="15">
        <v>0.376879287695227</v>
      </c>
      <c r="D4" s="15">
        <v>0.387648593795303</v>
      </c>
      <c r="E4" s="15">
        <v>0.402563733256517</v>
      </c>
      <c r="F4" s="15">
        <v>0.418944054943483</v>
      </c>
      <c r="G4" s="15">
        <v>0.437446687517771</v>
      </c>
      <c r="H4" s="15">
        <v>0.444954128440367</v>
      </c>
      <c r="I4" s="15">
        <v>0.455890486725664</v>
      </c>
      <c r="J4" s="15">
        <v>0.465987331313688</v>
      </c>
      <c r="K4" s="15">
        <v>0.480241492864984</v>
      </c>
      <c r="L4" s="15">
        <v>0.493650143383859</v>
      </c>
      <c r="M4" s="15">
        <v>0.516678012253234</v>
      </c>
      <c r="N4" s="15">
        <v>0.53871186440678</v>
      </c>
      <c r="O4" s="15">
        <v>0.557430152517209</v>
      </c>
      <c r="P4" s="15">
        <v>0.573256127120926</v>
      </c>
      <c r="Q4" s="15">
        <v>0.587753457768229</v>
      </c>
      <c r="R4" s="15">
        <v>0.60075026795284</v>
      </c>
      <c r="S4" s="15">
        <v>0.611439312567132</v>
      </c>
      <c r="T4" s="15">
        <v>0.620859538717225</v>
      </c>
      <c r="U4" s="15">
        <v>0.630424898912341</v>
      </c>
      <c r="V4" s="15">
        <v>0.640137629180649</v>
      </c>
      <c r="W4" s="15">
        <v>0.65</v>
      </c>
      <c r="X4" s="15">
        <v>0.654834911336001</v>
      </c>
      <c r="Y4" s="15">
        <v>0.659705786314506</v>
      </c>
      <c r="Z4" s="15">
        <v>0.664612892444779</v>
      </c>
      <c r="AA4" s="15">
        <v>0.669556499225908</v>
      </c>
      <c r="AB4" s="15">
        <v>0.674536878161602</v>
      </c>
      <c r="AC4" s="15">
        <v>0.679554302775101</v>
      </c>
      <c r="AD4" s="15">
        <v>0.684609048624202</v>
      </c>
      <c r="AE4" s="15">
        <v>0.68970139331639</v>
      </c>
      <c r="AF4" s="15">
        <v>0.694831616524085</v>
      </c>
      <c r="AG4" s="15">
        <v>0.7</v>
      </c>
      <c r="AH4" s="15">
        <v>0.7035</v>
      </c>
      <c r="AI4" s="15">
        <v>0.7070175</v>
      </c>
      <c r="AJ4" s="15">
        <v>0.7105525875</v>
      </c>
      <c r="AK4" s="15">
        <v>0.7141053504375</v>
      </c>
      <c r="AL4" s="15">
        <v>0.717675877189687</v>
      </c>
      <c r="AM4" s="15">
        <v>0.720384048200359</v>
      </c>
      <c r="AN4" s="15">
        <v>0.723102438573916</v>
      </c>
      <c r="AO4" s="15">
        <v>0.725831086873425</v>
      </c>
      <c r="AP4" s="15">
        <v>0.72857003180747</v>
      </c>
      <c r="AQ4" s="15">
        <v>0.731319312230704</v>
      </c>
      <c r="AR4" s="15">
        <v>0.7340789671444</v>
      </c>
      <c r="AS4" s="15">
        <v>0.736849035697002</v>
      </c>
      <c r="AT4" s="15">
        <v>0.739629557184683</v>
      </c>
      <c r="AU4" s="15">
        <v>0.7424205710519</v>
      </c>
      <c r="AV4" s="15">
        <v>0.745222116891956</v>
      </c>
      <c r="AW4" s="15">
        <v>0.748034234447559</v>
      </c>
      <c r="AX4" s="15">
        <v>0.75085696361139</v>
      </c>
      <c r="AY4" s="15">
        <v>0.753690344426663</v>
      </c>
      <c r="AZ4" s="15">
        <v>0.756534417087698</v>
      </c>
      <c r="BA4" s="15">
        <v>0.759389221940489</v>
      </c>
      <c r="BB4" s="15">
        <v>0.762254799483278</v>
      </c>
      <c r="BC4" s="15">
        <v>0.765131190367126</v>
      </c>
      <c r="BD4" s="15">
        <v>0.768018435396493</v>
      </c>
      <c r="BE4" s="15">
        <v>0.770916575529818</v>
      </c>
      <c r="BF4" s="15">
        <v>0.773825651880094</v>
      </c>
    </row>
    <row r="5" spans="1:58">
      <c r="A5" t="s">
        <v>26</v>
      </c>
      <c r="B5" t="s">
        <v>89</v>
      </c>
      <c r="C5" s="15">
        <v>0.421162444113264</v>
      </c>
      <c r="D5" s="15">
        <v>0.429925925925926</v>
      </c>
      <c r="E5" s="15">
        <v>0.440318302387268</v>
      </c>
      <c r="F5" s="15">
        <v>0.451187335092348</v>
      </c>
      <c r="G5" s="15">
        <v>0.459877443828421</v>
      </c>
      <c r="H5" s="15">
        <v>0.48041410184667</v>
      </c>
      <c r="I5" s="15">
        <v>0.498034811903425</v>
      </c>
      <c r="J5" s="15">
        <v>0.513246899661781</v>
      </c>
      <c r="K5" s="15">
        <v>0.528712871287129</v>
      </c>
      <c r="L5" s="15">
        <v>0.543083900226757</v>
      </c>
      <c r="M5" s="15">
        <v>0.55868144359193</v>
      </c>
      <c r="N5" s="15">
        <v>0.57256687535572</v>
      </c>
      <c r="O5" s="15">
        <v>0.586039886039886</v>
      </c>
      <c r="P5" s="15">
        <v>0.598515134209023</v>
      </c>
      <c r="Q5" s="15">
        <v>0.612810980840721</v>
      </c>
      <c r="R5" s="15">
        <v>0.625214899713467</v>
      </c>
      <c r="S5" s="15">
        <v>0.634195402298851</v>
      </c>
      <c r="T5" s="15">
        <v>0.645348856837126</v>
      </c>
      <c r="U5" s="15">
        <v>0.656698464718183</v>
      </c>
      <c r="V5" s="15">
        <v>0.668247675647558</v>
      </c>
      <c r="W5" s="15">
        <v>0.68</v>
      </c>
      <c r="X5" s="15">
        <v>0.68484187470465</v>
      </c>
      <c r="Y5" s="15">
        <v>0.689718225513206</v>
      </c>
      <c r="Z5" s="15">
        <v>0.694629297909454</v>
      </c>
      <c r="AA5" s="15">
        <v>0.699575339125125</v>
      </c>
      <c r="AB5" s="15">
        <v>0.704556598152342</v>
      </c>
      <c r="AC5" s="15">
        <v>0.709573325756148</v>
      </c>
      <c r="AD5" s="15">
        <v>0.714625774487138</v>
      </c>
      <c r="AE5" s="15">
        <v>0.719714198694168</v>
      </c>
      <c r="AF5" s="15">
        <v>0.72483885453716</v>
      </c>
      <c r="AG5" s="15">
        <v>0.73</v>
      </c>
      <c r="AH5" s="15">
        <v>0.73365</v>
      </c>
      <c r="AI5" s="15">
        <v>0.73731825</v>
      </c>
      <c r="AJ5" s="15">
        <v>0.74100484125</v>
      </c>
      <c r="AK5" s="15">
        <v>0.74470986545625</v>
      </c>
      <c r="AL5" s="15">
        <v>0.748433414783531</v>
      </c>
      <c r="AM5" s="15">
        <v>0.751257650266089</v>
      </c>
      <c r="AN5" s="15">
        <v>0.754092543084227</v>
      </c>
      <c r="AO5" s="15">
        <v>0.756938133453714</v>
      </c>
      <c r="AP5" s="15">
        <v>0.759794461742075</v>
      </c>
      <c r="AQ5" s="15">
        <v>0.762661568469163</v>
      </c>
      <c r="AR5" s="15">
        <v>0.765539494307731</v>
      </c>
      <c r="AS5" s="15">
        <v>0.768428280084017</v>
      </c>
      <c r="AT5" s="15">
        <v>0.771327966778312</v>
      </c>
      <c r="AU5" s="15">
        <v>0.774238595525553</v>
      </c>
      <c r="AV5" s="15">
        <v>0.777160207615897</v>
      </c>
      <c r="AW5" s="15">
        <v>0.780092844495312</v>
      </c>
      <c r="AX5" s="15">
        <v>0.783036547766164</v>
      </c>
      <c r="AY5" s="15">
        <v>0.785991359187805</v>
      </c>
      <c r="AZ5" s="15">
        <v>0.788957320677171</v>
      </c>
      <c r="BA5" s="15">
        <v>0.791934474309367</v>
      </c>
      <c r="BB5" s="15">
        <v>0.794922862318275</v>
      </c>
      <c r="BC5" s="15">
        <v>0.797922527097145</v>
      </c>
      <c r="BD5" s="15">
        <v>0.8009335111992</v>
      </c>
      <c r="BE5" s="15">
        <v>0.803955857338239</v>
      </c>
      <c r="BF5" s="15">
        <v>0.806989608389241</v>
      </c>
    </row>
    <row r="6" spans="1:58">
      <c r="A6" t="s">
        <v>27</v>
      </c>
      <c r="B6" t="s">
        <v>89</v>
      </c>
      <c r="C6" s="15">
        <v>0.471910112359551</v>
      </c>
      <c r="D6" s="15">
        <v>0.486542443064182</v>
      </c>
      <c r="E6" s="15">
        <v>0.501440922190202</v>
      </c>
      <c r="F6" s="15">
        <v>0.517184942716858</v>
      </c>
      <c r="G6" s="15">
        <v>0.534174125305126</v>
      </c>
      <c r="H6" s="15">
        <v>0.555016181229773</v>
      </c>
      <c r="I6" s="15">
        <v>0.570445344129555</v>
      </c>
      <c r="J6" s="15">
        <v>0.58400974025974</v>
      </c>
      <c r="K6" s="15">
        <v>0.59837067209776</v>
      </c>
      <c r="L6" s="15">
        <v>0.60963658636178</v>
      </c>
      <c r="M6" s="15">
        <v>0.620901639344262</v>
      </c>
      <c r="N6" s="15">
        <v>0.633825944170772</v>
      </c>
      <c r="O6" s="15">
        <v>0.646115906288533</v>
      </c>
      <c r="P6" s="15">
        <v>0.655243600330305</v>
      </c>
      <c r="Q6" s="15">
        <v>0.664596273291925</v>
      </c>
      <c r="R6" s="15">
        <v>0.674989596337911</v>
      </c>
      <c r="S6" s="15">
        <v>0.682083333333333</v>
      </c>
      <c r="T6" s="15">
        <v>0.684053943590146</v>
      </c>
      <c r="U6" s="15">
        <v>0.686030247146582</v>
      </c>
      <c r="V6" s="15">
        <v>0.688012260451179</v>
      </c>
      <c r="W6" s="15">
        <v>0.69</v>
      </c>
      <c r="X6" s="15">
        <v>0.692942871326275</v>
      </c>
      <c r="Y6" s="15">
        <v>0.695898294089713</v>
      </c>
      <c r="Z6" s="15">
        <v>0.698866321822583</v>
      </c>
      <c r="AA6" s="15">
        <v>0.701847008285468</v>
      </c>
      <c r="AB6" s="15">
        <v>0.704840407468244</v>
      </c>
      <c r="AC6" s="15">
        <v>0.707846573591053</v>
      </c>
      <c r="AD6" s="15">
        <v>0.710865561105289</v>
      </c>
      <c r="AE6" s="15">
        <v>0.713897424694583</v>
      </c>
      <c r="AF6" s="15">
        <v>0.716942219275793</v>
      </c>
      <c r="AG6" s="15">
        <v>0.72</v>
      </c>
      <c r="AH6" s="15">
        <v>0.7236</v>
      </c>
      <c r="AI6" s="15">
        <v>0.727218</v>
      </c>
      <c r="AJ6" s="15">
        <v>0.73085409</v>
      </c>
      <c r="AK6" s="15">
        <v>0.73450836045</v>
      </c>
      <c r="AL6" s="15">
        <v>0.73818090225225</v>
      </c>
      <c r="AM6" s="15">
        <v>0.740966449577512</v>
      </c>
      <c r="AN6" s="15">
        <v>0.743762508247456</v>
      </c>
      <c r="AO6" s="15">
        <v>0.746569117926951</v>
      </c>
      <c r="AP6" s="15">
        <v>0.74938631843054</v>
      </c>
      <c r="AQ6" s="15">
        <v>0.75221414972301</v>
      </c>
      <c r="AR6" s="15">
        <v>0.755052651919954</v>
      </c>
      <c r="AS6" s="15">
        <v>0.757901865288345</v>
      </c>
      <c r="AT6" s="15">
        <v>0.760761830247102</v>
      </c>
      <c r="AU6" s="15">
        <v>0.763632587367668</v>
      </c>
      <c r="AV6" s="15">
        <v>0.766514177374583</v>
      </c>
      <c r="AW6" s="15">
        <v>0.769406641146061</v>
      </c>
      <c r="AX6" s="15">
        <v>0.772310019714572</v>
      </c>
      <c r="AY6" s="15">
        <v>0.775224354267424</v>
      </c>
      <c r="AZ6" s="15">
        <v>0.778149686147346</v>
      </c>
      <c r="BA6" s="15">
        <v>0.781086056853074</v>
      </c>
      <c r="BB6" s="15">
        <v>0.784033508039942</v>
      </c>
      <c r="BC6" s="15">
        <v>0.786992081520472</v>
      </c>
      <c r="BD6" s="15">
        <v>0.789961819264964</v>
      </c>
      <c r="BE6" s="15">
        <v>0.792942763402098</v>
      </c>
      <c r="BF6" s="15">
        <v>0.795934956219525</v>
      </c>
    </row>
    <row r="7" spans="1:58">
      <c r="A7" t="s">
        <v>28</v>
      </c>
      <c r="B7" t="s">
        <v>89</v>
      </c>
      <c r="C7" s="15">
        <v>0.587064676616915</v>
      </c>
      <c r="D7" s="15">
        <v>0.589791617888082</v>
      </c>
      <c r="E7" s="15">
        <v>0.591903210795719</v>
      </c>
      <c r="F7" s="15">
        <v>0.600463499420626</v>
      </c>
      <c r="G7" s="15">
        <v>0.603547569684404</v>
      </c>
      <c r="H7" s="15">
        <v>0.621028571428571</v>
      </c>
      <c r="I7" s="15">
        <v>0.640557204841288</v>
      </c>
      <c r="J7" s="15">
        <v>0.656457142857143</v>
      </c>
      <c r="K7" s="15">
        <v>0.664604810996564</v>
      </c>
      <c r="L7" s="15">
        <v>0.670491050940799</v>
      </c>
      <c r="M7" s="15">
        <v>0.680497925311203</v>
      </c>
      <c r="N7" s="15">
        <v>0.688698867575688</v>
      </c>
      <c r="O7" s="15">
        <v>0.694805194805195</v>
      </c>
      <c r="P7" s="15">
        <v>0.7026334187835</v>
      </c>
      <c r="Q7" s="15">
        <v>0.712181435585691</v>
      </c>
      <c r="R7" s="15">
        <v>0.721504112808461</v>
      </c>
      <c r="S7" s="15">
        <v>0.728068101205959</v>
      </c>
      <c r="T7" s="15">
        <v>0.718358567105189</v>
      </c>
      <c r="U7" s="15">
        <v>0.708778519589943</v>
      </c>
      <c r="V7" s="15">
        <v>0.699326231823933</v>
      </c>
      <c r="W7" s="15">
        <v>0.69</v>
      </c>
      <c r="X7" s="15">
        <v>0.692942871326275</v>
      </c>
      <c r="Y7" s="15">
        <v>0.695898294089713</v>
      </c>
      <c r="Z7" s="15">
        <v>0.698866321822583</v>
      </c>
      <c r="AA7" s="15">
        <v>0.701847008285468</v>
      </c>
      <c r="AB7" s="15">
        <v>0.704840407468244</v>
      </c>
      <c r="AC7" s="15">
        <v>0.707846573591053</v>
      </c>
      <c r="AD7" s="15">
        <v>0.710865561105289</v>
      </c>
      <c r="AE7" s="15">
        <v>0.713897424694583</v>
      </c>
      <c r="AF7" s="15">
        <v>0.716942219275793</v>
      </c>
      <c r="AG7" s="15">
        <v>0.72</v>
      </c>
      <c r="AH7" s="15">
        <v>0.7236</v>
      </c>
      <c r="AI7" s="15">
        <v>0.727218</v>
      </c>
      <c r="AJ7" s="15">
        <v>0.73085409</v>
      </c>
      <c r="AK7" s="15">
        <v>0.73450836045</v>
      </c>
      <c r="AL7" s="15">
        <v>0.73818090225225</v>
      </c>
      <c r="AM7" s="15">
        <v>0.740966449577512</v>
      </c>
      <c r="AN7" s="15">
        <v>0.743762508247456</v>
      </c>
      <c r="AO7" s="15">
        <v>0.746569117926951</v>
      </c>
      <c r="AP7" s="15">
        <v>0.74938631843054</v>
      </c>
      <c r="AQ7" s="15">
        <v>0.75221414972301</v>
      </c>
      <c r="AR7" s="15">
        <v>0.755052651919954</v>
      </c>
      <c r="AS7" s="15">
        <v>0.757901865288345</v>
      </c>
      <c r="AT7" s="15">
        <v>0.760761830247102</v>
      </c>
      <c r="AU7" s="15">
        <v>0.763632587367668</v>
      </c>
      <c r="AV7" s="15">
        <v>0.766514177374583</v>
      </c>
      <c r="AW7" s="15">
        <v>0.769406641146061</v>
      </c>
      <c r="AX7" s="15">
        <v>0.772310019714572</v>
      </c>
      <c r="AY7" s="15">
        <v>0.775224354267424</v>
      </c>
      <c r="AZ7" s="15">
        <v>0.778149686147346</v>
      </c>
      <c r="BA7" s="15">
        <v>0.781086056853074</v>
      </c>
      <c r="BB7" s="15">
        <v>0.784033508039942</v>
      </c>
      <c r="BC7" s="15">
        <v>0.786992081520472</v>
      </c>
      <c r="BD7" s="15">
        <v>0.789961819264964</v>
      </c>
      <c r="BE7" s="15">
        <v>0.792942763402098</v>
      </c>
      <c r="BF7" s="15">
        <v>0.795934956219525</v>
      </c>
    </row>
    <row r="8" spans="1:58">
      <c r="A8" t="s">
        <v>29</v>
      </c>
      <c r="B8" t="s">
        <v>89</v>
      </c>
      <c r="C8" s="15">
        <v>0.525036818851252</v>
      </c>
      <c r="D8" s="15">
        <v>0.529562982005141</v>
      </c>
      <c r="E8" s="15">
        <v>0.531501831501832</v>
      </c>
      <c r="F8" s="15">
        <v>0.53218727139722</v>
      </c>
      <c r="G8" s="15">
        <v>0.533211678832117</v>
      </c>
      <c r="H8" s="15">
        <v>0.533309064433928</v>
      </c>
      <c r="I8" s="15">
        <v>0.53394495412844</v>
      </c>
      <c r="J8" s="15">
        <v>0.545218680504077</v>
      </c>
      <c r="K8" s="15">
        <v>0.557346326836582</v>
      </c>
      <c r="L8" s="15">
        <v>0.568130204390613</v>
      </c>
      <c r="M8" s="15">
        <v>0.576349024110218</v>
      </c>
      <c r="N8" s="15">
        <v>0.587456174522789</v>
      </c>
      <c r="O8" s="15">
        <v>0.596991290577989</v>
      </c>
      <c r="P8" s="15">
        <v>0.608695652173913</v>
      </c>
      <c r="Q8" s="15">
        <v>0.616421568627451</v>
      </c>
      <c r="R8" s="15">
        <v>0.626511046269279</v>
      </c>
      <c r="S8" s="15">
        <v>0.633684210526316</v>
      </c>
      <c r="T8" s="15">
        <v>0.637724355614118</v>
      </c>
      <c r="U8" s="15">
        <v>0.641790259229684</v>
      </c>
      <c r="V8" s="15">
        <v>0.645882085600224</v>
      </c>
      <c r="W8" s="15">
        <v>0.65</v>
      </c>
      <c r="X8" s="15">
        <v>0.654834911336001</v>
      </c>
      <c r="Y8" s="15">
        <v>0.659705786314506</v>
      </c>
      <c r="Z8" s="15">
        <v>0.664612892444779</v>
      </c>
      <c r="AA8" s="15">
        <v>0.669556499225908</v>
      </c>
      <c r="AB8" s="15">
        <v>0.674536878161602</v>
      </c>
      <c r="AC8" s="15">
        <v>0.679554302775101</v>
      </c>
      <c r="AD8" s="15">
        <v>0.684609048624202</v>
      </c>
      <c r="AE8" s="15">
        <v>0.68970139331639</v>
      </c>
      <c r="AF8" s="15">
        <v>0.694831616524085</v>
      </c>
      <c r="AG8" s="15">
        <v>0.7</v>
      </c>
      <c r="AH8" s="15">
        <v>0.7035</v>
      </c>
      <c r="AI8" s="15">
        <v>0.7070175</v>
      </c>
      <c r="AJ8" s="15">
        <v>0.7105525875</v>
      </c>
      <c r="AK8" s="15">
        <v>0.7141053504375</v>
      </c>
      <c r="AL8" s="15">
        <v>0.717675877189687</v>
      </c>
      <c r="AM8" s="15">
        <v>0.720384048200359</v>
      </c>
      <c r="AN8" s="15">
        <v>0.723102438573916</v>
      </c>
      <c r="AO8" s="15">
        <v>0.725831086873425</v>
      </c>
      <c r="AP8" s="15">
        <v>0.72857003180747</v>
      </c>
      <c r="AQ8" s="15">
        <v>0.731319312230704</v>
      </c>
      <c r="AR8" s="15">
        <v>0.7340789671444</v>
      </c>
      <c r="AS8" s="15">
        <v>0.736849035697002</v>
      </c>
      <c r="AT8" s="15">
        <v>0.739629557184683</v>
      </c>
      <c r="AU8" s="15">
        <v>0.7424205710519</v>
      </c>
      <c r="AV8" s="15">
        <v>0.745222116891956</v>
      </c>
      <c r="AW8" s="15">
        <v>0.748034234447559</v>
      </c>
      <c r="AX8" s="15">
        <v>0.75085696361139</v>
      </c>
      <c r="AY8" s="15">
        <v>0.753690344426663</v>
      </c>
      <c r="AZ8" s="15">
        <v>0.756534417087698</v>
      </c>
      <c r="BA8" s="15">
        <v>0.759389221940489</v>
      </c>
      <c r="BB8" s="15">
        <v>0.762254799483278</v>
      </c>
      <c r="BC8" s="15">
        <v>0.765131190367126</v>
      </c>
      <c r="BD8" s="15">
        <v>0.768018435396493</v>
      </c>
      <c r="BE8" s="15">
        <v>0.770916575529818</v>
      </c>
      <c r="BF8" s="15">
        <v>0.773825651880094</v>
      </c>
    </row>
    <row r="9" spans="1:58">
      <c r="A9" t="s">
        <v>30</v>
      </c>
      <c r="B9" t="s">
        <v>89</v>
      </c>
      <c r="C9" s="15">
        <v>0.530890052356021</v>
      </c>
      <c r="D9" s="15">
        <v>0.534920219722731</v>
      </c>
      <c r="E9" s="15">
        <v>0.538964435146444</v>
      </c>
      <c r="F9" s="15">
        <v>0.553986928104575</v>
      </c>
      <c r="G9" s="15">
        <v>0.55488761108207</v>
      </c>
      <c r="H9" s="15">
        <v>0.556744064701278</v>
      </c>
      <c r="I9" s="15">
        <v>0.564780539397144</v>
      </c>
      <c r="J9" s="15">
        <v>0.5687432867884</v>
      </c>
      <c r="K9" s="15">
        <v>0.580469176213857</v>
      </c>
      <c r="L9" s="15">
        <v>0.592294900221729</v>
      </c>
      <c r="M9" s="15">
        <v>0.604703882119581</v>
      </c>
      <c r="N9" s="15">
        <v>0.611030898065261</v>
      </c>
      <c r="O9" s="15">
        <v>0.619005589879376</v>
      </c>
      <c r="P9" s="15">
        <v>0.634505560565074</v>
      </c>
      <c r="Q9" s="15">
        <v>0.646082949308756</v>
      </c>
      <c r="R9" s="15">
        <v>0.6559444970041</v>
      </c>
      <c r="S9" s="15">
        <v>0.65696</v>
      </c>
      <c r="T9" s="15">
        <v>0.655213044216056</v>
      </c>
      <c r="U9" s="15">
        <v>0.65347073385118</v>
      </c>
      <c r="V9" s="15">
        <v>0.651733056552502</v>
      </c>
      <c r="W9" s="15">
        <v>0.65</v>
      </c>
      <c r="X9" s="15">
        <v>0.654834911336001</v>
      </c>
      <c r="Y9" s="15">
        <v>0.659705786314506</v>
      </c>
      <c r="Z9" s="15">
        <v>0.664612892444779</v>
      </c>
      <c r="AA9" s="15">
        <v>0.669556499225908</v>
      </c>
      <c r="AB9" s="15">
        <v>0.674536878161602</v>
      </c>
      <c r="AC9" s="15">
        <v>0.679554302775101</v>
      </c>
      <c r="AD9" s="15">
        <v>0.684609048624202</v>
      </c>
      <c r="AE9" s="15">
        <v>0.68970139331639</v>
      </c>
      <c r="AF9" s="15">
        <v>0.694831616524085</v>
      </c>
      <c r="AG9" s="15">
        <v>0.7</v>
      </c>
      <c r="AH9" s="15">
        <v>0.7035</v>
      </c>
      <c r="AI9" s="15">
        <v>0.7070175</v>
      </c>
      <c r="AJ9" s="15">
        <v>0.7105525875</v>
      </c>
      <c r="AK9" s="15">
        <v>0.7141053504375</v>
      </c>
      <c r="AL9" s="15">
        <v>0.717675877189687</v>
      </c>
      <c r="AM9" s="15">
        <v>0.720384048200359</v>
      </c>
      <c r="AN9" s="15">
        <v>0.723102438573916</v>
      </c>
      <c r="AO9" s="15">
        <v>0.725831086873425</v>
      </c>
      <c r="AP9" s="15">
        <v>0.72857003180747</v>
      </c>
      <c r="AQ9" s="15">
        <v>0.731319312230704</v>
      </c>
      <c r="AR9" s="15">
        <v>0.7340789671444</v>
      </c>
      <c r="AS9" s="15">
        <v>0.736849035697002</v>
      </c>
      <c r="AT9" s="15">
        <v>0.739629557184683</v>
      </c>
      <c r="AU9" s="15">
        <v>0.7424205710519</v>
      </c>
      <c r="AV9" s="15">
        <v>0.745222116891956</v>
      </c>
      <c r="AW9" s="15">
        <v>0.748034234447559</v>
      </c>
      <c r="AX9" s="15">
        <v>0.75085696361139</v>
      </c>
      <c r="AY9" s="15">
        <v>0.753690344426663</v>
      </c>
      <c r="AZ9" s="15">
        <v>0.756534417087698</v>
      </c>
      <c r="BA9" s="15">
        <v>0.759389221940489</v>
      </c>
      <c r="BB9" s="15">
        <v>0.762254799483278</v>
      </c>
      <c r="BC9" s="15">
        <v>0.765131190367126</v>
      </c>
      <c r="BD9" s="15">
        <v>0.768018435396493</v>
      </c>
      <c r="BE9" s="15">
        <v>0.770916575529818</v>
      </c>
      <c r="BF9" s="15">
        <v>0.773825651880094</v>
      </c>
    </row>
    <row r="10" spans="1:58">
      <c r="A10" t="s">
        <v>31</v>
      </c>
      <c r="B10" t="s">
        <v>89</v>
      </c>
      <c r="C10" s="15">
        <v>0.891005291005291</v>
      </c>
      <c r="D10" s="15">
        <v>0.886965376782077</v>
      </c>
      <c r="E10" s="15">
        <v>0.886627906976744</v>
      </c>
      <c r="F10" s="15">
        <v>0.886034563288183</v>
      </c>
      <c r="G10" s="15">
        <v>0.885972850678733</v>
      </c>
      <c r="H10" s="15">
        <v>0.892748588797221</v>
      </c>
      <c r="I10" s="15">
        <v>0.893039049235993</v>
      </c>
      <c r="J10" s="15">
        <v>0.892872030012505</v>
      </c>
      <c r="K10" s="15">
        <v>0.895833333333333</v>
      </c>
      <c r="L10" s="15">
        <v>0.892987434130523</v>
      </c>
      <c r="M10" s="15">
        <v>0.885272579332791</v>
      </c>
      <c r="N10" s="15">
        <v>0.890149979732469</v>
      </c>
      <c r="O10" s="15">
        <v>0.890916463909165</v>
      </c>
      <c r="P10" s="15">
        <v>0.891313131313131</v>
      </c>
      <c r="Q10" s="15">
        <v>0.892382103990326</v>
      </c>
      <c r="R10" s="15">
        <v>0.893086816720257</v>
      </c>
      <c r="S10" s="15">
        <v>0.893129770992366</v>
      </c>
      <c r="T10" s="15">
        <v>0.894842395867</v>
      </c>
      <c r="U10" s="15">
        <v>0.896558304792906</v>
      </c>
      <c r="V10" s="15">
        <v>0.898277504067432</v>
      </c>
      <c r="W10" s="15">
        <v>0.9</v>
      </c>
      <c r="X10" s="15">
        <v>0.901980277023708</v>
      </c>
      <c r="Y10" s="15">
        <v>0.903964911266406</v>
      </c>
      <c r="Z10" s="15">
        <v>0.905953912315316</v>
      </c>
      <c r="AA10" s="15">
        <v>0.907947289778756</v>
      </c>
      <c r="AB10" s="15">
        <v>0.909945053286186</v>
      </c>
      <c r="AC10" s="15">
        <v>0.911947212488252</v>
      </c>
      <c r="AD10" s="15">
        <v>0.913953777056835</v>
      </c>
      <c r="AE10" s="15">
        <v>0.915964756685098</v>
      </c>
      <c r="AF10" s="15">
        <v>0.917980161087531</v>
      </c>
      <c r="AG10" s="15">
        <v>0.92</v>
      </c>
      <c r="AH10" s="15">
        <v>0.9246</v>
      </c>
      <c r="AI10" s="15">
        <v>0.929223</v>
      </c>
      <c r="AJ10" s="15">
        <v>0.933869115</v>
      </c>
      <c r="AK10" s="15">
        <v>0.938538460575</v>
      </c>
      <c r="AL10" s="15">
        <v>0.943231152877875</v>
      </c>
      <c r="AM10" s="15">
        <v>0.946790463349043</v>
      </c>
      <c r="AN10" s="15">
        <v>0.950363204982861</v>
      </c>
      <c r="AO10" s="15">
        <v>0.953949428462215</v>
      </c>
      <c r="AP10" s="15">
        <v>0.957549184661246</v>
      </c>
      <c r="AQ10" s="15">
        <v>0.961162524646068</v>
      </c>
      <c r="AR10" s="15">
        <v>0.964789499675497</v>
      </c>
      <c r="AS10" s="15">
        <v>0.968430161201775</v>
      </c>
      <c r="AT10" s="15">
        <v>0.97</v>
      </c>
      <c r="AU10" s="15">
        <v>0.97</v>
      </c>
      <c r="AV10" s="15">
        <v>0.97</v>
      </c>
      <c r="AW10" s="15">
        <v>0.97</v>
      </c>
      <c r="AX10" s="15">
        <v>0.97</v>
      </c>
      <c r="AY10" s="15">
        <v>0.97</v>
      </c>
      <c r="AZ10" s="15">
        <v>0.97</v>
      </c>
      <c r="BA10" s="15">
        <v>0.97</v>
      </c>
      <c r="BB10" s="15">
        <v>0.97</v>
      </c>
      <c r="BC10" s="15">
        <v>0.97</v>
      </c>
      <c r="BD10" s="15">
        <v>0.97</v>
      </c>
      <c r="BE10" s="15">
        <v>0.97</v>
      </c>
      <c r="BF10" s="15">
        <v>0.97</v>
      </c>
    </row>
    <row r="11" spans="1:58">
      <c r="A11" t="s">
        <v>32</v>
      </c>
      <c r="B11" t="s">
        <v>89</v>
      </c>
      <c r="C11" s="15">
        <v>0.505007907221929</v>
      </c>
      <c r="D11" s="15">
        <v>0.518939393939394</v>
      </c>
      <c r="E11" s="15">
        <v>0.532047131943545</v>
      </c>
      <c r="F11" s="15">
        <v>0.543030146869364</v>
      </c>
      <c r="G11" s="15">
        <v>0.556081946222791</v>
      </c>
      <c r="H11" s="15">
        <v>0.605794891345787</v>
      </c>
      <c r="I11" s="15">
        <v>0.620092234824879</v>
      </c>
      <c r="J11" s="15">
        <v>0.630049261083744</v>
      </c>
      <c r="K11" s="15">
        <v>0.6439208984375</v>
      </c>
      <c r="L11" s="15">
        <v>0.657046250452844</v>
      </c>
      <c r="M11" s="15">
        <v>0.6749248346362</v>
      </c>
      <c r="N11" s="15">
        <v>0.68929721990216</v>
      </c>
      <c r="O11" s="15">
        <v>0.70176896592663</v>
      </c>
      <c r="P11" s="15">
        <v>0.711934643618281</v>
      </c>
      <c r="Q11" s="15">
        <v>0.724642814972252</v>
      </c>
      <c r="R11" s="15">
        <v>0.734457945027722</v>
      </c>
      <c r="S11" s="15">
        <v>0.739447383891828</v>
      </c>
      <c r="T11" s="15">
        <v>0.742071535948485</v>
      </c>
      <c r="U11" s="15">
        <v>0.744705000600151</v>
      </c>
      <c r="V11" s="15">
        <v>0.747347810895378</v>
      </c>
      <c r="W11" s="15">
        <v>0.75</v>
      </c>
      <c r="X11" s="15">
        <v>0.754856042319417</v>
      </c>
      <c r="Y11" s="15">
        <v>0.759743526168177</v>
      </c>
      <c r="Z11" s="15">
        <v>0.764662655121478</v>
      </c>
      <c r="AA11" s="15">
        <v>0.769613634072608</v>
      </c>
      <c r="AB11" s="15">
        <v>0.774596669241483</v>
      </c>
      <c r="AC11" s="15">
        <v>0.779611968183237</v>
      </c>
      <c r="AD11" s="15">
        <v>0.784659739796866</v>
      </c>
      <c r="AE11" s="15">
        <v>0.789740194333927</v>
      </c>
      <c r="AF11" s="15">
        <v>0.794853543407301</v>
      </c>
      <c r="AG11" s="15">
        <v>0.8</v>
      </c>
      <c r="AH11" s="15">
        <v>0.804</v>
      </c>
      <c r="AI11" s="15">
        <v>0.80802</v>
      </c>
      <c r="AJ11" s="15">
        <v>0.8120601</v>
      </c>
      <c r="AK11" s="15">
        <v>0.8161204005</v>
      </c>
      <c r="AL11" s="15">
        <v>0.8202010025025</v>
      </c>
      <c r="AM11" s="15">
        <v>0.823296055086124</v>
      </c>
      <c r="AN11" s="15">
        <v>0.826402786941618</v>
      </c>
      <c r="AO11" s="15">
        <v>0.829521242141057</v>
      </c>
      <c r="AP11" s="15">
        <v>0.832651464922822</v>
      </c>
      <c r="AQ11" s="15">
        <v>0.835793499692233</v>
      </c>
      <c r="AR11" s="15">
        <v>0.838947391022171</v>
      </c>
      <c r="AS11" s="15">
        <v>0.842113183653717</v>
      </c>
      <c r="AT11" s="15">
        <v>0.845290922496781</v>
      </c>
      <c r="AU11" s="15">
        <v>0.848480652630743</v>
      </c>
      <c r="AV11" s="15">
        <v>0.851682419305092</v>
      </c>
      <c r="AW11" s="15">
        <v>0.854896267940068</v>
      </c>
      <c r="AX11" s="15">
        <v>0.858122244127303</v>
      </c>
      <c r="AY11" s="15">
        <v>0.861360393630472</v>
      </c>
      <c r="AZ11" s="15">
        <v>0.86461076238594</v>
      </c>
      <c r="BA11" s="15">
        <v>0.867873396503416</v>
      </c>
      <c r="BB11" s="15">
        <v>0.871148342266603</v>
      </c>
      <c r="BC11" s="15">
        <v>0.874435646133858</v>
      </c>
      <c r="BD11" s="15">
        <v>0.877735354738849</v>
      </c>
      <c r="BE11" s="15">
        <v>0.88104751489122</v>
      </c>
      <c r="BF11" s="15">
        <v>0.88437217357725</v>
      </c>
    </row>
    <row r="12" spans="1:58">
      <c r="A12" t="s">
        <v>33</v>
      </c>
      <c r="B12" t="s">
        <v>89</v>
      </c>
      <c r="C12" s="15">
        <v>0.560208375075135</v>
      </c>
      <c r="D12" s="15">
        <v>0.56506309148265</v>
      </c>
      <c r="E12" s="15">
        <v>0.572065955383123</v>
      </c>
      <c r="F12" s="15">
        <v>0.575978511128166</v>
      </c>
      <c r="G12" s="15">
        <v>0.579037149355572</v>
      </c>
      <c r="H12" s="15">
        <v>0.616118964567652</v>
      </c>
      <c r="I12" s="15">
        <v>0.622980251346499</v>
      </c>
      <c r="J12" s="15">
        <v>0.629023746701847</v>
      </c>
      <c r="K12" s="15">
        <v>0.639349930843707</v>
      </c>
      <c r="L12" s="15">
        <v>0.649575551782683</v>
      </c>
      <c r="M12" s="15">
        <v>0.663157894736842</v>
      </c>
      <c r="N12" s="15">
        <v>0.677206851119895</v>
      </c>
      <c r="O12" s="15">
        <v>0.689141004862237</v>
      </c>
      <c r="P12" s="15">
        <v>0.700143472022956</v>
      </c>
      <c r="Q12" s="15">
        <v>0.715764705882353</v>
      </c>
      <c r="R12" s="15">
        <v>0.721706864564007</v>
      </c>
      <c r="S12" s="15">
        <v>0.726605504587156</v>
      </c>
      <c r="T12" s="15">
        <v>0.732384810556693</v>
      </c>
      <c r="U12" s="15">
        <v>0.738210084217472</v>
      </c>
      <c r="V12" s="15">
        <v>0.744081691189284</v>
      </c>
      <c r="W12" s="15">
        <v>0.75</v>
      </c>
      <c r="X12" s="15">
        <v>0.754856042319417</v>
      </c>
      <c r="Y12" s="15">
        <v>0.759743526168177</v>
      </c>
      <c r="Z12" s="15">
        <v>0.764662655121478</v>
      </c>
      <c r="AA12" s="15">
        <v>0.769613634072608</v>
      </c>
      <c r="AB12" s="15">
        <v>0.774596669241483</v>
      </c>
      <c r="AC12" s="15">
        <v>0.779611968183237</v>
      </c>
      <c r="AD12" s="15">
        <v>0.784659739796866</v>
      </c>
      <c r="AE12" s="15">
        <v>0.789740194333927</v>
      </c>
      <c r="AF12" s="15">
        <v>0.794853543407301</v>
      </c>
      <c r="AG12" s="15">
        <v>0.8</v>
      </c>
      <c r="AH12" s="15">
        <v>0.804</v>
      </c>
      <c r="AI12" s="15">
        <v>0.80802</v>
      </c>
      <c r="AJ12" s="15">
        <v>0.8120601</v>
      </c>
      <c r="AK12" s="15">
        <v>0.8161204005</v>
      </c>
      <c r="AL12" s="15">
        <v>0.8202010025025</v>
      </c>
      <c r="AM12" s="15">
        <v>0.823296055086124</v>
      </c>
      <c r="AN12" s="15">
        <v>0.826402786941618</v>
      </c>
      <c r="AO12" s="15">
        <v>0.829521242141057</v>
      </c>
      <c r="AP12" s="15">
        <v>0.832651464922822</v>
      </c>
      <c r="AQ12" s="15">
        <v>0.835793499692233</v>
      </c>
      <c r="AR12" s="15">
        <v>0.838947391022171</v>
      </c>
      <c r="AS12" s="15">
        <v>0.842113183653717</v>
      </c>
      <c r="AT12" s="15">
        <v>0.845290922496781</v>
      </c>
      <c r="AU12" s="15">
        <v>0.848480652630743</v>
      </c>
      <c r="AV12" s="15">
        <v>0.851682419305092</v>
      </c>
      <c r="AW12" s="15">
        <v>0.854896267940068</v>
      </c>
      <c r="AX12" s="15">
        <v>0.858122244127303</v>
      </c>
      <c r="AY12" s="15">
        <v>0.861360393630472</v>
      </c>
      <c r="AZ12" s="15">
        <v>0.86461076238594</v>
      </c>
      <c r="BA12" s="15">
        <v>0.867873396503416</v>
      </c>
      <c r="BB12" s="15">
        <v>0.871148342266603</v>
      </c>
      <c r="BC12" s="15">
        <v>0.874435646133858</v>
      </c>
      <c r="BD12" s="15">
        <v>0.877735354738849</v>
      </c>
      <c r="BE12" s="15">
        <v>0.88104751489122</v>
      </c>
      <c r="BF12" s="15">
        <v>0.88437217357725</v>
      </c>
    </row>
    <row r="13" spans="1:58">
      <c r="A13" t="s">
        <v>34</v>
      </c>
      <c r="B13" t="s">
        <v>89</v>
      </c>
      <c r="C13" s="15">
        <v>0.355065359477124</v>
      </c>
      <c r="D13" s="15">
        <v>0.371031096563011</v>
      </c>
      <c r="E13" s="15">
        <v>0.38705459300425</v>
      </c>
      <c r="F13" s="15">
        <v>0.405052974735126</v>
      </c>
      <c r="G13" s="15">
        <v>0.420975371065079</v>
      </c>
      <c r="H13" s="15">
        <v>0.430082256169213</v>
      </c>
      <c r="I13" s="15">
        <v>0.447923643670462</v>
      </c>
      <c r="J13" s="15">
        <v>0.463031114084978</v>
      </c>
      <c r="K13" s="15">
        <v>0.478623914495658</v>
      </c>
      <c r="L13" s="15">
        <v>0.493079873269968</v>
      </c>
      <c r="M13" s="15">
        <v>0.509732157710863</v>
      </c>
      <c r="N13" s="15">
        <v>0.526272169733134</v>
      </c>
      <c r="O13" s="15">
        <v>0.54284299157999</v>
      </c>
      <c r="P13" s="15">
        <v>0.556451612903226</v>
      </c>
      <c r="Q13" s="15">
        <v>0.570256073539068</v>
      </c>
      <c r="R13" s="15">
        <v>0.583292383292383</v>
      </c>
      <c r="S13" s="15">
        <v>0.593980042532308</v>
      </c>
      <c r="T13" s="15">
        <v>0.607515312706477</v>
      </c>
      <c r="U13" s="15">
        <v>0.621359016709342</v>
      </c>
      <c r="V13" s="15">
        <v>0.635518182950789</v>
      </c>
      <c r="W13" s="15">
        <v>0.65</v>
      </c>
      <c r="X13" s="15">
        <v>0.657588647471111</v>
      </c>
      <c r="Y13" s="15">
        <v>0.665265891204438</v>
      </c>
      <c r="Z13" s="15">
        <v>0.673032765547369</v>
      </c>
      <c r="AA13" s="15">
        <v>0.680890316923131</v>
      </c>
      <c r="AB13" s="15">
        <v>0.688839603971781</v>
      </c>
      <c r="AC13" s="15">
        <v>0.69688169769283</v>
      </c>
      <c r="AD13" s="15">
        <v>0.705017681589537</v>
      </c>
      <c r="AE13" s="15">
        <v>0.713248651814896</v>
      </c>
      <c r="AF13" s="15">
        <v>0.721575717319308</v>
      </c>
      <c r="AG13" s="15">
        <v>0.73</v>
      </c>
      <c r="AH13" s="15">
        <v>0.73365</v>
      </c>
      <c r="AI13" s="15">
        <v>0.73731825</v>
      </c>
      <c r="AJ13" s="15">
        <v>0.74100484125</v>
      </c>
      <c r="AK13" s="15">
        <v>0.74470986545625</v>
      </c>
      <c r="AL13" s="15">
        <v>0.748433414783531</v>
      </c>
      <c r="AM13" s="15">
        <v>0.751257650266089</v>
      </c>
      <c r="AN13" s="15">
        <v>0.754092543084227</v>
      </c>
      <c r="AO13" s="15">
        <v>0.756938133453714</v>
      </c>
      <c r="AP13" s="15">
        <v>0.759794461742075</v>
      </c>
      <c r="AQ13" s="15">
        <v>0.762661568469163</v>
      </c>
      <c r="AR13" s="15">
        <v>0.765539494307731</v>
      </c>
      <c r="AS13" s="15">
        <v>0.768428280084017</v>
      </c>
      <c r="AT13" s="15">
        <v>0.771327966778312</v>
      </c>
      <c r="AU13" s="15">
        <v>0.774238595525553</v>
      </c>
      <c r="AV13" s="15">
        <v>0.777160207615897</v>
      </c>
      <c r="AW13" s="15">
        <v>0.780092844495312</v>
      </c>
      <c r="AX13" s="15">
        <v>0.783036547766164</v>
      </c>
      <c r="AY13" s="15">
        <v>0.785991359187805</v>
      </c>
      <c r="AZ13" s="15">
        <v>0.788957320677171</v>
      </c>
      <c r="BA13" s="15">
        <v>0.791934474309367</v>
      </c>
      <c r="BB13" s="15">
        <v>0.794922862318275</v>
      </c>
      <c r="BC13" s="15">
        <v>0.797922527097145</v>
      </c>
      <c r="BD13" s="15">
        <v>0.8009335111992</v>
      </c>
      <c r="BE13" s="15">
        <v>0.803955857338239</v>
      </c>
      <c r="BF13" s="15">
        <v>0.806989608389241</v>
      </c>
    </row>
    <row r="14" spans="1:58">
      <c r="A14" t="s">
        <v>35</v>
      </c>
      <c r="B14" t="s">
        <v>89</v>
      </c>
      <c r="C14" s="15">
        <v>0.493955580545403</v>
      </c>
      <c r="D14" s="15">
        <v>0.504044630404463</v>
      </c>
      <c r="E14" s="15">
        <v>0.514119601328904</v>
      </c>
      <c r="F14" s="15">
        <v>0.530090684253916</v>
      </c>
      <c r="G14" s="15">
        <v>0.55100927441353</v>
      </c>
      <c r="H14" s="15">
        <v>0.571080422420796</v>
      </c>
      <c r="I14" s="15">
        <v>0.581131078224101</v>
      </c>
      <c r="J14" s="15">
        <v>0.593074720124967</v>
      </c>
      <c r="K14" s="15">
        <v>0.607979407979408</v>
      </c>
      <c r="L14" s="15">
        <v>0.620025348542459</v>
      </c>
      <c r="M14" s="15">
        <v>0.632279116465863</v>
      </c>
      <c r="N14" s="15">
        <v>0.643924302788845</v>
      </c>
      <c r="O14" s="15">
        <v>0.657810578105781</v>
      </c>
      <c r="P14" s="15">
        <v>0.669834307992203</v>
      </c>
      <c r="Q14" s="15">
        <v>0.678752719361856</v>
      </c>
      <c r="R14" s="15">
        <v>0.687575102138909</v>
      </c>
      <c r="S14" s="15">
        <v>0.69691903510867</v>
      </c>
      <c r="T14" s="15">
        <v>0.701395952584183</v>
      </c>
      <c r="U14" s="15">
        <v>0.705901629196802</v>
      </c>
      <c r="V14" s="15">
        <v>0.710436249691493</v>
      </c>
      <c r="W14" s="15">
        <v>0.715</v>
      </c>
      <c r="X14" s="15">
        <v>0.721248458380737</v>
      </c>
      <c r="Y14" s="15">
        <v>0.727551522680545</v>
      </c>
      <c r="Z14" s="15">
        <v>0.733909670106155</v>
      </c>
      <c r="AA14" s="15">
        <v>0.740323382034657</v>
      </c>
      <c r="AB14" s="15">
        <v>0.746793144049943</v>
      </c>
      <c r="AC14" s="15">
        <v>0.753319445979476</v>
      </c>
      <c r="AD14" s="15">
        <v>0.759902781931368</v>
      </c>
      <c r="AE14" s="15">
        <v>0.766543650331793</v>
      </c>
      <c r="AF14" s="15">
        <v>0.773242553962725</v>
      </c>
      <c r="AG14" s="15">
        <v>0.78</v>
      </c>
      <c r="AH14" s="15">
        <v>0.7839</v>
      </c>
      <c r="AI14" s="15">
        <v>0.7878195</v>
      </c>
      <c r="AJ14" s="15">
        <v>0.7917585975</v>
      </c>
      <c r="AK14" s="15">
        <v>0.7957173904875</v>
      </c>
      <c r="AL14" s="15">
        <v>0.799695977439937</v>
      </c>
      <c r="AM14" s="15">
        <v>0.802713653708971</v>
      </c>
      <c r="AN14" s="15">
        <v>0.805742717268078</v>
      </c>
      <c r="AO14" s="15">
        <v>0.80878321108753</v>
      </c>
      <c r="AP14" s="15">
        <v>0.811835178299752</v>
      </c>
      <c r="AQ14" s="15">
        <v>0.814898662199927</v>
      </c>
      <c r="AR14" s="15">
        <v>0.817973706246617</v>
      </c>
      <c r="AS14" s="15">
        <v>0.821060354062374</v>
      </c>
      <c r="AT14" s="15">
        <v>0.824158649434361</v>
      </c>
      <c r="AU14" s="15">
        <v>0.827268636314974</v>
      </c>
      <c r="AV14" s="15">
        <v>0.830390358822465</v>
      </c>
      <c r="AW14" s="15">
        <v>0.833523861241566</v>
      </c>
      <c r="AX14" s="15">
        <v>0.83666918802412</v>
      </c>
      <c r="AY14" s="15">
        <v>0.83982638378971</v>
      </c>
      <c r="AZ14" s="15">
        <v>0.842995493326292</v>
      </c>
      <c r="BA14" s="15">
        <v>0.846176561590831</v>
      </c>
      <c r="BB14" s="15">
        <v>0.849369633709938</v>
      </c>
      <c r="BC14" s="15">
        <v>0.852574754980511</v>
      </c>
      <c r="BD14" s="15">
        <v>0.855791970870378</v>
      </c>
      <c r="BE14" s="15">
        <v>0.85902132701894</v>
      </c>
      <c r="BF14" s="15">
        <v>0.862262869237819</v>
      </c>
    </row>
    <row r="15" spans="1:58">
      <c r="A15" t="s">
        <v>36</v>
      </c>
      <c r="B15" t="s">
        <v>89</v>
      </c>
      <c r="C15" s="15">
        <v>0.369983762468105</v>
      </c>
      <c r="D15" s="15">
        <v>0.386725051855266</v>
      </c>
      <c r="E15" s="15">
        <v>0.398122710622711</v>
      </c>
      <c r="F15" s="15">
        <v>0.413636363636364</v>
      </c>
      <c r="G15" s="15">
        <v>0.431859205776173</v>
      </c>
      <c r="H15" s="15">
        <v>0.440609592111161</v>
      </c>
      <c r="I15" s="15">
        <v>0.457532409476978</v>
      </c>
      <c r="J15" s="15">
        <v>0.473966480446927</v>
      </c>
      <c r="K15" s="15">
        <v>0.490393208221626</v>
      </c>
      <c r="L15" s="15">
        <v>0.505580357142857</v>
      </c>
      <c r="M15" s="15">
        <v>0.523076923076923</v>
      </c>
      <c r="N15" s="15">
        <v>0.539813167259786</v>
      </c>
      <c r="O15" s="15">
        <v>0.557082686765684</v>
      </c>
      <c r="P15" s="15">
        <v>0.573454464879238</v>
      </c>
      <c r="Q15" s="15">
        <v>0.590788308237378</v>
      </c>
      <c r="R15" s="15">
        <v>0.604337242752821</v>
      </c>
      <c r="S15" s="15">
        <v>0.614567190613239</v>
      </c>
      <c r="T15" s="15">
        <v>0.620829037938009</v>
      </c>
      <c r="U15" s="15">
        <v>0.627154687451567</v>
      </c>
      <c r="V15" s="15">
        <v>0.633544789236722</v>
      </c>
      <c r="W15" s="15">
        <v>0.64</v>
      </c>
      <c r="X15" s="15">
        <v>0.648476530156603</v>
      </c>
      <c r="Y15" s="15">
        <v>0.657065328381169</v>
      </c>
      <c r="Z15" s="15">
        <v>0.665767881616921</v>
      </c>
      <c r="AA15" s="15">
        <v>0.674585696501021</v>
      </c>
      <c r="AB15" s="15">
        <v>0.683520299625403</v>
      </c>
      <c r="AC15" s="15">
        <v>0.692573237801067</v>
      </c>
      <c r="AD15" s="15">
        <v>0.701746078325875</v>
      </c>
      <c r="AE15" s="15">
        <v>0.711040409255887</v>
      </c>
      <c r="AF15" s="15">
        <v>0.720457839680295</v>
      </c>
      <c r="AG15" s="15">
        <v>0.73</v>
      </c>
      <c r="AH15" s="15">
        <v>0.73365</v>
      </c>
      <c r="AI15" s="15">
        <v>0.73731825</v>
      </c>
      <c r="AJ15" s="15">
        <v>0.74100484125</v>
      </c>
      <c r="AK15" s="15">
        <v>0.74470986545625</v>
      </c>
      <c r="AL15" s="15">
        <v>0.748433414783531</v>
      </c>
      <c r="AM15" s="15">
        <v>0.751257650266089</v>
      </c>
      <c r="AN15" s="15">
        <v>0.754092543084227</v>
      </c>
      <c r="AO15" s="15">
        <v>0.756938133453714</v>
      </c>
      <c r="AP15" s="15">
        <v>0.759794461742075</v>
      </c>
      <c r="AQ15" s="15">
        <v>0.762661568469163</v>
      </c>
      <c r="AR15" s="15">
        <v>0.765539494307731</v>
      </c>
      <c r="AS15" s="15">
        <v>0.768428280084017</v>
      </c>
      <c r="AT15" s="15">
        <v>0.771327966778312</v>
      </c>
      <c r="AU15" s="15">
        <v>0.774238595525553</v>
      </c>
      <c r="AV15" s="15">
        <v>0.777160207615897</v>
      </c>
      <c r="AW15" s="15">
        <v>0.780092844495312</v>
      </c>
      <c r="AX15" s="15">
        <v>0.783036547766164</v>
      </c>
      <c r="AY15" s="15">
        <v>0.785991359187805</v>
      </c>
      <c r="AZ15" s="15">
        <v>0.788957320677171</v>
      </c>
      <c r="BA15" s="15">
        <v>0.791934474309367</v>
      </c>
      <c r="BB15" s="15">
        <v>0.794922862318275</v>
      </c>
      <c r="BC15" s="15">
        <v>0.797922527097145</v>
      </c>
      <c r="BD15" s="15">
        <v>0.8009335111992</v>
      </c>
      <c r="BE15" s="15">
        <v>0.803955857338239</v>
      </c>
      <c r="BF15" s="15">
        <v>0.806989608389241</v>
      </c>
    </row>
    <row r="16" spans="1:58">
      <c r="A16" t="s">
        <v>37</v>
      </c>
      <c r="B16" t="s">
        <v>89</v>
      </c>
      <c r="C16" s="15">
        <v>0.450043252595156</v>
      </c>
      <c r="D16" s="15">
        <v>0.460951767107101</v>
      </c>
      <c r="E16" s="15">
        <v>0.46749226006192</v>
      </c>
      <c r="F16" s="15">
        <v>0.476053944993098</v>
      </c>
      <c r="G16" s="15">
        <v>0.483210137275607</v>
      </c>
      <c r="H16" s="15">
        <v>0.49697538589904</v>
      </c>
      <c r="I16" s="15">
        <v>0.508639420589757</v>
      </c>
      <c r="J16" s="15">
        <v>0.52029254223321</v>
      </c>
      <c r="K16" s="15">
        <v>0.534578288528627</v>
      </c>
      <c r="L16" s="15">
        <v>0.547716150081566</v>
      </c>
      <c r="M16" s="15">
        <v>0.569734441516319</v>
      </c>
      <c r="N16" s="15">
        <v>0.591296500551489</v>
      </c>
      <c r="O16" s="15">
        <v>0.607893949965115</v>
      </c>
      <c r="P16" s="15">
        <v>0.614567827726506</v>
      </c>
      <c r="Q16" s="15">
        <v>0.618642390659014</v>
      </c>
      <c r="R16" s="15">
        <v>0.63049680275455</v>
      </c>
      <c r="S16" s="15">
        <v>0.639429695181908</v>
      </c>
      <c r="T16" s="15">
        <v>0.649339510058176</v>
      </c>
      <c r="U16" s="15">
        <v>0.659402906214173</v>
      </c>
      <c r="V16" s="15">
        <v>0.669622263836588</v>
      </c>
      <c r="W16" s="15">
        <v>0.68</v>
      </c>
      <c r="X16" s="15">
        <v>0.686695415180037</v>
      </c>
      <c r="Y16" s="15">
        <v>0.693456754748947</v>
      </c>
      <c r="Z16" s="15">
        <v>0.700284667811366</v>
      </c>
      <c r="AA16" s="15">
        <v>0.707179809863148</v>
      </c>
      <c r="AB16" s="15">
        <v>0.714142842854285</v>
      </c>
      <c r="AC16" s="15">
        <v>0.721174435252464</v>
      </c>
      <c r="AD16" s="15">
        <v>0.728275262107235</v>
      </c>
      <c r="AE16" s="15">
        <v>0.73544600511482</v>
      </c>
      <c r="AF16" s="15">
        <v>0.742687352683561</v>
      </c>
      <c r="AG16" s="15">
        <v>0.75</v>
      </c>
      <c r="AH16" s="15">
        <v>0.75375</v>
      </c>
      <c r="AI16" s="15">
        <v>0.75751875</v>
      </c>
      <c r="AJ16" s="15">
        <v>0.76130634375</v>
      </c>
      <c r="AK16" s="15">
        <v>0.76511287546875</v>
      </c>
      <c r="AL16" s="15">
        <v>0.768938439846093</v>
      </c>
      <c r="AM16" s="15">
        <v>0.771840051643242</v>
      </c>
      <c r="AN16" s="15">
        <v>0.774752612757767</v>
      </c>
      <c r="AO16" s="15">
        <v>0.777676164507241</v>
      </c>
      <c r="AP16" s="15">
        <v>0.780610748365146</v>
      </c>
      <c r="AQ16" s="15">
        <v>0.783556405961468</v>
      </c>
      <c r="AR16" s="15">
        <v>0.786513179083286</v>
      </c>
      <c r="AS16" s="15">
        <v>0.789481109675359</v>
      </c>
      <c r="AT16" s="15">
        <v>0.792460239840732</v>
      </c>
      <c r="AU16" s="15">
        <v>0.795450611841321</v>
      </c>
      <c r="AV16" s="15">
        <v>0.798452268098524</v>
      </c>
      <c r="AW16" s="15">
        <v>0.801465251193814</v>
      </c>
      <c r="AX16" s="15">
        <v>0.804489603869346</v>
      </c>
      <c r="AY16" s="15">
        <v>0.807525369028567</v>
      </c>
      <c r="AZ16" s="15">
        <v>0.810572589736819</v>
      </c>
      <c r="BA16" s="15">
        <v>0.813631309221953</v>
      </c>
      <c r="BB16" s="15">
        <v>0.81670157087494</v>
      </c>
      <c r="BC16" s="15">
        <v>0.819783418250492</v>
      </c>
      <c r="BD16" s="15">
        <v>0.822876895067672</v>
      </c>
      <c r="BE16" s="15">
        <v>0.825982045210519</v>
      </c>
      <c r="BF16" s="15">
        <v>0.829098912728672</v>
      </c>
    </row>
    <row r="17" spans="1:58">
      <c r="A17" t="s">
        <v>38</v>
      </c>
      <c r="B17" t="s">
        <v>89</v>
      </c>
      <c r="C17" s="15">
        <v>0.306503198294243</v>
      </c>
      <c r="D17" s="15">
        <v>0.324744463373083</v>
      </c>
      <c r="E17" s="15">
        <v>0.343376068376068</v>
      </c>
      <c r="F17" s="15">
        <v>0.360271502810478</v>
      </c>
      <c r="G17" s="15">
        <v>0.377042268367239</v>
      </c>
      <c r="H17" s="15">
        <v>0.385007974481659</v>
      </c>
      <c r="I17" s="15">
        <v>0.404714089419723</v>
      </c>
      <c r="J17" s="15">
        <v>0.419848929920269</v>
      </c>
      <c r="K17" s="15">
        <v>0.436017967199415</v>
      </c>
      <c r="L17" s="15">
        <v>0.450492483151892</v>
      </c>
      <c r="M17" s="15">
        <v>0.470157715699412</v>
      </c>
      <c r="N17" s="15">
        <v>0.487829822049499</v>
      </c>
      <c r="O17" s="15">
        <v>0.505646556109472</v>
      </c>
      <c r="P17" s="15">
        <v>0.522404703974047</v>
      </c>
      <c r="Q17" s="15">
        <v>0.54014745985254</v>
      </c>
      <c r="R17" s="15">
        <v>0.554270194145458</v>
      </c>
      <c r="S17" s="15">
        <v>0.564504705049074</v>
      </c>
      <c r="T17" s="15">
        <v>0.580210804583668</v>
      </c>
      <c r="U17" s="15">
        <v>0.596353891729497</v>
      </c>
      <c r="V17" s="15">
        <v>0.612946124703944</v>
      </c>
      <c r="W17" s="15">
        <v>0.63</v>
      </c>
      <c r="X17" s="15">
        <v>0.638468895065189</v>
      </c>
      <c r="Y17" s="15">
        <v>0.647051634866292</v>
      </c>
      <c r="Z17" s="15">
        <v>0.655749749782866</v>
      </c>
      <c r="AA17" s="15">
        <v>0.66456479076689</v>
      </c>
      <c r="AB17" s="15">
        <v>0.67349832961931</v>
      </c>
      <c r="AC17" s="15">
        <v>0.682551959270304</v>
      </c>
      <c r="AD17" s="15">
        <v>0.691727294063319</v>
      </c>
      <c r="AE17" s="15">
        <v>0.701025970042922</v>
      </c>
      <c r="AF17" s="15">
        <v>0.710449645246519</v>
      </c>
      <c r="AG17" s="15">
        <v>0.72</v>
      </c>
      <c r="AH17" s="15">
        <v>0.7236</v>
      </c>
      <c r="AI17" s="15">
        <v>0.727218</v>
      </c>
      <c r="AJ17" s="15">
        <v>0.73085409</v>
      </c>
      <c r="AK17" s="15">
        <v>0.73450836045</v>
      </c>
      <c r="AL17" s="15">
        <v>0.73818090225225</v>
      </c>
      <c r="AM17" s="15">
        <v>0.740966449577512</v>
      </c>
      <c r="AN17" s="15">
        <v>0.743762508247456</v>
      </c>
      <c r="AO17" s="15">
        <v>0.746569117926951</v>
      </c>
      <c r="AP17" s="15">
        <v>0.74938631843054</v>
      </c>
      <c r="AQ17" s="15">
        <v>0.75221414972301</v>
      </c>
      <c r="AR17" s="15">
        <v>0.755052651919954</v>
      </c>
      <c r="AS17" s="15">
        <v>0.757901865288345</v>
      </c>
      <c r="AT17" s="15">
        <v>0.760761830247102</v>
      </c>
      <c r="AU17" s="15">
        <v>0.763632587367668</v>
      </c>
      <c r="AV17" s="15">
        <v>0.766514177374583</v>
      </c>
      <c r="AW17" s="15">
        <v>0.769406641146061</v>
      </c>
      <c r="AX17" s="15">
        <v>0.772310019714572</v>
      </c>
      <c r="AY17" s="15">
        <v>0.775224354267424</v>
      </c>
      <c r="AZ17" s="15">
        <v>0.778149686147346</v>
      </c>
      <c r="BA17" s="15">
        <v>0.781086056853074</v>
      </c>
      <c r="BB17" s="15">
        <v>0.784033508039942</v>
      </c>
      <c r="BC17" s="15">
        <v>0.786992081520472</v>
      </c>
      <c r="BD17" s="15">
        <v>0.789961819264964</v>
      </c>
      <c r="BE17" s="15">
        <v>0.792942763402098</v>
      </c>
      <c r="BF17" s="15">
        <v>0.795934956219525</v>
      </c>
    </row>
    <row r="18" spans="1:58">
      <c r="A18" t="s">
        <v>39</v>
      </c>
      <c r="B18" t="s">
        <v>89</v>
      </c>
      <c r="C18" s="15">
        <v>0.432049036777583</v>
      </c>
      <c r="D18" s="15">
        <v>0.438081854909538</v>
      </c>
      <c r="E18" s="15">
        <v>0.443060185997543</v>
      </c>
      <c r="F18" s="15">
        <v>0.451934862545964</v>
      </c>
      <c r="G18" s="15">
        <v>0.459965034965035</v>
      </c>
      <c r="H18" s="15">
        <v>0.497032122905028</v>
      </c>
      <c r="I18" s="15">
        <v>0.517881944444444</v>
      </c>
      <c r="J18" s="15">
        <v>0.532260854523439</v>
      </c>
      <c r="K18" s="15">
        <v>0.545015522593998</v>
      </c>
      <c r="L18" s="15">
        <v>0.557255845942228</v>
      </c>
      <c r="M18" s="15">
        <v>0.571794871794872</v>
      </c>
      <c r="N18" s="15">
        <v>0.585726423109601</v>
      </c>
      <c r="O18" s="15">
        <v>0.598746612466125</v>
      </c>
      <c r="P18" s="15">
        <v>0.609937468311644</v>
      </c>
      <c r="Q18" s="15">
        <v>0.618356672853045</v>
      </c>
      <c r="R18" s="15">
        <v>0.628894691035683</v>
      </c>
      <c r="S18" s="15">
        <v>0.64082332761578</v>
      </c>
      <c r="T18" s="15">
        <v>0.647996164488807</v>
      </c>
      <c r="U18" s="15">
        <v>0.65524928805957</v>
      </c>
      <c r="V18" s="15">
        <v>0.662583596989777</v>
      </c>
      <c r="W18" s="15">
        <v>0.67</v>
      </c>
      <c r="X18" s="15">
        <v>0.677600080269654</v>
      </c>
      <c r="Y18" s="15">
        <v>0.685286371315584</v>
      </c>
      <c r="Z18" s="15">
        <v>0.693059851061402</v>
      </c>
      <c r="AA18" s="15">
        <v>0.700921508523702</v>
      </c>
      <c r="AB18" s="15">
        <v>0.708872343937891</v>
      </c>
      <c r="AC18" s="15">
        <v>0.716913368885452</v>
      </c>
      <c r="AD18" s="15">
        <v>0.725045606422642</v>
      </c>
      <c r="AE18" s="15">
        <v>0.733270091210659</v>
      </c>
      <c r="AF18" s="15">
        <v>0.741587869647282</v>
      </c>
      <c r="AG18" s="15">
        <v>0.75</v>
      </c>
      <c r="AH18" s="15">
        <v>0.75375</v>
      </c>
      <c r="AI18" s="15">
        <v>0.75751875</v>
      </c>
      <c r="AJ18" s="15">
        <v>0.76130634375</v>
      </c>
      <c r="AK18" s="15">
        <v>0.76511287546875</v>
      </c>
      <c r="AL18" s="15">
        <v>0.768938439846093</v>
      </c>
      <c r="AM18" s="15">
        <v>0.771840051643242</v>
      </c>
      <c r="AN18" s="15">
        <v>0.774752612757767</v>
      </c>
      <c r="AO18" s="15">
        <v>0.777676164507241</v>
      </c>
      <c r="AP18" s="15">
        <v>0.780610748365146</v>
      </c>
      <c r="AQ18" s="15">
        <v>0.783556405961468</v>
      </c>
      <c r="AR18" s="15">
        <v>0.786513179083286</v>
      </c>
      <c r="AS18" s="15">
        <v>0.789481109675359</v>
      </c>
      <c r="AT18" s="15">
        <v>0.792460239840732</v>
      </c>
      <c r="AU18" s="15">
        <v>0.795450611841321</v>
      </c>
      <c r="AV18" s="15">
        <v>0.798452268098524</v>
      </c>
      <c r="AW18" s="15">
        <v>0.801465251193814</v>
      </c>
      <c r="AX18" s="15">
        <v>0.804489603869346</v>
      </c>
      <c r="AY18" s="15">
        <v>0.807525369028567</v>
      </c>
      <c r="AZ18" s="15">
        <v>0.810572589736819</v>
      </c>
      <c r="BA18" s="15">
        <v>0.813631309221953</v>
      </c>
      <c r="BB18" s="15">
        <v>0.81670157087494</v>
      </c>
      <c r="BC18" s="15">
        <v>0.819783418250492</v>
      </c>
      <c r="BD18" s="15">
        <v>0.822876895067672</v>
      </c>
      <c r="BE18" s="15">
        <v>0.825982045210519</v>
      </c>
      <c r="BF18" s="15">
        <v>0.829098912728672</v>
      </c>
    </row>
    <row r="19" spans="1:58">
      <c r="A19" t="s">
        <v>40</v>
      </c>
      <c r="B19" t="s">
        <v>89</v>
      </c>
      <c r="C19" s="15">
        <v>0.370060069554221</v>
      </c>
      <c r="D19" s="15">
        <v>0.387101860611794</v>
      </c>
      <c r="E19" s="15">
        <v>0.40456333595594</v>
      </c>
      <c r="F19" s="15">
        <v>0.421473354231975</v>
      </c>
      <c r="G19" s="15">
        <v>0.431938807368092</v>
      </c>
      <c r="H19" s="15">
        <v>0.433028919330289</v>
      </c>
      <c r="I19" s="15">
        <v>0.44962771615256</v>
      </c>
      <c r="J19" s="15">
        <v>0.462215477996965</v>
      </c>
      <c r="K19" s="15">
        <v>0.476363636363636</v>
      </c>
      <c r="L19" s="15">
        <v>0.489789744365452</v>
      </c>
      <c r="M19" s="15">
        <v>0.507936507936508</v>
      </c>
      <c r="N19" s="15">
        <v>0.526943396226415</v>
      </c>
      <c r="O19" s="15">
        <v>0.546208352178501</v>
      </c>
      <c r="P19" s="15">
        <v>0.560964581763376</v>
      </c>
      <c r="Q19" s="15">
        <v>0.574548192771084</v>
      </c>
      <c r="R19" s="15">
        <v>0.587659894657637</v>
      </c>
      <c r="S19" s="15">
        <v>0.59710057384476</v>
      </c>
      <c r="T19" s="15">
        <v>0.605160751865709</v>
      </c>
      <c r="U19" s="15">
        <v>0.613329733114414</v>
      </c>
      <c r="V19" s="15">
        <v>0.621608986310591</v>
      </c>
      <c r="W19" s="15">
        <v>0.63</v>
      </c>
      <c r="X19" s="15">
        <v>0.638468895065189</v>
      </c>
      <c r="Y19" s="15">
        <v>0.647051634866292</v>
      </c>
      <c r="Z19" s="15">
        <v>0.655749749782866</v>
      </c>
      <c r="AA19" s="15">
        <v>0.66456479076689</v>
      </c>
      <c r="AB19" s="15">
        <v>0.67349832961931</v>
      </c>
      <c r="AC19" s="15">
        <v>0.682551959270304</v>
      </c>
      <c r="AD19" s="15">
        <v>0.691727294063319</v>
      </c>
      <c r="AE19" s="15">
        <v>0.701025970042922</v>
      </c>
      <c r="AF19" s="15">
        <v>0.710449645246519</v>
      </c>
      <c r="AG19" s="15">
        <v>0.72</v>
      </c>
      <c r="AH19" s="15">
        <v>0.7236</v>
      </c>
      <c r="AI19" s="15">
        <v>0.727218</v>
      </c>
      <c r="AJ19" s="15">
        <v>0.73085409</v>
      </c>
      <c r="AK19" s="15">
        <v>0.73450836045</v>
      </c>
      <c r="AL19" s="15">
        <v>0.73818090225225</v>
      </c>
      <c r="AM19" s="15">
        <v>0.740966449577512</v>
      </c>
      <c r="AN19" s="15">
        <v>0.743762508247456</v>
      </c>
      <c r="AO19" s="15">
        <v>0.746569117926951</v>
      </c>
      <c r="AP19" s="15">
        <v>0.74938631843054</v>
      </c>
      <c r="AQ19" s="15">
        <v>0.75221414972301</v>
      </c>
      <c r="AR19" s="15">
        <v>0.755052651919954</v>
      </c>
      <c r="AS19" s="15">
        <v>0.757901865288345</v>
      </c>
      <c r="AT19" s="15">
        <v>0.760761830247102</v>
      </c>
      <c r="AU19" s="15">
        <v>0.763632587367668</v>
      </c>
      <c r="AV19" s="15">
        <v>0.766514177374583</v>
      </c>
      <c r="AW19" s="15">
        <v>0.769406641146061</v>
      </c>
      <c r="AX19" s="15">
        <v>0.772310019714572</v>
      </c>
      <c r="AY19" s="15">
        <v>0.775224354267424</v>
      </c>
      <c r="AZ19" s="15">
        <v>0.778149686147346</v>
      </c>
      <c r="BA19" s="15">
        <v>0.781086056853074</v>
      </c>
      <c r="BB19" s="15">
        <v>0.784033508039942</v>
      </c>
      <c r="BC19" s="15">
        <v>0.786992081520472</v>
      </c>
      <c r="BD19" s="15">
        <v>0.789961819264964</v>
      </c>
      <c r="BE19" s="15">
        <v>0.792942763402098</v>
      </c>
      <c r="BF19" s="15">
        <v>0.795934956219525</v>
      </c>
    </row>
    <row r="20" spans="1:58">
      <c r="A20" t="s">
        <v>41</v>
      </c>
      <c r="B20" t="s">
        <v>89</v>
      </c>
      <c r="C20" s="15">
        <v>0.606808788340222</v>
      </c>
      <c r="D20" s="15">
        <v>0.630057191273035</v>
      </c>
      <c r="E20" s="15">
        <v>0.631366459627329</v>
      </c>
      <c r="F20" s="15">
        <v>0.633680380066714</v>
      </c>
      <c r="G20" s="15">
        <v>0.634057255676209</v>
      </c>
      <c r="H20" s="15">
        <v>0.661814002490183</v>
      </c>
      <c r="I20" s="15">
        <v>0.665674972108591</v>
      </c>
      <c r="J20" s="15">
        <v>0.671497146997555</v>
      </c>
      <c r="K20" s="15">
        <v>0.68092280390417</v>
      </c>
      <c r="L20" s="15">
        <v>0.686221603272696</v>
      </c>
      <c r="M20" s="15">
        <v>0.695067648569961</v>
      </c>
      <c r="N20" s="15">
        <v>0.701461202552906</v>
      </c>
      <c r="O20" s="15">
        <v>0.707437608104769</v>
      </c>
      <c r="P20" s="15">
        <v>0.718091998704244</v>
      </c>
      <c r="Q20" s="15">
        <v>0.726479301785571</v>
      </c>
      <c r="R20" s="15">
        <v>0.741524081115336</v>
      </c>
      <c r="S20" s="15">
        <v>0.746294544307789</v>
      </c>
      <c r="T20" s="15">
        <v>0.752151595996803</v>
      </c>
      <c r="U20" s="15">
        <v>0.758054614864258</v>
      </c>
      <c r="V20" s="15">
        <v>0.764003961668706</v>
      </c>
      <c r="W20" s="15">
        <v>0.77</v>
      </c>
      <c r="X20" s="15">
        <v>0.771977000829268</v>
      </c>
      <c r="Y20" s="15">
        <v>0.773959077674483</v>
      </c>
      <c r="Z20" s="15">
        <v>0.775946243568486</v>
      </c>
      <c r="AA20" s="15">
        <v>0.77793851157758</v>
      </c>
      <c r="AB20" s="15">
        <v>0.779935894801618</v>
      </c>
      <c r="AC20" s="15">
        <v>0.781938406374084</v>
      </c>
      <c r="AD20" s="15">
        <v>0.783946059462185</v>
      </c>
      <c r="AE20" s="15">
        <v>0.785958867266937</v>
      </c>
      <c r="AF20" s="15">
        <v>0.787976843023245</v>
      </c>
      <c r="AG20" s="15">
        <v>0.79</v>
      </c>
      <c r="AH20" s="15">
        <v>0.79395</v>
      </c>
      <c r="AI20" s="15">
        <v>0.79791975</v>
      </c>
      <c r="AJ20" s="15">
        <v>0.80190934875</v>
      </c>
      <c r="AK20" s="15">
        <v>0.80591889549375</v>
      </c>
      <c r="AL20" s="15">
        <v>0.809948489971218</v>
      </c>
      <c r="AM20" s="15">
        <v>0.813004854397548</v>
      </c>
      <c r="AN20" s="15">
        <v>0.816072752104848</v>
      </c>
      <c r="AO20" s="15">
        <v>0.819152226614293</v>
      </c>
      <c r="AP20" s="15">
        <v>0.822243321611287</v>
      </c>
      <c r="AQ20" s="15">
        <v>0.82534608094608</v>
      </c>
      <c r="AR20" s="15">
        <v>0.828460548634394</v>
      </c>
      <c r="AS20" s="15">
        <v>0.831586768858045</v>
      </c>
      <c r="AT20" s="15">
        <v>0.834724785965571</v>
      </c>
      <c r="AU20" s="15">
        <v>0.837874644472859</v>
      </c>
      <c r="AV20" s="15">
        <v>0.841036389063779</v>
      </c>
      <c r="AW20" s="15">
        <v>0.844210064590817</v>
      </c>
      <c r="AX20" s="15">
        <v>0.847395716075711</v>
      </c>
      <c r="AY20" s="15">
        <v>0.850593388710091</v>
      </c>
      <c r="AZ20" s="15">
        <v>0.853803127856116</v>
      </c>
      <c r="BA20" s="15">
        <v>0.857024979047123</v>
      </c>
      <c r="BB20" s="15">
        <v>0.86025898798827</v>
      </c>
      <c r="BC20" s="15">
        <v>0.863505200557185</v>
      </c>
      <c r="BD20" s="15">
        <v>0.866763662804614</v>
      </c>
      <c r="BE20" s="15">
        <v>0.87003442095508</v>
      </c>
      <c r="BF20" s="15">
        <v>0.873317521407535</v>
      </c>
    </row>
    <row r="21" spans="1:58">
      <c r="A21" t="s">
        <v>42</v>
      </c>
      <c r="B21" t="s">
        <v>89</v>
      </c>
      <c r="C21" s="15">
        <v>0.336266094420601</v>
      </c>
      <c r="D21" s="15">
        <v>0.346471710108074</v>
      </c>
      <c r="E21" s="15">
        <v>0.36241610738255</v>
      </c>
      <c r="F21" s="15">
        <v>0.381644518272425</v>
      </c>
      <c r="G21" s="15">
        <v>0.392092257001647</v>
      </c>
      <c r="H21" s="15">
        <v>0.4</v>
      </c>
      <c r="I21" s="15">
        <v>0.41890440386681</v>
      </c>
      <c r="J21" s="15">
        <v>0.434810396250533</v>
      </c>
      <c r="K21" s="15">
        <v>0.451067427605157</v>
      </c>
      <c r="L21" s="15">
        <v>0.465408805031447</v>
      </c>
      <c r="M21" s="15">
        <v>0.479941800041571</v>
      </c>
      <c r="N21" s="15">
        <v>0.492485073090385</v>
      </c>
      <c r="O21" s="15">
        <v>0.505808029345832</v>
      </c>
      <c r="P21" s="15">
        <v>0.518293915504346</v>
      </c>
      <c r="Q21" s="15">
        <v>0.529706945002007</v>
      </c>
      <c r="R21" s="15">
        <v>0.541940625622634</v>
      </c>
      <c r="S21" s="15">
        <v>0.550724637681159</v>
      </c>
      <c r="T21" s="15">
        <v>0.555481491998741</v>
      </c>
      <c r="U21" s="15">
        <v>0.560279433388609</v>
      </c>
      <c r="V21" s="15">
        <v>0.565118816738133</v>
      </c>
      <c r="W21" s="15">
        <v>0.57</v>
      </c>
      <c r="X21" s="15">
        <v>0.578417952312622</v>
      </c>
      <c r="Y21" s="15">
        <v>0.586960223785136</v>
      </c>
      <c r="Z21" s="15">
        <v>0.595628650404836</v>
      </c>
      <c r="AA21" s="15">
        <v>0.604425095273503</v>
      </c>
      <c r="AB21" s="15">
        <v>0.613351449007826</v>
      </c>
      <c r="AC21" s="15">
        <v>0.622409630145766</v>
      </c>
      <c r="AD21" s="15">
        <v>0.631601585558896</v>
      </c>
      <c r="AE21" s="15">
        <v>0.640929290870847</v>
      </c>
      <c r="AF21" s="15">
        <v>0.650394750881923</v>
      </c>
      <c r="AG21" s="15">
        <v>0.66</v>
      </c>
      <c r="AH21" s="15">
        <v>0.6633</v>
      </c>
      <c r="AI21" s="15">
        <v>0.6666165</v>
      </c>
      <c r="AJ21" s="15">
        <v>0.6699495825</v>
      </c>
      <c r="AK21" s="15">
        <v>0.6732993304125</v>
      </c>
      <c r="AL21" s="15">
        <v>0.676665827064562</v>
      </c>
      <c r="AM21" s="15">
        <v>0.679219245446053</v>
      </c>
      <c r="AN21" s="15">
        <v>0.681782299226835</v>
      </c>
      <c r="AO21" s="15">
        <v>0.684355024766372</v>
      </c>
      <c r="AP21" s="15">
        <v>0.686937458561329</v>
      </c>
      <c r="AQ21" s="15">
        <v>0.689529637246093</v>
      </c>
      <c r="AR21" s="15">
        <v>0.692131597593292</v>
      </c>
      <c r="AS21" s="15">
        <v>0.694743376514317</v>
      </c>
      <c r="AT21" s="15">
        <v>0.697365011059844</v>
      </c>
      <c r="AU21" s="15">
        <v>0.699996538420363</v>
      </c>
      <c r="AV21" s="15">
        <v>0.702637995926701</v>
      </c>
      <c r="AW21" s="15">
        <v>0.705289421050556</v>
      </c>
      <c r="AX21" s="15">
        <v>0.707950851405025</v>
      </c>
      <c r="AY21" s="15">
        <v>0.710622324745139</v>
      </c>
      <c r="AZ21" s="15">
        <v>0.713303878968401</v>
      </c>
      <c r="BA21" s="15">
        <v>0.715995552115318</v>
      </c>
      <c r="BB21" s="15">
        <v>0.718697382369948</v>
      </c>
      <c r="BC21" s="15">
        <v>0.721409408060433</v>
      </c>
      <c r="BD21" s="15">
        <v>0.724131667659551</v>
      </c>
      <c r="BE21" s="15">
        <v>0.726864199785257</v>
      </c>
      <c r="BF21" s="15">
        <v>0.729607043201231</v>
      </c>
    </row>
    <row r="22" spans="1:58">
      <c r="A22" t="s">
        <v>43</v>
      </c>
      <c r="B22" t="s">
        <v>89</v>
      </c>
      <c r="C22" s="15">
        <v>0.451690821256039</v>
      </c>
      <c r="D22" s="15">
        <v>0.460526315789474</v>
      </c>
      <c r="E22" s="15">
        <v>0.472189349112426</v>
      </c>
      <c r="F22" s="15">
        <v>0.480093676814988</v>
      </c>
      <c r="G22" s="15">
        <v>0.491898148148148</v>
      </c>
      <c r="H22" s="15">
        <v>0.498273878020713</v>
      </c>
      <c r="I22" s="15">
        <v>0.503370786516854</v>
      </c>
      <c r="J22" s="15">
        <v>0.50989010989011</v>
      </c>
      <c r="K22" s="15">
        <v>0.522826086956522</v>
      </c>
      <c r="L22" s="15">
        <v>0.533119658119658</v>
      </c>
      <c r="M22" s="15">
        <v>0.549206349206349</v>
      </c>
      <c r="N22" s="15">
        <v>0.567398119122257</v>
      </c>
      <c r="O22" s="15">
        <v>0.580246913580247</v>
      </c>
      <c r="P22" s="15">
        <v>0.591649694501018</v>
      </c>
      <c r="Q22" s="15">
        <v>0.593969849246231</v>
      </c>
      <c r="R22" s="15">
        <v>0.602766798418972</v>
      </c>
      <c r="S22" s="15">
        <v>0.609803921568628</v>
      </c>
      <c r="T22" s="15">
        <v>0.619613681700963</v>
      </c>
      <c r="U22" s="15">
        <v>0.62958124894219</v>
      </c>
      <c r="V22" s="15">
        <v>0.639709161895016</v>
      </c>
      <c r="W22" s="15">
        <v>0.65</v>
      </c>
      <c r="X22" s="15">
        <v>0.657588647471111</v>
      </c>
      <c r="Y22" s="15">
        <v>0.665265891204438</v>
      </c>
      <c r="Z22" s="15">
        <v>0.673032765547369</v>
      </c>
      <c r="AA22" s="15">
        <v>0.680890316923131</v>
      </c>
      <c r="AB22" s="15">
        <v>0.688839603971781</v>
      </c>
      <c r="AC22" s="15">
        <v>0.69688169769283</v>
      </c>
      <c r="AD22" s="15">
        <v>0.705017681589537</v>
      </c>
      <c r="AE22" s="15">
        <v>0.713248651814896</v>
      </c>
      <c r="AF22" s="15">
        <v>0.721575717319308</v>
      </c>
      <c r="AG22" s="15">
        <v>0.73</v>
      </c>
      <c r="AH22" s="15">
        <v>0.73365</v>
      </c>
      <c r="AI22" s="15">
        <v>0.73731825</v>
      </c>
      <c r="AJ22" s="15">
        <v>0.74100484125</v>
      </c>
      <c r="AK22" s="15">
        <v>0.74470986545625</v>
      </c>
      <c r="AL22" s="15">
        <v>0.748433414783531</v>
      </c>
      <c r="AM22" s="15">
        <v>0.751257650266089</v>
      </c>
      <c r="AN22" s="15">
        <v>0.754092543084227</v>
      </c>
      <c r="AO22" s="15">
        <v>0.756938133453714</v>
      </c>
      <c r="AP22" s="15">
        <v>0.759794461742075</v>
      </c>
      <c r="AQ22" s="15">
        <v>0.762661568469163</v>
      </c>
      <c r="AR22" s="15">
        <v>0.765539494307731</v>
      </c>
      <c r="AS22" s="15">
        <v>0.768428280084017</v>
      </c>
      <c r="AT22" s="15">
        <v>0.771327966778312</v>
      </c>
      <c r="AU22" s="15">
        <v>0.774238595525553</v>
      </c>
      <c r="AV22" s="15">
        <v>0.777160207615897</v>
      </c>
      <c r="AW22" s="15">
        <v>0.780092844495312</v>
      </c>
      <c r="AX22" s="15">
        <v>0.783036547766164</v>
      </c>
      <c r="AY22" s="15">
        <v>0.785991359187805</v>
      </c>
      <c r="AZ22" s="15">
        <v>0.788957320677171</v>
      </c>
      <c r="BA22" s="15">
        <v>0.791934474309367</v>
      </c>
      <c r="BB22" s="15">
        <v>0.794922862318275</v>
      </c>
      <c r="BC22" s="15">
        <v>0.797922527097145</v>
      </c>
      <c r="BD22" s="15">
        <v>0.8009335111992</v>
      </c>
      <c r="BE22" s="15">
        <v>0.803955857338239</v>
      </c>
      <c r="BF22" s="15">
        <v>0.806989608389241</v>
      </c>
    </row>
    <row r="23" spans="1:58">
      <c r="A23" t="s">
        <v>44</v>
      </c>
      <c r="B23" t="s">
        <v>89</v>
      </c>
      <c r="C23" s="15">
        <v>0.452108649035025</v>
      </c>
      <c r="D23" s="15">
        <v>0.466880341880342</v>
      </c>
      <c r="E23" s="15">
        <v>0.482954545454545</v>
      </c>
      <c r="F23" s="15">
        <v>0.499823881648468</v>
      </c>
      <c r="G23" s="15">
        <v>0.515914655473942</v>
      </c>
      <c r="H23" s="15">
        <v>0.52998266897747</v>
      </c>
      <c r="I23" s="15">
        <v>0.549932065217391</v>
      </c>
      <c r="J23" s="15">
        <v>0.566386554621849</v>
      </c>
      <c r="K23" s="15">
        <v>0.582862836267021</v>
      </c>
      <c r="L23" s="15">
        <v>0.597436740059152</v>
      </c>
      <c r="M23" s="15">
        <v>0.614657980456026</v>
      </c>
      <c r="N23" s="15">
        <v>0.633440514469453</v>
      </c>
      <c r="O23" s="15">
        <v>0.650127226463104</v>
      </c>
      <c r="P23" s="15">
        <v>0.66613974075245</v>
      </c>
      <c r="Q23" s="15">
        <v>0.682245922208281</v>
      </c>
      <c r="R23" s="15">
        <v>0.69460891243378</v>
      </c>
      <c r="S23" s="15">
        <v>0.703300124533001</v>
      </c>
      <c r="T23" s="15">
        <v>0.709882116976669</v>
      </c>
      <c r="U23" s="15">
        <v>0.716525708477435</v>
      </c>
      <c r="V23" s="15">
        <v>0.723231475523935</v>
      </c>
      <c r="W23" s="15">
        <v>0.73</v>
      </c>
      <c r="X23" s="15">
        <v>0.734852260360824</v>
      </c>
      <c r="Y23" s="15">
        <v>0.739736773366319</v>
      </c>
      <c r="Z23" s="15">
        <v>0.74465375339762</v>
      </c>
      <c r="AA23" s="15">
        <v>0.749603416260839</v>
      </c>
      <c r="AB23" s="15">
        <v>0.754585979196539</v>
      </c>
      <c r="AC23" s="15">
        <v>0.759601660889264</v>
      </c>
      <c r="AD23" s="15">
        <v>0.76465068147714</v>
      </c>
      <c r="AE23" s="15">
        <v>0.769733262561536</v>
      </c>
      <c r="AF23" s="15">
        <v>0.77484962721679</v>
      </c>
      <c r="AG23" s="15">
        <v>0.78</v>
      </c>
      <c r="AH23" s="15">
        <v>0.7839</v>
      </c>
      <c r="AI23" s="15">
        <v>0.7878195</v>
      </c>
      <c r="AJ23" s="15">
        <v>0.7917585975</v>
      </c>
      <c r="AK23" s="15">
        <v>0.7957173904875</v>
      </c>
      <c r="AL23" s="15">
        <v>0.799695977439937</v>
      </c>
      <c r="AM23" s="15">
        <v>0.802713653708971</v>
      </c>
      <c r="AN23" s="15">
        <v>0.805742717268078</v>
      </c>
      <c r="AO23" s="15">
        <v>0.80878321108753</v>
      </c>
      <c r="AP23" s="15">
        <v>0.811835178299752</v>
      </c>
      <c r="AQ23" s="15">
        <v>0.814898662199927</v>
      </c>
      <c r="AR23" s="15">
        <v>0.817973706246617</v>
      </c>
      <c r="AS23" s="15">
        <v>0.821060354062374</v>
      </c>
      <c r="AT23" s="15">
        <v>0.824158649434361</v>
      </c>
      <c r="AU23" s="15">
        <v>0.827268636314974</v>
      </c>
      <c r="AV23" s="15">
        <v>0.830390358822465</v>
      </c>
      <c r="AW23" s="15">
        <v>0.833523861241566</v>
      </c>
      <c r="AX23" s="15">
        <v>0.83666918802412</v>
      </c>
      <c r="AY23" s="15">
        <v>0.83982638378971</v>
      </c>
      <c r="AZ23" s="15">
        <v>0.842995493326292</v>
      </c>
      <c r="BA23" s="15">
        <v>0.846176561590831</v>
      </c>
      <c r="BB23" s="15">
        <v>0.849369633709938</v>
      </c>
      <c r="BC23" s="15">
        <v>0.852574754980511</v>
      </c>
      <c r="BD23" s="15">
        <v>0.855791970870378</v>
      </c>
      <c r="BE23" s="15">
        <v>0.85902132701894</v>
      </c>
      <c r="BF23" s="15">
        <v>0.862262869237819</v>
      </c>
    </row>
    <row r="24" spans="1:58">
      <c r="A24" t="s">
        <v>45</v>
      </c>
      <c r="B24" t="s">
        <v>89</v>
      </c>
      <c r="C24" s="15">
        <v>0.330004870920604</v>
      </c>
      <c r="D24" s="15">
        <v>0.343004039662137</v>
      </c>
      <c r="E24" s="15">
        <v>0.355973914113449</v>
      </c>
      <c r="F24" s="15">
        <v>0.374047677562055</v>
      </c>
      <c r="G24" s="15">
        <v>0.387049480757483</v>
      </c>
      <c r="H24" s="15">
        <v>0.401740211311373</v>
      </c>
      <c r="I24" s="15">
        <v>0.418526785714286</v>
      </c>
      <c r="J24" s="15">
        <v>0.433518862090291</v>
      </c>
      <c r="K24" s="15">
        <v>0.449623874707116</v>
      </c>
      <c r="L24" s="15">
        <v>0.465044845804153</v>
      </c>
      <c r="M24" s="15">
        <v>0.482674475353831</v>
      </c>
      <c r="N24" s="15">
        <v>0.500060598715307</v>
      </c>
      <c r="O24" s="15">
        <v>0.517794667631801</v>
      </c>
      <c r="P24" s="15">
        <v>0.535031847133758</v>
      </c>
      <c r="Q24" s="15">
        <v>0.553586396838702</v>
      </c>
      <c r="R24" s="15">
        <v>0.567315732887349</v>
      </c>
      <c r="S24" s="15">
        <v>0.578236980410893</v>
      </c>
      <c r="T24" s="15">
        <v>0.583602588955933</v>
      </c>
      <c r="U24" s="15">
        <v>0.589017986352315</v>
      </c>
      <c r="V24" s="15">
        <v>0.594483634603501</v>
      </c>
      <c r="W24" s="15">
        <v>0.6</v>
      </c>
      <c r="X24" s="15">
        <v>0.607556982707617</v>
      </c>
      <c r="Y24" s="15">
        <v>0.61520914539464</v>
      </c>
      <c r="Z24" s="15">
        <v>0.622957686850165</v>
      </c>
      <c r="AA24" s="15">
        <v>0.630803820962005</v>
      </c>
      <c r="AB24" s="15">
        <v>0.638748776906852</v>
      </c>
      <c r="AC24" s="15">
        <v>0.646793799342847</v>
      </c>
      <c r="AD24" s="15">
        <v>0.65494014860456</v>
      </c>
      <c r="AE24" s="15">
        <v>0.663189100900441</v>
      </c>
      <c r="AF24" s="15">
        <v>0.671541948512749</v>
      </c>
      <c r="AG24" s="15">
        <v>0.68</v>
      </c>
      <c r="AH24" s="15">
        <v>0.6834</v>
      </c>
      <c r="AI24" s="15">
        <v>0.686817</v>
      </c>
      <c r="AJ24" s="15">
        <v>0.690251085</v>
      </c>
      <c r="AK24" s="15">
        <v>0.693702340425</v>
      </c>
      <c r="AL24" s="15">
        <v>0.697170852127125</v>
      </c>
      <c r="AM24" s="15">
        <v>0.699801646823206</v>
      </c>
      <c r="AN24" s="15">
        <v>0.702442368900376</v>
      </c>
      <c r="AO24" s="15">
        <v>0.705093055819898</v>
      </c>
      <c r="AP24" s="15">
        <v>0.707753745184399</v>
      </c>
      <c r="AQ24" s="15">
        <v>0.710424474738398</v>
      </c>
      <c r="AR24" s="15">
        <v>0.713105282368846</v>
      </c>
      <c r="AS24" s="15">
        <v>0.71579620610566</v>
      </c>
      <c r="AT24" s="15">
        <v>0.718497284122264</v>
      </c>
      <c r="AU24" s="15">
        <v>0.721208554736132</v>
      </c>
      <c r="AV24" s="15">
        <v>0.723930056409329</v>
      </c>
      <c r="AW24" s="15">
        <v>0.726661827749058</v>
      </c>
      <c r="AX24" s="15">
        <v>0.729403907508208</v>
      </c>
      <c r="AY24" s="15">
        <v>0.732156334585901</v>
      </c>
      <c r="AZ24" s="15">
        <v>0.73491914802805</v>
      </c>
      <c r="BA24" s="15">
        <v>0.737692387027904</v>
      </c>
      <c r="BB24" s="15">
        <v>0.740476090926613</v>
      </c>
      <c r="BC24" s="15">
        <v>0.74327029921378</v>
      </c>
      <c r="BD24" s="15">
        <v>0.746075051528022</v>
      </c>
      <c r="BE24" s="15">
        <v>0.748890387657538</v>
      </c>
      <c r="BF24" s="15">
        <v>0.751716347540663</v>
      </c>
    </row>
    <row r="25" spans="1:58">
      <c r="A25" t="s">
        <v>46</v>
      </c>
      <c r="B25" t="s">
        <v>89</v>
      </c>
      <c r="C25" s="15">
        <v>0.268632707774799</v>
      </c>
      <c r="D25" s="15">
        <v>0.274525745257453</v>
      </c>
      <c r="E25" s="15">
        <v>0.282488986784141</v>
      </c>
      <c r="F25" s="15">
        <v>0.291156840934371</v>
      </c>
      <c r="G25" s="15">
        <v>0.298840825558383</v>
      </c>
      <c r="H25" s="15">
        <v>0.338028169014085</v>
      </c>
      <c r="I25" s="15">
        <v>0.35042492917847</v>
      </c>
      <c r="J25" s="15">
        <v>0.362977418455534</v>
      </c>
      <c r="K25" s="15">
        <v>0.378854625550661</v>
      </c>
      <c r="L25" s="15">
        <v>0.402502039706282</v>
      </c>
      <c r="M25" s="15">
        <v>0.429611650485437</v>
      </c>
      <c r="N25" s="15">
        <v>0.455561468866418</v>
      </c>
      <c r="O25" s="15">
        <v>0.477517749145412</v>
      </c>
      <c r="P25" s="15">
        <v>0.495290423861852</v>
      </c>
      <c r="Q25" s="15">
        <v>0.51481288981289</v>
      </c>
      <c r="R25" s="15">
        <v>0.531622602384655</v>
      </c>
      <c r="S25" s="15">
        <v>0.543354101765317</v>
      </c>
      <c r="T25" s="15">
        <v>0.561578063310769</v>
      </c>
      <c r="U25" s="15">
        <v>0.580413251997658</v>
      </c>
      <c r="V25" s="15">
        <v>0.599880168232413</v>
      </c>
      <c r="W25" s="15">
        <v>0.62</v>
      </c>
      <c r="X25" s="15">
        <v>0.625753679258344</v>
      </c>
      <c r="Y25" s="15">
        <v>0.631560753395733</v>
      </c>
      <c r="Z25" s="15">
        <v>0.63742171792347</v>
      </c>
      <c r="AA25" s="15">
        <v>0.643337072951267</v>
      </c>
      <c r="AB25" s="15">
        <v>0.649307323229917</v>
      </c>
      <c r="AC25" s="15">
        <v>0.655332978194367</v>
      </c>
      <c r="AD25" s="15">
        <v>0.661414552007182</v>
      </c>
      <c r="AE25" s="15">
        <v>0.667552563602425</v>
      </c>
      <c r="AF25" s="15">
        <v>0.67374753672993</v>
      </c>
      <c r="AG25" s="15">
        <v>0.68</v>
      </c>
      <c r="AH25" s="15">
        <v>0.6834</v>
      </c>
      <c r="AI25" s="15">
        <v>0.686817</v>
      </c>
      <c r="AJ25" s="15">
        <v>0.690251085</v>
      </c>
      <c r="AK25" s="15">
        <v>0.693702340425</v>
      </c>
      <c r="AL25" s="15">
        <v>0.697170852127125</v>
      </c>
      <c r="AM25" s="15">
        <v>0.699801646823206</v>
      </c>
      <c r="AN25" s="15">
        <v>0.702442368900376</v>
      </c>
      <c r="AO25" s="15">
        <v>0.705093055819898</v>
      </c>
      <c r="AP25" s="15">
        <v>0.707753745184399</v>
      </c>
      <c r="AQ25" s="15">
        <v>0.710424474738398</v>
      </c>
      <c r="AR25" s="15">
        <v>0.713105282368846</v>
      </c>
      <c r="AS25" s="15">
        <v>0.71579620610566</v>
      </c>
      <c r="AT25" s="15">
        <v>0.718497284122264</v>
      </c>
      <c r="AU25" s="15">
        <v>0.721208554736132</v>
      </c>
      <c r="AV25" s="15">
        <v>0.723930056409329</v>
      </c>
      <c r="AW25" s="15">
        <v>0.726661827749058</v>
      </c>
      <c r="AX25" s="15">
        <v>0.729403907508208</v>
      </c>
      <c r="AY25" s="15">
        <v>0.732156334585901</v>
      </c>
      <c r="AZ25" s="15">
        <v>0.73491914802805</v>
      </c>
      <c r="BA25" s="15">
        <v>0.737692387027904</v>
      </c>
      <c r="BB25" s="15">
        <v>0.740476090926613</v>
      </c>
      <c r="BC25" s="15">
        <v>0.74327029921378</v>
      </c>
      <c r="BD25" s="15">
        <v>0.746075051528022</v>
      </c>
      <c r="BE25" s="15">
        <v>0.748890387657538</v>
      </c>
      <c r="BF25" s="15">
        <v>0.751716347540663</v>
      </c>
    </row>
    <row r="26" spans="1:58">
      <c r="A26" t="s">
        <v>47</v>
      </c>
      <c r="B26" t="s">
        <v>89</v>
      </c>
      <c r="C26" s="15">
        <v>0.295056179775281</v>
      </c>
      <c r="D26" s="15">
        <v>0.304929734552755</v>
      </c>
      <c r="E26" s="15">
        <v>0.315906070004431</v>
      </c>
      <c r="F26" s="15">
        <v>0.329958177415805</v>
      </c>
      <c r="G26" s="15">
        <v>0.339969372128637</v>
      </c>
      <c r="H26" s="15">
        <v>0.347023033463711</v>
      </c>
      <c r="I26" s="15">
        <v>0.365800865800866</v>
      </c>
      <c r="J26" s="15">
        <v>0.38479809976247</v>
      </c>
      <c r="K26" s="15">
        <v>0.399913811678518</v>
      </c>
      <c r="L26" s="15">
        <v>0.412207178164625</v>
      </c>
      <c r="M26" s="15">
        <v>0.429337336478662</v>
      </c>
      <c r="N26" s="15">
        <v>0.446440025657473</v>
      </c>
      <c r="O26" s="15">
        <v>0.46281696143192</v>
      </c>
      <c r="P26" s="15">
        <v>0.474378056559643</v>
      </c>
      <c r="Q26" s="15">
        <v>0.486635553669919</v>
      </c>
      <c r="R26" s="15">
        <v>0.500423549343499</v>
      </c>
      <c r="S26" s="15">
        <v>0.51044776119403</v>
      </c>
      <c r="T26" s="15">
        <v>0.531497578367588</v>
      </c>
      <c r="U26" s="15">
        <v>0.553415446763476</v>
      </c>
      <c r="V26" s="15">
        <v>0.576237163031061</v>
      </c>
      <c r="W26" s="15">
        <v>0.6</v>
      </c>
      <c r="X26" s="15">
        <v>0.607556982707617</v>
      </c>
      <c r="Y26" s="15">
        <v>0.61520914539464</v>
      </c>
      <c r="Z26" s="15">
        <v>0.622957686850165</v>
      </c>
      <c r="AA26" s="15">
        <v>0.630803820962005</v>
      </c>
      <c r="AB26" s="15">
        <v>0.638748776906852</v>
      </c>
      <c r="AC26" s="15">
        <v>0.646793799342847</v>
      </c>
      <c r="AD26" s="15">
        <v>0.65494014860456</v>
      </c>
      <c r="AE26" s="15">
        <v>0.663189100900441</v>
      </c>
      <c r="AF26" s="15">
        <v>0.671541948512749</v>
      </c>
      <c r="AG26" s="15">
        <v>0.68</v>
      </c>
      <c r="AH26" s="15">
        <v>0.6834</v>
      </c>
      <c r="AI26" s="15">
        <v>0.686817</v>
      </c>
      <c r="AJ26" s="15">
        <v>0.690251085</v>
      </c>
      <c r="AK26" s="15">
        <v>0.693702340425</v>
      </c>
      <c r="AL26" s="15">
        <v>0.697170852127125</v>
      </c>
      <c r="AM26" s="15">
        <v>0.699801646823206</v>
      </c>
      <c r="AN26" s="15">
        <v>0.702442368900376</v>
      </c>
      <c r="AO26" s="15">
        <v>0.705093055819898</v>
      </c>
      <c r="AP26" s="15">
        <v>0.707753745184399</v>
      </c>
      <c r="AQ26" s="15">
        <v>0.710424474738398</v>
      </c>
      <c r="AR26" s="15">
        <v>0.713105282368846</v>
      </c>
      <c r="AS26" s="15">
        <v>0.71579620610566</v>
      </c>
      <c r="AT26" s="15">
        <v>0.718497284122264</v>
      </c>
      <c r="AU26" s="15">
        <v>0.721208554736132</v>
      </c>
      <c r="AV26" s="15">
        <v>0.723930056409329</v>
      </c>
      <c r="AW26" s="15">
        <v>0.726661827749058</v>
      </c>
      <c r="AX26" s="15">
        <v>0.729403907508208</v>
      </c>
      <c r="AY26" s="15">
        <v>0.732156334585901</v>
      </c>
      <c r="AZ26" s="15">
        <v>0.73491914802805</v>
      </c>
      <c r="BA26" s="15">
        <v>0.737692387027904</v>
      </c>
      <c r="BB26" s="15">
        <v>0.740476090926613</v>
      </c>
      <c r="BC26" s="15">
        <v>0.74327029921378</v>
      </c>
      <c r="BD26" s="15">
        <v>0.746075051528022</v>
      </c>
      <c r="BE26" s="15">
        <v>0.748890387657538</v>
      </c>
      <c r="BF26" s="15">
        <v>0.751716347540663</v>
      </c>
    </row>
    <row r="27" spans="1:58">
      <c r="A27" t="s">
        <v>48</v>
      </c>
      <c r="B27" t="s">
        <v>89</v>
      </c>
      <c r="C27" s="15">
        <v>0.207142857142857</v>
      </c>
      <c r="D27" s="15">
        <v>0.210526315789474</v>
      </c>
      <c r="E27" s="15">
        <v>0.214532871972318</v>
      </c>
      <c r="F27" s="15">
        <v>0.219178082191781</v>
      </c>
      <c r="G27" s="15">
        <v>0.222972972972973</v>
      </c>
      <c r="H27" s="15">
        <v>0.226666666666667</v>
      </c>
      <c r="I27" s="15">
        <v>0.226537216828479</v>
      </c>
      <c r="J27" s="15">
        <v>0.228571428571429</v>
      </c>
      <c r="K27" s="15">
        <v>0.239747634069401</v>
      </c>
      <c r="L27" s="15">
        <v>0.261538461538462</v>
      </c>
      <c r="M27" s="15">
        <v>0.287878787878788</v>
      </c>
      <c r="N27" s="15">
        <v>0.314705882352941</v>
      </c>
      <c r="O27" s="15">
        <v>0.332378223495702</v>
      </c>
      <c r="P27" s="15">
        <v>0.338983050847458</v>
      </c>
      <c r="Q27" s="15">
        <v>0.346260387811634</v>
      </c>
      <c r="R27" s="15">
        <v>0.35792349726776</v>
      </c>
      <c r="S27" s="15">
        <v>0.366120218579235</v>
      </c>
      <c r="T27" s="15">
        <v>0.374311165915599</v>
      </c>
      <c r="U27" s="15">
        <v>0.382685363492901</v>
      </c>
      <c r="V27" s="15">
        <v>0.391246911038491</v>
      </c>
      <c r="W27" s="15">
        <v>0.4</v>
      </c>
      <c r="X27" s="15">
        <v>0.40735975045881</v>
      </c>
      <c r="Y27" s="15">
        <v>0.414854915734659</v>
      </c>
      <c r="Z27" s="15">
        <v>0.422487987375703</v>
      </c>
      <c r="AA27" s="15">
        <v>0.430261502773028</v>
      </c>
      <c r="AB27" s="15">
        <v>0.438178046004133</v>
      </c>
      <c r="AC27" s="15">
        <v>0.446240248691931</v>
      </c>
      <c r="AD27" s="15">
        <v>0.454450790879556</v>
      </c>
      <c r="AE27" s="15">
        <v>0.462812401921261</v>
      </c>
      <c r="AF27" s="15">
        <v>0.471327861389718</v>
      </c>
      <c r="AG27" s="15">
        <v>0.48</v>
      </c>
      <c r="AH27" s="15">
        <v>0.4824</v>
      </c>
      <c r="AI27" s="15">
        <v>0.484812</v>
      </c>
      <c r="AJ27" s="15">
        <v>0.48723606</v>
      </c>
      <c r="AK27" s="15">
        <v>0.4896722403</v>
      </c>
      <c r="AL27" s="15">
        <v>0.4921206015015</v>
      </c>
      <c r="AM27" s="15">
        <v>0.493977633051675</v>
      </c>
      <c r="AN27" s="15">
        <v>0.495841672164971</v>
      </c>
      <c r="AO27" s="15">
        <v>0.497712745284634</v>
      </c>
      <c r="AP27" s="15">
        <v>0.499590878953693</v>
      </c>
      <c r="AQ27" s="15">
        <v>0.50147609981534</v>
      </c>
      <c r="AR27" s="15">
        <v>0.503368434613303</v>
      </c>
      <c r="AS27" s="15">
        <v>0.50526791019223</v>
      </c>
      <c r="AT27" s="15">
        <v>0.507174553498068</v>
      </c>
      <c r="AU27" s="15">
        <v>0.509088391578446</v>
      </c>
      <c r="AV27" s="15">
        <v>0.511009451583055</v>
      </c>
      <c r="AW27" s="15">
        <v>0.512937760764041</v>
      </c>
      <c r="AX27" s="15">
        <v>0.514873346476381</v>
      </c>
      <c r="AY27" s="15">
        <v>0.516816236178283</v>
      </c>
      <c r="AZ27" s="15">
        <v>0.518766457431564</v>
      </c>
      <c r="BA27" s="15">
        <v>0.520724037902049</v>
      </c>
      <c r="BB27" s="15">
        <v>0.522689005359962</v>
      </c>
      <c r="BC27" s="15">
        <v>0.524661387680315</v>
      </c>
      <c r="BD27" s="15">
        <v>0.52664121284331</v>
      </c>
      <c r="BE27" s="15">
        <v>0.528628508934732</v>
      </c>
      <c r="BF27" s="15">
        <v>0.53062330414635</v>
      </c>
    </row>
    <row r="28" spans="1:58">
      <c r="A28" t="s">
        <v>90</v>
      </c>
      <c r="B28" t="s">
        <v>89</v>
      </c>
      <c r="C28" s="15">
        <v>0.372357723577236</v>
      </c>
      <c r="D28" s="15">
        <v>0.391186807245201</v>
      </c>
      <c r="E28" s="15">
        <v>0.406148867313916</v>
      </c>
      <c r="F28" s="15">
        <v>0.420925228617536</v>
      </c>
      <c r="G28" s="15">
        <v>0.434934263482694</v>
      </c>
      <c r="H28" s="15">
        <v>0.45756358768407</v>
      </c>
      <c r="I28" s="15">
        <v>0.473572377158035</v>
      </c>
      <c r="J28" s="15">
        <v>0.497227356746765</v>
      </c>
      <c r="K28" s="15">
        <v>0.515772870662461</v>
      </c>
      <c r="L28" s="15">
        <v>0.53018029788346</v>
      </c>
      <c r="M28" s="15">
        <v>0.547321892875715</v>
      </c>
      <c r="N28" s="15">
        <v>0.564016520392359</v>
      </c>
      <c r="O28" s="15">
        <v>0.580686475409836</v>
      </c>
      <c r="P28" s="15">
        <v>0.596540320529127</v>
      </c>
      <c r="Q28" s="15">
        <v>0.612829614604463</v>
      </c>
      <c r="R28" s="15">
        <v>0.626548672566372</v>
      </c>
      <c r="S28" s="15">
        <v>0.636317653009611</v>
      </c>
      <c r="T28" s="15">
        <v>0.639710999141304</v>
      </c>
      <c r="U28" s="15">
        <v>0.643122441263129</v>
      </c>
      <c r="V28" s="15">
        <v>0.646552075877136</v>
      </c>
      <c r="W28" s="15">
        <v>0.65</v>
      </c>
      <c r="X28" s="15">
        <v>0.654834911336001</v>
      </c>
      <c r="Y28" s="15">
        <v>0.659705786314506</v>
      </c>
      <c r="Z28" s="15">
        <v>0.664612892444779</v>
      </c>
      <c r="AA28" s="15">
        <v>0.669556499225908</v>
      </c>
      <c r="AB28" s="15">
        <v>0.674536878161602</v>
      </c>
      <c r="AC28" s="15">
        <v>0.679554302775101</v>
      </c>
      <c r="AD28" s="15">
        <v>0.684609048624202</v>
      </c>
      <c r="AE28" s="15">
        <v>0.68970139331639</v>
      </c>
      <c r="AF28" s="15">
        <v>0.694831616524085</v>
      </c>
      <c r="AG28" s="15">
        <v>0.7</v>
      </c>
      <c r="AH28" s="15">
        <v>0.7035</v>
      </c>
      <c r="AI28" s="15">
        <v>0.7070175</v>
      </c>
      <c r="AJ28" s="15">
        <v>0.7105525875</v>
      </c>
      <c r="AK28" s="15">
        <v>0.7141053504375</v>
      </c>
      <c r="AL28" s="15">
        <v>0.717675877189687</v>
      </c>
      <c r="AM28" s="15">
        <v>0.720384048200359</v>
      </c>
      <c r="AN28" s="15">
        <v>0.723102438573916</v>
      </c>
      <c r="AO28" s="15">
        <v>0.725831086873425</v>
      </c>
      <c r="AP28" s="15">
        <v>0.72857003180747</v>
      </c>
      <c r="AQ28" s="15">
        <v>0.731319312230704</v>
      </c>
      <c r="AR28" s="15">
        <v>0.7340789671444</v>
      </c>
      <c r="AS28" s="15">
        <v>0.736849035697002</v>
      </c>
      <c r="AT28" s="15">
        <v>0.739629557184683</v>
      </c>
      <c r="AU28" s="15">
        <v>0.7424205710519</v>
      </c>
      <c r="AV28" s="15">
        <v>0.745222116891956</v>
      </c>
      <c r="AW28" s="15">
        <v>0.748034234447559</v>
      </c>
      <c r="AX28" s="15">
        <v>0.75085696361139</v>
      </c>
      <c r="AY28" s="15">
        <v>0.753690344426663</v>
      </c>
      <c r="AZ28" s="15">
        <v>0.756534417087698</v>
      </c>
      <c r="BA28" s="15">
        <v>0.759389221940489</v>
      </c>
      <c r="BB28" s="15">
        <v>0.762254799483278</v>
      </c>
      <c r="BC28" s="15">
        <v>0.765131190367126</v>
      </c>
      <c r="BD28" s="15">
        <v>0.768018435396493</v>
      </c>
      <c r="BE28" s="15">
        <v>0.770916575529818</v>
      </c>
      <c r="BF28" s="15">
        <v>0.773825651880094</v>
      </c>
    </row>
    <row r="29" spans="1:58">
      <c r="A29" t="s">
        <v>49</v>
      </c>
      <c r="B29" t="s">
        <v>89</v>
      </c>
      <c r="C29" s="15">
        <v>0.300196463654224</v>
      </c>
      <c r="D29" s="15">
        <v>0.31095406360424</v>
      </c>
      <c r="E29" s="15">
        <v>0.322605965463108</v>
      </c>
      <c r="F29" s="15">
        <v>0.335554684437475</v>
      </c>
      <c r="G29" s="15">
        <v>0.348727984344423</v>
      </c>
      <c r="H29" s="15">
        <v>0.361328125</v>
      </c>
      <c r="I29" s="15">
        <v>0.372648902821317</v>
      </c>
      <c r="J29" s="15">
        <v>0.387843137254902</v>
      </c>
      <c r="K29" s="15">
        <v>0.404808829325976</v>
      </c>
      <c r="L29" s="15">
        <v>0.422757803239826</v>
      </c>
      <c r="M29" s="15">
        <v>0.442330558858502</v>
      </c>
      <c r="N29" s="15">
        <v>0.460714285714286</v>
      </c>
      <c r="O29" s="15">
        <v>0.481363996827914</v>
      </c>
      <c r="P29" s="15">
        <v>0.497017892644135</v>
      </c>
      <c r="Q29" s="15">
        <v>0.50697489039458</v>
      </c>
      <c r="R29" s="15">
        <v>0.52219112355058</v>
      </c>
      <c r="S29" s="15">
        <v>0.533333333333333</v>
      </c>
      <c r="T29" s="15">
        <v>0.544635623622765</v>
      </c>
      <c r="U29" s="15">
        <v>0.556177429723046</v>
      </c>
      <c r="V29" s="15">
        <v>0.56796382740397</v>
      </c>
      <c r="W29" s="15">
        <v>0.58</v>
      </c>
      <c r="X29" s="15">
        <v>0.59101022987577</v>
      </c>
      <c r="Y29" s="15">
        <v>0.602229468651398</v>
      </c>
      <c r="Z29" s="15">
        <v>0.613661683975216</v>
      </c>
      <c r="AA29" s="15">
        <v>0.625310918814043</v>
      </c>
      <c r="AB29" s="15">
        <v>0.63718129288296</v>
      </c>
      <c r="AC29" s="15">
        <v>0.649277004102239</v>
      </c>
      <c r="AD29" s="15">
        <v>0.661602330081923</v>
      </c>
      <c r="AE29" s="15">
        <v>0.674161629634591</v>
      </c>
      <c r="AF29" s="15">
        <v>0.686959344316833</v>
      </c>
      <c r="AG29" s="15">
        <v>0.7</v>
      </c>
      <c r="AH29" s="15">
        <v>0.7035</v>
      </c>
      <c r="AI29" s="15">
        <v>0.7070175</v>
      </c>
      <c r="AJ29" s="15">
        <v>0.7105525875</v>
      </c>
      <c r="AK29" s="15">
        <v>0.7141053504375</v>
      </c>
      <c r="AL29" s="15">
        <v>0.717675877189687</v>
      </c>
      <c r="AM29" s="15">
        <v>0.720384048200359</v>
      </c>
      <c r="AN29" s="15">
        <v>0.723102438573916</v>
      </c>
      <c r="AO29" s="15">
        <v>0.725831086873425</v>
      </c>
      <c r="AP29" s="15">
        <v>0.72857003180747</v>
      </c>
      <c r="AQ29" s="15">
        <v>0.731319312230704</v>
      </c>
      <c r="AR29" s="15">
        <v>0.7340789671444</v>
      </c>
      <c r="AS29" s="15">
        <v>0.736849035697002</v>
      </c>
      <c r="AT29" s="15">
        <v>0.739629557184683</v>
      </c>
      <c r="AU29" s="15">
        <v>0.7424205710519</v>
      </c>
      <c r="AV29" s="15">
        <v>0.745222116891956</v>
      </c>
      <c r="AW29" s="15">
        <v>0.748034234447559</v>
      </c>
      <c r="AX29" s="15">
        <v>0.75085696361139</v>
      </c>
      <c r="AY29" s="15">
        <v>0.753690344426663</v>
      </c>
      <c r="AZ29" s="15">
        <v>0.756534417087698</v>
      </c>
      <c r="BA29" s="15">
        <v>0.759389221940489</v>
      </c>
      <c r="BB29" s="15">
        <v>0.762254799483278</v>
      </c>
      <c r="BC29" s="15">
        <v>0.765131190367126</v>
      </c>
      <c r="BD29" s="15">
        <v>0.768018435396493</v>
      </c>
      <c r="BE29" s="15">
        <v>0.770916575529818</v>
      </c>
      <c r="BF29" s="15">
        <v>0.773825651880094</v>
      </c>
    </row>
    <row r="30" spans="1:58">
      <c r="A30" t="s">
        <v>50</v>
      </c>
      <c r="B30" t="s">
        <v>89</v>
      </c>
      <c r="C30" s="15">
        <v>0.392265193370166</v>
      </c>
      <c r="D30" s="15">
        <v>0.392335766423358</v>
      </c>
      <c r="E30" s="15">
        <v>0.40036231884058</v>
      </c>
      <c r="F30" s="15">
        <v>0.407942238267148</v>
      </c>
      <c r="G30" s="15">
        <v>0.420107719928187</v>
      </c>
      <c r="H30" s="15">
        <v>0.447602131438721</v>
      </c>
      <c r="I30" s="15">
        <v>0.464788732394366</v>
      </c>
      <c r="J30" s="15">
        <v>0.478108581436077</v>
      </c>
      <c r="K30" s="15">
        <v>0.492119089316988</v>
      </c>
      <c r="L30" s="15">
        <v>0.508680555555556</v>
      </c>
      <c r="M30" s="15">
        <v>0.516464471403813</v>
      </c>
      <c r="N30" s="15">
        <v>0.536082474226804</v>
      </c>
      <c r="O30" s="15">
        <v>0.554607508532423</v>
      </c>
      <c r="P30" s="15">
        <v>0.572402044293015</v>
      </c>
      <c r="Q30" s="15">
        <v>0.588135593220339</v>
      </c>
      <c r="R30" s="15">
        <v>0.600337268128162</v>
      </c>
      <c r="S30" s="15">
        <v>0.609427609427609</v>
      </c>
      <c r="T30" s="15">
        <v>0.61205368429026</v>
      </c>
      <c r="U30" s="15">
        <v>0.614691075130522</v>
      </c>
      <c r="V30" s="15">
        <v>0.617339830709897</v>
      </c>
      <c r="W30" s="15">
        <v>0.62</v>
      </c>
      <c r="X30" s="15">
        <v>0.623888404689501</v>
      </c>
      <c r="Y30" s="15">
        <v>0.627801195977436</v>
      </c>
      <c r="Z30" s="15">
        <v>0.631738526807295</v>
      </c>
      <c r="AA30" s="15">
        <v>0.635700551081772</v>
      </c>
      <c r="AB30" s="15">
        <v>0.639687423668779</v>
      </c>
      <c r="AC30" s="15">
        <v>0.643699300407502</v>
      </c>
      <c r="AD30" s="15">
        <v>0.64773633811449</v>
      </c>
      <c r="AE30" s="15">
        <v>0.651798694589788</v>
      </c>
      <c r="AF30" s="15">
        <v>0.655886528623099</v>
      </c>
      <c r="AG30" s="15">
        <v>0.66</v>
      </c>
      <c r="AH30" s="15">
        <v>0.6633</v>
      </c>
      <c r="AI30" s="15">
        <v>0.6666165</v>
      </c>
      <c r="AJ30" s="15">
        <v>0.6699495825</v>
      </c>
      <c r="AK30" s="15">
        <v>0.6732993304125</v>
      </c>
      <c r="AL30" s="15">
        <v>0.676665827064562</v>
      </c>
      <c r="AM30" s="15">
        <v>0.679219245446053</v>
      </c>
      <c r="AN30" s="15">
        <v>0.681782299226835</v>
      </c>
      <c r="AO30" s="15">
        <v>0.684355024766372</v>
      </c>
      <c r="AP30" s="15">
        <v>0.686937458561329</v>
      </c>
      <c r="AQ30" s="15">
        <v>0.689529637246093</v>
      </c>
      <c r="AR30" s="15">
        <v>0.692131597593292</v>
      </c>
      <c r="AS30" s="15">
        <v>0.694743376514317</v>
      </c>
      <c r="AT30" s="15">
        <v>0.697365011059844</v>
      </c>
      <c r="AU30" s="15">
        <v>0.699996538420363</v>
      </c>
      <c r="AV30" s="15">
        <v>0.702637995926701</v>
      </c>
      <c r="AW30" s="15">
        <v>0.705289421050556</v>
      </c>
      <c r="AX30" s="15">
        <v>0.707950851405025</v>
      </c>
      <c r="AY30" s="15">
        <v>0.710622324745139</v>
      </c>
      <c r="AZ30" s="15">
        <v>0.713303878968401</v>
      </c>
      <c r="BA30" s="15">
        <v>0.715995552115318</v>
      </c>
      <c r="BB30" s="15">
        <v>0.718697382369948</v>
      </c>
      <c r="BC30" s="15">
        <v>0.721409408060433</v>
      </c>
      <c r="BD30" s="15">
        <v>0.724131667659551</v>
      </c>
      <c r="BE30" s="15">
        <v>0.726864199785257</v>
      </c>
      <c r="BF30" s="15">
        <v>0.729607043201231</v>
      </c>
    </row>
    <row r="31" spans="1:58">
      <c r="A31" t="s">
        <v>51</v>
      </c>
      <c r="B31" t="s">
        <v>89</v>
      </c>
      <c r="C31" s="15">
        <v>0.422818791946309</v>
      </c>
      <c r="D31" s="15">
        <v>0.43046357615894</v>
      </c>
      <c r="E31" s="15">
        <v>0.440983606557377</v>
      </c>
      <c r="F31" s="15">
        <v>0.449838187702265</v>
      </c>
      <c r="G31" s="15">
        <v>0.4608</v>
      </c>
      <c r="H31" s="15">
        <v>0.478672985781991</v>
      </c>
      <c r="I31" s="15">
        <v>0.501543209876543</v>
      </c>
      <c r="J31" s="15">
        <v>0.511380880121396</v>
      </c>
      <c r="K31" s="15">
        <v>0.528528528528528</v>
      </c>
      <c r="L31" s="15">
        <v>0.548672566371681</v>
      </c>
      <c r="M31" s="15">
        <v>0.570175438596491</v>
      </c>
      <c r="N31" s="15">
        <v>0.58705035971223</v>
      </c>
      <c r="O31" s="15">
        <v>0.609929078014184</v>
      </c>
      <c r="P31" s="15">
        <v>0.62112676056338</v>
      </c>
      <c r="Q31" s="15">
        <v>0.635983263598326</v>
      </c>
      <c r="R31" s="15">
        <v>0.649098474341193</v>
      </c>
      <c r="S31" s="15">
        <v>0.660689655172414</v>
      </c>
      <c r="T31" s="15">
        <v>0.667898399593308</v>
      </c>
      <c r="U31" s="15">
        <v>0.675185798183704</v>
      </c>
      <c r="V31" s="15">
        <v>0.682552709134434</v>
      </c>
      <c r="W31" s="15">
        <v>0.69</v>
      </c>
      <c r="X31" s="15">
        <v>0.695777383922496</v>
      </c>
      <c r="Y31" s="15">
        <v>0.701603141997149</v>
      </c>
      <c r="Z31" s="15">
        <v>0.70747767926171</v>
      </c>
      <c r="AA31" s="15">
        <v>0.713401404145321</v>
      </c>
      <c r="AB31" s="15">
        <v>0.719374728496908</v>
      </c>
      <c r="AC31" s="15">
        <v>0.725398067613819</v>
      </c>
      <c r="AD31" s="15">
        <v>0.731471840270691</v>
      </c>
      <c r="AE31" s="15">
        <v>0.737596468748573</v>
      </c>
      <c r="AF31" s="15">
        <v>0.74377237886428</v>
      </c>
      <c r="AG31" s="15">
        <v>0.75</v>
      </c>
      <c r="AH31" s="15">
        <v>0.75375</v>
      </c>
      <c r="AI31" s="15">
        <v>0.75751875</v>
      </c>
      <c r="AJ31" s="15">
        <v>0.76130634375</v>
      </c>
      <c r="AK31" s="15">
        <v>0.76511287546875</v>
      </c>
      <c r="AL31" s="15">
        <v>0.768938439846093</v>
      </c>
      <c r="AM31" s="15">
        <v>0.771840051643242</v>
      </c>
      <c r="AN31" s="15">
        <v>0.774752612757767</v>
      </c>
      <c r="AO31" s="15">
        <v>0.777676164507241</v>
      </c>
      <c r="AP31" s="15">
        <v>0.780610748365146</v>
      </c>
      <c r="AQ31" s="15">
        <v>0.783556405961468</v>
      </c>
      <c r="AR31" s="15">
        <v>0.786513179083286</v>
      </c>
      <c r="AS31" s="15">
        <v>0.789481109675359</v>
      </c>
      <c r="AT31" s="15">
        <v>0.792460239840732</v>
      </c>
      <c r="AU31" s="15">
        <v>0.795450611841321</v>
      </c>
      <c r="AV31" s="15">
        <v>0.798452268098524</v>
      </c>
      <c r="AW31" s="15">
        <v>0.801465251193814</v>
      </c>
      <c r="AX31" s="15">
        <v>0.804489603869346</v>
      </c>
      <c r="AY31" s="15">
        <v>0.807525369028567</v>
      </c>
      <c r="AZ31" s="15">
        <v>0.810572589736819</v>
      </c>
      <c r="BA31" s="15">
        <v>0.813631309221953</v>
      </c>
      <c r="BB31" s="15">
        <v>0.81670157087494</v>
      </c>
      <c r="BC31" s="15">
        <v>0.819783418250492</v>
      </c>
      <c r="BD31" s="15">
        <v>0.822876895067672</v>
      </c>
      <c r="BE31" s="15">
        <v>0.825982045210519</v>
      </c>
      <c r="BF31" s="15">
        <v>0.829098912728672</v>
      </c>
    </row>
    <row r="32" spans="1:58">
      <c r="A32" t="s">
        <v>52</v>
      </c>
      <c r="B32" t="s">
        <v>89</v>
      </c>
      <c r="C32" s="15">
        <v>0.371641791044776</v>
      </c>
      <c r="D32" s="15">
        <v>0.379512195121951</v>
      </c>
      <c r="E32" s="15">
        <v>0.391408114558473</v>
      </c>
      <c r="F32" s="15">
        <v>0.396527451900516</v>
      </c>
      <c r="G32" s="15">
        <v>0.398332561371005</v>
      </c>
      <c r="H32" s="15">
        <v>0.430205949656751</v>
      </c>
      <c r="I32" s="15">
        <v>0.437303370786517</v>
      </c>
      <c r="J32" s="15">
        <v>0.442077230359521</v>
      </c>
      <c r="K32" s="15">
        <v>0.44945295404814</v>
      </c>
      <c r="L32" s="15">
        <v>0.467956989247312</v>
      </c>
      <c r="M32" s="15">
        <v>0.487631027253669</v>
      </c>
      <c r="N32" s="15">
        <v>0.504118616144975</v>
      </c>
      <c r="O32" s="15">
        <v>0.518951612903226</v>
      </c>
      <c r="P32" s="15">
        <v>0.540079365079365</v>
      </c>
      <c r="Q32" s="15">
        <v>0.555295037123877</v>
      </c>
      <c r="R32" s="15">
        <v>0.565250965250965</v>
      </c>
      <c r="S32" s="15">
        <v>0.572421784472769</v>
      </c>
      <c r="T32" s="15">
        <v>0.579195164596498</v>
      </c>
      <c r="U32" s="15">
        <v>0.586048693099525</v>
      </c>
      <c r="V32" s="15">
        <v>0.592983318365462</v>
      </c>
      <c r="W32" s="15">
        <v>0.6</v>
      </c>
      <c r="X32" s="15">
        <v>0.604821834350393</v>
      </c>
      <c r="Y32" s="15">
        <v>0.609682418844957</v>
      </c>
      <c r="Z32" s="15">
        <v>0.614582064894986</v>
      </c>
      <c r="AA32" s="15">
        <v>0.619521086414397</v>
      </c>
      <c r="AB32" s="15">
        <v>0.62449979983984</v>
      </c>
      <c r="AC32" s="15">
        <v>0.629518524150976</v>
      </c>
      <c r="AD32" s="15">
        <v>0.634577580890909</v>
      </c>
      <c r="AE32" s="15">
        <v>0.639677294186791</v>
      </c>
      <c r="AF32" s="15">
        <v>0.644817990770585</v>
      </c>
      <c r="AG32" s="15">
        <v>0.65</v>
      </c>
      <c r="AH32" s="15">
        <v>0.65325</v>
      </c>
      <c r="AI32" s="15">
        <v>0.65651625</v>
      </c>
      <c r="AJ32" s="15">
        <v>0.65979883125</v>
      </c>
      <c r="AK32" s="15">
        <v>0.66309782540625</v>
      </c>
      <c r="AL32" s="15">
        <v>0.666413314533281</v>
      </c>
      <c r="AM32" s="15">
        <v>0.668928044757476</v>
      </c>
      <c r="AN32" s="15">
        <v>0.671452264390065</v>
      </c>
      <c r="AO32" s="15">
        <v>0.673986009239609</v>
      </c>
      <c r="AP32" s="15">
        <v>0.676529315249793</v>
      </c>
      <c r="AQ32" s="15">
        <v>0.67908221849994</v>
      </c>
      <c r="AR32" s="15">
        <v>0.681644755205514</v>
      </c>
      <c r="AS32" s="15">
        <v>0.684216961718645</v>
      </c>
      <c r="AT32" s="15">
        <v>0.686798874528634</v>
      </c>
      <c r="AU32" s="15">
        <v>0.689390530262479</v>
      </c>
      <c r="AV32" s="15">
        <v>0.691991965685388</v>
      </c>
      <c r="AW32" s="15">
        <v>0.694603217701305</v>
      </c>
      <c r="AX32" s="15">
        <v>0.697224323353433</v>
      </c>
      <c r="AY32" s="15">
        <v>0.699855319824758</v>
      </c>
      <c r="AZ32" s="15">
        <v>0.702496244438576</v>
      </c>
      <c r="BA32" s="15">
        <v>0.705147134659025</v>
      </c>
      <c r="BB32" s="15">
        <v>0.707808028091615</v>
      </c>
      <c r="BC32" s="15">
        <v>0.710478962483759</v>
      </c>
      <c r="BD32" s="15">
        <v>0.713159975725315</v>
      </c>
      <c r="BE32" s="15">
        <v>0.715851105849116</v>
      </c>
      <c r="BF32" s="15">
        <v>0.718552391031516</v>
      </c>
    </row>
    <row r="33" spans="1:58">
      <c r="A33" t="s">
        <v>91</v>
      </c>
      <c r="B33" t="s">
        <v>89</v>
      </c>
      <c r="C33" s="15">
        <v>0.435678516997916</v>
      </c>
      <c r="D33" s="15">
        <v>0.448623024482138</v>
      </c>
      <c r="E33" s="15">
        <v>0.460162738797328</v>
      </c>
      <c r="F33" s="15">
        <v>0.472982637673661</v>
      </c>
      <c r="G33" s="15">
        <v>0.483959137138241</v>
      </c>
      <c r="H33" s="15">
        <v>0.50333995576714</v>
      </c>
      <c r="I33" s="15">
        <v>0.51751096987831</v>
      </c>
      <c r="J33" s="15">
        <v>0.530178195056524</v>
      </c>
      <c r="K33" s="15">
        <v>0.544147813855351</v>
      </c>
      <c r="L33" s="15">
        <v>0.55682339157455</v>
      </c>
      <c r="M33" s="15">
        <v>0.572648211040066</v>
      </c>
      <c r="N33" s="15">
        <v>0.58774271058898</v>
      </c>
      <c r="O33" s="15">
        <v>0.601749905207506</v>
      </c>
      <c r="P33" s="15">
        <v>0.614368184733804</v>
      </c>
      <c r="Q33" s="15">
        <v>0.626554454742374</v>
      </c>
      <c r="R33" s="15">
        <v>0.638409224681412</v>
      </c>
      <c r="S33" s="15">
        <v>0.64652986908147</v>
      </c>
      <c r="T33" s="15">
        <v>0.654015013076684</v>
      </c>
      <c r="U33" s="15">
        <v>0.661625977337786</v>
      </c>
      <c r="V33" s="15">
        <v>0.669375570423566</v>
      </c>
      <c r="W33" s="15">
        <v>0.677275675046724</v>
      </c>
      <c r="X33" s="15">
        <v>0.683077498119713</v>
      </c>
      <c r="Y33" s="15">
        <v>0.688930660636503</v>
      </c>
      <c r="Z33" s="15">
        <v>0.694839590756937</v>
      </c>
      <c r="AA33" s="15">
        <v>0.700808229432627</v>
      </c>
      <c r="AB33" s="15">
        <v>0.706840071971866</v>
      </c>
      <c r="AC33" s="15">
        <v>0.712938202522592</v>
      </c>
      <c r="AD33" s="15">
        <v>0.719105325577187</v>
      </c>
      <c r="AE33" s="15">
        <v>0.725343794243185</v>
      </c>
      <c r="AF33" s="15">
        <v>0.731655638689413</v>
      </c>
      <c r="AG33" s="15">
        <v>0.738042592767108</v>
      </c>
      <c r="AH33" s="15">
        <v>0.741670563418214</v>
      </c>
      <c r="AI33" s="15">
        <v>0.745319986890949</v>
      </c>
      <c r="AJ33" s="15">
        <v>0.748991531519482</v>
      </c>
      <c r="AK33" s="15">
        <v>0.752685760044503</v>
      </c>
      <c r="AL33" s="15">
        <v>0.756403128229448</v>
      </c>
      <c r="AM33" s="15">
        <v>0.759216322725992</v>
      </c>
      <c r="AN33" s="15">
        <v>0.762045176161711</v>
      </c>
      <c r="AO33" s="15">
        <v>0.764889720268871</v>
      </c>
      <c r="AP33" s="15">
        <v>0.767749856830446</v>
      </c>
      <c r="AQ33" s="15">
        <v>0.770625353210848</v>
      </c>
      <c r="AR33" s="15">
        <v>0.773515832112169</v>
      </c>
      <c r="AS33" s="15">
        <v>0.776420765270219</v>
      </c>
      <c r="AT33" s="15">
        <v>0.779306263804878</v>
      </c>
      <c r="AU33" s="15">
        <v>0.78217954154809</v>
      </c>
      <c r="AV33" s="15">
        <v>0.785064585328255</v>
      </c>
      <c r="AW33" s="15">
        <v>0.787924172483538</v>
      </c>
      <c r="AX33" s="15">
        <v>0.790774864737567</v>
      </c>
      <c r="AY33" s="15">
        <v>0.793632994616819</v>
      </c>
      <c r="AZ33" s="15">
        <v>0.796496907500331</v>
      </c>
      <c r="BA33" s="15">
        <v>0.799364802400529</v>
      </c>
      <c r="BB33" s="15">
        <v>0.802234732287599</v>
      </c>
      <c r="BC33" s="15">
        <v>0.805079553442077</v>
      </c>
      <c r="BD33" s="15">
        <v>0.807914661831425</v>
      </c>
      <c r="BE33" s="15">
        <v>0.810745384976929</v>
      </c>
      <c r="BF33" s="15">
        <v>0.813569382155603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5"/>
  <sheetViews>
    <sheetView workbookViewId="0">
      <selection activeCell="I34" sqref="I34"/>
    </sheetView>
  </sheetViews>
  <sheetFormatPr defaultColWidth="8.79646017699115" defaultRowHeight="13.5"/>
  <cols>
    <col min="1" max="1" width="17.5221238938053" customWidth="1"/>
    <col min="2" max="2" width="11.7964601769912" customWidth="1"/>
    <col min="3" max="3" width="12.5221238938053" customWidth="1"/>
    <col min="4" max="4" width="10.7964601769912" customWidth="1"/>
    <col min="5" max="6" width="12.7964601769912" customWidth="1"/>
    <col min="7" max="7" width="14.7964601769912" customWidth="1"/>
    <col min="8" max="8" width="12.7964601769912" customWidth="1"/>
    <col min="9" max="9" width="14.7964601769912" customWidth="1"/>
    <col min="10" max="46" width="12.7964601769912" customWidth="1"/>
  </cols>
  <sheetData>
    <row r="1" spans="1:42">
      <c r="A1" s="12" t="s">
        <v>92</v>
      </c>
    </row>
    <row r="2" spans="1:42">
      <c r="A2" s="12" t="s">
        <v>93</v>
      </c>
      <c r="B2">
        <v>7.3</v>
      </c>
    </row>
    <row r="3" spans="1:42">
      <c r="A3" s="12" t="s">
        <v>94</v>
      </c>
      <c r="B3">
        <v>2.16</v>
      </c>
    </row>
    <row r="4" spans="1:42">
      <c r="A4" s="12" t="s">
        <v>95</v>
      </c>
      <c r="B4">
        <v>3.55</v>
      </c>
    </row>
    <row r="6" spans="1:42">
      <c r="B6">
        <v>2020</v>
      </c>
      <c r="C6">
        <v>2021</v>
      </c>
      <c r="D6">
        <v>2022</v>
      </c>
      <c r="E6">
        <v>2023</v>
      </c>
      <c r="F6">
        <v>2024</v>
      </c>
      <c r="G6">
        <v>2025</v>
      </c>
      <c r="H6">
        <v>2026</v>
      </c>
      <c r="I6">
        <v>2027</v>
      </c>
      <c r="J6">
        <v>2028</v>
      </c>
      <c r="K6">
        <v>2029</v>
      </c>
      <c r="L6">
        <v>2030</v>
      </c>
      <c r="M6">
        <v>2031</v>
      </c>
      <c r="N6">
        <v>2032</v>
      </c>
      <c r="O6">
        <v>2033</v>
      </c>
      <c r="P6">
        <v>2034</v>
      </c>
      <c r="Q6">
        <v>2035</v>
      </c>
      <c r="R6">
        <v>2036</v>
      </c>
      <c r="S6">
        <v>2037</v>
      </c>
      <c r="T6">
        <v>2038</v>
      </c>
      <c r="U6">
        <v>2039</v>
      </c>
      <c r="V6">
        <v>2040</v>
      </c>
      <c r="W6">
        <v>2041</v>
      </c>
      <c r="X6">
        <v>2042</v>
      </c>
      <c r="Y6">
        <v>2043</v>
      </c>
      <c r="Z6">
        <v>2044</v>
      </c>
      <c r="AA6">
        <v>2045</v>
      </c>
      <c r="AB6">
        <v>2046</v>
      </c>
      <c r="AC6">
        <v>2047</v>
      </c>
      <c r="AD6">
        <v>2048</v>
      </c>
      <c r="AE6">
        <v>2049</v>
      </c>
      <c r="AF6">
        <v>2050</v>
      </c>
      <c r="AG6">
        <v>2051</v>
      </c>
      <c r="AH6">
        <v>2052</v>
      </c>
      <c r="AI6">
        <v>2053</v>
      </c>
      <c r="AJ6">
        <v>2054</v>
      </c>
      <c r="AK6">
        <v>2055</v>
      </c>
      <c r="AL6">
        <v>2056</v>
      </c>
      <c r="AM6">
        <v>2057</v>
      </c>
      <c r="AN6">
        <v>2058</v>
      </c>
      <c r="AO6">
        <v>2059</v>
      </c>
      <c r="AP6">
        <v>2060</v>
      </c>
    </row>
    <row r="7" spans="1:42">
      <c r="A7" t="s">
        <v>96</v>
      </c>
      <c r="B7">
        <v>3231837.63483067</v>
      </c>
      <c r="C7">
        <v>3283735.81986648</v>
      </c>
      <c r="D7">
        <v>3336068.42297655</v>
      </c>
      <c r="E7">
        <v>3388814.98885114</v>
      </c>
      <c r="F7">
        <v>3441998.77319368</v>
      </c>
      <c r="G7">
        <v>3477919.10974365</v>
      </c>
      <c r="H7">
        <v>3513954.89495911</v>
      </c>
      <c r="I7">
        <v>3550120.72173502</v>
      </c>
      <c r="J7">
        <v>3586418.90445514</v>
      </c>
      <c r="K7">
        <v>3622833.65728369</v>
      </c>
      <c r="L7">
        <v>3657056.18259528</v>
      </c>
      <c r="M7">
        <v>3691327.56228967</v>
      </c>
      <c r="N7">
        <v>3725664.11666205</v>
      </c>
      <c r="O7">
        <v>3760063.59557136</v>
      </c>
      <c r="P7">
        <v>3794511.63059711</v>
      </c>
      <c r="Q7">
        <v>3811263.31402707</v>
      </c>
      <c r="R7">
        <v>3827953.51955752</v>
      </c>
      <c r="S7">
        <v>3844599.94812404</v>
      </c>
      <c r="T7">
        <v>3861192.34753347</v>
      </c>
      <c r="U7">
        <v>3877738.14809473</v>
      </c>
      <c r="V7">
        <v>3886240.50037991</v>
      </c>
      <c r="W7">
        <v>3894648.91510846</v>
      </c>
      <c r="X7">
        <v>3902978.15003354</v>
      </c>
      <c r="Y7">
        <v>3911221.80397422</v>
      </c>
      <c r="Z7">
        <v>3919362.45055203</v>
      </c>
      <c r="AA7">
        <v>3921458.37467273</v>
      </c>
      <c r="AB7">
        <v>3923392.4080833</v>
      </c>
      <c r="AC7">
        <v>3925169.25398748</v>
      </c>
      <c r="AD7">
        <v>3926783.05627895</v>
      </c>
      <c r="AE7">
        <v>3928244.22509739</v>
      </c>
      <c r="AF7">
        <v>3922277.7454791</v>
      </c>
      <c r="AG7">
        <v>3916052.06173397</v>
      </c>
      <c r="AH7">
        <v>3909608.50664084</v>
      </c>
      <c r="AI7">
        <v>3902917.16156411</v>
      </c>
      <c r="AJ7">
        <v>3895966.76306018</v>
      </c>
      <c r="AK7">
        <v>3883201.04068117</v>
      </c>
      <c r="AL7">
        <v>3870115.52113885</v>
      </c>
      <c r="AM7">
        <v>3856722.23444207</v>
      </c>
      <c r="AN7">
        <v>3843012.27920187</v>
      </c>
      <c r="AO7">
        <v>3828975.77682376</v>
      </c>
      <c r="AP7">
        <v>4727469.72963555</v>
      </c>
    </row>
    <row r="8" spans="1:42">
      <c r="A8" t="s">
        <v>97</v>
      </c>
      <c r="B8">
        <v>1891272.3193104</v>
      </c>
      <c r="C8">
        <v>1858388.43786495</v>
      </c>
      <c r="D8">
        <v>1825139.90939441</v>
      </c>
      <c r="E8">
        <v>1791499.49591119</v>
      </c>
      <c r="F8">
        <v>1757488.69360876</v>
      </c>
      <c r="G8">
        <v>1723083.46592878</v>
      </c>
      <c r="H8">
        <v>1694457.7954807</v>
      </c>
      <c r="I8">
        <v>1665725.85988796</v>
      </c>
      <c r="J8">
        <v>1636872.64725004</v>
      </c>
      <c r="K8">
        <v>1607895.29479486</v>
      </c>
      <c r="L8">
        <v>1578810.66098231</v>
      </c>
      <c r="M8">
        <v>1546288.37213363</v>
      </c>
      <c r="N8">
        <v>1513706.97443636</v>
      </c>
      <c r="O8">
        <v>1481049.21808937</v>
      </c>
      <c r="P8">
        <v>1448317.30427044</v>
      </c>
      <c r="Q8">
        <v>1415526.17686745</v>
      </c>
      <c r="R8">
        <v>1395233.64333162</v>
      </c>
      <c r="S8">
        <v>1374973.05554595</v>
      </c>
      <c r="T8">
        <v>1354725.78148448</v>
      </c>
      <c r="U8">
        <v>1334502.52636413</v>
      </c>
      <c r="V8">
        <v>1314295.43335901</v>
      </c>
      <c r="W8">
        <v>1297445.54842301</v>
      </c>
      <c r="X8">
        <v>1280640.99808093</v>
      </c>
      <c r="Y8">
        <v>1263865.99496737</v>
      </c>
      <c r="Z8">
        <v>1247127.25076179</v>
      </c>
      <c r="AA8">
        <v>1230442.7412479</v>
      </c>
      <c r="AB8">
        <v>1211705.24294111</v>
      </c>
      <c r="AC8">
        <v>1193050.17363373</v>
      </c>
      <c r="AD8">
        <v>1174472.00686871</v>
      </c>
      <c r="AE8">
        <v>1155976.99239404</v>
      </c>
      <c r="AF8">
        <v>1137553.6142959</v>
      </c>
      <c r="AG8">
        <v>1117243.10673525</v>
      </c>
      <c r="AH8">
        <v>1097076.99866936</v>
      </c>
      <c r="AI8">
        <v>1077012.0215318</v>
      </c>
      <c r="AJ8">
        <v>1057078.59829484</v>
      </c>
      <c r="AK8">
        <v>1037288.63844456</v>
      </c>
      <c r="AL8">
        <v>1016028.57533779</v>
      </c>
      <c r="AM8">
        <v>994944.870831486</v>
      </c>
      <c r="AN8">
        <v>974024.498037181</v>
      </c>
      <c r="AO8">
        <v>953276.176598506</v>
      </c>
      <c r="AP8">
        <v>932709.861409883</v>
      </c>
    </row>
    <row r="9" spans="1:42">
      <c r="A9" t="s">
        <v>98</v>
      </c>
      <c r="B9">
        <v>1332714.46765897</v>
      </c>
      <c r="C9">
        <v>1354115.74762955</v>
      </c>
      <c r="D9">
        <v>1375696.16879408</v>
      </c>
      <c r="E9">
        <v>1397447.29598649</v>
      </c>
      <c r="F9">
        <v>1419378.71917256</v>
      </c>
      <c r="G9">
        <v>1434191.20594089</v>
      </c>
      <c r="H9">
        <v>1449051.30033193</v>
      </c>
      <c r="I9">
        <v>1463965.02002492</v>
      </c>
      <c r="J9">
        <v>1478933.31940341</v>
      </c>
      <c r="K9">
        <v>1493949.68885459</v>
      </c>
      <c r="L9">
        <v>1508062.04837136</v>
      </c>
      <c r="M9">
        <v>1522194.55399389</v>
      </c>
      <c r="N9">
        <v>1536353.93573029</v>
      </c>
      <c r="O9">
        <v>1550539.26568879</v>
      </c>
      <c r="P9">
        <v>1564744.6187568</v>
      </c>
      <c r="Q9">
        <v>1571652.51865379</v>
      </c>
      <c r="R9">
        <v>1578535.06687927</v>
      </c>
      <c r="S9">
        <v>1585399.5627767</v>
      </c>
      <c r="T9">
        <v>1592241.77864417</v>
      </c>
      <c r="U9">
        <v>1599064.77852181</v>
      </c>
      <c r="V9">
        <v>1602570.89769607</v>
      </c>
      <c r="W9">
        <v>1606038.27979412</v>
      </c>
      <c r="X9">
        <v>1609473.01047785</v>
      </c>
      <c r="Y9">
        <v>1612872.45008914</v>
      </c>
      <c r="Z9">
        <v>1616229.41250378</v>
      </c>
      <c r="AA9">
        <v>1617093.70975952</v>
      </c>
      <c r="AB9">
        <v>1617891.24806387</v>
      </c>
      <c r="AC9">
        <v>1618623.96687925</v>
      </c>
      <c r="AD9">
        <v>1619289.45132024</v>
      </c>
      <c r="AE9">
        <v>1619891.99422123</v>
      </c>
      <c r="AF9">
        <v>1617431.59410008</v>
      </c>
      <c r="AG9">
        <v>1614864.30584624</v>
      </c>
      <c r="AH9">
        <v>1612207.17387797</v>
      </c>
      <c r="AI9">
        <v>1609447.86063285</v>
      </c>
      <c r="AJ9">
        <v>1606581.72139914</v>
      </c>
      <c r="AK9">
        <v>1601317.5142121</v>
      </c>
      <c r="AL9">
        <v>1595921.43211226</v>
      </c>
      <c r="AM9">
        <v>1590398.43592027</v>
      </c>
      <c r="AN9">
        <v>1584744.854966</v>
      </c>
      <c r="AO9">
        <v>1578956.61560861</v>
      </c>
      <c r="AP9">
        <v>1949469.00679781</v>
      </c>
    </row>
    <row r="11" spans="1:42">
      <c r="B11">
        <v>2020</v>
      </c>
      <c r="C11">
        <v>2021</v>
      </c>
      <c r="D11">
        <v>2022</v>
      </c>
      <c r="E11">
        <v>2023</v>
      </c>
      <c r="F11">
        <v>2024</v>
      </c>
      <c r="G11">
        <v>2025</v>
      </c>
      <c r="H11">
        <v>2026</v>
      </c>
      <c r="I11">
        <v>2027</v>
      </c>
      <c r="J11">
        <v>2028</v>
      </c>
      <c r="K11">
        <v>2029</v>
      </c>
      <c r="L11">
        <v>2030</v>
      </c>
      <c r="M11">
        <v>2031</v>
      </c>
      <c r="N11">
        <v>2032</v>
      </c>
      <c r="O11">
        <v>2033</v>
      </c>
      <c r="P11">
        <v>2034</v>
      </c>
      <c r="Q11">
        <v>2035</v>
      </c>
      <c r="R11">
        <v>2036</v>
      </c>
      <c r="S11">
        <v>2037</v>
      </c>
      <c r="T11">
        <v>2038</v>
      </c>
      <c r="U11">
        <v>2039</v>
      </c>
      <c r="V11">
        <v>2040</v>
      </c>
      <c r="W11">
        <v>2041</v>
      </c>
      <c r="X11">
        <v>2042</v>
      </c>
      <c r="Y11">
        <v>2043</v>
      </c>
      <c r="Z11">
        <v>2044</v>
      </c>
      <c r="AA11">
        <v>2045</v>
      </c>
      <c r="AB11">
        <v>2046</v>
      </c>
      <c r="AC11">
        <v>2047</v>
      </c>
      <c r="AD11">
        <v>2048</v>
      </c>
      <c r="AE11">
        <v>2049</v>
      </c>
      <c r="AF11">
        <v>2050</v>
      </c>
      <c r="AG11">
        <v>2051</v>
      </c>
      <c r="AH11">
        <v>2052</v>
      </c>
      <c r="AI11">
        <v>2053</v>
      </c>
      <c r="AJ11">
        <v>2054</v>
      </c>
      <c r="AK11">
        <v>2055</v>
      </c>
      <c r="AL11">
        <v>2056</v>
      </c>
      <c r="AM11">
        <v>2057</v>
      </c>
      <c r="AN11">
        <v>2058</v>
      </c>
      <c r="AO11">
        <v>2059</v>
      </c>
      <c r="AP11">
        <v>2060</v>
      </c>
    </row>
    <row r="12" spans="1:42">
      <c r="A12" s="12" t="s">
        <v>99</v>
      </c>
      <c r="B12">
        <f>B7/$B$2</f>
        <v>442717.484223379</v>
      </c>
      <c r="C12">
        <f t="shared" ref="C12:AP12" si="0">C7/$B$2</f>
        <v>449826.824639244</v>
      </c>
      <c r="D12">
        <f t="shared" si="0"/>
        <v>456995.674380349</v>
      </c>
      <c r="E12">
        <f t="shared" si="0"/>
        <v>464221.231349471</v>
      </c>
      <c r="F12">
        <f t="shared" si="0"/>
        <v>471506.681259408</v>
      </c>
      <c r="G12">
        <f t="shared" si="0"/>
        <v>476427.275307349</v>
      </c>
      <c r="H12">
        <f t="shared" si="0"/>
        <v>481363.684240974</v>
      </c>
      <c r="I12">
        <f t="shared" si="0"/>
        <v>486317.907086989</v>
      </c>
      <c r="J12">
        <f t="shared" si="0"/>
        <v>491290.260884266</v>
      </c>
      <c r="K12">
        <f t="shared" si="0"/>
        <v>496278.583189547</v>
      </c>
      <c r="L12">
        <f t="shared" si="0"/>
        <v>500966.600355518</v>
      </c>
      <c r="M12">
        <f t="shared" si="0"/>
        <v>505661.309902695</v>
      </c>
      <c r="N12">
        <f t="shared" si="0"/>
        <v>510364.947487952</v>
      </c>
      <c r="O12">
        <f t="shared" si="0"/>
        <v>515077.204872789</v>
      </c>
      <c r="P12">
        <f t="shared" si="0"/>
        <v>519796.113780426</v>
      </c>
      <c r="Q12">
        <f t="shared" si="0"/>
        <v>522090.864935215</v>
      </c>
      <c r="R12">
        <f t="shared" si="0"/>
        <v>524377.194459934</v>
      </c>
      <c r="S12">
        <f t="shared" si="0"/>
        <v>526657.527140279</v>
      </c>
      <c r="T12">
        <f t="shared" si="0"/>
        <v>528930.458566229</v>
      </c>
      <c r="U12">
        <f t="shared" si="0"/>
        <v>531197.006588319</v>
      </c>
      <c r="V12">
        <f t="shared" si="0"/>
        <v>532361.71238081</v>
      </c>
      <c r="W12">
        <f t="shared" si="0"/>
        <v>533513.550014858</v>
      </c>
      <c r="X12">
        <f t="shared" si="0"/>
        <v>534654.541100485</v>
      </c>
      <c r="Y12">
        <f t="shared" si="0"/>
        <v>535783.808763592</v>
      </c>
      <c r="Z12">
        <f t="shared" si="0"/>
        <v>536898.965829045</v>
      </c>
      <c r="AA12">
        <f t="shared" si="0"/>
        <v>537186.078722292</v>
      </c>
      <c r="AB12">
        <f t="shared" si="0"/>
        <v>537451.014805931</v>
      </c>
      <c r="AC12">
        <f t="shared" si="0"/>
        <v>537694.418354449</v>
      </c>
      <c r="AD12">
        <f t="shared" si="0"/>
        <v>537915.4871615</v>
      </c>
      <c r="AE12">
        <f t="shared" si="0"/>
        <v>538115.647273615</v>
      </c>
      <c r="AF12">
        <f t="shared" si="0"/>
        <v>537298.321298507</v>
      </c>
      <c r="AG12">
        <f t="shared" si="0"/>
        <v>536445.487908763</v>
      </c>
      <c r="AH12">
        <f t="shared" si="0"/>
        <v>535562.809128882</v>
      </c>
      <c r="AI12">
        <f t="shared" si="0"/>
        <v>534646.186515632</v>
      </c>
      <c r="AJ12">
        <f t="shared" si="0"/>
        <v>533694.077131532</v>
      </c>
      <c r="AK12">
        <f t="shared" si="0"/>
        <v>531945.348038516</v>
      </c>
      <c r="AL12">
        <f t="shared" si="0"/>
        <v>530152.811114911</v>
      </c>
      <c r="AM12">
        <f t="shared" si="0"/>
        <v>528318.114307133</v>
      </c>
      <c r="AN12">
        <f t="shared" si="0"/>
        <v>526440.038246832</v>
      </c>
      <c r="AO12">
        <f t="shared" si="0"/>
        <v>524517.229701885</v>
      </c>
      <c r="AP12">
        <f t="shared" si="0"/>
        <v>647598.59310076</v>
      </c>
    </row>
    <row r="13" spans="1:42">
      <c r="A13" s="12" t="s">
        <v>100</v>
      </c>
      <c r="B13">
        <f>B8/$B$3</f>
        <v>875589.036717778</v>
      </c>
      <c r="C13">
        <f t="shared" ref="C13:AP13" si="1">C8/$B$3</f>
        <v>860365.017530069</v>
      </c>
      <c r="D13">
        <f t="shared" si="1"/>
        <v>844972.18027519</v>
      </c>
      <c r="E13">
        <f t="shared" si="1"/>
        <v>829397.914773699</v>
      </c>
      <c r="F13">
        <f t="shared" si="1"/>
        <v>813652.172967018</v>
      </c>
      <c r="G13">
        <f t="shared" si="1"/>
        <v>797723.82681888</v>
      </c>
      <c r="H13">
        <f t="shared" si="1"/>
        <v>784471.201611435</v>
      </c>
      <c r="I13">
        <f t="shared" si="1"/>
        <v>771169.379577759</v>
      </c>
      <c r="J13">
        <f t="shared" si="1"/>
        <v>757811.410763907</v>
      </c>
      <c r="K13">
        <f t="shared" si="1"/>
        <v>744395.969812435</v>
      </c>
      <c r="L13">
        <f t="shared" si="1"/>
        <v>730930.861565884</v>
      </c>
      <c r="M13">
        <f t="shared" si="1"/>
        <v>715874.246358162</v>
      </c>
      <c r="N13">
        <f t="shared" si="1"/>
        <v>700790.265942759</v>
      </c>
      <c r="O13">
        <f t="shared" si="1"/>
        <v>685670.934300634</v>
      </c>
      <c r="P13">
        <f t="shared" si="1"/>
        <v>670517.270495574</v>
      </c>
      <c r="Q13">
        <f t="shared" si="1"/>
        <v>655336.19299419</v>
      </c>
      <c r="R13">
        <f t="shared" si="1"/>
        <v>645941.501542417</v>
      </c>
      <c r="S13">
        <f t="shared" si="1"/>
        <v>636561.599789792</v>
      </c>
      <c r="T13">
        <f t="shared" si="1"/>
        <v>627187.86179837</v>
      </c>
      <c r="U13">
        <f t="shared" si="1"/>
        <v>617825.243687097</v>
      </c>
      <c r="V13">
        <f t="shared" si="1"/>
        <v>608470.108036579</v>
      </c>
      <c r="W13">
        <f t="shared" si="1"/>
        <v>600669.235381023</v>
      </c>
      <c r="X13">
        <f t="shared" si="1"/>
        <v>592889.350963393</v>
      </c>
      <c r="Y13">
        <f t="shared" si="1"/>
        <v>585123.145818227</v>
      </c>
      <c r="Z13">
        <f t="shared" si="1"/>
        <v>577373.727204532</v>
      </c>
      <c r="AA13">
        <f t="shared" si="1"/>
        <v>569649.417244398</v>
      </c>
      <c r="AB13">
        <f t="shared" si="1"/>
        <v>560974.649509773</v>
      </c>
      <c r="AC13">
        <f t="shared" si="1"/>
        <v>552338.043348949</v>
      </c>
      <c r="AD13">
        <f t="shared" si="1"/>
        <v>543737.040216995</v>
      </c>
      <c r="AE13">
        <f t="shared" si="1"/>
        <v>535174.533515759</v>
      </c>
      <c r="AF13">
        <f t="shared" si="1"/>
        <v>526645.191803657</v>
      </c>
      <c r="AG13">
        <f t="shared" si="1"/>
        <v>517242.179044097</v>
      </c>
      <c r="AH13">
        <f t="shared" si="1"/>
        <v>507906.017902481</v>
      </c>
      <c r="AI13">
        <f t="shared" si="1"/>
        <v>498616.676635093</v>
      </c>
      <c r="AJ13">
        <f t="shared" si="1"/>
        <v>489388.239951315</v>
      </c>
      <c r="AK13">
        <f t="shared" si="1"/>
        <v>480226.221502111</v>
      </c>
      <c r="AL13">
        <f t="shared" si="1"/>
        <v>470383.599693421</v>
      </c>
      <c r="AM13">
        <f t="shared" si="1"/>
        <v>460622.625384947</v>
      </c>
      <c r="AN13">
        <f t="shared" si="1"/>
        <v>450937.267609806</v>
      </c>
      <c r="AO13">
        <f t="shared" si="1"/>
        <v>441331.563240049</v>
      </c>
      <c r="AP13">
        <f t="shared" si="1"/>
        <v>431810.121023094</v>
      </c>
    </row>
    <row r="14" spans="1:42">
      <c r="A14" s="12" t="s">
        <v>101</v>
      </c>
      <c r="B14">
        <f>B9/$B$4</f>
        <v>375412.526101118</v>
      </c>
      <c r="C14">
        <f t="shared" ref="C14:AP14" si="2">C9/$B$4</f>
        <v>381441.055670296</v>
      </c>
      <c r="D14">
        <f t="shared" si="2"/>
        <v>387520.047547628</v>
      </c>
      <c r="E14">
        <f t="shared" si="2"/>
        <v>393647.125629997</v>
      </c>
      <c r="F14">
        <f t="shared" si="2"/>
        <v>399824.991316214</v>
      </c>
      <c r="G14">
        <f t="shared" si="2"/>
        <v>403997.522800251</v>
      </c>
      <c r="H14">
        <f t="shared" si="2"/>
        <v>408183.464882234</v>
      </c>
      <c r="I14">
        <f t="shared" si="2"/>
        <v>412384.512683076</v>
      </c>
      <c r="J14">
        <f t="shared" si="2"/>
        <v>416600.935043214</v>
      </c>
      <c r="K14">
        <f t="shared" si="2"/>
        <v>420830.898268899</v>
      </c>
      <c r="L14">
        <f t="shared" si="2"/>
        <v>424806.210808834</v>
      </c>
      <c r="M14">
        <f t="shared" si="2"/>
        <v>428787.198308138</v>
      </c>
      <c r="N14">
        <f t="shared" si="2"/>
        <v>432775.756543744</v>
      </c>
      <c r="O14">
        <f t="shared" si="2"/>
        <v>436771.624137687</v>
      </c>
      <c r="P14">
        <f t="shared" si="2"/>
        <v>440773.132044169</v>
      </c>
      <c r="Q14">
        <f t="shared" si="2"/>
        <v>442719.019339096</v>
      </c>
      <c r="R14">
        <f t="shared" si="2"/>
        <v>444657.765318104</v>
      </c>
      <c r="S14">
        <f t="shared" si="2"/>
        <v>446591.426134282</v>
      </c>
      <c r="T14">
        <f t="shared" si="2"/>
        <v>448518.810885682</v>
      </c>
      <c r="U14">
        <f t="shared" si="2"/>
        <v>450440.7826822</v>
      </c>
      <c r="V14">
        <f t="shared" si="2"/>
        <v>451428.421886217</v>
      </c>
      <c r="W14">
        <f t="shared" si="2"/>
        <v>452405.14923778</v>
      </c>
      <c r="X14">
        <f t="shared" si="2"/>
        <v>453372.679007845</v>
      </c>
      <c r="Y14">
        <f t="shared" si="2"/>
        <v>454330.267630744</v>
      </c>
      <c r="Z14">
        <f t="shared" si="2"/>
        <v>455275.890846135</v>
      </c>
      <c r="AA14">
        <f t="shared" si="2"/>
        <v>455519.354861837</v>
      </c>
      <c r="AB14">
        <f t="shared" si="2"/>
        <v>455744.013539118</v>
      </c>
      <c r="AC14">
        <f t="shared" si="2"/>
        <v>455950.413205423</v>
      </c>
      <c r="AD14">
        <f t="shared" si="2"/>
        <v>456137.873611335</v>
      </c>
      <c r="AE14">
        <f t="shared" si="2"/>
        <v>456307.60400598</v>
      </c>
      <c r="AF14">
        <f t="shared" si="2"/>
        <v>455614.533549318</v>
      </c>
      <c r="AG14">
        <f t="shared" si="2"/>
        <v>454891.353759504</v>
      </c>
      <c r="AH14">
        <f t="shared" si="2"/>
        <v>454142.865881118</v>
      </c>
      <c r="AI14">
        <f t="shared" si="2"/>
        <v>453365.594544465</v>
      </c>
      <c r="AJ14">
        <f t="shared" si="2"/>
        <v>452558.231380039</v>
      </c>
      <c r="AK14">
        <f t="shared" si="2"/>
        <v>451075.356116085</v>
      </c>
      <c r="AL14">
        <f t="shared" si="2"/>
        <v>449555.332989369</v>
      </c>
      <c r="AM14">
        <f t="shared" si="2"/>
        <v>447999.559414161</v>
      </c>
      <c r="AN14">
        <f t="shared" si="2"/>
        <v>446407.001398873</v>
      </c>
      <c r="AO14">
        <f t="shared" si="2"/>
        <v>444776.511439045</v>
      </c>
      <c r="AP14">
        <f t="shared" si="2"/>
        <v>549146.199097975</v>
      </c>
    </row>
    <row r="20" spans="1:42">
      <c r="A20" s="12" t="s">
        <v>102</v>
      </c>
      <c r="B20" s="14">
        <v>2020</v>
      </c>
      <c r="C20" s="14">
        <v>2021</v>
      </c>
      <c r="D20" s="14">
        <v>2022</v>
      </c>
      <c r="E20" s="14">
        <v>2023</v>
      </c>
      <c r="F20" s="14">
        <v>2024</v>
      </c>
      <c r="G20" s="14">
        <v>2025</v>
      </c>
      <c r="H20" s="14">
        <v>2026</v>
      </c>
      <c r="I20" s="14">
        <v>2027</v>
      </c>
      <c r="J20" s="14">
        <v>2028</v>
      </c>
      <c r="K20" s="14">
        <v>2029</v>
      </c>
      <c r="L20" s="14">
        <v>2030</v>
      </c>
      <c r="M20" s="14">
        <v>2031</v>
      </c>
      <c r="N20" s="14">
        <v>2032</v>
      </c>
      <c r="O20" s="14">
        <v>2033</v>
      </c>
      <c r="P20" s="14">
        <v>2034</v>
      </c>
      <c r="Q20" s="14">
        <v>2035</v>
      </c>
      <c r="R20" s="14">
        <v>2036</v>
      </c>
      <c r="S20" s="14">
        <v>2037</v>
      </c>
      <c r="T20" s="14">
        <v>2038</v>
      </c>
      <c r="U20" s="14">
        <v>2039</v>
      </c>
      <c r="V20" s="14">
        <v>2040</v>
      </c>
      <c r="W20" s="14">
        <v>2041</v>
      </c>
      <c r="X20" s="14">
        <v>2042</v>
      </c>
      <c r="Y20" s="14">
        <v>2043</v>
      </c>
      <c r="Z20" s="14">
        <v>2044</v>
      </c>
      <c r="AA20" s="14">
        <v>2045</v>
      </c>
      <c r="AB20" s="14">
        <v>2046</v>
      </c>
      <c r="AC20" s="14">
        <v>2047</v>
      </c>
      <c r="AD20" s="14">
        <v>2048</v>
      </c>
      <c r="AE20" s="14">
        <v>2049</v>
      </c>
      <c r="AF20" s="14">
        <v>2050</v>
      </c>
      <c r="AG20" s="14">
        <v>2051</v>
      </c>
      <c r="AH20" s="14">
        <v>2052</v>
      </c>
      <c r="AI20" s="14">
        <v>2053</v>
      </c>
      <c r="AJ20" s="14">
        <v>2054</v>
      </c>
      <c r="AK20" s="14">
        <v>2055</v>
      </c>
      <c r="AL20" s="14">
        <v>2056</v>
      </c>
      <c r="AM20" s="14">
        <v>2057</v>
      </c>
      <c r="AN20" s="14">
        <v>2058</v>
      </c>
      <c r="AO20" s="14">
        <v>2059</v>
      </c>
      <c r="AP20" s="14">
        <v>2060</v>
      </c>
    </row>
    <row r="21" spans="1:42">
      <c r="A21" s="4" t="s">
        <v>103</v>
      </c>
      <c r="B21">
        <f>B14*10^4*100*0.6/10^6</f>
        <v>225247.515660671</v>
      </c>
      <c r="C21">
        <f t="shared" ref="C21:AP21" si="3">C14*10^4*100*0.6/10^6</f>
        <v>228864.633402177</v>
      </c>
      <c r="D21">
        <f t="shared" si="3"/>
        <v>232512.028528577</v>
      </c>
      <c r="E21">
        <f t="shared" si="3"/>
        <v>236188.275377998</v>
      </c>
      <c r="F21">
        <f t="shared" si="3"/>
        <v>239894.994789728</v>
      </c>
      <c r="G21">
        <f t="shared" si="3"/>
        <v>242398.51368015</v>
      </c>
      <c r="H21">
        <f t="shared" si="3"/>
        <v>244910.07892934</v>
      </c>
      <c r="I21">
        <f t="shared" si="3"/>
        <v>247430.707609846</v>
      </c>
      <c r="J21">
        <f t="shared" si="3"/>
        <v>249960.561025928</v>
      </c>
      <c r="K21">
        <f t="shared" si="3"/>
        <v>252498.538961339</v>
      </c>
      <c r="L21">
        <f t="shared" si="3"/>
        <v>254883.7264853</v>
      </c>
      <c r="M21">
        <f t="shared" si="3"/>
        <v>257272.318984883</v>
      </c>
      <c r="N21">
        <f t="shared" si="3"/>
        <v>259665.453926246</v>
      </c>
      <c r="O21">
        <f t="shared" si="3"/>
        <v>262062.974482612</v>
      </c>
      <c r="P21">
        <f t="shared" si="3"/>
        <v>264463.879226501</v>
      </c>
      <c r="Q21">
        <f t="shared" si="3"/>
        <v>265631.411603457</v>
      </c>
      <c r="R21">
        <f t="shared" si="3"/>
        <v>266794.659190863</v>
      </c>
      <c r="S21">
        <f t="shared" si="3"/>
        <v>267954.855680569</v>
      </c>
      <c r="T21">
        <f t="shared" si="3"/>
        <v>269111.286531409</v>
      </c>
      <c r="U21">
        <f t="shared" si="3"/>
        <v>270264.46960932</v>
      </c>
      <c r="V21">
        <f t="shared" si="3"/>
        <v>270857.05313173</v>
      </c>
      <c r="W21">
        <f t="shared" si="3"/>
        <v>271443.089542668</v>
      </c>
      <c r="X21">
        <f t="shared" si="3"/>
        <v>272023.607404707</v>
      </c>
      <c r="Y21">
        <f t="shared" si="3"/>
        <v>272598.160578446</v>
      </c>
      <c r="Z21">
        <f t="shared" si="3"/>
        <v>273165.534507681</v>
      </c>
      <c r="AA21">
        <f t="shared" si="3"/>
        <v>273311.612917102</v>
      </c>
      <c r="AB21">
        <f t="shared" si="3"/>
        <v>273446.408123471</v>
      </c>
      <c r="AC21">
        <f t="shared" si="3"/>
        <v>273570.247923254</v>
      </c>
      <c r="AD21">
        <f t="shared" si="3"/>
        <v>273682.724166801</v>
      </c>
      <c r="AE21">
        <f t="shared" si="3"/>
        <v>273784.562403588</v>
      </c>
      <c r="AF21">
        <f t="shared" si="3"/>
        <v>273368.720129591</v>
      </c>
      <c r="AG21">
        <f t="shared" si="3"/>
        <v>272934.812255703</v>
      </c>
      <c r="AH21">
        <f t="shared" si="3"/>
        <v>272485.719528671</v>
      </c>
      <c r="AI21">
        <f t="shared" si="3"/>
        <v>272019.356726679</v>
      </c>
      <c r="AJ21">
        <f t="shared" si="3"/>
        <v>271534.938828024</v>
      </c>
      <c r="AK21">
        <f t="shared" si="3"/>
        <v>270645.213669651</v>
      </c>
      <c r="AL21">
        <f t="shared" si="3"/>
        <v>269733.199793621</v>
      </c>
      <c r="AM21">
        <f t="shared" si="3"/>
        <v>268799.735648496</v>
      </c>
      <c r="AN21">
        <f t="shared" si="3"/>
        <v>267844.200839324</v>
      </c>
      <c r="AO21">
        <f t="shared" si="3"/>
        <v>266865.906863427</v>
      </c>
      <c r="AP21">
        <f t="shared" si="3"/>
        <v>329487.719458785</v>
      </c>
    </row>
    <row r="22" spans="1:42">
      <c r="A22" s="4" t="s">
        <v>104</v>
      </c>
      <c r="B22">
        <f>B12*10^4*100*0.6/10^6</f>
        <v>265630.490534028</v>
      </c>
      <c r="C22">
        <f t="shared" ref="C22:AP22" si="4">C12*10^4*100*0.6/10^6</f>
        <v>269896.094783546</v>
      </c>
      <c r="D22">
        <f t="shared" si="4"/>
        <v>274197.40462821</v>
      </c>
      <c r="E22">
        <f t="shared" si="4"/>
        <v>278532.738809683</v>
      </c>
      <c r="F22">
        <f t="shared" si="4"/>
        <v>282904.008755645</v>
      </c>
      <c r="G22">
        <f t="shared" si="4"/>
        <v>285856.36518441</v>
      </c>
      <c r="H22">
        <f t="shared" si="4"/>
        <v>288818.210544584</v>
      </c>
      <c r="I22">
        <f t="shared" si="4"/>
        <v>291790.744252193</v>
      </c>
      <c r="J22">
        <f t="shared" si="4"/>
        <v>294774.156530559</v>
      </c>
      <c r="K22">
        <f t="shared" si="4"/>
        <v>297767.149913728</v>
      </c>
      <c r="L22">
        <f t="shared" si="4"/>
        <v>300579.960213311</v>
      </c>
      <c r="M22">
        <f t="shared" si="4"/>
        <v>303396.785941617</v>
      </c>
      <c r="N22">
        <f t="shared" si="4"/>
        <v>306218.968492771</v>
      </c>
      <c r="O22">
        <f t="shared" si="4"/>
        <v>309046.322923673</v>
      </c>
      <c r="P22">
        <f t="shared" si="4"/>
        <v>311877.668268256</v>
      </c>
      <c r="Q22">
        <f t="shared" si="4"/>
        <v>313254.518961129</v>
      </c>
      <c r="R22">
        <f t="shared" si="4"/>
        <v>314626.31667596</v>
      </c>
      <c r="S22">
        <f t="shared" si="4"/>
        <v>315994.516284168</v>
      </c>
      <c r="T22">
        <f t="shared" si="4"/>
        <v>317358.275139737</v>
      </c>
      <c r="U22">
        <f t="shared" si="4"/>
        <v>318718.203952992</v>
      </c>
      <c r="V22">
        <f t="shared" si="4"/>
        <v>319417.027428486</v>
      </c>
      <c r="W22">
        <f t="shared" si="4"/>
        <v>320108.130008915</v>
      </c>
      <c r="X22">
        <f t="shared" si="4"/>
        <v>320792.724660291</v>
      </c>
      <c r="Y22">
        <f t="shared" si="4"/>
        <v>321470.285258155</v>
      </c>
      <c r="Z22">
        <f t="shared" si="4"/>
        <v>322139.379497427</v>
      </c>
      <c r="AA22">
        <f t="shared" si="4"/>
        <v>322311.647233375</v>
      </c>
      <c r="AB22">
        <f t="shared" si="4"/>
        <v>322470.608883559</v>
      </c>
      <c r="AC22">
        <f t="shared" si="4"/>
        <v>322616.65101267</v>
      </c>
      <c r="AD22">
        <f t="shared" si="4"/>
        <v>322749.2922969</v>
      </c>
      <c r="AE22">
        <f t="shared" si="4"/>
        <v>322869.388364169</v>
      </c>
      <c r="AF22">
        <f t="shared" si="4"/>
        <v>322378.992779104</v>
      </c>
      <c r="AG22">
        <f t="shared" si="4"/>
        <v>321867.292745258</v>
      </c>
      <c r="AH22">
        <f t="shared" si="4"/>
        <v>321337.685477329</v>
      </c>
      <c r="AI22">
        <f t="shared" si="4"/>
        <v>320787.711909379</v>
      </c>
      <c r="AJ22">
        <f t="shared" si="4"/>
        <v>320216.446278919</v>
      </c>
      <c r="AK22">
        <f t="shared" si="4"/>
        <v>319167.20882311</v>
      </c>
      <c r="AL22">
        <f t="shared" si="4"/>
        <v>318091.686668947</v>
      </c>
      <c r="AM22">
        <f t="shared" si="4"/>
        <v>316990.86858428</v>
      </c>
      <c r="AN22">
        <f t="shared" si="4"/>
        <v>315864.022948099</v>
      </c>
      <c r="AO22">
        <f t="shared" si="4"/>
        <v>314710.337821131</v>
      </c>
      <c r="AP22">
        <f t="shared" si="4"/>
        <v>388559.155860456</v>
      </c>
    </row>
    <row r="23" spans="1:42">
      <c r="A23" s="4" t="s">
        <v>105</v>
      </c>
      <c r="B23">
        <f>B13*10^4*100*0.6/10^6</f>
        <v>525353.422030666</v>
      </c>
      <c r="C23">
        <f t="shared" ref="C23:AP23" si="5">C13*10^4*100*0.6/10^6</f>
        <v>516219.010518042</v>
      </c>
      <c r="D23">
        <f t="shared" si="5"/>
        <v>506983.308165114</v>
      </c>
      <c r="E23">
        <f t="shared" si="5"/>
        <v>497638.748864219</v>
      </c>
      <c r="F23">
        <f t="shared" si="5"/>
        <v>488191.303780211</v>
      </c>
      <c r="G23">
        <f t="shared" si="5"/>
        <v>478634.296091328</v>
      </c>
      <c r="H23">
        <f t="shared" si="5"/>
        <v>470682.720966861</v>
      </c>
      <c r="I23">
        <f t="shared" si="5"/>
        <v>462701.627746655</v>
      </c>
      <c r="J23">
        <f t="shared" si="5"/>
        <v>454686.846458344</v>
      </c>
      <c r="K23">
        <f t="shared" si="5"/>
        <v>446637.581887461</v>
      </c>
      <c r="L23">
        <f t="shared" si="5"/>
        <v>438558.51693953</v>
      </c>
      <c r="M23">
        <f t="shared" si="5"/>
        <v>429524.547814897</v>
      </c>
      <c r="N23">
        <f t="shared" si="5"/>
        <v>420474.159565656</v>
      </c>
      <c r="O23">
        <f t="shared" si="5"/>
        <v>411402.56058038</v>
      </c>
      <c r="P23">
        <f t="shared" si="5"/>
        <v>402310.362297344</v>
      </c>
      <c r="Q23">
        <f t="shared" si="5"/>
        <v>393201.715796514</v>
      </c>
      <c r="R23">
        <f t="shared" si="5"/>
        <v>387564.90092545</v>
      </c>
      <c r="S23">
        <f t="shared" si="5"/>
        <v>381936.959873875</v>
      </c>
      <c r="T23">
        <f t="shared" si="5"/>
        <v>376312.717079022</v>
      </c>
      <c r="U23">
        <f t="shared" si="5"/>
        <v>370695.146212258</v>
      </c>
      <c r="V23">
        <f t="shared" si="5"/>
        <v>365082.064821947</v>
      </c>
      <c r="W23">
        <f t="shared" si="5"/>
        <v>360401.541228614</v>
      </c>
      <c r="X23">
        <f t="shared" si="5"/>
        <v>355733.610578036</v>
      </c>
      <c r="Y23">
        <f t="shared" si="5"/>
        <v>351073.887490936</v>
      </c>
      <c r="Z23">
        <f t="shared" si="5"/>
        <v>346424.236322719</v>
      </c>
      <c r="AA23">
        <f t="shared" si="5"/>
        <v>341789.650346639</v>
      </c>
      <c r="AB23">
        <f t="shared" si="5"/>
        <v>336584.789705864</v>
      </c>
      <c r="AC23">
        <f t="shared" si="5"/>
        <v>331402.826009369</v>
      </c>
      <c r="AD23">
        <f t="shared" si="5"/>
        <v>326242.224130197</v>
      </c>
      <c r="AE23">
        <f t="shared" si="5"/>
        <v>321104.720109456</v>
      </c>
      <c r="AF23">
        <f t="shared" si="5"/>
        <v>315987.115082194</v>
      </c>
      <c r="AG23">
        <f t="shared" si="5"/>
        <v>310345.307426458</v>
      </c>
      <c r="AH23">
        <f t="shared" si="5"/>
        <v>304743.610741489</v>
      </c>
      <c r="AI23">
        <f t="shared" si="5"/>
        <v>299170.005981055</v>
      </c>
      <c r="AJ23">
        <f t="shared" si="5"/>
        <v>293632.943970789</v>
      </c>
      <c r="AK23">
        <f t="shared" si="5"/>
        <v>288135.732901267</v>
      </c>
      <c r="AL23">
        <f t="shared" si="5"/>
        <v>282230.159816053</v>
      </c>
      <c r="AM23">
        <f t="shared" si="5"/>
        <v>276373.575230968</v>
      </c>
      <c r="AN23">
        <f t="shared" si="5"/>
        <v>270562.360565884</v>
      </c>
      <c r="AO23">
        <f t="shared" si="5"/>
        <v>264798.937944029</v>
      </c>
      <c r="AP23">
        <f t="shared" si="5"/>
        <v>259086.072613856</v>
      </c>
    </row>
    <row r="25" spans="1:42">
      <c r="A25" s="4" t="s">
        <v>106</v>
      </c>
      <c r="B25">
        <f t="shared" ref="B25:F25" si="6">B22+B23</f>
        <v>790983.912564694</v>
      </c>
      <c r="C25">
        <f t="shared" si="6"/>
        <v>786115.105301588</v>
      </c>
      <c r="D25">
        <f t="shared" si="6"/>
        <v>781180.712793323</v>
      </c>
      <c r="E25">
        <f t="shared" si="6"/>
        <v>776171.487673902</v>
      </c>
      <c r="F25">
        <f t="shared" si="6"/>
        <v>771095.312535856</v>
      </c>
      <c r="G25">
        <f t="shared" ref="G25:AP25" si="7">G22+G23</f>
        <v>764490.661275737</v>
      </c>
      <c r="H25">
        <f t="shared" si="7"/>
        <v>759500.931511445</v>
      </c>
      <c r="I25">
        <f t="shared" si="7"/>
        <v>754492.371998849</v>
      </c>
      <c r="J25">
        <f t="shared" si="7"/>
        <v>749461.002988904</v>
      </c>
      <c r="K25">
        <f t="shared" si="7"/>
        <v>744404.731801189</v>
      </c>
      <c r="L25">
        <f t="shared" si="7"/>
        <v>739138.477152841</v>
      </c>
      <c r="M25">
        <f t="shared" si="7"/>
        <v>732921.333756514</v>
      </c>
      <c r="N25">
        <f t="shared" si="7"/>
        <v>726693.128058427</v>
      </c>
      <c r="O25">
        <f t="shared" si="7"/>
        <v>720448.883504054</v>
      </c>
      <c r="P25">
        <f t="shared" si="7"/>
        <v>714188.0305656</v>
      </c>
      <c r="Q25">
        <f t="shared" si="7"/>
        <v>706456.234757643</v>
      </c>
      <c r="R25">
        <f t="shared" si="7"/>
        <v>702191.21760141</v>
      </c>
      <c r="S25">
        <f t="shared" si="7"/>
        <v>697931.476158043</v>
      </c>
      <c r="T25">
        <f t="shared" si="7"/>
        <v>693670.992218759</v>
      </c>
      <c r="U25">
        <f t="shared" si="7"/>
        <v>689413.35016525</v>
      </c>
      <c r="V25">
        <f t="shared" si="7"/>
        <v>684499.092250433</v>
      </c>
      <c r="W25">
        <f t="shared" si="7"/>
        <v>680509.671237528</v>
      </c>
      <c r="X25">
        <f t="shared" si="7"/>
        <v>676526.335238327</v>
      </c>
      <c r="Y25">
        <f t="shared" si="7"/>
        <v>672544.172749091</v>
      </c>
      <c r="Z25">
        <f t="shared" si="7"/>
        <v>668563.615820147</v>
      </c>
      <c r="AA25">
        <f t="shared" si="7"/>
        <v>664101.297580014</v>
      </c>
      <c r="AB25">
        <f t="shared" si="7"/>
        <v>659055.398589423</v>
      </c>
      <c r="AC25">
        <f t="shared" si="7"/>
        <v>654019.477022039</v>
      </c>
      <c r="AD25">
        <f t="shared" si="7"/>
        <v>648991.516427097</v>
      </c>
      <c r="AE25">
        <f t="shared" si="7"/>
        <v>643974.108473625</v>
      </c>
      <c r="AF25">
        <f t="shared" si="7"/>
        <v>638366.107861298</v>
      </c>
      <c r="AG25">
        <f t="shared" si="7"/>
        <v>632212.600171716</v>
      </c>
      <c r="AH25">
        <f t="shared" si="7"/>
        <v>626081.296218818</v>
      </c>
      <c r="AI25">
        <f t="shared" si="7"/>
        <v>619957.717890434</v>
      </c>
      <c r="AJ25">
        <f t="shared" si="7"/>
        <v>613849.390249708</v>
      </c>
      <c r="AK25">
        <f t="shared" si="7"/>
        <v>607302.941724377</v>
      </c>
      <c r="AL25">
        <f t="shared" si="7"/>
        <v>600321.846484999</v>
      </c>
      <c r="AM25">
        <f t="shared" si="7"/>
        <v>593364.443815248</v>
      </c>
      <c r="AN25">
        <f t="shared" si="7"/>
        <v>586426.383513983</v>
      </c>
      <c r="AO25">
        <f t="shared" si="7"/>
        <v>579509.27576516</v>
      </c>
      <c r="AP25">
        <f t="shared" si="7"/>
        <v>647645.228474312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1"/>
  <sheetViews>
    <sheetView topLeftCell="B1" workbookViewId="0">
      <selection activeCell="J12" sqref="J12"/>
    </sheetView>
  </sheetViews>
  <sheetFormatPr defaultColWidth="9" defaultRowHeight="13.5"/>
  <cols>
    <col min="1" max="1" width="39.2035398230088" style="12" customWidth="1"/>
    <col min="2" max="43" width="12.7964601769912" style="12"/>
    <col min="44" max="16382" width="9" style="12"/>
  </cols>
  <sheetData>
    <row r="1" s="12" customFormat="1" spans="1:43">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12" customFormat="1" spans="1:43">
      <c r="A2" s="12" t="s">
        <v>107</v>
      </c>
      <c r="B2" s="12">
        <v>0.0994332488610206</v>
      </c>
      <c r="C2" s="12">
        <v>0.0990308106875101</v>
      </c>
      <c r="D2" s="12">
        <v>0.09821930210397</v>
      </c>
      <c r="E2" s="13">
        <v>0.104073782445382</v>
      </c>
      <c r="F2" s="13">
        <v>0.0934102739672189</v>
      </c>
      <c r="G2" s="13">
        <v>0.105449991849099</v>
      </c>
      <c r="H2" s="13">
        <v>0.110449991849099</v>
      </c>
      <c r="I2" s="13">
        <v>0.115449991849099</v>
      </c>
      <c r="J2" s="13">
        <v>0.115449991849099</v>
      </c>
      <c r="K2" s="13">
        <v>0.115449991849099</v>
      </c>
      <c r="L2" s="13">
        <v>0.115449991849099</v>
      </c>
      <c r="M2" s="13">
        <v>0.115449991849099</v>
      </c>
      <c r="N2" s="13">
        <v>0.115449991849099</v>
      </c>
      <c r="O2" s="13">
        <v>0.115449991849099</v>
      </c>
      <c r="P2" s="13">
        <v>0.115449991849099</v>
      </c>
      <c r="Q2" s="13">
        <v>0.115449991849099</v>
      </c>
      <c r="R2" s="13">
        <v>0.115449991849099</v>
      </c>
      <c r="S2" s="13">
        <v>0.115449991849099</v>
      </c>
      <c r="T2" s="13">
        <v>0.115449991849099</v>
      </c>
      <c r="U2" s="13">
        <v>0.115449991849099</v>
      </c>
      <c r="V2" s="13">
        <v>0.115449991849099</v>
      </c>
      <c r="W2" s="13">
        <v>0.115449991849099</v>
      </c>
      <c r="X2" s="13">
        <v>0.115449991849099</v>
      </c>
      <c r="Y2" s="13">
        <v>0.115449991849099</v>
      </c>
      <c r="Z2" s="13">
        <v>0.115449991849099</v>
      </c>
      <c r="AA2" s="13">
        <v>0.115449991849099</v>
      </c>
      <c r="AB2" s="13">
        <v>0.115449991849099</v>
      </c>
      <c r="AC2" s="13">
        <v>0.115449991849099</v>
      </c>
      <c r="AD2" s="13">
        <v>0.115449991849099</v>
      </c>
      <c r="AE2" s="13">
        <v>0.115449991849099</v>
      </c>
      <c r="AF2" s="13">
        <v>0.115449991849099</v>
      </c>
      <c r="AG2" s="13">
        <v>0.115449991849099</v>
      </c>
      <c r="AH2" s="13">
        <v>0.115449991849099</v>
      </c>
      <c r="AI2" s="13">
        <v>0.115449991849099</v>
      </c>
      <c r="AJ2" s="13">
        <v>0.115449991849099</v>
      </c>
      <c r="AK2" s="13">
        <v>0.115449991849099</v>
      </c>
      <c r="AL2" s="13">
        <v>0.115449991849099</v>
      </c>
      <c r="AM2" s="13">
        <v>0.115449991849099</v>
      </c>
      <c r="AN2" s="13">
        <v>0.115449991849099</v>
      </c>
      <c r="AO2" s="13">
        <v>0.115449991849099</v>
      </c>
      <c r="AP2" s="13">
        <v>0.115449991849099</v>
      </c>
      <c r="AQ2" s="13">
        <v>0.115449991849099</v>
      </c>
    </row>
    <row r="6" spans="1:43">
      <c r="A6" s="12" t="s">
        <v>108</v>
      </c>
      <c r="B6" s="12">
        <f>B2*8760</f>
        <v>871.03526002254</v>
      </c>
      <c r="C6" s="12">
        <f t="shared" ref="C6:AQ6" si="0">C2*8760</f>
        <v>867.509901622588</v>
      </c>
      <c r="D6" s="12">
        <f t="shared" si="0"/>
        <v>860.401086430777</v>
      </c>
      <c r="E6" s="12">
        <f t="shared" si="0"/>
        <v>911.686334221546</v>
      </c>
      <c r="F6" s="12">
        <f t="shared" si="0"/>
        <v>818.273999952838</v>
      </c>
      <c r="G6" s="12">
        <f t="shared" si="0"/>
        <v>923.741928598107</v>
      </c>
      <c r="H6" s="12">
        <f t="shared" si="0"/>
        <v>967.541928598107</v>
      </c>
      <c r="I6" s="12">
        <f t="shared" si="0"/>
        <v>1011.34192859811</v>
      </c>
      <c r="J6" s="12">
        <f t="shared" si="0"/>
        <v>1011.34192859811</v>
      </c>
      <c r="K6" s="12">
        <f t="shared" si="0"/>
        <v>1011.34192859811</v>
      </c>
      <c r="L6" s="12">
        <f t="shared" si="0"/>
        <v>1011.34192859811</v>
      </c>
      <c r="M6" s="12">
        <f t="shared" si="0"/>
        <v>1011.34192859811</v>
      </c>
      <c r="N6" s="12">
        <f t="shared" si="0"/>
        <v>1011.34192859811</v>
      </c>
      <c r="O6" s="12">
        <f t="shared" si="0"/>
        <v>1011.34192859811</v>
      </c>
      <c r="P6" s="12">
        <f t="shared" si="0"/>
        <v>1011.34192859811</v>
      </c>
      <c r="Q6" s="12">
        <f t="shared" si="0"/>
        <v>1011.34192859811</v>
      </c>
      <c r="R6" s="12">
        <f t="shared" si="0"/>
        <v>1011.34192859811</v>
      </c>
      <c r="S6" s="12">
        <f t="shared" si="0"/>
        <v>1011.34192859811</v>
      </c>
      <c r="T6" s="12">
        <f t="shared" si="0"/>
        <v>1011.34192859811</v>
      </c>
      <c r="U6" s="12">
        <f t="shared" si="0"/>
        <v>1011.34192859811</v>
      </c>
      <c r="V6" s="12">
        <f t="shared" si="0"/>
        <v>1011.34192859811</v>
      </c>
      <c r="W6" s="12">
        <f t="shared" si="0"/>
        <v>1011.34192859811</v>
      </c>
      <c r="X6" s="12">
        <f t="shared" si="0"/>
        <v>1011.34192859811</v>
      </c>
      <c r="Y6" s="12">
        <f t="shared" si="0"/>
        <v>1011.34192859811</v>
      </c>
      <c r="Z6" s="12">
        <f t="shared" si="0"/>
        <v>1011.34192859811</v>
      </c>
      <c r="AA6" s="12">
        <f t="shared" si="0"/>
        <v>1011.34192859811</v>
      </c>
      <c r="AB6" s="12">
        <f t="shared" si="0"/>
        <v>1011.34192859811</v>
      </c>
      <c r="AC6" s="12">
        <f t="shared" si="0"/>
        <v>1011.34192859811</v>
      </c>
      <c r="AD6" s="12">
        <f t="shared" si="0"/>
        <v>1011.34192859811</v>
      </c>
      <c r="AE6" s="12">
        <f t="shared" si="0"/>
        <v>1011.34192859811</v>
      </c>
      <c r="AF6" s="12">
        <f t="shared" si="0"/>
        <v>1011.34192859811</v>
      </c>
      <c r="AG6" s="12">
        <f t="shared" si="0"/>
        <v>1011.34192859811</v>
      </c>
      <c r="AH6" s="12">
        <f t="shared" si="0"/>
        <v>1011.34192859811</v>
      </c>
      <c r="AI6" s="12">
        <f t="shared" si="0"/>
        <v>1011.34192859811</v>
      </c>
      <c r="AJ6" s="12">
        <f t="shared" si="0"/>
        <v>1011.34192859811</v>
      </c>
      <c r="AK6" s="12">
        <f t="shared" si="0"/>
        <v>1011.34192859811</v>
      </c>
      <c r="AL6" s="12">
        <f t="shared" si="0"/>
        <v>1011.34192859811</v>
      </c>
      <c r="AM6" s="12">
        <f t="shared" si="0"/>
        <v>1011.34192859811</v>
      </c>
      <c r="AN6" s="12">
        <f t="shared" si="0"/>
        <v>1011.34192859811</v>
      </c>
      <c r="AO6" s="12">
        <f t="shared" si="0"/>
        <v>1011.34192859811</v>
      </c>
      <c r="AP6" s="12">
        <f t="shared" si="0"/>
        <v>1011.34192859811</v>
      </c>
      <c r="AQ6" s="12">
        <f t="shared" si="0"/>
        <v>1011.34192859811</v>
      </c>
    </row>
    <row r="11" spans="1:43">
      <c r="M11" s="12">
        <f>1500/8760</f>
        <v>0.171232876712329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4"/>
  <sheetViews>
    <sheetView workbookViewId="0">
      <selection activeCell="A20" sqref="$A20:$XFD20"/>
    </sheetView>
  </sheetViews>
  <sheetFormatPr defaultColWidth="8.79646017699115" defaultRowHeight="13.5"/>
  <cols>
    <col min="1" max="1" width="11.7964601769912" customWidth="1"/>
    <col min="2" max="2" width="10.3716814159292" customWidth="1"/>
    <col min="3" max="3" width="8.52212389380531" customWidth="1"/>
    <col min="4" max="4" width="9.52212389380531" customWidth="1"/>
    <col min="5" max="5" width="9.47787610619469" customWidth="1"/>
    <col min="6" max="6" width="7.52212389380531" customWidth="1"/>
    <col min="7" max="7" width="9.52212389380531" customWidth="1"/>
    <col min="8" max="43" width="10.5221238938053" customWidth="1"/>
  </cols>
  <sheetData>
    <row r="1" spans="1:43">
      <c r="B1">
        <v>2019</v>
      </c>
      <c r="C1">
        <v>2020</v>
      </c>
      <c r="D1" t="s">
        <v>109</v>
      </c>
      <c r="F1">
        <v>2021</v>
      </c>
      <c r="G1" t="s">
        <v>110</v>
      </c>
    </row>
    <row r="2" spans="1:43">
      <c r="A2" t="s">
        <v>111</v>
      </c>
      <c r="B2">
        <f>能源局光伏数据!D3+能源局光伏数据!J3</f>
        <v>20430</v>
      </c>
      <c r="C2">
        <f>能源局光伏数据!E3+能源局光伏数据!K3</f>
        <v>25110.77</v>
      </c>
      <c r="D2">
        <f>C2-B2</f>
        <v>4680.77</v>
      </c>
      <c r="F2">
        <f>能源局光伏数据!F3+能源局光伏数据!L3</f>
        <v>30598.74</v>
      </c>
      <c r="G2">
        <f>F2-C2</f>
        <v>5487.97</v>
      </c>
    </row>
    <row r="3" spans="1:43">
      <c r="A3" t="s">
        <v>112</v>
      </c>
      <c r="B3">
        <f>能源局光伏数据!J3</f>
        <v>6263</v>
      </c>
      <c r="C3">
        <f>能源局光伏数据!K3</f>
        <v>7822.9</v>
      </c>
      <c r="D3">
        <f>C3-B3</f>
        <v>1559.9</v>
      </c>
      <c r="F3">
        <f>能源局光伏数据!L3</f>
        <v>10750.8</v>
      </c>
      <c r="G3">
        <f>F3-C3</f>
        <v>2927.9</v>
      </c>
    </row>
    <row r="4" spans="1:43">
      <c r="A4" t="s">
        <v>113</v>
      </c>
      <c r="B4">
        <f t="shared" ref="B4:G4" si="0">B2-B3</f>
        <v>14167</v>
      </c>
      <c r="C4">
        <f t="shared" si="0"/>
        <v>17287.87</v>
      </c>
      <c r="D4">
        <f t="shared" si="0"/>
        <v>3120.87</v>
      </c>
      <c r="F4">
        <f t="shared" si="0"/>
        <v>19847.94</v>
      </c>
      <c r="G4">
        <f t="shared" si="0"/>
        <v>2560.07</v>
      </c>
    </row>
    <row r="6" spans="1:43">
      <c r="A6" t="s">
        <v>16</v>
      </c>
      <c r="B6">
        <f t="shared" ref="B6:F6" si="1">B4</f>
        <v>14167</v>
      </c>
      <c r="C6">
        <f t="shared" si="1"/>
        <v>17287.87</v>
      </c>
      <c r="F6">
        <f t="shared" si="1"/>
        <v>19847.94</v>
      </c>
    </row>
    <row r="7" spans="1:43">
      <c r="A7" t="s">
        <v>17</v>
      </c>
      <c r="B7">
        <f t="shared" ref="B7:F7" si="2">B3</f>
        <v>6263</v>
      </c>
      <c r="C7">
        <f t="shared" si="2"/>
        <v>7822.9</v>
      </c>
      <c r="F7">
        <f t="shared" si="2"/>
        <v>10750.8</v>
      </c>
    </row>
    <row r="10" spans="1:43">
      <c r="B10">
        <v>2019</v>
      </c>
      <c r="C10">
        <v>2020</v>
      </c>
      <c r="D10" t="s">
        <v>109</v>
      </c>
      <c r="F10">
        <v>2021</v>
      </c>
      <c r="G10" t="s">
        <v>110</v>
      </c>
    </row>
    <row r="11" spans="1:43">
      <c r="A11" t="s">
        <v>114</v>
      </c>
      <c r="B11">
        <f t="shared" ref="B11:F11" si="3">B3</f>
        <v>6263</v>
      </c>
      <c r="C11">
        <f t="shared" si="3"/>
        <v>7822.9</v>
      </c>
      <c r="F11">
        <f t="shared" si="3"/>
        <v>10750.8</v>
      </c>
    </row>
    <row r="12" spans="1:43">
      <c r="A12" t="s">
        <v>115</v>
      </c>
      <c r="B12" s="4"/>
      <c r="C12" s="4"/>
      <c r="D12" s="4"/>
    </row>
    <row r="13" spans="1:43">
      <c r="A13" t="s">
        <v>116</v>
      </c>
      <c r="B13" s="4"/>
      <c r="C13" s="4"/>
      <c r="D13" s="4"/>
    </row>
    <row r="16" spans="1:43">
      <c r="A16" s="5" t="s">
        <v>117</v>
      </c>
      <c r="B16" s="5">
        <v>2019</v>
      </c>
      <c r="C16" s="5">
        <v>2020</v>
      </c>
      <c r="D16" s="5">
        <v>2021</v>
      </c>
      <c r="E16" s="5">
        <v>2022</v>
      </c>
      <c r="F16" s="5">
        <v>2023</v>
      </c>
      <c r="G16" s="5">
        <v>2024</v>
      </c>
      <c r="H16" s="5">
        <v>2025</v>
      </c>
      <c r="I16" s="5">
        <v>2026</v>
      </c>
      <c r="J16" s="5">
        <v>2027</v>
      </c>
      <c r="K16" s="5">
        <v>2028</v>
      </c>
      <c r="L16" s="5">
        <v>2029</v>
      </c>
      <c r="M16" s="5">
        <v>2030</v>
      </c>
      <c r="N16" s="5">
        <v>2031</v>
      </c>
      <c r="O16" s="5">
        <v>2032</v>
      </c>
      <c r="P16" s="5">
        <v>2033</v>
      </c>
      <c r="Q16" s="5">
        <v>2034</v>
      </c>
      <c r="R16" s="5">
        <v>2035</v>
      </c>
      <c r="S16" s="5">
        <v>2036</v>
      </c>
      <c r="T16" s="5">
        <v>2037</v>
      </c>
      <c r="U16" s="5">
        <v>2038</v>
      </c>
      <c r="V16" s="5">
        <v>2039</v>
      </c>
      <c r="W16" s="5">
        <v>2040</v>
      </c>
      <c r="X16" s="5">
        <v>2041</v>
      </c>
      <c r="Y16" s="5">
        <v>2042</v>
      </c>
      <c r="Z16" s="5">
        <v>2043</v>
      </c>
      <c r="AA16" s="5">
        <v>2044</v>
      </c>
      <c r="AB16" s="5">
        <v>2045</v>
      </c>
      <c r="AC16" s="5">
        <v>2046</v>
      </c>
      <c r="AD16" s="5">
        <v>2047</v>
      </c>
      <c r="AE16" s="5">
        <v>2048</v>
      </c>
      <c r="AF16" s="5">
        <v>2049</v>
      </c>
      <c r="AG16" s="5">
        <v>2050</v>
      </c>
      <c r="AH16" s="5">
        <v>2051</v>
      </c>
      <c r="AI16" s="5">
        <v>2052</v>
      </c>
      <c r="AJ16" s="5">
        <v>2053</v>
      </c>
      <c r="AK16" s="5">
        <v>2054</v>
      </c>
      <c r="AL16" s="5">
        <v>2055</v>
      </c>
      <c r="AM16" s="5">
        <v>2056</v>
      </c>
      <c r="AN16" s="5">
        <v>2057</v>
      </c>
      <c r="AO16" s="5">
        <v>2058</v>
      </c>
      <c r="AP16" s="5">
        <v>2059</v>
      </c>
      <c r="AQ16" s="5">
        <v>2060</v>
      </c>
    </row>
    <row r="17" spans="1:43">
      <c r="A17" s="5" t="s">
        <v>113</v>
      </c>
      <c r="B17" s="6">
        <v>141670</v>
      </c>
      <c r="C17" s="6">
        <v>172878.7</v>
      </c>
      <c r="D17" s="6">
        <v>198479.4</v>
      </c>
      <c r="E17" s="6">
        <v>234420</v>
      </c>
      <c r="F17" s="6">
        <v>354481</v>
      </c>
      <c r="G17" s="6">
        <v>510890</v>
      </c>
      <c r="H17" s="6">
        <v>670000</v>
      </c>
      <c r="I17" s="7"/>
      <c r="J17" s="7"/>
      <c r="K17" s="7"/>
      <c r="L17" s="7"/>
      <c r="M17" s="7"/>
      <c r="N17" s="7"/>
      <c r="O17" s="7"/>
      <c r="P17" s="7"/>
      <c r="Q17" s="7"/>
      <c r="R17" s="6"/>
      <c r="S17" s="7"/>
      <c r="T17" s="7"/>
      <c r="U17" s="7"/>
      <c r="V17" s="7"/>
      <c r="W17" s="7"/>
      <c r="X17" s="7"/>
      <c r="Y17" s="7"/>
      <c r="Z17" s="7"/>
      <c r="AA17" s="7"/>
      <c r="AB17" s="7"/>
      <c r="AC17" s="7"/>
      <c r="AD17" s="7"/>
      <c r="AE17" s="7"/>
      <c r="AF17" s="7"/>
      <c r="AG17" s="6"/>
      <c r="AH17" s="7"/>
      <c r="AI17" s="7"/>
      <c r="AJ17" s="7"/>
      <c r="AK17" s="7"/>
      <c r="AL17" s="7"/>
      <c r="AM17" s="7"/>
      <c r="AN17" s="7"/>
      <c r="AO17" s="7"/>
      <c r="AP17" s="7"/>
      <c r="AQ17" s="6"/>
    </row>
    <row r="18" spans="1:43">
      <c r="A18" s="5" t="s">
        <v>118</v>
      </c>
      <c r="B18" s="6">
        <v>47272</v>
      </c>
      <c r="C18" s="6">
        <v>52751</v>
      </c>
      <c r="D18" s="6">
        <v>60440</v>
      </c>
      <c r="E18" s="6">
        <v>85306</v>
      </c>
      <c r="F18" s="6">
        <v>138641</v>
      </c>
      <c r="G18" s="6">
        <v>229630</v>
      </c>
      <c r="H18" s="6">
        <v>327168</v>
      </c>
      <c r="I18" s="7">
        <v>342656.181818182</v>
      </c>
      <c r="J18" s="8">
        <f>I18+($R$18-$I$18)/($R$16-$I$16)</f>
        <v>349027.717171717</v>
      </c>
      <c r="K18" s="8">
        <f t="shared" ref="K18:Q18" si="4">J18+($R$18-$I$18)/($R$16-$I$16)</f>
        <v>355399.252525253</v>
      </c>
      <c r="L18" s="8">
        <f t="shared" si="4"/>
        <v>361770.787878788</v>
      </c>
      <c r="M18" s="8">
        <f t="shared" si="4"/>
        <v>368142.323232323</v>
      </c>
      <c r="N18" s="8">
        <f t="shared" si="4"/>
        <v>374513.858585859</v>
      </c>
      <c r="O18" s="8">
        <f t="shared" si="4"/>
        <v>380885.393939394</v>
      </c>
      <c r="P18" s="8">
        <f t="shared" si="4"/>
        <v>387256.929292929</v>
      </c>
      <c r="Q18" s="8">
        <f t="shared" si="4"/>
        <v>393628.464646465</v>
      </c>
      <c r="R18" s="6">
        <v>400000</v>
      </c>
      <c r="S18" s="7">
        <v>403333.333333333</v>
      </c>
      <c r="T18" s="7">
        <v>406666.666666667</v>
      </c>
      <c r="U18" s="7">
        <v>410000</v>
      </c>
      <c r="V18" s="7">
        <v>413333.333333333</v>
      </c>
      <c r="W18" s="7">
        <v>416666.666666667</v>
      </c>
      <c r="X18" s="7">
        <v>420000</v>
      </c>
      <c r="Y18" s="7">
        <v>423333.333333333</v>
      </c>
      <c r="Z18" s="7">
        <v>426666.666666667</v>
      </c>
      <c r="AA18" s="7">
        <v>430000</v>
      </c>
      <c r="AB18" s="7">
        <v>433333.333333333</v>
      </c>
      <c r="AC18" s="7">
        <v>436666.666666666</v>
      </c>
      <c r="AD18" s="7">
        <v>440000</v>
      </c>
      <c r="AE18" s="7">
        <v>443333.333333333</v>
      </c>
      <c r="AF18" s="7">
        <v>446666.666666666</v>
      </c>
      <c r="AG18" s="6">
        <v>450000</v>
      </c>
      <c r="AH18" s="7">
        <v>455000</v>
      </c>
      <c r="AI18" s="7">
        <v>460000</v>
      </c>
      <c r="AJ18" s="7">
        <v>465000</v>
      </c>
      <c r="AK18" s="7">
        <v>470000</v>
      </c>
      <c r="AL18" s="7">
        <v>475000</v>
      </c>
      <c r="AM18" s="7">
        <v>480000</v>
      </c>
      <c r="AN18" s="7">
        <v>485000</v>
      </c>
      <c r="AO18" s="7">
        <v>490000</v>
      </c>
      <c r="AP18" s="7">
        <v>495000</v>
      </c>
      <c r="AQ18" s="6">
        <v>500000</v>
      </c>
    </row>
    <row r="19" spans="1:43">
      <c r="A19" s="5" t="s">
        <v>106</v>
      </c>
      <c r="B19" s="6">
        <v>15358</v>
      </c>
      <c r="C19" s="6">
        <v>25478</v>
      </c>
      <c r="D19" s="6">
        <v>47068</v>
      </c>
      <c r="E19" s="6">
        <v>72314</v>
      </c>
      <c r="F19" s="6">
        <v>115797</v>
      </c>
      <c r="G19" s="6">
        <v>145150</v>
      </c>
      <c r="H19" s="6">
        <v>205832</v>
      </c>
      <c r="I19" s="9">
        <v>229000.181818182</v>
      </c>
      <c r="J19" s="8">
        <f>J20+J21</f>
        <v>248000.161616162</v>
      </c>
      <c r="K19" s="8">
        <f t="shared" ref="K19:Q19" si="5">K20+K21</f>
        <v>267000.141414141</v>
      </c>
      <c r="L19" s="8">
        <f t="shared" si="5"/>
        <v>286000.121212121</v>
      </c>
      <c r="M19" s="8">
        <f t="shared" si="5"/>
        <v>305000.101010101</v>
      </c>
      <c r="N19" s="8">
        <f t="shared" si="5"/>
        <v>324000.080808081</v>
      </c>
      <c r="O19" s="8">
        <f t="shared" si="5"/>
        <v>343000.060606061</v>
      </c>
      <c r="P19" s="8">
        <f t="shared" si="5"/>
        <v>362000.04040404</v>
      </c>
      <c r="Q19" s="8">
        <f t="shared" si="5"/>
        <v>381000.02020202</v>
      </c>
      <c r="R19" s="6">
        <v>400000</v>
      </c>
      <c r="S19" s="9">
        <v>410666.666666667</v>
      </c>
      <c r="T19" s="9">
        <v>421333.333333333</v>
      </c>
      <c r="U19" s="9">
        <v>432000</v>
      </c>
      <c r="V19" s="9">
        <v>442666.666666667</v>
      </c>
      <c r="W19" s="9">
        <v>453333.333333333</v>
      </c>
      <c r="X19" s="9">
        <v>464000</v>
      </c>
      <c r="Y19" s="9">
        <v>474666.666666667</v>
      </c>
      <c r="Z19" s="9">
        <v>485333.333333333</v>
      </c>
      <c r="AA19" s="9">
        <v>496000</v>
      </c>
      <c r="AB19" s="9">
        <v>506666.666666667</v>
      </c>
      <c r="AC19" s="9">
        <v>517333.333333334</v>
      </c>
      <c r="AD19" s="9">
        <v>528000</v>
      </c>
      <c r="AE19" s="9">
        <v>538666.666666667</v>
      </c>
      <c r="AF19" s="9">
        <v>549333.333333334</v>
      </c>
      <c r="AG19" s="6">
        <v>560000</v>
      </c>
      <c r="AH19" s="9">
        <v>574000</v>
      </c>
      <c r="AI19" s="9">
        <v>588000</v>
      </c>
      <c r="AJ19" s="9">
        <v>602000</v>
      </c>
      <c r="AK19" s="9">
        <v>616000</v>
      </c>
      <c r="AL19" s="9">
        <v>630000</v>
      </c>
      <c r="AM19" s="9">
        <v>644000</v>
      </c>
      <c r="AN19" s="9">
        <v>658000</v>
      </c>
      <c r="AO19" s="9">
        <v>672000</v>
      </c>
      <c r="AP19" s="9">
        <v>686000</v>
      </c>
      <c r="AQ19" s="9">
        <v>700000</v>
      </c>
    </row>
    <row r="20" spans="1:43">
      <c r="A20" s="5" t="s">
        <v>119</v>
      </c>
      <c r="B20" s="6">
        <v>2303.7</v>
      </c>
      <c r="C20" s="6">
        <v>3821.7</v>
      </c>
      <c r="D20" s="6">
        <v>7060.2</v>
      </c>
      <c r="E20" s="6">
        <v>10847.1</v>
      </c>
      <c r="F20" s="6">
        <v>17369.55</v>
      </c>
      <c r="G20" s="6">
        <v>21772.5</v>
      </c>
      <c r="H20" s="6">
        <v>30874.8</v>
      </c>
      <c r="I20" s="7">
        <v>37986.3909090909</v>
      </c>
      <c r="J20" s="8">
        <f>I20+($R$20-$I$20)/($R$16-$I$16)</f>
        <v>44876.7919191919</v>
      </c>
      <c r="K20" s="8">
        <f t="shared" ref="K20:Q20" si="6">J20+($R$20-$I$20)/($R$16-$I$16)</f>
        <v>51767.1929292929</v>
      </c>
      <c r="L20" s="8">
        <f t="shared" si="6"/>
        <v>58657.5939393939</v>
      </c>
      <c r="M20" s="8">
        <f t="shared" si="6"/>
        <v>65547.994949495</v>
      </c>
      <c r="N20" s="8">
        <f t="shared" si="6"/>
        <v>72438.395959596</v>
      </c>
      <c r="O20" s="8">
        <f t="shared" si="6"/>
        <v>79328.796969697</v>
      </c>
      <c r="P20" s="8">
        <f t="shared" si="6"/>
        <v>86219.197979798</v>
      </c>
      <c r="Q20" s="8">
        <f t="shared" si="6"/>
        <v>93109.598989899</v>
      </c>
      <c r="R20" s="6">
        <v>100000</v>
      </c>
      <c r="S20" s="7">
        <v>104000</v>
      </c>
      <c r="T20" s="7">
        <v>108000</v>
      </c>
      <c r="U20" s="7">
        <v>112000</v>
      </c>
      <c r="V20" s="7">
        <v>116000</v>
      </c>
      <c r="W20" s="7">
        <v>120000</v>
      </c>
      <c r="X20" s="7">
        <v>124000</v>
      </c>
      <c r="Y20" s="7">
        <v>128000</v>
      </c>
      <c r="Z20" s="7">
        <v>132000</v>
      </c>
      <c r="AA20" s="7">
        <v>136000</v>
      </c>
      <c r="AB20" s="7">
        <v>140000</v>
      </c>
      <c r="AC20" s="7">
        <v>144000</v>
      </c>
      <c r="AD20" s="7">
        <v>148000</v>
      </c>
      <c r="AE20" s="7">
        <v>152000</v>
      </c>
      <c r="AF20" s="7">
        <v>156000</v>
      </c>
      <c r="AG20" s="6">
        <v>160000</v>
      </c>
      <c r="AH20" s="7">
        <v>164000</v>
      </c>
      <c r="AI20" s="7">
        <v>168000</v>
      </c>
      <c r="AJ20" s="7">
        <v>172000</v>
      </c>
      <c r="AK20" s="7">
        <v>176000</v>
      </c>
      <c r="AL20" s="7">
        <v>180000</v>
      </c>
      <c r="AM20" s="7">
        <v>184000</v>
      </c>
      <c r="AN20" s="7">
        <v>188000</v>
      </c>
      <c r="AO20" s="7">
        <v>192000</v>
      </c>
      <c r="AP20" s="7">
        <v>196000</v>
      </c>
      <c r="AQ20" s="6">
        <v>200000</v>
      </c>
    </row>
    <row r="21" spans="1:43">
      <c r="A21" s="5" t="s">
        <v>120</v>
      </c>
      <c r="B21" s="6">
        <v>13054.3</v>
      </c>
      <c r="C21" s="6">
        <v>21656.3</v>
      </c>
      <c r="D21" s="6">
        <v>40007.8</v>
      </c>
      <c r="E21" s="6">
        <v>61466.9</v>
      </c>
      <c r="F21" s="6">
        <v>98427.45</v>
      </c>
      <c r="G21" s="6">
        <v>123377.5</v>
      </c>
      <c r="H21" s="6">
        <v>174957.2</v>
      </c>
      <c r="I21" s="7">
        <v>191013.790909091</v>
      </c>
      <c r="J21" s="8">
        <f>I21+($R$21-$I$21)/($R$16-$I$16)</f>
        <v>203123.36969697</v>
      </c>
      <c r="K21" s="8">
        <f t="shared" ref="K21:Q21" si="7">J21+($R$21-$I$21)/($R$16-$I$16)</f>
        <v>215232.948484849</v>
      </c>
      <c r="L21" s="8">
        <f t="shared" si="7"/>
        <v>227342.527272727</v>
      </c>
      <c r="M21" s="8">
        <f t="shared" si="7"/>
        <v>239452.106060606</v>
      </c>
      <c r="N21" s="8">
        <f t="shared" si="7"/>
        <v>251561.684848485</v>
      </c>
      <c r="O21" s="8">
        <f t="shared" si="7"/>
        <v>263671.263636364</v>
      </c>
      <c r="P21" s="8">
        <f t="shared" si="7"/>
        <v>275780.842424242</v>
      </c>
      <c r="Q21" s="8">
        <f t="shared" si="7"/>
        <v>287890.421212121</v>
      </c>
      <c r="R21" s="6">
        <v>300000</v>
      </c>
      <c r="S21" s="7">
        <v>306666.666666667</v>
      </c>
      <c r="T21" s="7">
        <v>313333.333333333</v>
      </c>
      <c r="U21" s="7">
        <v>320000</v>
      </c>
      <c r="V21" s="7">
        <v>326666.666666667</v>
      </c>
      <c r="W21" s="7">
        <v>333333.333333333</v>
      </c>
      <c r="X21" s="7">
        <v>340000</v>
      </c>
      <c r="Y21" s="7">
        <v>346666.666666667</v>
      </c>
      <c r="Z21" s="7">
        <v>353333.333333333</v>
      </c>
      <c r="AA21" s="7">
        <v>360000</v>
      </c>
      <c r="AB21" s="7">
        <v>366666.666666667</v>
      </c>
      <c r="AC21" s="7">
        <v>373333.333333334</v>
      </c>
      <c r="AD21" s="7">
        <v>380000</v>
      </c>
      <c r="AE21" s="7">
        <v>386666.666666667</v>
      </c>
      <c r="AF21" s="7">
        <v>393333.333333334</v>
      </c>
      <c r="AG21" s="6">
        <v>400000</v>
      </c>
      <c r="AH21" s="7">
        <v>410000</v>
      </c>
      <c r="AI21" s="7">
        <v>420000</v>
      </c>
      <c r="AJ21" s="7">
        <v>430000</v>
      </c>
      <c r="AK21" s="7">
        <v>440000</v>
      </c>
      <c r="AL21" s="7">
        <v>450000</v>
      </c>
      <c r="AM21" s="7">
        <v>460000</v>
      </c>
      <c r="AN21" s="7">
        <v>470000</v>
      </c>
      <c r="AO21" s="7">
        <v>480000</v>
      </c>
      <c r="AP21" s="7">
        <v>490000</v>
      </c>
      <c r="AQ21" s="6">
        <v>500000</v>
      </c>
    </row>
    <row r="22" spans="1:43">
      <c r="A22" s="5" t="s">
        <v>121</v>
      </c>
      <c r="B22" s="6">
        <v>62630</v>
      </c>
      <c r="C22" s="6">
        <v>78229</v>
      </c>
      <c r="D22" s="6">
        <v>107508</v>
      </c>
      <c r="E22" s="6">
        <v>157620</v>
      </c>
      <c r="F22" s="6">
        <v>254438</v>
      </c>
      <c r="G22" s="6">
        <v>374780</v>
      </c>
      <c r="H22" s="6">
        <v>533000</v>
      </c>
      <c r="I22" s="9">
        <v>571656.363636364</v>
      </c>
      <c r="J22" s="8">
        <f>J18+J19</f>
        <v>597027.878787879</v>
      </c>
      <c r="K22" s="8">
        <f t="shared" ref="K22:Q22" si="8">K18+K19</f>
        <v>622399.393939394</v>
      </c>
      <c r="L22" s="8">
        <f t="shared" si="8"/>
        <v>647770.909090909</v>
      </c>
      <c r="M22" s="8">
        <f t="shared" si="8"/>
        <v>673142.424242424</v>
      </c>
      <c r="N22" s="8">
        <f t="shared" si="8"/>
        <v>698513.939393939</v>
      </c>
      <c r="O22" s="8">
        <f t="shared" si="8"/>
        <v>723885.454545454</v>
      </c>
      <c r="P22" s="8">
        <f t="shared" si="8"/>
        <v>749256.96969697</v>
      </c>
      <c r="Q22" s="8">
        <f t="shared" si="8"/>
        <v>774628.484848485</v>
      </c>
      <c r="R22" s="6">
        <v>800000</v>
      </c>
      <c r="S22" s="9">
        <v>814000</v>
      </c>
      <c r="T22" s="9">
        <v>828000</v>
      </c>
      <c r="U22" s="9">
        <v>842000</v>
      </c>
      <c r="V22" s="9">
        <v>856000</v>
      </c>
      <c r="W22" s="9">
        <v>870000</v>
      </c>
      <c r="X22" s="9">
        <v>884000</v>
      </c>
      <c r="Y22" s="9">
        <v>898000</v>
      </c>
      <c r="Z22" s="9">
        <v>912000</v>
      </c>
      <c r="AA22" s="9">
        <v>926000</v>
      </c>
      <c r="AB22" s="9">
        <v>940000</v>
      </c>
      <c r="AC22" s="9">
        <v>954000</v>
      </c>
      <c r="AD22" s="9">
        <v>968000</v>
      </c>
      <c r="AE22" s="9">
        <v>982000</v>
      </c>
      <c r="AF22" s="9">
        <v>996000</v>
      </c>
      <c r="AG22" s="6">
        <v>1010000</v>
      </c>
      <c r="AH22" s="9">
        <v>1029000</v>
      </c>
      <c r="AI22" s="9">
        <v>1048000</v>
      </c>
      <c r="AJ22" s="9">
        <v>1067000</v>
      </c>
      <c r="AK22" s="9">
        <v>1086000</v>
      </c>
      <c r="AL22" s="9">
        <v>1105000</v>
      </c>
      <c r="AM22" s="9">
        <v>1124000</v>
      </c>
      <c r="AN22" s="9">
        <v>1143000</v>
      </c>
      <c r="AO22" s="9">
        <v>1162000</v>
      </c>
      <c r="AP22" s="9">
        <v>1181000</v>
      </c>
      <c r="AQ22" s="6">
        <v>1200000</v>
      </c>
    </row>
    <row r="23" spans="1:43">
      <c r="A23" s="5" t="s">
        <v>122</v>
      </c>
      <c r="B23">
        <f t="shared" ref="B23:J23" si="9">B17+B22</f>
        <v>204300</v>
      </c>
      <c r="C23">
        <f t="shared" si="9"/>
        <v>251107.7</v>
      </c>
      <c r="D23">
        <f t="shared" si="9"/>
        <v>305987.4</v>
      </c>
      <c r="E23">
        <f t="shared" si="9"/>
        <v>392040</v>
      </c>
      <c r="F23">
        <f t="shared" si="9"/>
        <v>608919</v>
      </c>
      <c r="G23">
        <f t="shared" si="9"/>
        <v>885670</v>
      </c>
      <c r="H23">
        <f t="shared" si="9"/>
        <v>1203000</v>
      </c>
      <c r="I23">
        <f t="shared" si="9"/>
        <v>571656.363636364</v>
      </c>
      <c r="J23">
        <f t="shared" si="9"/>
        <v>597027.878787879</v>
      </c>
      <c r="K23">
        <f t="shared" ref="K23:V23" si="10">K17+K22</f>
        <v>622399.393939394</v>
      </c>
      <c r="L23">
        <f t="shared" si="10"/>
        <v>647770.909090909</v>
      </c>
      <c r="M23">
        <f t="shared" si="10"/>
        <v>673142.424242424</v>
      </c>
      <c r="N23">
        <f t="shared" si="10"/>
        <v>698513.939393939</v>
      </c>
      <c r="O23">
        <f t="shared" si="10"/>
        <v>723885.454545454</v>
      </c>
      <c r="P23">
        <f t="shared" si="10"/>
        <v>749256.96969697</v>
      </c>
      <c r="Q23">
        <f t="shared" si="10"/>
        <v>774628.484848485</v>
      </c>
      <c r="R23">
        <f t="shared" si="10"/>
        <v>800000</v>
      </c>
      <c r="S23">
        <f t="shared" si="10"/>
        <v>814000</v>
      </c>
      <c r="T23">
        <f t="shared" si="10"/>
        <v>828000</v>
      </c>
      <c r="U23">
        <f t="shared" si="10"/>
        <v>842000</v>
      </c>
      <c r="V23">
        <f t="shared" si="10"/>
        <v>856000</v>
      </c>
    </row>
    <row r="24" spans="1:43">
      <c r="A24" s="10"/>
    </row>
    <row r="25" spans="1:43">
      <c r="C25" s="11"/>
    </row>
    <row r="27" spans="1:43">
      <c r="A27" s="5" t="s">
        <v>117</v>
      </c>
      <c r="B27" s="5">
        <v>2019</v>
      </c>
      <c r="C27" s="5">
        <v>2020</v>
      </c>
      <c r="D27" s="5">
        <v>2021</v>
      </c>
      <c r="E27" s="5">
        <v>2022</v>
      </c>
      <c r="F27" s="5">
        <v>2023</v>
      </c>
      <c r="G27" s="5">
        <v>2024</v>
      </c>
      <c r="H27" s="5">
        <v>2025</v>
      </c>
      <c r="I27" s="5">
        <v>2026</v>
      </c>
      <c r="J27" s="5">
        <v>2027</v>
      </c>
      <c r="K27" s="5">
        <v>2028</v>
      </c>
      <c r="L27" s="5">
        <v>2029</v>
      </c>
      <c r="M27" s="5">
        <v>2030</v>
      </c>
      <c r="N27" s="5">
        <v>2031</v>
      </c>
      <c r="O27" s="5">
        <v>2032</v>
      </c>
      <c r="P27" s="5">
        <v>2033</v>
      </c>
      <c r="Q27" s="5">
        <v>2034</v>
      </c>
      <c r="R27" s="5">
        <v>2035</v>
      </c>
      <c r="S27" s="5">
        <v>2036</v>
      </c>
      <c r="T27" s="5">
        <v>2037</v>
      </c>
      <c r="U27" s="5">
        <v>2038</v>
      </c>
      <c r="V27" s="5">
        <v>2039</v>
      </c>
      <c r="W27" s="5">
        <v>2040</v>
      </c>
      <c r="X27" s="5">
        <v>2041</v>
      </c>
      <c r="Y27" s="5">
        <v>2042</v>
      </c>
      <c r="Z27" s="5">
        <v>2043</v>
      </c>
      <c r="AA27" s="5">
        <v>2044</v>
      </c>
      <c r="AB27" s="5">
        <v>2045</v>
      </c>
      <c r="AC27" s="5">
        <v>2046</v>
      </c>
      <c r="AD27" s="5">
        <v>2047</v>
      </c>
      <c r="AE27" s="5">
        <v>2048</v>
      </c>
      <c r="AF27" s="5">
        <v>2049</v>
      </c>
      <c r="AG27" s="5">
        <v>2050</v>
      </c>
      <c r="AH27" s="5">
        <v>2051</v>
      </c>
      <c r="AI27" s="5">
        <v>2052</v>
      </c>
      <c r="AJ27" s="5">
        <v>2053</v>
      </c>
      <c r="AK27" s="5">
        <v>2054</v>
      </c>
      <c r="AL27" s="5">
        <v>2055</v>
      </c>
      <c r="AM27" s="5">
        <v>2056</v>
      </c>
      <c r="AN27" s="5">
        <v>2057</v>
      </c>
      <c r="AO27" s="5">
        <v>2058</v>
      </c>
      <c r="AP27" s="5">
        <v>2059</v>
      </c>
      <c r="AQ27" s="5">
        <v>2060</v>
      </c>
    </row>
    <row r="28" spans="1:43">
      <c r="A28" s="5" t="s">
        <v>113</v>
      </c>
      <c r="B28" s="6">
        <v>141670</v>
      </c>
      <c r="C28" s="6">
        <v>172878.7</v>
      </c>
      <c r="D28" s="6">
        <v>198479.4</v>
      </c>
      <c r="E28" s="6">
        <v>234420</v>
      </c>
      <c r="F28" s="6">
        <v>354481</v>
      </c>
      <c r="G28" s="6">
        <v>510890</v>
      </c>
      <c r="H28" s="6">
        <v>670000</v>
      </c>
      <c r="I28" s="7"/>
      <c r="J28" s="7"/>
      <c r="K28" s="7"/>
      <c r="L28" s="7"/>
      <c r="M28" s="7"/>
      <c r="N28" s="7"/>
      <c r="O28" s="7"/>
      <c r="P28" s="7"/>
      <c r="Q28" s="7"/>
      <c r="R28" s="6"/>
      <c r="S28" s="7"/>
      <c r="T28" s="7"/>
      <c r="U28" s="7"/>
      <c r="V28" s="7"/>
      <c r="W28" s="7"/>
      <c r="X28" s="7"/>
      <c r="Y28" s="7"/>
      <c r="Z28" s="7"/>
      <c r="AA28" s="7"/>
      <c r="AB28" s="7"/>
      <c r="AC28" s="7"/>
      <c r="AD28" s="7"/>
      <c r="AE28" s="7"/>
      <c r="AF28" s="7"/>
      <c r="AG28" s="6"/>
      <c r="AH28" s="7"/>
      <c r="AI28" s="7"/>
      <c r="AJ28" s="7"/>
      <c r="AK28" s="7"/>
      <c r="AL28" s="7"/>
      <c r="AM28" s="7"/>
      <c r="AN28" s="7"/>
      <c r="AO28" s="7"/>
      <c r="AP28" s="7"/>
      <c r="AQ28" s="6"/>
    </row>
    <row r="29" spans="1:43">
      <c r="A29" s="5" t="s">
        <v>118</v>
      </c>
      <c r="B29" s="6">
        <v>47272</v>
      </c>
      <c r="C29" s="6">
        <v>52751</v>
      </c>
      <c r="D29" s="6">
        <v>60440</v>
      </c>
      <c r="E29" s="6">
        <v>85306</v>
      </c>
      <c r="F29" s="6">
        <v>138641</v>
      </c>
      <c r="G29" s="6">
        <v>229630</v>
      </c>
      <c r="H29" s="6">
        <v>327168</v>
      </c>
      <c r="I29" s="7">
        <v>342656.181818182</v>
      </c>
      <c r="J29" s="7">
        <v>358144.363636364</v>
      </c>
      <c r="K29" s="7">
        <v>373632.545454545</v>
      </c>
      <c r="L29" s="7">
        <v>389120.727272727</v>
      </c>
      <c r="M29" s="7">
        <v>404608.909090909</v>
      </c>
      <c r="N29" s="7">
        <v>420097.090909091</v>
      </c>
      <c r="O29" s="7">
        <v>435585.272727273</v>
      </c>
      <c r="P29" s="7">
        <v>451073.454545455</v>
      </c>
      <c r="Q29" s="7">
        <v>466561.636363636</v>
      </c>
      <c r="R29" s="6">
        <v>400000</v>
      </c>
      <c r="S29" s="7">
        <v>403333.333333333</v>
      </c>
      <c r="T29" s="7">
        <v>406666.666666667</v>
      </c>
      <c r="U29" s="7">
        <v>410000</v>
      </c>
      <c r="V29" s="7">
        <v>413333.333333333</v>
      </c>
      <c r="W29" s="7">
        <v>416666.666666667</v>
      </c>
      <c r="X29" s="7">
        <v>420000</v>
      </c>
      <c r="Y29" s="7">
        <v>423333.333333333</v>
      </c>
      <c r="Z29" s="7">
        <v>426666.666666667</v>
      </c>
      <c r="AA29" s="7">
        <v>430000</v>
      </c>
      <c r="AB29" s="7">
        <v>433333.333333333</v>
      </c>
      <c r="AC29" s="7">
        <v>436666.666666666</v>
      </c>
      <c r="AD29" s="7">
        <v>440000</v>
      </c>
      <c r="AE29" s="7">
        <v>443333.333333333</v>
      </c>
      <c r="AF29" s="7">
        <v>446666.666666666</v>
      </c>
      <c r="AG29" s="6">
        <v>450000</v>
      </c>
      <c r="AH29" s="7">
        <v>455000</v>
      </c>
      <c r="AI29" s="7">
        <v>460000</v>
      </c>
      <c r="AJ29" s="7">
        <v>465000</v>
      </c>
      <c r="AK29" s="7">
        <v>470000</v>
      </c>
      <c r="AL29" s="7">
        <v>475000</v>
      </c>
      <c r="AM29" s="7">
        <v>480000</v>
      </c>
      <c r="AN29" s="7">
        <v>485000</v>
      </c>
      <c r="AO29" s="7">
        <v>490000</v>
      </c>
      <c r="AP29" s="7">
        <v>495000</v>
      </c>
      <c r="AQ29" s="6">
        <v>500000</v>
      </c>
    </row>
    <row r="30" spans="1:43">
      <c r="A30" s="5" t="s">
        <v>106</v>
      </c>
      <c r="B30" s="6">
        <v>15358</v>
      </c>
      <c r="C30" s="6">
        <v>25478</v>
      </c>
      <c r="D30" s="6">
        <v>47068</v>
      </c>
      <c r="E30" s="6">
        <v>72314</v>
      </c>
      <c r="F30" s="6">
        <v>115797</v>
      </c>
      <c r="G30" s="6">
        <v>145150</v>
      </c>
      <c r="H30" s="6">
        <v>205832</v>
      </c>
      <c r="I30" s="9">
        <v>229000.181818182</v>
      </c>
      <c r="J30" s="9">
        <v>252168.363636364</v>
      </c>
      <c r="K30" s="9">
        <v>275336.545454545</v>
      </c>
      <c r="L30" s="9">
        <v>298504.727272727</v>
      </c>
      <c r="M30" s="9">
        <v>321672.909090909</v>
      </c>
      <c r="N30" s="9">
        <v>344841.090909091</v>
      </c>
      <c r="O30" s="9">
        <v>368009.272727273</v>
      </c>
      <c r="P30" s="9">
        <v>391177.454545455</v>
      </c>
      <c r="Q30" s="9">
        <v>414345.636363636</v>
      </c>
      <c r="R30" s="6">
        <v>400000</v>
      </c>
      <c r="S30" s="9">
        <v>410666.666666667</v>
      </c>
      <c r="T30" s="9">
        <v>421333.333333333</v>
      </c>
      <c r="U30" s="9">
        <v>432000</v>
      </c>
      <c r="V30" s="9">
        <v>442666.666666667</v>
      </c>
      <c r="W30" s="9">
        <v>453333.333333333</v>
      </c>
      <c r="X30" s="9">
        <v>464000</v>
      </c>
      <c r="Y30" s="9">
        <v>474666.666666667</v>
      </c>
      <c r="Z30" s="9">
        <v>485333.333333333</v>
      </c>
      <c r="AA30" s="9">
        <v>496000</v>
      </c>
      <c r="AB30" s="9">
        <v>506666.666666667</v>
      </c>
      <c r="AC30" s="9">
        <v>517333.333333334</v>
      </c>
      <c r="AD30" s="9">
        <v>528000</v>
      </c>
      <c r="AE30" s="9">
        <v>538666.666666667</v>
      </c>
      <c r="AF30" s="9">
        <v>549333.333333334</v>
      </c>
      <c r="AG30" s="6">
        <v>560000</v>
      </c>
      <c r="AH30" s="9">
        <v>574000</v>
      </c>
      <c r="AI30" s="9">
        <v>588000</v>
      </c>
      <c r="AJ30" s="9">
        <v>602000</v>
      </c>
      <c r="AK30" s="9">
        <v>616000</v>
      </c>
      <c r="AL30" s="9">
        <v>630000</v>
      </c>
      <c r="AM30" s="9">
        <v>644000</v>
      </c>
      <c r="AN30" s="9">
        <v>658000</v>
      </c>
      <c r="AO30" s="9">
        <v>672000</v>
      </c>
      <c r="AP30" s="9">
        <v>686000</v>
      </c>
      <c r="AQ30" s="9">
        <v>700000</v>
      </c>
    </row>
    <row r="31" spans="1:43">
      <c r="A31" s="5" t="s">
        <v>119</v>
      </c>
      <c r="B31" s="6">
        <v>2303.7</v>
      </c>
      <c r="C31" s="6">
        <v>3821.7</v>
      </c>
      <c r="D31" s="6">
        <v>7060.2</v>
      </c>
      <c r="E31" s="6">
        <v>10847.1</v>
      </c>
      <c r="F31" s="6">
        <v>17369.55</v>
      </c>
      <c r="G31" s="6">
        <v>21772.5</v>
      </c>
      <c r="H31" s="6">
        <v>30874.8</v>
      </c>
      <c r="I31" s="7">
        <v>37986.3909090909</v>
      </c>
      <c r="J31" s="7">
        <v>45097.9818181818</v>
      </c>
      <c r="K31" s="7">
        <v>52209.5727272727</v>
      </c>
      <c r="L31" s="7">
        <v>59321.1636363636</v>
      </c>
      <c r="M31" s="7">
        <v>66432.7545454545</v>
      </c>
      <c r="N31" s="7">
        <v>73544.3454545455</v>
      </c>
      <c r="O31" s="7">
        <v>80655.9363636364</v>
      </c>
      <c r="P31" s="7">
        <v>87767.5272727273</v>
      </c>
      <c r="Q31" s="7">
        <v>94879.1181818182</v>
      </c>
      <c r="R31" s="6">
        <v>100000</v>
      </c>
      <c r="S31" s="7">
        <v>104000</v>
      </c>
      <c r="T31" s="7">
        <v>108000</v>
      </c>
      <c r="U31" s="7">
        <v>112000</v>
      </c>
      <c r="V31" s="7">
        <v>116000</v>
      </c>
      <c r="W31" s="7">
        <v>120000</v>
      </c>
      <c r="X31" s="7">
        <v>124000</v>
      </c>
      <c r="Y31" s="7">
        <v>128000</v>
      </c>
      <c r="Z31" s="7">
        <v>132000</v>
      </c>
      <c r="AA31" s="7">
        <v>136000</v>
      </c>
      <c r="AB31" s="7">
        <v>140000</v>
      </c>
      <c r="AC31" s="7">
        <v>144000</v>
      </c>
      <c r="AD31" s="7">
        <v>148000</v>
      </c>
      <c r="AE31" s="7">
        <v>152000</v>
      </c>
      <c r="AF31" s="7">
        <v>156000</v>
      </c>
      <c r="AG31" s="6">
        <v>160000</v>
      </c>
      <c r="AH31" s="7">
        <v>164000</v>
      </c>
      <c r="AI31" s="7">
        <v>168000</v>
      </c>
      <c r="AJ31" s="7">
        <v>172000</v>
      </c>
      <c r="AK31" s="7">
        <v>176000</v>
      </c>
      <c r="AL31" s="7">
        <v>180000</v>
      </c>
      <c r="AM31" s="7">
        <v>184000</v>
      </c>
      <c r="AN31" s="7">
        <v>188000</v>
      </c>
      <c r="AO31" s="7">
        <v>192000</v>
      </c>
      <c r="AP31" s="7">
        <v>196000</v>
      </c>
      <c r="AQ31" s="6">
        <v>200000</v>
      </c>
    </row>
    <row r="32" spans="1:43">
      <c r="A32" s="5" t="s">
        <v>120</v>
      </c>
      <c r="B32" s="6">
        <v>13054.3</v>
      </c>
      <c r="C32" s="6">
        <v>21656.3</v>
      </c>
      <c r="D32" s="6">
        <v>40007.8</v>
      </c>
      <c r="E32" s="6">
        <v>61466.9</v>
      </c>
      <c r="F32" s="6">
        <v>98427.45</v>
      </c>
      <c r="G32" s="6">
        <v>123377.5</v>
      </c>
      <c r="H32" s="6">
        <v>174957.2</v>
      </c>
      <c r="I32" s="7">
        <v>191013.790909091</v>
      </c>
      <c r="J32" s="7">
        <v>207070.381818182</v>
      </c>
      <c r="K32" s="7">
        <v>223126.972727273</v>
      </c>
      <c r="L32" s="7">
        <v>239183.563636364</v>
      </c>
      <c r="M32" s="7">
        <v>255240.154545455</v>
      </c>
      <c r="N32" s="7">
        <v>271296.745454545</v>
      </c>
      <c r="O32" s="7">
        <v>287353.336363636</v>
      </c>
      <c r="P32" s="7">
        <v>303409.927272727</v>
      </c>
      <c r="Q32" s="7">
        <v>319466.518181818</v>
      </c>
      <c r="R32" s="6">
        <v>300000</v>
      </c>
      <c r="S32" s="7">
        <v>306666.666666667</v>
      </c>
      <c r="T32" s="7">
        <v>313333.333333333</v>
      </c>
      <c r="U32" s="7">
        <v>320000</v>
      </c>
      <c r="V32" s="7">
        <v>326666.666666667</v>
      </c>
      <c r="W32" s="7">
        <v>333333.333333333</v>
      </c>
      <c r="X32" s="7">
        <v>340000</v>
      </c>
      <c r="Y32" s="7">
        <v>346666.666666667</v>
      </c>
      <c r="Z32" s="7">
        <v>353333.333333333</v>
      </c>
      <c r="AA32" s="7">
        <v>360000</v>
      </c>
      <c r="AB32" s="7">
        <v>366666.666666667</v>
      </c>
      <c r="AC32" s="7">
        <v>373333.333333334</v>
      </c>
      <c r="AD32" s="7">
        <v>380000</v>
      </c>
      <c r="AE32" s="7">
        <v>386666.666666667</v>
      </c>
      <c r="AF32" s="7">
        <v>393333.333333334</v>
      </c>
      <c r="AG32" s="6">
        <v>400000</v>
      </c>
      <c r="AH32" s="7">
        <v>410000</v>
      </c>
      <c r="AI32" s="7">
        <v>420000</v>
      </c>
      <c r="AJ32" s="7">
        <v>430000</v>
      </c>
      <c r="AK32" s="7">
        <v>440000</v>
      </c>
      <c r="AL32" s="7">
        <v>450000</v>
      </c>
      <c r="AM32" s="7">
        <v>460000</v>
      </c>
      <c r="AN32" s="7">
        <v>470000</v>
      </c>
      <c r="AO32" s="7">
        <v>480000</v>
      </c>
      <c r="AP32" s="7">
        <v>490000</v>
      </c>
      <c r="AQ32" s="6">
        <v>500000</v>
      </c>
    </row>
    <row r="33" spans="1:43">
      <c r="A33" s="5" t="s">
        <v>121</v>
      </c>
      <c r="B33" s="6">
        <v>62630</v>
      </c>
      <c r="C33" s="6">
        <v>78229</v>
      </c>
      <c r="D33" s="6">
        <v>107508</v>
      </c>
      <c r="E33" s="6">
        <v>157620</v>
      </c>
      <c r="F33" s="6">
        <v>254438</v>
      </c>
      <c r="G33" s="6">
        <v>374780</v>
      </c>
      <c r="H33" s="6">
        <v>533000</v>
      </c>
      <c r="I33" s="9">
        <v>571656.363636364</v>
      </c>
      <c r="J33" s="9">
        <v>610312.727272727</v>
      </c>
      <c r="K33" s="9">
        <v>648969.090909091</v>
      </c>
      <c r="L33" s="9">
        <v>687625.454545455</v>
      </c>
      <c r="M33" s="9">
        <v>726281.818181818</v>
      </c>
      <c r="N33" s="9">
        <v>764938.181818182</v>
      </c>
      <c r="O33" s="9">
        <v>803594.545454546</v>
      </c>
      <c r="P33" s="9">
        <v>842250.909090909</v>
      </c>
      <c r="Q33" s="9">
        <v>880907.272727273</v>
      </c>
      <c r="R33" s="6">
        <v>800000</v>
      </c>
      <c r="S33" s="9">
        <v>814000</v>
      </c>
      <c r="T33" s="9">
        <v>828000</v>
      </c>
      <c r="U33" s="9">
        <v>842000</v>
      </c>
      <c r="V33" s="9">
        <v>856000</v>
      </c>
      <c r="W33" s="9">
        <v>870000</v>
      </c>
      <c r="X33" s="9">
        <v>884000</v>
      </c>
      <c r="Y33" s="9">
        <v>898000</v>
      </c>
      <c r="Z33" s="9">
        <v>912000</v>
      </c>
      <c r="AA33" s="9">
        <v>926000</v>
      </c>
      <c r="AB33" s="9">
        <v>940000</v>
      </c>
      <c r="AC33" s="9">
        <v>954000</v>
      </c>
      <c r="AD33" s="9">
        <v>968000</v>
      </c>
      <c r="AE33" s="9">
        <v>982000</v>
      </c>
      <c r="AF33" s="9">
        <v>996000</v>
      </c>
      <c r="AG33" s="6">
        <v>1010000</v>
      </c>
      <c r="AH33" s="9">
        <v>1029000</v>
      </c>
      <c r="AI33" s="9">
        <v>1048000</v>
      </c>
      <c r="AJ33" s="9">
        <v>1067000</v>
      </c>
      <c r="AK33" s="9">
        <v>1086000</v>
      </c>
      <c r="AL33" s="9">
        <v>1105000</v>
      </c>
      <c r="AM33" s="9">
        <v>1124000</v>
      </c>
      <c r="AN33" s="9">
        <v>1143000</v>
      </c>
      <c r="AO33" s="9">
        <v>1162000</v>
      </c>
      <c r="AP33" s="9">
        <v>1181000</v>
      </c>
      <c r="AQ33" s="6">
        <v>1200000</v>
      </c>
    </row>
    <row r="34" customFormat="1" spans="1:43">
      <c r="A34" s="5" t="s">
        <v>122</v>
      </c>
      <c r="B34">
        <f t="shared" ref="B34:V34" si="11">B28+B33</f>
        <v>204300</v>
      </c>
      <c r="C34">
        <f t="shared" si="11"/>
        <v>251107.7</v>
      </c>
      <c r="D34">
        <f t="shared" si="11"/>
        <v>305987.4</v>
      </c>
      <c r="E34">
        <f t="shared" si="11"/>
        <v>392040</v>
      </c>
      <c r="F34">
        <f t="shared" si="11"/>
        <v>608919</v>
      </c>
      <c r="G34">
        <f t="shared" si="11"/>
        <v>885670</v>
      </c>
      <c r="H34">
        <f t="shared" si="11"/>
        <v>1203000</v>
      </c>
      <c r="I34">
        <f t="shared" si="11"/>
        <v>571656.363636364</v>
      </c>
      <c r="J34">
        <f t="shared" si="11"/>
        <v>610312.727272727</v>
      </c>
      <c r="K34">
        <f t="shared" si="11"/>
        <v>648969.090909091</v>
      </c>
      <c r="L34">
        <f t="shared" si="11"/>
        <v>687625.454545455</v>
      </c>
      <c r="M34">
        <f t="shared" si="11"/>
        <v>726281.818181818</v>
      </c>
      <c r="N34">
        <f t="shared" si="11"/>
        <v>764938.181818182</v>
      </c>
      <c r="O34">
        <f t="shared" si="11"/>
        <v>803594.545454546</v>
      </c>
      <c r="P34">
        <f t="shared" si="11"/>
        <v>842250.909090909</v>
      </c>
      <c r="Q34">
        <f t="shared" si="11"/>
        <v>880907.272727273</v>
      </c>
      <c r="R34">
        <f t="shared" si="11"/>
        <v>800000</v>
      </c>
      <c r="S34">
        <f t="shared" si="11"/>
        <v>814000</v>
      </c>
      <c r="T34">
        <f t="shared" si="11"/>
        <v>828000</v>
      </c>
      <c r="U34">
        <f t="shared" si="11"/>
        <v>842000</v>
      </c>
      <c r="V34">
        <f t="shared" si="11"/>
        <v>856000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399975585192419"/>
  </sheetPr>
  <dimension ref="A1:D17"/>
  <sheetViews>
    <sheetView tabSelected="1" workbookViewId="0">
      <selection activeCell="F36" sqref="F36"/>
    </sheetView>
  </sheetViews>
  <sheetFormatPr defaultColWidth="8.79646017699115" defaultRowHeight="13.5" outlineLevelCol="3"/>
  <cols>
    <col min="1" max="1" width="33.1327433628319" customWidth="1"/>
    <col min="2" max="3" width="21.7964601769912" customWidth="1"/>
    <col min="4" max="4" width="13.1327433628319" customWidth="1"/>
  </cols>
  <sheetData>
    <row r="1" spans="1:4">
      <c r="A1" s="3" t="s">
        <v>117</v>
      </c>
      <c r="B1" s="3" t="s">
        <v>123</v>
      </c>
      <c r="C1" s="3" t="s">
        <v>124</v>
      </c>
      <c r="D1" s="3" t="s">
        <v>125</v>
      </c>
    </row>
    <row r="2" spans="1:4">
      <c r="A2" s="3" t="s">
        <v>126</v>
      </c>
      <c r="B2">
        <v>0</v>
      </c>
      <c r="C2">
        <v>0</v>
      </c>
      <c r="D2">
        <v>0</v>
      </c>
    </row>
    <row r="3" spans="1:4">
      <c r="A3" s="3" t="s">
        <v>127</v>
      </c>
      <c r="B3">
        <v>0</v>
      </c>
      <c r="C3">
        <v>0</v>
      </c>
      <c r="D3">
        <v>0</v>
      </c>
    </row>
    <row r="4" spans="1:4">
      <c r="A4" s="3" t="s">
        <v>128</v>
      </c>
      <c r="B4">
        <v>0</v>
      </c>
      <c r="C4">
        <v>0</v>
      </c>
      <c r="D4">
        <v>0</v>
      </c>
    </row>
    <row r="5" spans="1:4">
      <c r="A5" s="3" t="s">
        <v>129</v>
      </c>
      <c r="B5">
        <v>0</v>
      </c>
      <c r="C5">
        <v>0</v>
      </c>
      <c r="D5">
        <v>0</v>
      </c>
    </row>
    <row r="6" spans="1:4">
      <c r="A6" s="3" t="s">
        <v>130</v>
      </c>
      <c r="B6">
        <v>0</v>
      </c>
      <c r="C6">
        <v>0</v>
      </c>
      <c r="D6">
        <v>0</v>
      </c>
    </row>
    <row r="7" spans="1:4">
      <c r="A7" s="3" t="s">
        <v>131</v>
      </c>
      <c r="B7">
        <f>中国光伏数据!B20</f>
        <v>2303.7</v>
      </c>
      <c r="C7">
        <f>中国光伏数据!B21</f>
        <v>13054.3</v>
      </c>
      <c r="D7">
        <f>中国光伏数据!B18</f>
        <v>47272</v>
      </c>
    </row>
    <row r="8" spans="1:4">
      <c r="A8" s="3" t="s">
        <v>132</v>
      </c>
      <c r="B8">
        <v>0</v>
      </c>
      <c r="C8">
        <v>0</v>
      </c>
      <c r="D8">
        <v>0</v>
      </c>
    </row>
    <row r="9" spans="1:4">
      <c r="A9" s="3" t="s">
        <v>133</v>
      </c>
      <c r="B9">
        <v>0</v>
      </c>
      <c r="C9">
        <v>0</v>
      </c>
      <c r="D9">
        <v>0</v>
      </c>
    </row>
    <row r="10" spans="1:4">
      <c r="A10" s="3" t="s">
        <v>134</v>
      </c>
      <c r="B10">
        <v>0</v>
      </c>
      <c r="C10">
        <v>0</v>
      </c>
      <c r="D10">
        <v>0</v>
      </c>
    </row>
    <row r="11" spans="1:4">
      <c r="A11" s="3" t="s">
        <v>135</v>
      </c>
      <c r="B11">
        <v>0</v>
      </c>
      <c r="C11">
        <v>0</v>
      </c>
      <c r="D11">
        <v>0</v>
      </c>
    </row>
    <row r="12" spans="1:4">
      <c r="A12" s="3" t="s">
        <v>136</v>
      </c>
      <c r="B12">
        <v>0</v>
      </c>
      <c r="C12">
        <v>0</v>
      </c>
      <c r="D12">
        <v>0</v>
      </c>
    </row>
    <row r="13" spans="1:4">
      <c r="A13" s="3" t="s">
        <v>137</v>
      </c>
      <c r="B13">
        <v>0</v>
      </c>
      <c r="C13">
        <v>0</v>
      </c>
      <c r="D13">
        <v>0</v>
      </c>
    </row>
    <row r="14" spans="1:4">
      <c r="A14" s="3" t="s">
        <v>138</v>
      </c>
      <c r="B14">
        <v>0</v>
      </c>
      <c r="C14">
        <v>0</v>
      </c>
      <c r="D14">
        <v>0</v>
      </c>
    </row>
    <row r="15" spans="1:4">
      <c r="A15" s="3" t="s">
        <v>139</v>
      </c>
      <c r="B15">
        <v>0</v>
      </c>
      <c r="C15">
        <v>0</v>
      </c>
      <c r="D15">
        <v>0</v>
      </c>
    </row>
    <row r="16" spans="1:4">
      <c r="A16" s="3" t="s">
        <v>140</v>
      </c>
      <c r="B16">
        <v>0</v>
      </c>
      <c r="C16">
        <v>0</v>
      </c>
      <c r="D16">
        <v>0</v>
      </c>
    </row>
    <row r="17" spans="1:4">
      <c r="A17" s="3" t="s">
        <v>141</v>
      </c>
      <c r="B17">
        <v>0</v>
      </c>
      <c r="C17">
        <v>0</v>
      </c>
      <c r="D17">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Q17"/>
  <sheetViews>
    <sheetView workbookViewId="0">
      <selection activeCell="B7" sqref="B7"/>
    </sheetView>
  </sheetViews>
  <sheetFormatPr defaultColWidth="8.79646017699115" defaultRowHeight="13.5"/>
  <cols>
    <col min="1" max="1" width="29.7964601769912" customWidth="1"/>
    <col min="2" max="4" width="7.52212389380531" customWidth="1"/>
    <col min="5" max="8" width="8.52212389380531" customWidth="1"/>
    <col min="9" max="13" width="12.7964601769912" customWidth="1"/>
    <col min="14" max="14" width="11.7964601769912" customWidth="1"/>
    <col min="15" max="15" width="9.52212389380531" customWidth="1"/>
    <col min="16" max="16" width="11.7964601769912" customWidth="1"/>
    <col min="17" max="34" width="12.7964601769912" customWidth="1"/>
    <col min="35" max="37" width="11.7964601769912" customWidth="1"/>
    <col min="38" max="43" width="12.7964601769912" customWidth="1"/>
  </cols>
  <sheetData>
    <row r="1" spans="1:43">
      <c r="A1" s="2" t="s">
        <v>117</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2">
        <v>2051</v>
      </c>
      <c r="AI1" s="2">
        <v>2052</v>
      </c>
      <c r="AJ1" s="2">
        <v>2053</v>
      </c>
      <c r="AK1" s="2">
        <v>2054</v>
      </c>
      <c r="AL1" s="2">
        <v>2055</v>
      </c>
      <c r="AM1" s="2">
        <v>2056</v>
      </c>
      <c r="AN1" s="2">
        <v>2057</v>
      </c>
      <c r="AO1" s="2">
        <v>2058</v>
      </c>
      <c r="AP1" s="2">
        <v>2059</v>
      </c>
      <c r="AQ1" s="2">
        <v>2060</v>
      </c>
    </row>
    <row r="2" spans="1:43">
      <c r="A2" s="2" t="s">
        <v>126</v>
      </c>
      <c r="B2" s="1">
        <v>0</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row>
    <row r="3" spans="1:43">
      <c r="A3" s="2" t="s">
        <v>127</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row>
    <row r="4" spans="1:43">
      <c r="A4" s="2" t="s">
        <v>128</v>
      </c>
      <c r="B4" s="1">
        <v>0</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row>
    <row r="5" spans="1:43">
      <c r="A5" s="2" t="s">
        <v>129</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row>
    <row r="6" spans="1:43">
      <c r="A6" s="2" t="s">
        <v>130</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row>
    <row r="7" spans="1:43">
      <c r="A7" s="2" t="s">
        <v>131</v>
      </c>
      <c r="B7" s="1">
        <f>中国光伏数据!B$20</f>
        <v>2303.7</v>
      </c>
      <c r="C7" s="1">
        <f>中国光伏数据!C$20</f>
        <v>3821.7</v>
      </c>
      <c r="D7" s="1">
        <f>中国光伏数据!D$20</f>
        <v>7060.2</v>
      </c>
      <c r="E7" s="1">
        <f>中国光伏数据!E$20</f>
        <v>10847.1</v>
      </c>
      <c r="F7" s="1">
        <f>中国光伏数据!F$20</f>
        <v>17369.55</v>
      </c>
      <c r="G7" s="1">
        <f>中国光伏数据!G$20</f>
        <v>21772.5</v>
      </c>
      <c r="H7" s="1">
        <f>中国光伏数据!H$20</f>
        <v>30874.8</v>
      </c>
      <c r="I7" s="1">
        <f>中国光伏数据!I$20</f>
        <v>37986.3909090909</v>
      </c>
      <c r="J7" s="1">
        <f>中国光伏数据!J$20</f>
        <v>44876.7919191919</v>
      </c>
      <c r="K7" s="1">
        <f>中国光伏数据!K$20</f>
        <v>51767.1929292929</v>
      </c>
      <c r="L7" s="1">
        <f>中国光伏数据!L$20</f>
        <v>58657.5939393939</v>
      </c>
      <c r="M7" s="1">
        <f>中国光伏数据!M$20</f>
        <v>65547.994949495</v>
      </c>
      <c r="N7" s="1">
        <f>中国光伏数据!N$20</f>
        <v>72438.395959596</v>
      </c>
      <c r="O7" s="1">
        <f>中国光伏数据!O$20</f>
        <v>79328.796969697</v>
      </c>
      <c r="P7" s="1">
        <f>中国光伏数据!P$20</f>
        <v>86219.197979798</v>
      </c>
      <c r="Q7" s="1">
        <f>中国光伏数据!Q$20</f>
        <v>93109.598989899</v>
      </c>
      <c r="R7" s="1">
        <f>中国光伏数据!R$20</f>
        <v>100000</v>
      </c>
      <c r="S7" s="1">
        <f>中国光伏数据!S$20</f>
        <v>104000</v>
      </c>
      <c r="T7" s="1">
        <f>中国光伏数据!T$20</f>
        <v>108000</v>
      </c>
      <c r="U7" s="1">
        <f>中国光伏数据!U$20</f>
        <v>112000</v>
      </c>
      <c r="V7" s="1">
        <f>中国光伏数据!V$20</f>
        <v>116000</v>
      </c>
      <c r="W7" s="1">
        <f>中国光伏数据!W$20</f>
        <v>120000</v>
      </c>
      <c r="X7" s="1">
        <f>中国光伏数据!X$20</f>
        <v>124000</v>
      </c>
      <c r="Y7" s="1">
        <f>中国光伏数据!Y$20</f>
        <v>128000</v>
      </c>
      <c r="Z7" s="1">
        <f>中国光伏数据!Z$20</f>
        <v>132000</v>
      </c>
      <c r="AA7" s="1">
        <f>中国光伏数据!AA$20</f>
        <v>136000</v>
      </c>
      <c r="AB7" s="1">
        <f>中国光伏数据!AB$20</f>
        <v>140000</v>
      </c>
      <c r="AC7" s="1">
        <f>中国光伏数据!AC$20</f>
        <v>144000</v>
      </c>
      <c r="AD7" s="1">
        <f>中国光伏数据!AD$20</f>
        <v>148000</v>
      </c>
      <c r="AE7" s="1">
        <f>中国光伏数据!AE$20</f>
        <v>152000</v>
      </c>
      <c r="AF7" s="1">
        <f>中国光伏数据!AF$20</f>
        <v>156000</v>
      </c>
      <c r="AG7" s="1">
        <f>中国光伏数据!AG$20</f>
        <v>160000</v>
      </c>
      <c r="AH7" s="1">
        <f>中国光伏数据!AH$20</f>
        <v>164000</v>
      </c>
      <c r="AI7" s="1">
        <f>中国光伏数据!AI$20</f>
        <v>168000</v>
      </c>
      <c r="AJ7" s="1">
        <f>中国光伏数据!AJ$20</f>
        <v>172000</v>
      </c>
      <c r="AK7" s="1">
        <f>中国光伏数据!AK$20</f>
        <v>176000</v>
      </c>
      <c r="AL7" s="1">
        <f>中国光伏数据!AL$20</f>
        <v>180000</v>
      </c>
      <c r="AM7" s="1">
        <f>中国光伏数据!AM$20</f>
        <v>184000</v>
      </c>
      <c r="AN7" s="1">
        <f>中国光伏数据!AN$20</f>
        <v>188000</v>
      </c>
      <c r="AO7" s="1">
        <f>中国光伏数据!AO$20</f>
        <v>192000</v>
      </c>
      <c r="AP7" s="1">
        <f>中国光伏数据!AP$20</f>
        <v>196000</v>
      </c>
      <c r="AQ7" s="1">
        <f>中国光伏数据!AQ$20</f>
        <v>200000</v>
      </c>
    </row>
    <row r="8" spans="1:43">
      <c r="A8" s="2" t="s">
        <v>132</v>
      </c>
      <c r="B8" s="1">
        <v>0</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row>
    <row r="9" spans="1:43">
      <c r="A9" s="2" t="s">
        <v>133</v>
      </c>
      <c r="B9" s="1">
        <v>0</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row>
    <row r="10" spans="1:43">
      <c r="A10" s="2" t="s">
        <v>134</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row>
    <row r="11" spans="1:43">
      <c r="A11" s="2" t="s">
        <v>135</v>
      </c>
      <c r="B11" s="1">
        <v>0</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row>
    <row r="12" spans="1:43">
      <c r="A12" s="2" t="s">
        <v>136</v>
      </c>
      <c r="B12" s="1">
        <v>0</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row>
    <row r="13" spans="1:43">
      <c r="A13" s="2" t="s">
        <v>137</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row>
    <row r="14" spans="1:43">
      <c r="A14" s="2" t="s">
        <v>138</v>
      </c>
      <c r="B14" s="1">
        <v>0</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row>
    <row r="15" spans="1:43">
      <c r="A15" s="2" t="s">
        <v>139</v>
      </c>
      <c r="B15" s="1">
        <v>0</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row>
    <row r="16" spans="1:43">
      <c r="A16" s="2" t="s">
        <v>140</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row>
    <row r="17" spans="1:43">
      <c r="A17" s="2" t="s">
        <v>141</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Q17"/>
  <sheetViews>
    <sheetView topLeftCell="A7" workbookViewId="0">
      <selection activeCell="B7" sqref="B7"/>
    </sheetView>
  </sheetViews>
  <sheetFormatPr defaultColWidth="8.79646017699115" defaultRowHeight="13.5"/>
  <cols>
    <col min="1" max="1" width="29.7964601769912" customWidth="1"/>
    <col min="2" max="4" width="7.52212389380531" customWidth="1"/>
    <col min="5" max="8" width="8.52212389380531" customWidth="1"/>
    <col min="9" max="13" width="12.7964601769912" customWidth="1"/>
    <col min="14" max="14" width="11.7964601769912" customWidth="1"/>
    <col min="15" max="15" width="9.52212389380531" customWidth="1"/>
    <col min="16" max="16" width="11.7964601769912" customWidth="1"/>
    <col min="17" max="34" width="12.7964601769912" customWidth="1"/>
    <col min="35" max="37" width="11.7964601769912" customWidth="1"/>
    <col min="38" max="43" width="12.7964601769912" customWidth="1"/>
  </cols>
  <sheetData>
    <row r="1" spans="1:43">
      <c r="A1" s="2" t="s">
        <v>117</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2">
        <v>2051</v>
      </c>
      <c r="AI1" s="2">
        <v>2052</v>
      </c>
      <c r="AJ1" s="2">
        <v>2053</v>
      </c>
      <c r="AK1" s="2">
        <v>2054</v>
      </c>
      <c r="AL1" s="2">
        <v>2055</v>
      </c>
      <c r="AM1" s="2">
        <v>2056</v>
      </c>
      <c r="AN1" s="2">
        <v>2057</v>
      </c>
      <c r="AO1" s="2">
        <v>2058</v>
      </c>
      <c r="AP1" s="2">
        <v>2059</v>
      </c>
      <c r="AQ1" s="2">
        <v>2060</v>
      </c>
    </row>
    <row r="2" spans="1:43">
      <c r="A2" s="2" t="s">
        <v>126</v>
      </c>
      <c r="B2" s="1">
        <v>0</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row>
    <row r="3" spans="1:43">
      <c r="A3" s="2" t="s">
        <v>127</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row>
    <row r="4" spans="1:43">
      <c r="A4" s="2" t="s">
        <v>128</v>
      </c>
      <c r="B4" s="1">
        <v>0</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row>
    <row r="5" spans="1:43">
      <c r="A5" s="2" t="s">
        <v>129</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row>
    <row r="6" spans="1:43">
      <c r="A6" s="2" t="s">
        <v>130</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row>
    <row r="7" spans="1:43">
      <c r="A7" s="2" t="s">
        <v>131</v>
      </c>
      <c r="B7" s="1">
        <f>中国光伏数据!B$21</f>
        <v>13054.3</v>
      </c>
      <c r="C7" s="1">
        <f>中国光伏数据!C$21</f>
        <v>21656.3</v>
      </c>
      <c r="D7" s="1">
        <f>中国光伏数据!D$21</f>
        <v>40007.8</v>
      </c>
      <c r="E7" s="1">
        <f>中国光伏数据!E$21</f>
        <v>61466.9</v>
      </c>
      <c r="F7" s="1">
        <f>中国光伏数据!F$21</f>
        <v>98427.45</v>
      </c>
      <c r="G7" s="1">
        <f>中国光伏数据!G$21</f>
        <v>123377.5</v>
      </c>
      <c r="H7" s="1">
        <f>中国光伏数据!H$21</f>
        <v>174957.2</v>
      </c>
      <c r="I7" s="1">
        <f>中国光伏数据!I$21</f>
        <v>191013.790909091</v>
      </c>
      <c r="J7" s="1">
        <f>中国光伏数据!J$21</f>
        <v>203123.36969697</v>
      </c>
      <c r="K7" s="1">
        <f>中国光伏数据!K$21</f>
        <v>215232.948484849</v>
      </c>
      <c r="L7" s="1">
        <f>中国光伏数据!L$21</f>
        <v>227342.527272727</v>
      </c>
      <c r="M7" s="1">
        <f>中国光伏数据!M$21</f>
        <v>239452.106060606</v>
      </c>
      <c r="N7" s="1">
        <f>中国光伏数据!N$21</f>
        <v>251561.684848485</v>
      </c>
      <c r="O7" s="1">
        <f>中国光伏数据!O$21</f>
        <v>263671.263636364</v>
      </c>
      <c r="P7" s="1">
        <f>中国光伏数据!P$21</f>
        <v>275780.842424242</v>
      </c>
      <c r="Q7" s="1">
        <f>中国光伏数据!Q$21</f>
        <v>287890.421212121</v>
      </c>
      <c r="R7" s="1">
        <f>中国光伏数据!R$21</f>
        <v>300000</v>
      </c>
      <c r="S7" s="1">
        <f>中国光伏数据!S$21</f>
        <v>306666.666666667</v>
      </c>
      <c r="T7" s="1">
        <f>中国光伏数据!T$21</f>
        <v>313333.333333333</v>
      </c>
      <c r="U7" s="1">
        <f>中国光伏数据!U$21</f>
        <v>320000</v>
      </c>
      <c r="V7" s="1">
        <f>中国光伏数据!V$21</f>
        <v>326666.666666667</v>
      </c>
      <c r="W7" s="1">
        <f>中国光伏数据!W$21</f>
        <v>333333.333333333</v>
      </c>
      <c r="X7" s="1">
        <f>中国光伏数据!X$21</f>
        <v>340000</v>
      </c>
      <c r="Y7" s="1">
        <f>中国光伏数据!Y$21</f>
        <v>346666.666666667</v>
      </c>
      <c r="Z7" s="1">
        <f>中国光伏数据!Z$21</f>
        <v>353333.333333333</v>
      </c>
      <c r="AA7" s="1">
        <f>中国光伏数据!AA$21</f>
        <v>360000</v>
      </c>
      <c r="AB7" s="1">
        <f>中国光伏数据!AB$21</f>
        <v>366666.666666667</v>
      </c>
      <c r="AC7" s="1">
        <f>中国光伏数据!AC$21</f>
        <v>373333.333333334</v>
      </c>
      <c r="AD7" s="1">
        <f>中国光伏数据!AD$21</f>
        <v>380000</v>
      </c>
      <c r="AE7" s="1">
        <f>中国光伏数据!AE$21</f>
        <v>386666.666666667</v>
      </c>
      <c r="AF7" s="1">
        <f>中国光伏数据!AF$21</f>
        <v>393333.333333334</v>
      </c>
      <c r="AG7" s="1">
        <f>中国光伏数据!AG$21</f>
        <v>400000</v>
      </c>
      <c r="AH7" s="1">
        <f>中国光伏数据!AH$21</f>
        <v>410000</v>
      </c>
      <c r="AI7" s="1">
        <f>中国光伏数据!AI$21</f>
        <v>420000</v>
      </c>
      <c r="AJ7" s="1">
        <f>中国光伏数据!AJ$21</f>
        <v>430000</v>
      </c>
      <c r="AK7" s="1">
        <f>中国光伏数据!AK$21</f>
        <v>440000</v>
      </c>
      <c r="AL7" s="1">
        <f>中国光伏数据!AL$21</f>
        <v>450000</v>
      </c>
      <c r="AM7" s="1">
        <f>中国光伏数据!AM$21</f>
        <v>460000</v>
      </c>
      <c r="AN7" s="1">
        <f>中国光伏数据!AN$21</f>
        <v>470000</v>
      </c>
      <c r="AO7" s="1">
        <f>中国光伏数据!AO$21</f>
        <v>480000</v>
      </c>
      <c r="AP7" s="1">
        <f>中国光伏数据!AP$21</f>
        <v>490000</v>
      </c>
      <c r="AQ7" s="1">
        <f>中国光伏数据!AQ$21</f>
        <v>500000</v>
      </c>
    </row>
    <row r="8" spans="1:43">
      <c r="A8" s="2" t="s">
        <v>132</v>
      </c>
      <c r="B8" s="1">
        <v>0</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row>
    <row r="9" spans="1:43">
      <c r="A9" s="2" t="s">
        <v>133</v>
      </c>
      <c r="B9" s="1">
        <v>0</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row>
    <row r="10" spans="1:43">
      <c r="A10" s="2" t="s">
        <v>134</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row>
    <row r="11" spans="1:43">
      <c r="A11" s="2" t="s">
        <v>135</v>
      </c>
      <c r="B11" s="1">
        <v>0</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row>
    <row r="12" spans="1:43">
      <c r="A12" s="2" t="s">
        <v>136</v>
      </c>
      <c r="B12" s="1">
        <v>0</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row>
    <row r="13" spans="1:43">
      <c r="A13" s="2" t="s">
        <v>137</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row>
    <row r="14" spans="1:43">
      <c r="A14" s="2" t="s">
        <v>138</v>
      </c>
      <c r="B14" s="1">
        <v>0</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row>
    <row r="15" spans="1:43">
      <c r="A15" s="2" t="s">
        <v>139</v>
      </c>
      <c r="B15" s="1">
        <v>0</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row>
    <row r="16" spans="1:43">
      <c r="A16" s="2" t="s">
        <v>140</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row>
    <row r="17" spans="1:43">
      <c r="A17" s="2" t="s">
        <v>141</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Q17"/>
  <sheetViews>
    <sheetView workbookViewId="0">
      <selection activeCell="A1" sqref="$A1:$XFD1048576"/>
    </sheetView>
  </sheetViews>
  <sheetFormatPr defaultColWidth="8.79646017699115" defaultRowHeight="13.5"/>
  <cols>
    <col min="1" max="1" width="29.7964601769912" customWidth="1"/>
    <col min="2" max="4" width="7.52212389380531" customWidth="1"/>
    <col min="5" max="8" width="8.52212389380531" customWidth="1"/>
    <col min="9" max="13" width="12.7964601769912" customWidth="1"/>
    <col min="14" max="14" width="11.7964601769912" customWidth="1"/>
    <col min="15" max="15" width="9.52212389380531" customWidth="1"/>
    <col min="16" max="16" width="11.7964601769912" customWidth="1"/>
    <col min="17" max="34" width="12.7964601769912" customWidth="1"/>
    <col min="35" max="37" width="11.7964601769912" customWidth="1"/>
    <col min="38" max="43" width="12.7964601769912" customWidth="1"/>
  </cols>
  <sheetData>
    <row r="1" spans="1:43">
      <c r="A1" s="2" t="s">
        <v>117</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2">
        <v>2051</v>
      </c>
      <c r="AI1" s="2">
        <v>2052</v>
      </c>
      <c r="AJ1" s="2">
        <v>2053</v>
      </c>
      <c r="AK1" s="2">
        <v>2054</v>
      </c>
      <c r="AL1" s="2">
        <v>2055</v>
      </c>
      <c r="AM1" s="2">
        <v>2056</v>
      </c>
      <c r="AN1" s="2">
        <v>2057</v>
      </c>
      <c r="AO1" s="2">
        <v>2058</v>
      </c>
      <c r="AP1" s="2">
        <v>2059</v>
      </c>
      <c r="AQ1" s="2">
        <v>2060</v>
      </c>
    </row>
    <row r="2" spans="1:43">
      <c r="A2" s="2" t="s">
        <v>126</v>
      </c>
      <c r="B2" s="1">
        <v>0</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row>
    <row r="3" spans="1:43">
      <c r="A3" s="2" t="s">
        <v>127</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row>
    <row r="4" spans="1:43">
      <c r="A4" s="2" t="s">
        <v>128</v>
      </c>
      <c r="B4" s="1">
        <v>0</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row>
    <row r="5" spans="1:43">
      <c r="A5" s="2" t="s">
        <v>129</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row>
    <row r="6" spans="1:43">
      <c r="A6" s="2" t="s">
        <v>130</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row>
    <row r="7" spans="1:43">
      <c r="A7" s="2" t="s">
        <v>131</v>
      </c>
      <c r="B7" s="1">
        <f>中国光伏数据!B$18</f>
        <v>47272</v>
      </c>
      <c r="C7" s="1">
        <f>中国光伏数据!C$18</f>
        <v>52751</v>
      </c>
      <c r="D7" s="1">
        <f>中国光伏数据!D$18</f>
        <v>60440</v>
      </c>
      <c r="E7" s="1">
        <f>中国光伏数据!E$18</f>
        <v>85306</v>
      </c>
      <c r="F7" s="1">
        <f>中国光伏数据!F$18</f>
        <v>138641</v>
      </c>
      <c r="G7" s="1">
        <f>中国光伏数据!G$18</f>
        <v>229630</v>
      </c>
      <c r="H7" s="1">
        <f>中国光伏数据!H$18</f>
        <v>327168</v>
      </c>
      <c r="I7" s="1">
        <f>中国光伏数据!I$18</f>
        <v>342656.181818182</v>
      </c>
      <c r="J7" s="1">
        <f>中国光伏数据!J$18</f>
        <v>349027.717171717</v>
      </c>
      <c r="K7" s="1">
        <f>中国光伏数据!K$18</f>
        <v>355399.252525253</v>
      </c>
      <c r="L7" s="1">
        <f>中国光伏数据!L$18</f>
        <v>361770.787878788</v>
      </c>
      <c r="M7" s="1">
        <f>中国光伏数据!M$18</f>
        <v>368142.323232323</v>
      </c>
      <c r="N7" s="1">
        <f>中国光伏数据!N$18</f>
        <v>374513.858585859</v>
      </c>
      <c r="O7" s="1">
        <f>中国光伏数据!O$18</f>
        <v>380885.393939394</v>
      </c>
      <c r="P7" s="1">
        <f>中国光伏数据!P$18</f>
        <v>387256.929292929</v>
      </c>
      <c r="Q7" s="1">
        <f>中国光伏数据!Q$18</f>
        <v>393628.464646465</v>
      </c>
      <c r="R7" s="1">
        <f>中国光伏数据!R$18</f>
        <v>400000</v>
      </c>
      <c r="S7" s="1">
        <f>中国光伏数据!S$18</f>
        <v>403333.333333333</v>
      </c>
      <c r="T7" s="1">
        <f>中国光伏数据!T$18</f>
        <v>406666.666666667</v>
      </c>
      <c r="U7" s="1">
        <f>中国光伏数据!U$18</f>
        <v>410000</v>
      </c>
      <c r="V7" s="1">
        <f>中国光伏数据!V$18</f>
        <v>413333.333333333</v>
      </c>
      <c r="W7" s="1">
        <f>中国光伏数据!W$18</f>
        <v>416666.666666667</v>
      </c>
      <c r="X7" s="1">
        <f>中国光伏数据!X$18</f>
        <v>420000</v>
      </c>
      <c r="Y7" s="1">
        <f>中国光伏数据!Y$18</f>
        <v>423333.333333333</v>
      </c>
      <c r="Z7" s="1">
        <f>中国光伏数据!Z$18</f>
        <v>426666.666666667</v>
      </c>
      <c r="AA7" s="1">
        <f>中国光伏数据!AA$18</f>
        <v>430000</v>
      </c>
      <c r="AB7" s="1">
        <f>中国光伏数据!AB$18</f>
        <v>433333.333333333</v>
      </c>
      <c r="AC7" s="1">
        <f>中国光伏数据!AC$18</f>
        <v>436666.666666666</v>
      </c>
      <c r="AD7" s="1">
        <f>中国光伏数据!AD$18</f>
        <v>440000</v>
      </c>
      <c r="AE7" s="1">
        <f>中国光伏数据!AE$18</f>
        <v>443333.333333333</v>
      </c>
      <c r="AF7" s="1">
        <f>中国光伏数据!AF$18</f>
        <v>446666.666666666</v>
      </c>
      <c r="AG7" s="1">
        <f>中国光伏数据!AG$18</f>
        <v>450000</v>
      </c>
      <c r="AH7" s="1">
        <f>中国光伏数据!AH$18</f>
        <v>455000</v>
      </c>
      <c r="AI7" s="1">
        <f>中国光伏数据!AI$18</f>
        <v>460000</v>
      </c>
      <c r="AJ7" s="1">
        <f>中国光伏数据!AJ$18</f>
        <v>465000</v>
      </c>
      <c r="AK7" s="1">
        <f>中国光伏数据!AK$18</f>
        <v>470000</v>
      </c>
      <c r="AL7" s="1">
        <f>中国光伏数据!AL$18</f>
        <v>475000</v>
      </c>
      <c r="AM7" s="1">
        <f>中国光伏数据!AM$18</f>
        <v>480000</v>
      </c>
      <c r="AN7" s="1">
        <f>中国光伏数据!AN$18</f>
        <v>485000</v>
      </c>
      <c r="AO7" s="1">
        <f>中国光伏数据!AO$18</f>
        <v>490000</v>
      </c>
      <c r="AP7" s="1">
        <f>中国光伏数据!AP$18</f>
        <v>495000</v>
      </c>
      <c r="AQ7" s="1">
        <f>中国光伏数据!AQ$18</f>
        <v>500000</v>
      </c>
    </row>
    <row r="8" spans="1:43">
      <c r="A8" s="2" t="s">
        <v>132</v>
      </c>
      <c r="B8" s="1">
        <v>0</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row>
    <row r="9" spans="1:43">
      <c r="A9" s="2" t="s">
        <v>133</v>
      </c>
      <c r="B9" s="1">
        <v>0</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row>
    <row r="10" spans="1:43">
      <c r="A10" s="2" t="s">
        <v>134</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row>
    <row r="11" spans="1:43">
      <c r="A11" s="2" t="s">
        <v>135</v>
      </c>
      <c r="B11" s="1">
        <v>0</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row>
    <row r="12" spans="1:43">
      <c r="A12" s="2" t="s">
        <v>136</v>
      </c>
      <c r="B12" s="1">
        <v>0</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row>
    <row r="13" spans="1:43">
      <c r="A13" s="2" t="s">
        <v>137</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row>
    <row r="14" spans="1:43">
      <c r="A14" s="2" t="s">
        <v>138</v>
      </c>
      <c r="B14" s="1">
        <v>0</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row>
    <row r="15" spans="1:43">
      <c r="A15" s="2" t="s">
        <v>139</v>
      </c>
      <c r="B15" s="1">
        <v>0</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row>
    <row r="16" spans="1:43">
      <c r="A16" s="2" t="s">
        <v>140</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row>
    <row r="17" spans="1:43">
      <c r="A17" s="2" t="s">
        <v>141</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Q17"/>
  <sheetViews>
    <sheetView workbookViewId="0">
      <selection activeCell="B7" sqref="B7"/>
    </sheetView>
  </sheetViews>
  <sheetFormatPr defaultColWidth="9" defaultRowHeight="13.5"/>
  <cols>
    <col min="1" max="1" width="33.1327433628319" style="1" customWidth="1"/>
    <col min="2" max="2" width="10.5221238938053" style="1" customWidth="1"/>
    <col min="3" max="43" width="12.7964601769912" style="1" customWidth="1"/>
    <col min="44" max="44" width="7" style="1" customWidth="1"/>
    <col min="45" max="16384" width="9" style="1"/>
  </cols>
  <sheetData>
    <row r="1" spans="1:43">
      <c r="A1" s="2" t="s">
        <v>142</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2">
        <v>2051</v>
      </c>
      <c r="AI1" s="2">
        <v>2052</v>
      </c>
      <c r="AJ1" s="2">
        <v>2053</v>
      </c>
      <c r="AK1" s="2">
        <v>2054</v>
      </c>
      <c r="AL1" s="2">
        <v>2055</v>
      </c>
      <c r="AM1" s="2">
        <v>2056</v>
      </c>
      <c r="AN1" s="2">
        <v>2057</v>
      </c>
      <c r="AO1" s="2">
        <v>2058</v>
      </c>
      <c r="AP1" s="2">
        <v>2059</v>
      </c>
      <c r="AQ1" s="2">
        <v>2060</v>
      </c>
    </row>
    <row r="2" spans="1:43">
      <c r="A2" s="2" t="s">
        <v>126</v>
      </c>
      <c r="B2" s="1">
        <v>0</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row>
    <row r="3" spans="1:43">
      <c r="A3" s="2" t="s">
        <v>127</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row>
    <row r="4" spans="1:43">
      <c r="A4" s="2" t="s">
        <v>128</v>
      </c>
      <c r="B4" s="1">
        <v>0</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row>
    <row r="5" spans="1:43">
      <c r="A5" s="2" t="s">
        <v>129</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row>
    <row r="6" spans="1:43">
      <c r="A6" s="2" t="s">
        <v>130</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row>
    <row r="7" spans="1:43">
      <c r="A7" s="2" t="s">
        <v>131</v>
      </c>
      <c r="B7" s="1">
        <f>'BDEQ-BDESC-urban-residential'!B$7*分布式年运行时间!B$6</f>
        <v>2006603.92851393</v>
      </c>
      <c r="C7" s="1">
        <f>'BDEQ-BDESC-urban-residential'!C$7*分布式年运行时间!C$6</f>
        <v>3315362.59103105</v>
      </c>
      <c r="D7" s="1">
        <f>'BDEQ-BDESC-urban-residential'!D$7*分布式年运行时间!D$6</f>
        <v>6074603.75041857</v>
      </c>
      <c r="E7" s="1">
        <f>'BDEQ-BDESC-urban-residential'!E$7*分布式年运行时间!E$6</f>
        <v>9889152.83593453</v>
      </c>
      <c r="F7" s="1">
        <f>'BDEQ-BDESC-urban-residential'!F$7*分布式年运行时间!F$6</f>
        <v>14213051.1558808</v>
      </c>
      <c r="G7" s="1">
        <f>'BDEQ-BDESC-urban-residential'!G$7*分布式年运行时间!G$6</f>
        <v>20112171.1404023</v>
      </c>
      <c r="H7" s="1">
        <f>'BDEQ-BDESC-urban-residential'!H$7*分布式年运行时间!H$6</f>
        <v>29872663.5370808</v>
      </c>
      <c r="I7" s="1">
        <f>'BDEQ-BDESC-urban-residential'!I$7*分布式年运行时间!I$6</f>
        <v>38417229.8424816</v>
      </c>
      <c r="J7" s="1">
        <f>'BDEQ-BDESC-urban-residential'!J$7*分布式年运行时间!J$6</f>
        <v>45385781.2888515</v>
      </c>
      <c r="K7" s="1">
        <f>'BDEQ-BDESC-urban-residential'!K$7*分布式年运行时间!K$6</f>
        <v>52354332.7352214</v>
      </c>
      <c r="L7" s="1">
        <f>'BDEQ-BDESC-urban-residential'!L$7*分布式年运行时间!L$6</f>
        <v>59322884.1815913</v>
      </c>
      <c r="M7" s="1">
        <f>'BDEQ-BDESC-urban-residential'!M$7*分布式年运行时间!M$6</f>
        <v>66291435.6279613</v>
      </c>
      <c r="N7" s="1">
        <f>'BDEQ-BDESC-urban-residential'!N$7*分布式年运行时间!N$6</f>
        <v>73259987.0743312</v>
      </c>
      <c r="O7" s="1">
        <f>'BDEQ-BDESC-urban-residential'!O$7*分布式年运行时间!O$6</f>
        <v>80228538.5207011</v>
      </c>
      <c r="P7" s="1">
        <f>'BDEQ-BDESC-urban-residential'!P$7*分布式年运行时间!P$6</f>
        <v>87197089.967071</v>
      </c>
      <c r="Q7" s="1">
        <f>'BDEQ-BDESC-urban-residential'!Q$7*分布式年运行时间!Q$6</f>
        <v>94165641.4134408</v>
      </c>
      <c r="R7" s="1">
        <f>'BDEQ-BDESC-urban-residential'!R$7*分布式年运行时间!R$6</f>
        <v>101134192.859811</v>
      </c>
      <c r="S7" s="1">
        <f>'BDEQ-BDESC-urban-residential'!S$7*分布式年运行时间!S$6</f>
        <v>105179560.574203</v>
      </c>
      <c r="T7" s="1">
        <f>'BDEQ-BDESC-urban-residential'!T$7*分布式年运行时间!T$6</f>
        <v>109224928.288596</v>
      </c>
      <c r="U7" s="1">
        <f>'BDEQ-BDESC-urban-residential'!U$7*分布式年运行时间!U$6</f>
        <v>113270296.002988</v>
      </c>
      <c r="V7" s="1">
        <f>'BDEQ-BDESC-urban-residential'!V$7*分布式年运行时间!V$6</f>
        <v>117315663.71738</v>
      </c>
      <c r="W7" s="1">
        <f>'BDEQ-BDESC-urban-residential'!W$7*分布式年运行时间!W$6</f>
        <v>121361031.431773</v>
      </c>
      <c r="X7" s="1">
        <f>'BDEQ-BDESC-urban-residential'!X$7*分布式年运行时间!X$6</f>
        <v>125406399.146165</v>
      </c>
      <c r="Y7" s="1">
        <f>'BDEQ-BDESC-urban-residential'!Y$7*分布式年运行时间!Y$6</f>
        <v>129451766.860558</v>
      </c>
      <c r="Z7" s="1">
        <f>'BDEQ-BDESC-urban-residential'!Z$7*分布式年运行时间!Z$6</f>
        <v>133497134.57495</v>
      </c>
      <c r="AA7" s="1">
        <f>'BDEQ-BDESC-urban-residential'!AA$7*分布式年运行时间!AA$6</f>
        <v>137542502.289343</v>
      </c>
      <c r="AB7" s="1">
        <f>'BDEQ-BDESC-urban-residential'!AB$7*分布式年运行时间!AB$6</f>
        <v>141587870.003735</v>
      </c>
      <c r="AC7" s="1">
        <f>'BDEQ-BDESC-urban-residential'!AC$7*分布式年运行时间!AC$6</f>
        <v>145633237.718127</v>
      </c>
      <c r="AD7" s="1">
        <f>'BDEQ-BDESC-urban-residential'!AD$7*分布式年运行时间!AD$6</f>
        <v>149678605.43252</v>
      </c>
      <c r="AE7" s="1">
        <f>'BDEQ-BDESC-urban-residential'!AE$7*分布式年运行时间!AE$6</f>
        <v>153723973.146912</v>
      </c>
      <c r="AF7" s="1">
        <f>'BDEQ-BDESC-urban-residential'!AF$7*分布式年运行时间!AF$6</f>
        <v>157769340.861305</v>
      </c>
      <c r="AG7" s="1">
        <f>'BDEQ-BDESC-urban-residential'!AG$7*分布式年运行时间!AG$6</f>
        <v>161814708.575697</v>
      </c>
      <c r="AH7" s="1">
        <f>'BDEQ-BDESC-urban-residential'!AH$7*分布式年运行时间!AH$6</f>
        <v>165860076.29009</v>
      </c>
      <c r="AI7" s="1">
        <f>'BDEQ-BDESC-urban-residential'!AI$7*分布式年运行时间!AI$6</f>
        <v>169905444.004482</v>
      </c>
      <c r="AJ7" s="1">
        <f>'BDEQ-BDESC-urban-residential'!AJ$7*分布式年运行时间!AJ$6</f>
        <v>173950811.718874</v>
      </c>
      <c r="AK7" s="1">
        <f>'BDEQ-BDESC-urban-residential'!AK$7*分布式年运行时间!AK$6</f>
        <v>177996179.433267</v>
      </c>
      <c r="AL7" s="1">
        <f>'BDEQ-BDESC-urban-residential'!AL$7*分布式年运行时间!AL$6</f>
        <v>182041547.147659</v>
      </c>
      <c r="AM7" s="1">
        <f>'BDEQ-BDESC-urban-residential'!AM$7*分布式年运行时间!AM$6</f>
        <v>186086914.862052</v>
      </c>
      <c r="AN7" s="1">
        <f>'BDEQ-BDESC-urban-residential'!AN$7*分布式年运行时间!AN$6</f>
        <v>190132282.576444</v>
      </c>
      <c r="AO7" s="1">
        <f>'BDEQ-BDESC-urban-residential'!AO$7*分布式年运行时间!AO$6</f>
        <v>194177650.290837</v>
      </c>
      <c r="AP7" s="1">
        <f>'BDEQ-BDESC-urban-residential'!AP$7*分布式年运行时间!AP$6</f>
        <v>198223018.005229</v>
      </c>
      <c r="AQ7" s="1">
        <f>'BDEQ-BDESC-urban-residential'!AQ$7*分布式年运行时间!AQ$6</f>
        <v>202268385.719621</v>
      </c>
    </row>
    <row r="8" spans="1:43">
      <c r="A8" s="2" t="s">
        <v>132</v>
      </c>
      <c r="B8" s="1">
        <v>0</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row>
    <row r="9" spans="1:43">
      <c r="A9" s="2" t="s">
        <v>133</v>
      </c>
      <c r="B9" s="1">
        <v>0</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row>
    <row r="10" spans="1:43">
      <c r="A10" s="2" t="s">
        <v>134</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row>
    <row r="11" spans="1:43">
      <c r="A11" s="2" t="s">
        <v>135</v>
      </c>
      <c r="B11" s="1">
        <v>0</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row>
    <row r="12" spans="1:43">
      <c r="A12" s="2" t="s">
        <v>136</v>
      </c>
      <c r="B12" s="1">
        <v>0</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row>
    <row r="13" spans="1:43">
      <c r="A13" s="2" t="s">
        <v>137</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row>
    <row r="14" spans="1:43">
      <c r="A14" s="2" t="s">
        <v>138</v>
      </c>
      <c r="B14" s="1">
        <v>0</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row>
    <row r="15" spans="1:43">
      <c r="A15" s="2" t="s">
        <v>139</v>
      </c>
      <c r="B15" s="1">
        <v>0</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row>
    <row r="16" spans="1:43">
      <c r="A16" s="2" t="s">
        <v>140</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row>
    <row r="17" spans="1:43">
      <c r="A17" s="2" t="s">
        <v>141</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Q17"/>
  <sheetViews>
    <sheetView workbookViewId="0">
      <selection activeCell="B7" sqref="B7"/>
    </sheetView>
  </sheetViews>
  <sheetFormatPr defaultColWidth="9" defaultRowHeight="13.5"/>
  <cols>
    <col min="1" max="1" width="33.1327433628319" style="1" customWidth="1"/>
    <col min="2" max="2" width="11.7964601769912" style="1" customWidth="1"/>
    <col min="3" max="3" width="12.7964601769912" style="1" customWidth="1"/>
    <col min="4" max="4" width="11.7964601769912" style="1" customWidth="1"/>
    <col min="5" max="5" width="12.7964601769912" style="1" customWidth="1"/>
    <col min="6" max="6" width="11.7964601769912" style="1" customWidth="1"/>
    <col min="7" max="10" width="12.7964601769912" style="1" customWidth="1"/>
    <col min="11" max="11" width="11.7964601769912" style="1" customWidth="1"/>
    <col min="12" max="15" width="12.7964601769912" style="1" customWidth="1"/>
    <col min="16" max="16" width="11.7964601769912" style="1" customWidth="1"/>
    <col min="17" max="20" width="12.7964601769912" style="1" customWidth="1"/>
    <col min="21" max="21" width="10.5221238938053" style="1" customWidth="1"/>
    <col min="22" max="25" width="12.7964601769912" style="1" customWidth="1"/>
    <col min="26" max="26" width="11.7964601769912" style="1" customWidth="1"/>
    <col min="27" max="43" width="12.7964601769912" style="1" customWidth="1"/>
    <col min="44" max="44" width="7" style="1" customWidth="1"/>
    <col min="45" max="16384" width="9" style="1"/>
  </cols>
  <sheetData>
    <row r="1" spans="1:43">
      <c r="A1" s="2" t="s">
        <v>142</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2">
        <v>2051</v>
      </c>
      <c r="AI1" s="2">
        <v>2052</v>
      </c>
      <c r="AJ1" s="2">
        <v>2053</v>
      </c>
      <c r="AK1" s="2">
        <v>2054</v>
      </c>
      <c r="AL1" s="2">
        <v>2055</v>
      </c>
      <c r="AM1" s="2">
        <v>2056</v>
      </c>
      <c r="AN1" s="2">
        <v>2057</v>
      </c>
      <c r="AO1" s="2">
        <v>2058</v>
      </c>
      <c r="AP1" s="2">
        <v>2059</v>
      </c>
      <c r="AQ1" s="2">
        <v>2060</v>
      </c>
    </row>
    <row r="2" spans="1:43">
      <c r="A2" s="2" t="s">
        <v>126</v>
      </c>
      <c r="B2" s="1">
        <v>0</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row>
    <row r="3" spans="1:43">
      <c r="A3" s="2" t="s">
        <v>127</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row>
    <row r="4" spans="1:43">
      <c r="A4" s="2" t="s">
        <v>128</v>
      </c>
      <c r="B4" s="1">
        <v>0</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row>
    <row r="5" spans="1:43">
      <c r="A5" s="2" t="s">
        <v>129</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row>
    <row r="6" spans="1:43">
      <c r="A6" s="2" t="s">
        <v>130</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row>
    <row r="7" spans="1:43">
      <c r="A7" s="2" t="s">
        <v>131</v>
      </c>
      <c r="B7" s="1">
        <f>'BDEQ-BDESC-rural-residential'!B$7*分布式年运行时间!B$6</f>
        <v>11370755.5949122</v>
      </c>
      <c r="C7" s="1">
        <f>'BDEQ-BDESC-rural-residential'!C$7*分布式年运行时间!C$6</f>
        <v>18787054.6825093</v>
      </c>
      <c r="D7" s="1">
        <f>'BDEQ-BDESC-rural-residential'!D$7*分布式年运行时间!D$6</f>
        <v>34422754.5857053</v>
      </c>
      <c r="E7" s="1">
        <f>'BDEQ-BDESC-rural-residential'!E$7*分布式年运行时间!E$6</f>
        <v>56038532.7369624</v>
      </c>
      <c r="F7" s="1">
        <f>'BDEQ-BDESC-rural-residential'!F$7*分布式年运行时间!F$6</f>
        <v>80540623.2166579</v>
      </c>
      <c r="G7" s="1">
        <f>'BDEQ-BDESC-rural-residential'!G$7*分布式年运行时间!G$6</f>
        <v>113968969.795613</v>
      </c>
      <c r="H7" s="1">
        <f>'BDEQ-BDESC-rural-residential'!H$7*分布式年运行时间!H$6</f>
        <v>169278426.710125</v>
      </c>
      <c r="I7" s="1">
        <f>'BDEQ-BDESC-rural-residential'!I$7*分布式年运行时间!I$6</f>
        <v>193180255.686836</v>
      </c>
      <c r="J7" s="1">
        <f>'BDEQ-BDESC-rural-residential'!J$7*分布式年运行时间!J$6</f>
        <v>205427180.45268</v>
      </c>
      <c r="K7" s="1">
        <f>'BDEQ-BDESC-rural-residential'!K$7*分布式年运行时间!K$6</f>
        <v>217674105.218524</v>
      </c>
      <c r="L7" s="1">
        <f>'BDEQ-BDESC-rural-residential'!L$7*分布式年运行时间!L$6</f>
        <v>229921029.984368</v>
      </c>
      <c r="M7" s="1">
        <f>'BDEQ-BDESC-rural-residential'!M$7*分布式年运行时间!M$6</f>
        <v>242167954.750212</v>
      </c>
      <c r="N7" s="1">
        <f>'BDEQ-BDESC-rural-residential'!N$7*分布式年运行时间!N$6</f>
        <v>254414879.516056</v>
      </c>
      <c r="O7" s="1">
        <f>'BDEQ-BDESC-rural-residential'!O$7*分布式年运行时间!O$6</f>
        <v>266661804.2819</v>
      </c>
      <c r="P7" s="1">
        <f>'BDEQ-BDESC-rural-residential'!P$7*分布式年运行时间!P$6</f>
        <v>278908729.047744</v>
      </c>
      <c r="Q7" s="1">
        <f>'BDEQ-BDESC-rural-residential'!Q$7*分布式年运行时间!Q$6</f>
        <v>291155653.813588</v>
      </c>
      <c r="R7" s="1">
        <f>'BDEQ-BDESC-rural-residential'!R$7*分布式年运行时间!R$6</f>
        <v>303402578.579432</v>
      </c>
      <c r="S7" s="1">
        <f>'BDEQ-BDESC-rural-residential'!S$7*分布式年运行时间!S$6</f>
        <v>310144858.10342</v>
      </c>
      <c r="T7" s="1">
        <f>'BDEQ-BDESC-rural-residential'!T$7*分布式年运行时间!T$6</f>
        <v>316887137.627407</v>
      </c>
      <c r="U7" s="1">
        <f>'BDEQ-BDESC-rural-residential'!U$7*分布式年运行时间!U$6</f>
        <v>323629417.151394</v>
      </c>
      <c r="V7" s="1">
        <f>'BDEQ-BDESC-rural-residential'!V$7*分布式年运行时间!V$6</f>
        <v>330371696.675382</v>
      </c>
      <c r="W7" s="1">
        <f>'BDEQ-BDESC-rural-residential'!W$7*分布式年运行时间!W$6</f>
        <v>337113976.199369</v>
      </c>
      <c r="X7" s="1">
        <f>'BDEQ-BDESC-rural-residential'!X$7*分布式年运行时间!X$6</f>
        <v>343856255.723356</v>
      </c>
      <c r="Y7" s="1">
        <f>'BDEQ-BDESC-rural-residential'!Y$7*分布式年运行时间!Y$6</f>
        <v>350598535.247344</v>
      </c>
      <c r="Z7" s="1">
        <f>'BDEQ-BDESC-rural-residential'!Z$7*分布式年运行时间!Z$6</f>
        <v>357340814.771331</v>
      </c>
      <c r="AA7" s="1">
        <f>'BDEQ-BDESC-rural-residential'!AA$7*分布式年运行时间!AA$6</f>
        <v>364083094.295319</v>
      </c>
      <c r="AB7" s="1">
        <f>'BDEQ-BDESC-rural-residential'!AB$7*分布式年运行时间!AB$6</f>
        <v>370825373.819306</v>
      </c>
      <c r="AC7" s="1">
        <f>'BDEQ-BDESC-rural-residential'!AC$7*分布式年运行时间!AC$6</f>
        <v>377567653.343294</v>
      </c>
      <c r="AD7" s="1">
        <f>'BDEQ-BDESC-rural-residential'!AD$7*分布式年运行时间!AD$6</f>
        <v>384309932.867281</v>
      </c>
      <c r="AE7" s="1">
        <f>'BDEQ-BDESC-rural-residential'!AE$7*分布式年运行时间!AE$6</f>
        <v>391052212.391268</v>
      </c>
      <c r="AF7" s="1">
        <f>'BDEQ-BDESC-rural-residential'!AF$7*分布式年运行时间!AF$6</f>
        <v>397794491.915256</v>
      </c>
      <c r="AG7" s="1">
        <f>'BDEQ-BDESC-rural-residential'!AG$7*分布式年运行时间!AG$6</f>
        <v>404536771.439243</v>
      </c>
      <c r="AH7" s="1">
        <f>'BDEQ-BDESC-rural-residential'!AH$7*分布式年运行时间!AH$6</f>
        <v>414650190.725224</v>
      </c>
      <c r="AI7" s="1">
        <f>'BDEQ-BDESC-rural-residential'!AI$7*分布式年运行时间!AI$6</f>
        <v>424763610.011205</v>
      </c>
      <c r="AJ7" s="1">
        <f>'BDEQ-BDESC-rural-residential'!AJ$7*分布式年运行时间!AJ$6</f>
        <v>434877029.297186</v>
      </c>
      <c r="AK7" s="1">
        <f>'BDEQ-BDESC-rural-residential'!AK$7*分布式年运行时间!AK$6</f>
        <v>444990448.583167</v>
      </c>
      <c r="AL7" s="1">
        <f>'BDEQ-BDESC-rural-residential'!AL$7*分布式年运行时间!AL$6</f>
        <v>455103867.869148</v>
      </c>
      <c r="AM7" s="1">
        <f>'BDEQ-BDESC-rural-residential'!AM$7*分布式年运行时间!AM$6</f>
        <v>465217287.155129</v>
      </c>
      <c r="AN7" s="1">
        <f>'BDEQ-BDESC-rural-residential'!AN$7*分布式年运行时间!AN$6</f>
        <v>475330706.44111</v>
      </c>
      <c r="AO7" s="1">
        <f>'BDEQ-BDESC-rural-residential'!AO$7*分布式年运行时间!AO$6</f>
        <v>485444125.727091</v>
      </c>
      <c r="AP7" s="1">
        <f>'BDEQ-BDESC-rural-residential'!AP$7*分布式年运行时间!AP$6</f>
        <v>495557545.013073</v>
      </c>
      <c r="AQ7" s="1">
        <f>'BDEQ-BDESC-rural-residential'!AQ$7*分布式年运行时间!AQ$6</f>
        <v>505670964.299054</v>
      </c>
    </row>
    <row r="8" spans="1:43">
      <c r="A8" s="2" t="s">
        <v>132</v>
      </c>
      <c r="B8" s="1">
        <v>0</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row>
    <row r="9" spans="1:43">
      <c r="A9" s="2" t="s">
        <v>133</v>
      </c>
      <c r="B9" s="1">
        <v>0</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row>
    <row r="10" spans="1:43">
      <c r="A10" s="2" t="s">
        <v>134</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row>
    <row r="11" spans="1:43">
      <c r="A11" s="2" t="s">
        <v>135</v>
      </c>
      <c r="B11" s="1">
        <v>0</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row>
    <row r="12" spans="1:43">
      <c r="A12" s="2" t="s">
        <v>136</v>
      </c>
      <c r="B12" s="1">
        <v>0</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row>
    <row r="13" spans="1:43">
      <c r="A13" s="2" t="s">
        <v>137</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row>
    <row r="14" spans="1:43">
      <c r="A14" s="2" t="s">
        <v>138</v>
      </c>
      <c r="B14" s="1">
        <v>0</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row>
    <row r="15" spans="1:43">
      <c r="A15" s="2" t="s">
        <v>139</v>
      </c>
      <c r="B15" s="1">
        <v>0</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row>
    <row r="16" spans="1:43">
      <c r="A16" s="2" t="s">
        <v>140</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row>
    <row r="17" spans="1:43">
      <c r="A17" s="2" t="s">
        <v>141</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Q17"/>
  <sheetViews>
    <sheetView workbookViewId="0">
      <selection activeCell="A1" sqref="$A1:$XFD1048576"/>
    </sheetView>
  </sheetViews>
  <sheetFormatPr defaultColWidth="9" defaultRowHeight="13.5"/>
  <cols>
    <col min="1" max="1" width="33.1327433628319" style="1" customWidth="1"/>
    <col min="2" max="2" width="11.7964601769912" style="1" customWidth="1"/>
    <col min="3" max="4" width="12.7964601769912" style="1" customWidth="1"/>
    <col min="5" max="5" width="10.5221238938053" style="1" customWidth="1"/>
    <col min="6" max="43" width="12.7964601769912" style="1" customWidth="1"/>
    <col min="44" max="44" width="7" style="1" customWidth="1"/>
    <col min="45" max="16384" width="9" style="1"/>
  </cols>
  <sheetData>
    <row r="1" spans="1:43">
      <c r="A1" s="2" t="s">
        <v>142</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2">
        <v>2051</v>
      </c>
      <c r="AI1" s="2">
        <v>2052</v>
      </c>
      <c r="AJ1" s="2">
        <v>2053</v>
      </c>
      <c r="AK1" s="2">
        <v>2054</v>
      </c>
      <c r="AL1" s="2">
        <v>2055</v>
      </c>
      <c r="AM1" s="2">
        <v>2056</v>
      </c>
      <c r="AN1" s="2">
        <v>2057</v>
      </c>
      <c r="AO1" s="2">
        <v>2058</v>
      </c>
      <c r="AP1" s="2">
        <v>2059</v>
      </c>
      <c r="AQ1" s="2">
        <v>2060</v>
      </c>
    </row>
    <row r="2" spans="1:43">
      <c r="A2" s="2" t="s">
        <v>126</v>
      </c>
      <c r="B2" s="1">
        <v>0</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row>
    <row r="3" spans="1:43">
      <c r="A3" s="2" t="s">
        <v>127</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row>
    <row r="4" spans="1:43">
      <c r="A4" s="2" t="s">
        <v>128</v>
      </c>
      <c r="B4" s="1">
        <v>0</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row>
    <row r="5" spans="1:43">
      <c r="A5" s="2" t="s">
        <v>129</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row>
    <row r="6" spans="1:43">
      <c r="A6" s="2" t="s">
        <v>130</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row>
    <row r="7" spans="1:43">
      <c r="A7" s="2" t="s">
        <v>131</v>
      </c>
      <c r="B7" s="1">
        <f>'BDEQ-BDESC-commercial'!B$7*分布式年运行时间!B$6</f>
        <v>41175578.8117855</v>
      </c>
      <c r="C7" s="1">
        <f>'BDEQ-BDESC-commercial'!C$7*分布式年运行时间!C$6</f>
        <v>45762014.8204932</v>
      </c>
      <c r="D7" s="1">
        <f>'BDEQ-BDESC-commercial'!D$7*分布式年运行时间!D$6</f>
        <v>52002641.6638762</v>
      </c>
      <c r="E7" s="1">
        <f>'BDEQ-BDESC-commercial'!E$7*分布式年运行时间!E$6</f>
        <v>77772314.4271032</v>
      </c>
      <c r="F7" s="1">
        <f>'BDEQ-BDESC-commercial'!F$7*分布式年运行时间!F$6</f>
        <v>113446325.627461</v>
      </c>
      <c r="G7" s="1">
        <f>'BDEQ-BDESC-commercial'!G$7*分布式年运行时间!G$6</f>
        <v>212118859.063983</v>
      </c>
      <c r="H7" s="1">
        <f>'BDEQ-BDESC-commercial'!H$7*分布式年运行时间!H$6</f>
        <v>316548757.695586</v>
      </c>
      <c r="I7" s="1">
        <f>'BDEQ-BDESC-commercial'!I$7*分布式年运行时间!I$6</f>
        <v>346542563.766064</v>
      </c>
      <c r="J7" s="1">
        <f>'BDEQ-BDESC-commercial'!J$7*分布式年运行时间!J$6</f>
        <v>352986364.618639</v>
      </c>
      <c r="K7" s="1">
        <f>'BDEQ-BDESC-commercial'!K$7*分布式年运行时间!K$6</f>
        <v>359430165.471215</v>
      </c>
      <c r="L7" s="1">
        <f>'BDEQ-BDESC-commercial'!L$7*分布式年运行时间!L$6</f>
        <v>365873966.32379</v>
      </c>
      <c r="M7" s="1">
        <f>'BDEQ-BDESC-commercial'!M$7*分布式年运行时间!M$6</f>
        <v>372317767.176365</v>
      </c>
      <c r="N7" s="1">
        <f>'BDEQ-BDESC-commercial'!N$7*分布式年运行时间!N$6</f>
        <v>378761568.028941</v>
      </c>
      <c r="O7" s="1">
        <f>'BDEQ-BDESC-commercial'!O$7*分布式年运行时间!O$6</f>
        <v>385205368.881517</v>
      </c>
      <c r="P7" s="1">
        <f>'BDEQ-BDESC-commercial'!P$7*分布式年运行时间!P$6</f>
        <v>391649169.734092</v>
      </c>
      <c r="Q7" s="1">
        <f>'BDEQ-BDESC-commercial'!Q$7*分布式年运行时间!Q$6</f>
        <v>398092970.586668</v>
      </c>
      <c r="R7" s="1">
        <f>'BDEQ-BDESC-commercial'!R$7*分布式年运行时间!R$6</f>
        <v>404536771.439243</v>
      </c>
      <c r="S7" s="1">
        <f>'BDEQ-BDESC-commercial'!S$7*分布式年运行时间!S$6</f>
        <v>407907911.201236</v>
      </c>
      <c r="T7" s="1">
        <f>'BDEQ-BDESC-commercial'!T$7*分布式年运行时间!T$6</f>
        <v>411279050.963231</v>
      </c>
      <c r="U7" s="1">
        <f>'BDEQ-BDESC-commercial'!U$7*分布式年运行时间!U$6</f>
        <v>414650190.725224</v>
      </c>
      <c r="V7" s="1">
        <f>'BDEQ-BDESC-commercial'!V$7*分布式年运行时间!V$6</f>
        <v>418021330.487217</v>
      </c>
      <c r="W7" s="1">
        <f>'BDEQ-BDESC-commercial'!W$7*分布式年运行时间!W$6</f>
        <v>421392470.249212</v>
      </c>
      <c r="X7" s="1">
        <f>'BDEQ-BDESC-commercial'!X$7*分布式年运行时间!X$6</f>
        <v>424763610.011205</v>
      </c>
      <c r="Y7" s="1">
        <f>'BDEQ-BDESC-commercial'!Y$7*分布式年运行时间!Y$6</f>
        <v>428134749.773198</v>
      </c>
      <c r="Z7" s="1">
        <f>'BDEQ-BDESC-commercial'!Z$7*分布式年运行时间!Z$6</f>
        <v>431505889.535193</v>
      </c>
      <c r="AA7" s="1">
        <f>'BDEQ-BDESC-commercial'!AA$7*分布式年运行时间!AA$6</f>
        <v>434877029.297186</v>
      </c>
      <c r="AB7" s="1">
        <f>'BDEQ-BDESC-commercial'!AB$7*分布式年运行时间!AB$6</f>
        <v>438248169.05918</v>
      </c>
      <c r="AC7" s="1">
        <f>'BDEQ-BDESC-commercial'!AC$7*分布式年运行时间!AC$6</f>
        <v>441619308.821173</v>
      </c>
      <c r="AD7" s="1">
        <f>'BDEQ-BDESC-commercial'!AD$7*分布式年运行时间!AD$6</f>
        <v>444990448.583167</v>
      </c>
      <c r="AE7" s="1">
        <f>'BDEQ-BDESC-commercial'!AE$7*分布式年运行时间!AE$6</f>
        <v>448361588.345161</v>
      </c>
      <c r="AF7" s="1">
        <f>'BDEQ-BDESC-commercial'!AF$7*分布式年运行时间!AF$6</f>
        <v>451732728.107154</v>
      </c>
      <c r="AG7" s="1">
        <f>'BDEQ-BDESC-commercial'!AG$7*分布式年运行时间!AG$6</f>
        <v>455103867.869148</v>
      </c>
      <c r="AH7" s="1">
        <f>'BDEQ-BDESC-commercial'!AH$7*分布式年运行时间!AH$6</f>
        <v>460160577.512139</v>
      </c>
      <c r="AI7" s="1">
        <f>'BDEQ-BDESC-commercial'!AI$7*分布式年运行时间!AI$6</f>
        <v>465217287.155129</v>
      </c>
      <c r="AJ7" s="1">
        <f>'BDEQ-BDESC-commercial'!AJ$7*分布式年运行时间!AJ$6</f>
        <v>470273996.79812</v>
      </c>
      <c r="AK7" s="1">
        <f>'BDEQ-BDESC-commercial'!AK$7*分布式年运行时间!AK$6</f>
        <v>475330706.44111</v>
      </c>
      <c r="AL7" s="1">
        <f>'BDEQ-BDESC-commercial'!AL$7*分布式年运行时间!AL$6</f>
        <v>480387416.084101</v>
      </c>
      <c r="AM7" s="1">
        <f>'BDEQ-BDESC-commercial'!AM$7*分布式年运行时间!AM$6</f>
        <v>485444125.727091</v>
      </c>
      <c r="AN7" s="1">
        <f>'BDEQ-BDESC-commercial'!AN$7*分布式年运行时间!AN$6</f>
        <v>490500835.370082</v>
      </c>
      <c r="AO7" s="1">
        <f>'BDEQ-BDESC-commercial'!AO$7*分布式年运行时间!AO$6</f>
        <v>495557545.013073</v>
      </c>
      <c r="AP7" s="1">
        <f>'BDEQ-BDESC-commercial'!AP$7*分布式年运行时间!AP$6</f>
        <v>500614254.656063</v>
      </c>
      <c r="AQ7" s="1">
        <f>'BDEQ-BDESC-commercial'!AQ$7*分布式年运行时间!AQ$6</f>
        <v>505670964.299054</v>
      </c>
    </row>
    <row r="8" spans="1:43">
      <c r="A8" s="2" t="s">
        <v>132</v>
      </c>
      <c r="B8" s="1">
        <v>0</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row>
    <row r="9" spans="1:43">
      <c r="A9" s="2" t="s">
        <v>133</v>
      </c>
      <c r="B9" s="1">
        <v>0</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row>
    <row r="10" spans="1:43">
      <c r="A10" s="2" t="s">
        <v>134</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row>
    <row r="11" spans="1:43">
      <c r="A11" s="2" t="s">
        <v>135</v>
      </c>
      <c r="B11" s="1">
        <v>0</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row>
    <row r="12" spans="1:43">
      <c r="A12" s="2" t="s">
        <v>136</v>
      </c>
      <c r="B12" s="1">
        <v>0</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row>
    <row r="13" spans="1:43">
      <c r="A13" s="2" t="s">
        <v>137</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row>
    <row r="14" spans="1:43">
      <c r="A14" s="2" t="s">
        <v>138</v>
      </c>
      <c r="B14" s="1">
        <v>0</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row>
    <row r="15" spans="1:43">
      <c r="A15" s="2" t="s">
        <v>139</v>
      </c>
      <c r="B15" s="1">
        <v>0</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row>
    <row r="16" spans="1:43">
      <c r="A16" s="2" t="s">
        <v>140</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row>
    <row r="17" spans="1:43">
      <c r="A17" s="2" t="s">
        <v>141</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K2"/>
  <sheetViews>
    <sheetView workbookViewId="0">
      <selection activeCell="A1" sqref="A1"/>
    </sheetView>
  </sheetViews>
  <sheetFormatPr defaultColWidth="8.79646017699115" defaultRowHeight="13.5" outlineLevelRow="1"/>
  <sheetData>
    <row r="2" spans="11:11">
      <c r="K2" t="s">
        <v>143</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About</vt:lpstr>
      <vt:lpstr>能源局光伏数据</vt:lpstr>
      <vt:lpstr>用户光伏装机数据</vt:lpstr>
      <vt:lpstr>各省城镇化数据</vt:lpstr>
      <vt:lpstr>用户PV上限模拟</vt:lpstr>
      <vt:lpstr>分布式年运行时间</vt:lpstr>
      <vt:lpstr>中国光伏数据</vt:lpstr>
      <vt:lpstr>SYDEC</vt:lpstr>
      <vt:lpstr>BDEQ-BDESC-urban-residential</vt:lpstr>
      <vt:lpstr>BDEQ-BDESC-rural-residential</vt:lpstr>
      <vt:lpstr>BDEQ-BDESC-commercial</vt:lpstr>
      <vt:lpstr>BDEQ-BEOfDS-urban-residential</vt:lpstr>
      <vt:lpstr>BDEQ-BEOfDS-rural-residential</vt:lpstr>
      <vt:lpstr>BDEQ-BEOfDS-commercial</vt:lpstr>
      <vt:lpstr>reference-New network in 2022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ellyy</dc:creator>
  <cp:lastModifiedBy>南山有台</cp:lastModifiedBy>
  <dcterms:created xsi:type="dcterms:W3CDTF">2023-08-10T02:10:00Z</dcterms:created>
  <dcterms:modified xsi:type="dcterms:W3CDTF">2026-10-21T09:38:41Z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522803099E204318BFCBF6E0B80784CF_11</vt:lpwstr>
  </property>
  <property fmtid="{D5CDD505-2E9C-101B-9397-08002B2CF9AE}" pid="3" name="KSOProductBuildVer">
    <vt:lpwstr>2052-12.1.0.28505</vt:lpwstr>
  </property>
  <property fmtid="{D5CDD505-2E9C-101B-9397-08002B2CF9AE}" pid="4" name="CalculationRule">
    <vt:i4>0</vt:i4>
  </property>
</Properties>
</file>