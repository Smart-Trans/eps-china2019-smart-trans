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zhlx1\Desktop\eps-china2019-smart-trans\InputData\bldgs\DSCF\"/>
    </mc:Choice>
  </mc:AlternateContent>
  <bookViews>
    <workbookView windowWidth="24000" windowHeight="10845" activeTab="3"/>
  </bookViews>
  <sheets>
    <sheet name="About" sheetId="4" r:id="rId1"/>
    <sheet name="Distributed photoelectric data" sheetId="1" r:id="rId2"/>
    <sheet name="PV power generation data" sheetId="2" r:id="rId3"/>
    <sheet name="DSCF"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<sst xmlns="http://schemas.openxmlformats.org/spreadsheetml/2006/main" count="298" uniqueCount="91">
  <si>
    <t>DSCF Distributed Solar Cap Factor</t>
  </si>
  <si>
    <t>source:</t>
  </si>
  <si>
    <t>Distributed photovoltaic installed capacity and power generation in each province</t>
  </si>
  <si>
    <t>Energy Bureau photovoltaic data</t>
  </si>
  <si>
    <t>China Energy Bureau</t>
  </si>
  <si>
    <t>https://www.nea.gov.cn/2019-08/23/c_138330885.htm</t>
  </si>
  <si>
    <t>note:</t>
  </si>
  <si>
    <t>Photovoltaic installed capacity data comes from the National Bureau of Statistics. Multiplied by the annual effective sunshine hours in each province, the annual photovoltaic power generation capacity is obtained. By consulting experts, the upper limit of photovoltaic coverage of each building is obtained, and then the expected changes in photovoltaic power generation are obtained.Divide the actual power generation by the installed capacity to get the capacity factor</t>
  </si>
  <si>
    <t>地区</t>
  </si>
  <si>
    <t>装机容量（万千瓦）</t>
  </si>
  <si>
    <t>发电量（亿千瓦时）</t>
  </si>
  <si>
    <t>容量因子</t>
  </si>
  <si>
    <t>全国</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</si>
  <si>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</si>
  <si>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</si>
  <si>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</si>
  <si>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</si>
  <si>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</si>
  <si>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</si>
  <si>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</si>
  <si>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</si>
  <si>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</si>
  <si>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</si>
  <si>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</si>
  <si>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</si>
  <si>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</si>
  <si>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</si>
  <si>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</si>
  <si>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</si>
  <si>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</si>
  <si>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</si>
  <si>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</si>
  <si>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</si>
  <si>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</si>
  <si>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</si>
  <si>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</si>
  <si>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</si>
  <si>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</si>
  <si>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</si>
  <si>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</si>
  <si>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</si>
  <si>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</si>
  <si>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</si>
  <si>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</si>
  <si>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新疆生产建设兵团</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</si>
  <si>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</si>
  <si>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</si>
  <si>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</si>
  <si>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</si>
  <si>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</si>
  <si>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</si>
  <si>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</si>
  <si>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</si>
  <si>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</si>
  <si>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</si>
  <si>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</si>
  <si>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</si>
  <si>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</si>
  <si>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</si>
  <si>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</si>
  <si>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</si>
  <si>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</si>
  <si>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</si>
  <si>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</si>
  <si>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</si>
  <si>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</si>
  <si>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</si>
  <si>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</si>
  <si>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</si>
  <si>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</si>
  <si>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</si>
  <si>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</si>
  <si>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</si>
  <si>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</si>
  <si>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</si>
  <si>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</si>
  <si>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台湾</t>
  </si>
  <si>
    <t>台湾省</t>
  </si>
  <si>
    <t>香港</t>
  </si>
  <si>
    <t>香港特别行政区</t>
  </si>
  <si>
    <t>澳门</t>
  </si>
  <si>
    <t>澳门特别行政区</t>
  </si>
  <si>
    <t>运行小时数</t>
  </si>
  <si>
    <t>运行小时折因子</t>
  </si>
  <si>
    <r>
      <rPr>
        <sz val="11"/>
        <rFont val="等线"/>
        <charset val="134"/>
        <scheme val="minor"/>
      </rPr>
      <t>2018年</t>
    </r>
  </si>
  <si>
    <r>
      <rPr>
        <sz val="11"/>
        <rFont val="等线"/>
        <charset val="134"/>
        <scheme val="minor"/>
      </rPr>
      <t>2019年</t>
    </r>
  </si>
  <si>
    <r>
      <rPr>
        <sz val="11"/>
        <rFont val="等线"/>
        <charset val="134"/>
        <scheme val="minor"/>
      </rPr>
      <t>2020年</t>
    </r>
  </si>
  <si>
    <t>0. 46</t>
  </si>
  <si>
    <t>集中装机容量（万千瓦）</t>
  </si>
  <si>
    <t>集中发电量（亿千瓦时）</t>
  </si>
  <si>
    <t>Capacity Factor (dimensionless)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</si>
</sst>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_);[Red]\(0\)"/>
    <numFmt numFmtId="178" formatCode="0.000_);[Red]\(0.000\)"/>
    <numFmt numFmtId="179" formatCode="0.0000_ "/>
  </numFmts>
  <fonts count="26">
    <font>
      <sz val="11"/>
      <color theme="1"/>
      <name val="等线"/>
      <charset val="134"/>
      <scheme val="minor"/>
    </font>
    <font>
      <sz val="11"/>
      <color rgb="FFFF0000"/>
      <name val="等线"/>
      <charset val="134"/>
      <scheme val="minor"/>
    </font>
    <font>
      <sz val="11"/>
      <name val="等线"/>
      <charset val="134"/>
      <scheme val="minor"/>
    </font>
    <font>
      <sz val="11"/>
      <color indexed="8"/>
      <name val="等线"/>
      <charset val="134"/>
      <scheme val="minor"/>
    </font>
    <font>
      <sz val="11"/>
      <color rgb="FF000000"/>
      <name val="等线"/>
      <charset val="134"/>
      <scheme val="minor"/>
    </font>
    <font>
      <b/>
      <sz val="11"/>
      <color theme="1"/>
      <name val="等线"/>
      <charset val="134"/>
      <scheme val="minor"/>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4" borderId="13" applyNumberFormat="0" applyAlignment="0" applyProtection="0">
      <alignment vertical="center"/>
    </xf>
    <xf numFmtId="0" fontId="15" fillId="5" borderId="14" applyNumberFormat="0" applyAlignment="0" applyProtection="0">
      <alignment vertical="center"/>
    </xf>
    <xf numFmtId="0" fontId="16" fillId="5" borderId="13" applyNumberFormat="0" applyAlignment="0" applyProtection="0">
      <alignment vertical="center"/>
    </xf>
    <xf numFmtId="0" fontId="17" fillId="6"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alignment vertical="center"/>
    </xf>
    <xf numFmtId="0" fontId="3" fillId="0" borderId="0">
      <alignment vertical="center"/>
    </xf>
  </cellStyleXfs>
  <cellXfs count="45">
    <xf numFmtId="0" fontId="0" fillId="0" borderId="0" xfId="0">
      <alignment vertical="center"/>
    </xf>
    <xf numFmtId="176" fontId="0" fillId="0" borderId="0" xfId="0" applyNumberFormat="1">
      <alignment vertical="center"/>
    </xf>
    <xf numFmtId="176" fontId="1" fillId="0" borderId="0" xfId="0" applyNumberFormat="1" applyFont="1">
      <alignment vertical="center"/>
    </xf>
    <xf numFmtId="0" fontId="0" fillId="0" borderId="0" xfId="0" applyFont="1">
      <alignment vertical="center"/>
    </xf>
    <xf numFmtId="0" fontId="2" fillId="0" borderId="1" xfId="0" applyFont="1" applyBorder="1" applyAlignment="1">
      <alignment vertical="top" wrapText="1"/>
    </xf>
    <xf numFmtId="0" fontId="2" fillId="0" borderId="2" xfId="0" applyFont="1" applyBorder="1">
      <alignment vertical="center"/>
    </xf>
    <xf numFmtId="0" fontId="0" fillId="0" borderId="2" xfId="0" applyFont="1" applyBorder="1">
      <alignment vertical="center"/>
    </xf>
    <xf numFmtId="0" fontId="0" fillId="0" borderId="3" xfId="0" applyFont="1" applyBorder="1">
      <alignment vertical="center"/>
    </xf>
    <xf numFmtId="0" fontId="0" fillId="0" borderId="4" xfId="0" applyFont="1" applyBorder="1">
      <alignment vertical="center"/>
    </xf>
    <xf numFmtId="0" fontId="2" fillId="0" borderId="1" xfId="0" applyFont="1" applyBorder="1">
      <alignment vertical="center"/>
    </xf>
    <xf numFmtId="0" fontId="2" fillId="0" borderId="5" xfId="0" applyFont="1" applyBorder="1">
      <alignment vertical="center"/>
    </xf>
    <xf numFmtId="0" fontId="2" fillId="0" borderId="1" xfId="49" applyFont="1" applyBorder="1">
      <alignment vertical="center"/>
    </xf>
    <xf numFmtId="177" fontId="2" fillId="0" borderId="1" xfId="49" applyNumberFormat="1" applyFont="1" applyBorder="1">
      <alignment vertical="center"/>
    </xf>
    <xf numFmtId="178" fontId="2" fillId="0" borderId="1" xfId="49" applyNumberFormat="1" applyFont="1" applyBorder="1">
      <alignment vertical="center"/>
    </xf>
    <xf numFmtId="178" fontId="0" fillId="0" borderId="1" xfId="0" applyNumberFormat="1" applyFont="1" applyBorder="1">
      <alignment vertical="center"/>
    </xf>
    <xf numFmtId="179" fontId="0" fillId="0" borderId="1" xfId="0" applyNumberFormat="1" applyFont="1" applyBorder="1">
      <alignment vertical="center"/>
    </xf>
    <xf numFmtId="0" fontId="0" fillId="0" borderId="1" xfId="0" applyFont="1" applyBorder="1">
      <alignment vertical="center"/>
    </xf>
    <xf numFmtId="0" fontId="3" fillId="0" borderId="0" xfId="50" applyFont="1">
      <alignment vertical="center"/>
    </xf>
    <xf numFmtId="0" fontId="2" fillId="0" borderId="0" xfId="0" applyFont="1">
      <alignment vertical="center"/>
    </xf>
    <xf numFmtId="176" fontId="0" fillId="0" borderId="1" xfId="0" applyNumberFormat="1" applyFont="1" applyBorder="1">
      <alignment vertical="center"/>
    </xf>
    <xf numFmtId="0" fontId="3" fillId="0" borderId="1" xfId="50" applyFont="1" applyBorder="1">
      <alignmen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0" fillId="0" borderId="8" xfId="0" applyFont="1" applyBorder="1" applyAlignment="1">
      <alignment horizontal="center" vertical="center"/>
    </xf>
    <xf numFmtId="0" fontId="0" fillId="0" borderId="0" xfId="0" applyFont="1" applyAlignment="1">
      <alignment horizontal="center" vertical="center"/>
    </xf>
    <xf numFmtId="0" fontId="2" fillId="0" borderId="9" xfId="0" applyFont="1" applyBorder="1" applyAlignment="1">
      <alignment vertical="top" wrapText="1"/>
    </xf>
    <xf numFmtId="177" fontId="4" fillId="0" borderId="1" xfId="0" applyNumberFormat="1" applyFont="1" applyBorder="1" applyAlignment="1">
      <alignment vertical="top" shrinkToFit="1"/>
    </xf>
    <xf numFmtId="177" fontId="2" fillId="0" borderId="1" xfId="0" applyNumberFormat="1" applyFont="1" applyBorder="1">
      <alignment vertical="center"/>
    </xf>
    <xf numFmtId="0" fontId="4" fillId="0" borderId="1" xfId="0" applyFont="1" applyBorder="1" applyAlignment="1">
      <alignment vertical="top" shrinkToFit="1"/>
    </xf>
    <xf numFmtId="177" fontId="2" fillId="0" borderId="1" xfId="0" applyNumberFormat="1" applyFont="1" applyBorder="1" applyAlignment="1">
      <alignment vertical="top" wrapText="1"/>
    </xf>
    <xf numFmtId="1" fontId="4" fillId="0" borderId="1" xfId="0" applyNumberFormat="1" applyFont="1" applyBorder="1" applyAlignment="1">
      <alignment vertical="top" shrinkToFit="1"/>
    </xf>
    <xf numFmtId="176" fontId="1" fillId="0" borderId="1" xfId="0" applyNumberFormat="1" applyFont="1" applyBorder="1">
      <alignment vertical="center"/>
    </xf>
    <xf numFmtId="177" fontId="2" fillId="0" borderId="1" xfId="0" applyNumberFormat="1" applyFont="1" applyBorder="1" applyAlignment="1">
      <alignment wrapText="1"/>
    </xf>
    <xf numFmtId="0" fontId="2" fillId="0" borderId="1" xfId="0" applyFont="1" applyBorder="1" applyAlignment="1">
      <alignment wrapText="1"/>
    </xf>
    <xf numFmtId="0" fontId="3" fillId="0" borderId="0" xfId="50" applyAlignment="1">
      <alignment horizontal="left"/>
    </xf>
    <xf numFmtId="0" fontId="3" fillId="0" borderId="0" xfId="50">
      <alignment vertical="center"/>
    </xf>
    <xf numFmtId="0" fontId="5" fillId="0" borderId="0" xfId="0" applyFont="1">
      <alignment vertical="center"/>
    </xf>
    <xf numFmtId="0" fontId="0" fillId="0" borderId="0" xfId="0" applyAlignment="1"/>
    <xf numFmtId="0" fontId="5" fillId="2" borderId="0" xfId="0" applyFont="1" applyFill="1" applyAlignment="1"/>
    <xf numFmtId="0" fontId="0" fillId="0" borderId="0" xfId="0" applyFont="1" applyAlignment="1"/>
    <xf numFmtId="0" fontId="0" fillId="0" borderId="0" xfId="0" applyAlignment="1">
      <alignment horizontal="left"/>
    </xf>
    <xf numFmtId="0" fontId="6" fillId="0" borderId="0" xfId="6" applyAlignment="1"/>
    <xf numFmtId="0" fontId="0" fillId="0" borderId="0" xfId="0" applyFont="1" applyAlignment="1">
      <alignment vertical="center" wrapText="1"/>
    </xf>
    <xf numFmtId="0" fontId="0" fillId="0" borderId="0" xfId="0"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 xfId="5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ea.gov.cn/2019-08/23/c_138330885.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workbookViewId="0">
      <selection activeCell="B24" sqref="B24"/>
    </sheetView>
  </sheetViews>
  <sheetFormatPr defaultColWidth="9" defaultRowHeight="13.85"/>
  <cols>
    <col min="2" max="2" width="73.3982300884956" customWidth="1"/>
    <col min="3" max="3" width="15.070796460177" customWidth="1"/>
    <col min="4" max="4" width="13.3362831858407" customWidth="1"/>
  </cols>
  <sheetData>
    <row r="1" spans="1:2">
      <c r="A1" s="37" t="s">
        <v>0</v>
      </c>
    </row>
    <row r="2" spans="1:2">
      <c r="A2" s="38"/>
    </row>
    <row r="3" spans="1:2">
      <c r="A3" s="37" t="s">
        <v>1</v>
      </c>
      <c r="B3" s="39" t="s">
        <v>2</v>
      </c>
    </row>
    <row r="4" spans="1:2">
      <c r="B4" s="40" t="s">
        <v>3</v>
      </c>
    </row>
    <row r="5" spans="1:2">
      <c r="B5" s="41">
        <v>2019</v>
      </c>
    </row>
    <row r="6" spans="1:2">
      <c r="B6" s="40" t="s">
        <v>4</v>
      </c>
    </row>
    <row r="7" spans="1:2">
      <c r="B7" s="42" t="s">
        <v>5</v>
      </c>
    </row>
    <row r="10" ht="83.25" spans="1:2">
      <c r="A10" s="37" t="s">
        <v>6</v>
      </c>
      <c r="B10" s="43" t="s">
        <v>7</v>
      </c>
    </row>
    <row r="11" spans="1:2">
      <c r="B11" s="44"/>
    </row>
    <row r="12" spans="1:2">
      <c r="B12" s="44"/>
    </row>
    <row r="13" spans="1:2">
      <c r="B13" s="44"/>
    </row>
    <row r="14" spans="1:2">
      <c r="B14" s="44"/>
    </row>
    <row r="15" spans="1:2">
      <c r="A15" s="3"/>
      <c r="B15" s="44"/>
    </row>
    <row r="22" spans="5:11">
      <c r="E22" s="1"/>
      <c r="F22" s="1"/>
      <c r="G22" s="1"/>
      <c r="H22" s="1"/>
      <c r="I22" s="1"/>
      <c r="J22" s="1"/>
      <c r="K22" s="1"/>
    </row>
    <row r="23" spans="5:11">
      <c r="E23" s="1"/>
      <c r="F23" s="1"/>
      <c r="G23" s="1"/>
      <c r="H23" s="1"/>
      <c r="I23" s="1"/>
      <c r="J23" s="1"/>
      <c r="K23" s="1"/>
    </row>
    <row r="24" spans="5:11">
      <c r="E24" s="1"/>
      <c r="F24" s="1"/>
      <c r="G24" s="1"/>
      <c r="H24" s="1"/>
      <c r="I24" s="1"/>
      <c r="J24" s="1"/>
      <c r="K24" s="1"/>
    </row>
    <row r="25" spans="5:11">
      <c r="E25" s="1"/>
      <c r="F25" s="1"/>
      <c r="G25" s="1"/>
      <c r="H25" s="1"/>
      <c r="I25" s="1"/>
      <c r="J25" s="1"/>
      <c r="K25" s="1"/>
    </row>
  </sheetData>
  <hyperlinks>
    <hyperlink ref="B7" r:id="rId1" display="https://www.nea.gov.cn/2019-08/23/c_138330885.ht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2"/>
  <sheetViews>
    <sheetView topLeftCell="B1" workbookViewId="0">
      <selection activeCell="Y11" sqref="Y11"/>
    </sheetView>
  </sheetViews>
  <sheetFormatPr defaultColWidth="9" defaultRowHeight="13.85"/>
  <cols>
    <col min="1" max="1" width="17.2654867256637" customWidth="1"/>
  </cols>
  <sheetData>
    <row r="1" spans="1:25">
      <c r="A1" s="4" t="s">
        <v>8</v>
      </c>
      <c r="B1" s="21" t="s">
        <v>9</v>
      </c>
      <c r="C1" s="22"/>
      <c r="D1" s="22"/>
      <c r="E1" s="22"/>
      <c r="F1" s="22"/>
      <c r="G1" s="22"/>
      <c r="H1" s="22"/>
      <c r="I1" s="23"/>
      <c r="J1" s="21" t="s">
        <v>10</v>
      </c>
      <c r="K1" s="22"/>
      <c r="L1" s="22"/>
      <c r="M1" s="22"/>
      <c r="N1" s="22"/>
      <c r="O1" s="22"/>
      <c r="P1" s="22"/>
      <c r="Q1" s="23"/>
      <c r="R1" s="24" t="s">
        <v>11</v>
      </c>
      <c r="S1" s="25"/>
      <c r="T1" s="25"/>
      <c r="U1" s="25"/>
      <c r="V1" s="25"/>
      <c r="W1" s="25"/>
      <c r="X1" s="25"/>
    </row>
    <row r="2" spans="1:25">
      <c r="A2" s="4"/>
      <c r="B2" s="4">
        <v>2017</v>
      </c>
      <c r="C2" s="4">
        <v>2018</v>
      </c>
      <c r="D2" s="4">
        <v>2019</v>
      </c>
      <c r="E2" s="4">
        <v>2020</v>
      </c>
      <c r="F2" s="4">
        <v>2021</v>
      </c>
      <c r="G2" s="4">
        <v>2022</v>
      </c>
      <c r="H2" s="4">
        <v>2023</v>
      </c>
      <c r="I2" s="4">
        <v>2024</v>
      </c>
      <c r="J2" s="4">
        <v>2017</v>
      </c>
      <c r="K2" s="4">
        <v>2018</v>
      </c>
      <c r="L2" s="4">
        <v>2019</v>
      </c>
      <c r="M2" s="4">
        <v>2020</v>
      </c>
      <c r="N2" s="4">
        <v>2021</v>
      </c>
      <c r="O2" s="4">
        <v>2022</v>
      </c>
      <c r="P2" s="4">
        <v>2023</v>
      </c>
      <c r="Q2" s="4">
        <v>2024</v>
      </c>
      <c r="R2" s="26">
        <v>2017</v>
      </c>
      <c r="S2" s="26">
        <v>2018</v>
      </c>
      <c r="T2" s="26">
        <v>2019</v>
      </c>
      <c r="U2" s="26">
        <v>2020</v>
      </c>
      <c r="V2" s="26">
        <v>2021</v>
      </c>
      <c r="W2" s="26">
        <v>2022</v>
      </c>
      <c r="X2" s="26">
        <v>2023</v>
      </c>
      <c r="Y2" s="26">
        <v>2024</v>
      </c>
    </row>
    <row r="3" spans="1:25">
      <c r="A3" s="9" t="s">
        <v>12</v>
      </c>
      <c r="B3" s="27">
        <v>3658</v>
      </c>
      <c r="C3" s="27">
        <v>5027</v>
      </c>
      <c r="D3" s="27">
        <v>6211</v>
      </c>
      <c r="E3" s="27">
        <v>7827</v>
      </c>
      <c r="F3" s="28">
        <v>10750.8</v>
      </c>
      <c r="G3" s="28">
        <v>15762</v>
      </c>
      <c r="H3" s="28">
        <v>25443.8</v>
      </c>
      <c r="I3" s="28">
        <v>37478</v>
      </c>
      <c r="J3" s="29">
        <v>154</v>
      </c>
      <c r="K3" s="29">
        <v>388</v>
      </c>
      <c r="L3" s="29">
        <v>541</v>
      </c>
      <c r="M3" s="29">
        <v>679</v>
      </c>
      <c r="N3" s="29">
        <v>925</v>
      </c>
      <c r="O3" s="27">
        <v>1437</v>
      </c>
      <c r="P3" s="27">
        <v>2082</v>
      </c>
      <c r="Q3" s="27">
        <v>3462</v>
      </c>
      <c r="R3" s="19">
        <f t="shared" ref="R3:Y3" si="0">J3*10^4/B3/8760</f>
        <v>0.0480587990043715</v>
      </c>
      <c r="S3" s="19">
        <f t="shared" si="0"/>
        <v>0.0881086879708024</v>
      </c>
      <c r="T3" s="19">
        <f t="shared" si="0"/>
        <v>0.0994332488610206</v>
      </c>
      <c r="U3" s="19">
        <f t="shared" si="0"/>
        <v>0.0990308106875101</v>
      </c>
      <c r="V3" s="19">
        <f t="shared" si="0"/>
        <v>0.09821930210397</v>
      </c>
      <c r="W3" s="19">
        <f t="shared" si="0"/>
        <v>0.104073782445382</v>
      </c>
      <c r="X3" s="19">
        <f t="shared" si="0"/>
        <v>0.0934102739672189</v>
      </c>
      <c r="Y3" s="19">
        <f t="shared" si="0"/>
        <v>0.105449991849099</v>
      </c>
    </row>
    <row r="4" spans="1:25">
      <c r="A4" s="9" t="s">
        <v>13</v>
      </c>
      <c r="B4" s="27">
        <v>22</v>
      </c>
      <c r="C4" s="27">
        <v>35</v>
      </c>
      <c r="D4" s="27">
        <v>46</v>
      </c>
      <c r="E4" s="27">
        <v>56</v>
      </c>
      <c r="F4" s="28">
        <v>75</v>
      </c>
      <c r="G4" s="28">
        <v>90.2</v>
      </c>
      <c r="H4" s="28"/>
      <c r="I4" s="28"/>
      <c r="J4" s="29">
        <v>1</v>
      </c>
      <c r="K4" s="29">
        <v>2</v>
      </c>
      <c r="L4" s="29">
        <v>4</v>
      </c>
      <c r="M4" s="29">
        <v>5</v>
      </c>
      <c r="N4" s="29">
        <v>5</v>
      </c>
      <c r="O4" s="27"/>
      <c r="P4" s="27"/>
      <c r="Q4" s="27"/>
      <c r="R4" s="19">
        <f t="shared" ref="R4:T34" si="1">J4*10^4/B4/8760</f>
        <v>0.0518887505188875</v>
      </c>
      <c r="S4" s="19">
        <f t="shared" si="1"/>
        <v>0.0652315720808871</v>
      </c>
      <c r="T4" s="19">
        <f t="shared" si="1"/>
        <v>0.0992654357752631</v>
      </c>
      <c r="U4" s="19">
        <f t="shared" ref="U4:U34" si="2">M4*10^4/E4/8760</f>
        <v>0.101924331376386</v>
      </c>
      <c r="V4" s="19">
        <f t="shared" ref="V4:V34" si="3">N4*10^4/F4/8760</f>
        <v>0.076103500761035</v>
      </c>
      <c r="W4" s="15"/>
    </row>
    <row r="5" spans="1:25">
      <c r="A5" s="9" t="s">
        <v>14</v>
      </c>
      <c r="B5" s="27">
        <v>15</v>
      </c>
      <c r="C5" s="27">
        <v>31</v>
      </c>
      <c r="D5" s="27">
        <v>38</v>
      </c>
      <c r="E5" s="27">
        <v>45</v>
      </c>
      <c r="F5" s="28">
        <v>58.9</v>
      </c>
      <c r="G5" s="28">
        <v>98.9</v>
      </c>
      <c r="H5" s="28"/>
      <c r="I5" s="28"/>
      <c r="J5" s="29">
        <v>1</v>
      </c>
      <c r="K5" s="29">
        <v>2</v>
      </c>
      <c r="L5" s="29">
        <v>3</v>
      </c>
      <c r="M5" s="29">
        <v>4</v>
      </c>
      <c r="N5" s="29">
        <v>4</v>
      </c>
      <c r="O5" s="27"/>
      <c r="P5" s="27"/>
      <c r="Q5" s="27"/>
      <c r="R5" s="19">
        <f t="shared" si="1"/>
        <v>0.076103500761035</v>
      </c>
      <c r="S5" s="19">
        <f t="shared" si="1"/>
        <v>0.0736485491235823</v>
      </c>
      <c r="T5" s="19">
        <f t="shared" si="1"/>
        <v>0.0901225666906994</v>
      </c>
      <c r="U5" s="19">
        <f t="shared" si="2"/>
        <v>0.101471334348047</v>
      </c>
      <c r="V5" s="19">
        <f t="shared" si="3"/>
        <v>0.0775247885511392</v>
      </c>
      <c r="W5" s="15"/>
    </row>
    <row r="6" spans="1:25">
      <c r="A6" s="9" t="s">
        <v>15</v>
      </c>
      <c r="B6" s="27">
        <v>351</v>
      </c>
      <c r="C6" s="27">
        <v>378</v>
      </c>
      <c r="D6" s="27">
        <v>513</v>
      </c>
      <c r="E6" s="27">
        <v>747</v>
      </c>
      <c r="F6" s="28">
        <v>1262.5</v>
      </c>
      <c r="G6" s="28">
        <v>1861.2</v>
      </c>
      <c r="H6" s="28"/>
      <c r="I6" s="28"/>
      <c r="J6" s="29">
        <v>11</v>
      </c>
      <c r="K6" s="29">
        <v>32</v>
      </c>
      <c r="L6" s="29">
        <v>53</v>
      </c>
      <c r="M6" s="29">
        <v>70</v>
      </c>
      <c r="N6" s="29">
        <v>114</v>
      </c>
      <c r="O6" s="27"/>
      <c r="P6" s="27"/>
      <c r="Q6" s="27"/>
      <c r="R6" s="19">
        <f t="shared" si="1"/>
        <v>0.0357751499304011</v>
      </c>
      <c r="S6" s="19">
        <f t="shared" si="1"/>
        <v>0.0966393660457587</v>
      </c>
      <c r="T6" s="19">
        <f t="shared" si="1"/>
        <v>0.117938173694002</v>
      </c>
      <c r="U6" s="19">
        <f t="shared" si="2"/>
        <v>0.106972792234387</v>
      </c>
      <c r="V6" s="19">
        <f t="shared" si="3"/>
        <v>0.103078801030788</v>
      </c>
      <c r="W6" s="15"/>
    </row>
    <row r="7" spans="1:25">
      <c r="A7" s="9" t="s">
        <v>16</v>
      </c>
      <c r="B7" s="27">
        <v>60</v>
      </c>
      <c r="C7" s="27">
        <v>183</v>
      </c>
      <c r="D7" s="27">
        <v>231</v>
      </c>
      <c r="E7" s="27">
        <v>280</v>
      </c>
      <c r="F7" s="28">
        <v>355.9</v>
      </c>
      <c r="G7" s="28">
        <v>438.7</v>
      </c>
      <c r="H7" s="28"/>
      <c r="I7" s="28"/>
      <c r="J7" s="29">
        <v>5</v>
      </c>
      <c r="K7" s="29">
        <v>14</v>
      </c>
      <c r="L7" s="29">
        <v>25</v>
      </c>
      <c r="M7" s="29">
        <v>31</v>
      </c>
      <c r="N7" s="29">
        <v>40</v>
      </c>
      <c r="O7" s="27"/>
      <c r="P7" s="27"/>
      <c r="Q7" s="27"/>
      <c r="R7" s="19">
        <f t="shared" si="1"/>
        <v>0.0951293759512938</v>
      </c>
      <c r="S7" s="19">
        <f t="shared" si="1"/>
        <v>0.0873318861192205</v>
      </c>
      <c r="T7" s="19">
        <f t="shared" si="1"/>
        <v>0.123544644092589</v>
      </c>
      <c r="U7" s="19">
        <f t="shared" si="2"/>
        <v>0.126386170906719</v>
      </c>
      <c r="V7" s="19">
        <f t="shared" si="3"/>
        <v>0.128300366554147</v>
      </c>
      <c r="W7" s="15"/>
    </row>
    <row r="8" spans="1:25">
      <c r="A8" s="9" t="s">
        <v>17</v>
      </c>
      <c r="B8" s="27">
        <v>2</v>
      </c>
      <c r="C8" s="27">
        <v>13</v>
      </c>
      <c r="D8" s="27">
        <v>80</v>
      </c>
      <c r="E8" s="27">
        <v>88</v>
      </c>
      <c r="F8" s="28">
        <v>102.5</v>
      </c>
      <c r="G8" s="28">
        <v>121.2</v>
      </c>
      <c r="H8" s="28"/>
      <c r="I8" s="28"/>
      <c r="J8" s="29">
        <v>0.3</v>
      </c>
      <c r="K8" s="29">
        <v>1</v>
      </c>
      <c r="L8" s="29">
        <v>3</v>
      </c>
      <c r="M8" s="29">
        <v>13</v>
      </c>
      <c r="N8" s="29">
        <v>15</v>
      </c>
      <c r="O8" s="27"/>
      <c r="P8" s="27"/>
      <c r="Q8" s="27"/>
      <c r="R8" s="19">
        <f>J8*10^4/B8/8760</f>
        <v>0.171232876712329</v>
      </c>
      <c r="S8" s="19">
        <f t="shared" si="1"/>
        <v>0.0878117316473481</v>
      </c>
      <c r="T8" s="19">
        <f t="shared" si="1"/>
        <v>0.0428082191780822</v>
      </c>
      <c r="U8" s="19">
        <f t="shared" si="2"/>
        <v>0.168638439186384</v>
      </c>
      <c r="V8" s="19">
        <f t="shared" si="3"/>
        <v>0.167056465085199</v>
      </c>
      <c r="W8" s="15"/>
    </row>
    <row r="9" spans="1:25">
      <c r="A9" s="9" t="s">
        <v>18</v>
      </c>
      <c r="B9" s="27">
        <v>38</v>
      </c>
      <c r="C9" s="27">
        <v>83</v>
      </c>
      <c r="D9" s="27">
        <v>97</v>
      </c>
      <c r="E9" s="27">
        <v>118</v>
      </c>
      <c r="F9" s="28">
        <v>160</v>
      </c>
      <c r="G9" s="28">
        <v>219.3</v>
      </c>
      <c r="H9" s="28"/>
      <c r="I9" s="28"/>
      <c r="J9" s="29">
        <v>3</v>
      </c>
      <c r="K9" s="29">
        <v>7</v>
      </c>
      <c r="L9" s="29">
        <v>10</v>
      </c>
      <c r="M9" s="29">
        <v>12</v>
      </c>
      <c r="N9" s="29">
        <v>14</v>
      </c>
      <c r="O9" s="27"/>
      <c r="P9" s="27"/>
      <c r="Q9" s="27"/>
      <c r="R9" s="19">
        <f t="shared" si="1"/>
        <v>0.0901225666906994</v>
      </c>
      <c r="S9" s="19">
        <f t="shared" si="1"/>
        <v>0.0962755130109479</v>
      </c>
      <c r="T9" s="19">
        <f t="shared" si="1"/>
        <v>0.117685825919126</v>
      </c>
      <c r="U9" s="19">
        <f t="shared" si="2"/>
        <v>0.116090085906664</v>
      </c>
      <c r="V9" s="19">
        <f t="shared" si="3"/>
        <v>0.0998858447488584</v>
      </c>
      <c r="W9" s="15"/>
    </row>
    <row r="10" spans="1:25">
      <c r="A10" s="9" t="s">
        <v>19</v>
      </c>
      <c r="B10" s="27">
        <v>52</v>
      </c>
      <c r="C10" s="27">
        <v>62</v>
      </c>
      <c r="D10" s="27">
        <v>69</v>
      </c>
      <c r="E10" s="27">
        <v>76</v>
      </c>
      <c r="F10" s="28">
        <v>80.1</v>
      </c>
      <c r="G10" s="28">
        <v>92</v>
      </c>
      <c r="H10" s="28"/>
      <c r="I10" s="28"/>
      <c r="J10" s="29">
        <v>2</v>
      </c>
      <c r="K10" s="29">
        <v>7</v>
      </c>
      <c r="L10" s="29">
        <v>9</v>
      </c>
      <c r="M10" s="29">
        <v>9</v>
      </c>
      <c r="N10" s="29">
        <v>10</v>
      </c>
      <c r="O10" s="27"/>
      <c r="P10" s="27"/>
      <c r="Q10" s="27"/>
      <c r="R10" s="19">
        <f t="shared" si="1"/>
        <v>0.043905865823674</v>
      </c>
      <c r="S10" s="19">
        <f t="shared" si="1"/>
        <v>0.128884960966269</v>
      </c>
      <c r="T10" s="19">
        <f t="shared" si="1"/>
        <v>0.148898153662895</v>
      </c>
      <c r="U10" s="19">
        <f t="shared" si="2"/>
        <v>0.135183850036049</v>
      </c>
      <c r="V10" s="19">
        <f t="shared" si="3"/>
        <v>0.142515919028155</v>
      </c>
      <c r="W10" s="15"/>
    </row>
    <row r="11" spans="1:25">
      <c r="A11" s="9" t="s">
        <v>20</v>
      </c>
      <c r="B11" s="27">
        <v>30</v>
      </c>
      <c r="C11" s="27">
        <v>74</v>
      </c>
      <c r="D11" s="27">
        <v>79</v>
      </c>
      <c r="E11" s="27">
        <v>83</v>
      </c>
      <c r="F11" s="28">
        <v>89.8</v>
      </c>
      <c r="G11" s="28">
        <v>108.4</v>
      </c>
      <c r="H11" s="28"/>
      <c r="I11" s="28"/>
      <c r="J11" s="29">
        <v>1</v>
      </c>
      <c r="K11" s="29">
        <v>5</v>
      </c>
      <c r="L11" s="29">
        <v>9</v>
      </c>
      <c r="M11" s="29">
        <v>10</v>
      </c>
      <c r="N11" s="29">
        <v>10</v>
      </c>
      <c r="O11" s="27"/>
      <c r="P11" s="27"/>
      <c r="Q11" s="27"/>
      <c r="R11" s="19">
        <f t="shared" si="1"/>
        <v>0.0380517503805175</v>
      </c>
      <c r="S11" s="19">
        <f t="shared" si="1"/>
        <v>0.0771319264469949</v>
      </c>
      <c r="T11" s="19">
        <f t="shared" si="1"/>
        <v>0.130050286110629</v>
      </c>
      <c r="U11" s="19">
        <f t="shared" si="2"/>
        <v>0.137536447158497</v>
      </c>
      <c r="V11" s="19">
        <f t="shared" si="3"/>
        <v>0.127121660513978</v>
      </c>
      <c r="W11" s="15"/>
    </row>
    <row r="12" spans="1:25">
      <c r="A12" s="9" t="s">
        <v>21</v>
      </c>
      <c r="B12" s="27">
        <v>59</v>
      </c>
      <c r="C12" s="27">
        <v>82</v>
      </c>
      <c r="D12" s="27">
        <v>102</v>
      </c>
      <c r="E12" s="27">
        <v>117</v>
      </c>
      <c r="F12" s="28">
        <v>144.2</v>
      </c>
      <c r="G12" s="28">
        <v>170.9</v>
      </c>
      <c r="H12" s="28"/>
      <c r="I12" s="28"/>
      <c r="J12" s="29">
        <v>2</v>
      </c>
      <c r="K12" s="29">
        <v>5</v>
      </c>
      <c r="L12" s="29">
        <v>7</v>
      </c>
      <c r="M12" s="29">
        <v>9</v>
      </c>
      <c r="N12" s="29">
        <v>12</v>
      </c>
      <c r="O12" s="27"/>
      <c r="P12" s="27"/>
      <c r="Q12" s="27"/>
      <c r="R12" s="19">
        <f t="shared" si="1"/>
        <v>0.0386966953022212</v>
      </c>
      <c r="S12" s="19">
        <f t="shared" si="1"/>
        <v>0.0696068604521662</v>
      </c>
      <c r="T12" s="19">
        <f t="shared" si="1"/>
        <v>0.0783418390187125</v>
      </c>
      <c r="U12" s="19">
        <f t="shared" si="2"/>
        <v>0.0878117316473481</v>
      </c>
      <c r="V12" s="19">
        <f t="shared" si="3"/>
        <v>0.0949974350692531</v>
      </c>
      <c r="W12" s="15"/>
    </row>
    <row r="13" spans="1:25">
      <c r="A13" s="9" t="s">
        <v>22</v>
      </c>
      <c r="B13" s="27">
        <v>327</v>
      </c>
      <c r="C13" s="27">
        <v>540</v>
      </c>
      <c r="D13" s="27">
        <v>664</v>
      </c>
      <c r="E13" s="27">
        <v>788</v>
      </c>
      <c r="F13" s="28">
        <v>974.9</v>
      </c>
      <c r="G13" s="28">
        <v>1555.2</v>
      </c>
      <c r="H13" s="28"/>
      <c r="I13" s="28"/>
      <c r="J13" s="29">
        <v>19</v>
      </c>
      <c r="K13" s="29">
        <v>40</v>
      </c>
      <c r="L13" s="29">
        <v>53</v>
      </c>
      <c r="M13" s="29">
        <v>61</v>
      </c>
      <c r="N13" s="29">
        <v>77</v>
      </c>
      <c r="O13" s="27"/>
      <c r="P13" s="27"/>
      <c r="Q13" s="27"/>
      <c r="R13" s="19">
        <f t="shared" si="1"/>
        <v>0.0663287391953975</v>
      </c>
      <c r="S13" s="19">
        <f t="shared" si="1"/>
        <v>0.0845594452900389</v>
      </c>
      <c r="T13" s="19">
        <f t="shared" si="1"/>
        <v>0.0911178962425043</v>
      </c>
      <c r="U13" s="19">
        <f t="shared" si="2"/>
        <v>0.0883689126857196</v>
      </c>
      <c r="V13" s="19">
        <f t="shared" si="3"/>
        <v>0.0901626252733567</v>
      </c>
      <c r="W13" s="15"/>
    </row>
    <row r="14" spans="1:25">
      <c r="A14" s="9" t="s">
        <v>23</v>
      </c>
      <c r="B14" s="27">
        <v>499</v>
      </c>
      <c r="C14" s="27">
        <v>777</v>
      </c>
      <c r="D14" s="27">
        <v>925</v>
      </c>
      <c r="E14" s="27">
        <v>1067</v>
      </c>
      <c r="F14" s="28">
        <v>1264.8</v>
      </c>
      <c r="G14" s="28">
        <v>1925.5</v>
      </c>
      <c r="H14" s="28"/>
      <c r="I14" s="28"/>
      <c r="J14" s="29">
        <v>31</v>
      </c>
      <c r="K14" s="29">
        <v>63</v>
      </c>
      <c r="L14" s="29">
        <v>75</v>
      </c>
      <c r="M14" s="29">
        <v>88</v>
      </c>
      <c r="N14" s="29">
        <v>103</v>
      </c>
      <c r="O14" s="27"/>
      <c r="P14" s="27"/>
      <c r="Q14" s="27"/>
      <c r="R14" s="19">
        <f t="shared" si="1"/>
        <v>0.0709180918915456</v>
      </c>
      <c r="S14" s="19">
        <f t="shared" si="1"/>
        <v>0.0925583117363939</v>
      </c>
      <c r="T14" s="19">
        <f t="shared" si="1"/>
        <v>0.0925583117363939</v>
      </c>
      <c r="U14" s="19">
        <f t="shared" si="2"/>
        <v>0.094148660735301</v>
      </c>
      <c r="V14" s="19">
        <f t="shared" si="3"/>
        <v>0.0929632421535413</v>
      </c>
      <c r="W14" s="15"/>
    </row>
    <row r="15" spans="1:25">
      <c r="A15" s="9" t="s">
        <v>24</v>
      </c>
      <c r="B15" s="27">
        <v>323</v>
      </c>
      <c r="C15" s="27">
        <v>441</v>
      </c>
      <c r="D15" s="27">
        <v>480</v>
      </c>
      <c r="E15" s="27">
        <v>544</v>
      </c>
      <c r="F15" s="28">
        <v>759.8</v>
      </c>
      <c r="G15" s="28">
        <v>1090.3</v>
      </c>
      <c r="H15" s="28"/>
      <c r="I15" s="28"/>
      <c r="J15" s="29">
        <v>18</v>
      </c>
      <c r="K15" s="29">
        <v>36</v>
      </c>
      <c r="L15" s="29">
        <v>46</v>
      </c>
      <c r="M15" s="29">
        <v>45</v>
      </c>
      <c r="N15" s="29">
        <v>52</v>
      </c>
      <c r="O15" s="27"/>
      <c r="P15" s="27"/>
      <c r="Q15" s="27"/>
      <c r="R15" s="19">
        <f t="shared" si="1"/>
        <v>0.063615929428729</v>
      </c>
      <c r="S15" s="19">
        <f t="shared" si="1"/>
        <v>0.0931879601155531</v>
      </c>
      <c r="T15" s="19">
        <f t="shared" si="1"/>
        <v>0.109398782343988</v>
      </c>
      <c r="U15" s="19">
        <f t="shared" si="2"/>
        <v>0.0944298952457695</v>
      </c>
      <c r="V15" s="19">
        <f t="shared" si="3"/>
        <v>0.078126784145311</v>
      </c>
      <c r="W15" s="15"/>
    </row>
    <row r="16" spans="1:25">
      <c r="A16" s="9" t="s">
        <v>25</v>
      </c>
      <c r="B16" s="30">
        <v>109</v>
      </c>
      <c r="C16" s="27">
        <v>111</v>
      </c>
      <c r="D16" s="30">
        <v>131</v>
      </c>
      <c r="E16" s="27">
        <v>164</v>
      </c>
      <c r="F16" s="28">
        <v>237.9</v>
      </c>
      <c r="G16" s="28">
        <v>425.8</v>
      </c>
      <c r="H16" s="28"/>
      <c r="I16" s="28"/>
      <c r="J16" s="29">
        <v>3</v>
      </c>
      <c r="K16" s="29">
        <v>9</v>
      </c>
      <c r="L16" s="29">
        <v>11</v>
      </c>
      <c r="M16" s="29">
        <v>15</v>
      </c>
      <c r="N16" s="4">
        <v>20</v>
      </c>
      <c r="O16" s="30"/>
      <c r="P16" s="30"/>
      <c r="Q16" s="30"/>
      <c r="R16" s="19">
        <f t="shared" si="1"/>
        <v>0.0314188764609778</v>
      </c>
      <c r="S16" s="19">
        <f t="shared" si="1"/>
        <v>0.0925583117363939</v>
      </c>
      <c r="T16" s="19">
        <f t="shared" si="1"/>
        <v>0.0958555543936701</v>
      </c>
      <c r="U16" s="19">
        <f t="shared" si="2"/>
        <v>0.104410290678249</v>
      </c>
      <c r="V16" s="19">
        <f t="shared" si="3"/>
        <v>0.095969105625517</v>
      </c>
      <c r="W16" s="15"/>
    </row>
    <row r="17" spans="1:23">
      <c r="A17" s="9" t="s">
        <v>26</v>
      </c>
      <c r="B17" s="27">
        <v>172</v>
      </c>
      <c r="C17" s="27">
        <v>242</v>
      </c>
      <c r="D17" s="27">
        <v>262</v>
      </c>
      <c r="E17" s="27">
        <v>299</v>
      </c>
      <c r="F17" s="28">
        <v>359.2</v>
      </c>
      <c r="G17" s="28">
        <v>506.7</v>
      </c>
      <c r="H17" s="28"/>
      <c r="I17" s="28"/>
      <c r="J17" s="29">
        <v>8</v>
      </c>
      <c r="K17" s="29">
        <v>21</v>
      </c>
      <c r="L17" s="29">
        <v>24</v>
      </c>
      <c r="M17" s="29">
        <v>26</v>
      </c>
      <c r="N17" s="29">
        <v>30</v>
      </c>
      <c r="O17" s="27"/>
      <c r="P17" s="27"/>
      <c r="Q17" s="27"/>
      <c r="R17" s="19">
        <f t="shared" si="1"/>
        <v>0.0530954656472337</v>
      </c>
      <c r="S17" s="19">
        <f t="shared" si="1"/>
        <v>0.0990603418996943</v>
      </c>
      <c r="T17" s="19">
        <f t="shared" si="1"/>
        <v>0.104569695702186</v>
      </c>
      <c r="U17" s="19">
        <f t="shared" si="2"/>
        <v>0.0992654357752631</v>
      </c>
      <c r="V17" s="19">
        <f t="shared" si="3"/>
        <v>0.0953412453854837</v>
      </c>
      <c r="W17" s="15"/>
    </row>
    <row r="18" spans="1:23">
      <c r="A18" s="9" t="s">
        <v>27</v>
      </c>
      <c r="B18" s="27">
        <v>474</v>
      </c>
      <c r="C18" s="27">
        <v>713</v>
      </c>
      <c r="D18" s="27">
        <v>942</v>
      </c>
      <c r="E18" s="27">
        <v>1467</v>
      </c>
      <c r="F18" s="28">
        <v>2334.4</v>
      </c>
      <c r="G18" s="28">
        <v>3020.2</v>
      </c>
      <c r="H18" s="28"/>
      <c r="I18" s="28"/>
      <c r="J18" s="29">
        <v>20</v>
      </c>
      <c r="K18" s="29">
        <v>60</v>
      </c>
      <c r="L18" s="29">
        <v>80</v>
      </c>
      <c r="M18" s="29">
        <v>117</v>
      </c>
      <c r="N18" s="29">
        <v>202</v>
      </c>
      <c r="O18" s="27"/>
      <c r="P18" s="27"/>
      <c r="Q18" s="27"/>
      <c r="R18" s="19">
        <f t="shared" si="1"/>
        <v>0.0481667726335665</v>
      </c>
      <c r="S18" s="19">
        <f t="shared" si="1"/>
        <v>0.096063324943803</v>
      </c>
      <c r="T18" s="19">
        <f t="shared" si="1"/>
        <v>0.0969471347274331</v>
      </c>
      <c r="U18" s="19">
        <f t="shared" si="2"/>
        <v>0.0910440653276186</v>
      </c>
      <c r="V18" s="19">
        <f t="shared" si="3"/>
        <v>0.0987806748226251</v>
      </c>
      <c r="W18" s="15"/>
    </row>
    <row r="19" spans="1:23">
      <c r="A19" s="9" t="s">
        <v>28</v>
      </c>
      <c r="B19" s="27">
        <v>211</v>
      </c>
      <c r="C19" s="27">
        <v>391</v>
      </c>
      <c r="D19" s="27">
        <v>454</v>
      </c>
      <c r="E19" s="27">
        <v>571</v>
      </c>
      <c r="F19" s="28">
        <v>929.8</v>
      </c>
      <c r="G19" s="28">
        <v>1704.2</v>
      </c>
      <c r="H19" s="28"/>
      <c r="I19" s="28"/>
      <c r="J19" s="29">
        <v>4</v>
      </c>
      <c r="K19" s="29">
        <v>27</v>
      </c>
      <c r="L19" s="29">
        <v>38</v>
      </c>
      <c r="M19" s="29">
        <v>49</v>
      </c>
      <c r="N19" s="29">
        <v>72</v>
      </c>
      <c r="O19" s="27"/>
      <c r="P19" s="27"/>
      <c r="Q19" s="27"/>
      <c r="R19" s="19">
        <f t="shared" si="1"/>
        <v>0.0216408059036119</v>
      </c>
      <c r="S19" s="19">
        <f t="shared" si="1"/>
        <v>0.0788284342921207</v>
      </c>
      <c r="T19" s="19">
        <f t="shared" si="1"/>
        <v>0.0955484480920484</v>
      </c>
      <c r="U19" s="19">
        <f t="shared" si="2"/>
        <v>0.0979615990531712</v>
      </c>
      <c r="V19" s="19">
        <f t="shared" si="3"/>
        <v>0.0883972691136995</v>
      </c>
      <c r="W19" s="15"/>
    </row>
    <row r="20" spans="1:23">
      <c r="A20" s="9" t="s">
        <v>29</v>
      </c>
      <c r="B20" s="27">
        <v>177</v>
      </c>
      <c r="C20" s="27">
        <v>175</v>
      </c>
      <c r="D20" s="27">
        <v>202</v>
      </c>
      <c r="E20" s="27">
        <v>212</v>
      </c>
      <c r="F20" s="28">
        <v>239.6</v>
      </c>
      <c r="G20" s="28">
        <v>340.1</v>
      </c>
      <c r="H20" s="28"/>
      <c r="I20" s="28"/>
      <c r="J20" s="29">
        <v>5</v>
      </c>
      <c r="K20" s="29">
        <v>13</v>
      </c>
      <c r="L20" s="29">
        <v>17</v>
      </c>
      <c r="M20" s="29">
        <v>19</v>
      </c>
      <c r="N20" s="29">
        <v>20</v>
      </c>
      <c r="O20" s="27"/>
      <c r="P20" s="27"/>
      <c r="Q20" s="27"/>
      <c r="R20" s="19">
        <f t="shared" si="1"/>
        <v>0.0322472460851843</v>
      </c>
      <c r="S20" s="19">
        <f t="shared" si="1"/>
        <v>0.0848010437051533</v>
      </c>
      <c r="T20" s="19">
        <f t="shared" si="1"/>
        <v>0.0960712509607125</v>
      </c>
      <c r="U20" s="19">
        <f t="shared" si="2"/>
        <v>0.102308951494788</v>
      </c>
      <c r="V20" s="19">
        <f t="shared" si="3"/>
        <v>0.0952881896006281</v>
      </c>
      <c r="W20" s="15"/>
    </row>
    <row r="21" spans="1:23">
      <c r="A21" s="9" t="s">
        <v>30</v>
      </c>
      <c r="B21" s="27">
        <v>90</v>
      </c>
      <c r="C21" s="27">
        <v>166</v>
      </c>
      <c r="D21" s="27">
        <v>189</v>
      </c>
      <c r="E21" s="27">
        <v>200</v>
      </c>
      <c r="F21" s="28">
        <v>231</v>
      </c>
      <c r="G21" s="28">
        <v>349.8</v>
      </c>
      <c r="H21" s="28"/>
      <c r="I21" s="28"/>
      <c r="J21" s="29">
        <v>4</v>
      </c>
      <c r="K21" s="29">
        <v>10</v>
      </c>
      <c r="L21" s="29">
        <v>13</v>
      </c>
      <c r="M21" s="29">
        <v>14</v>
      </c>
      <c r="N21" s="29">
        <v>17</v>
      </c>
      <c r="O21" s="27"/>
      <c r="P21" s="27"/>
      <c r="Q21" s="27"/>
      <c r="R21" s="19">
        <f t="shared" si="1"/>
        <v>0.0507356671740233</v>
      </c>
      <c r="S21" s="19">
        <f t="shared" si="1"/>
        <v>0.0687682235792485</v>
      </c>
      <c r="T21" s="19">
        <f t="shared" si="1"/>
        <v>0.078519484912179</v>
      </c>
      <c r="U21" s="19">
        <f t="shared" si="2"/>
        <v>0.0799086757990868</v>
      </c>
      <c r="V21" s="19">
        <f t="shared" si="3"/>
        <v>0.0840103579829607</v>
      </c>
      <c r="W21" s="15"/>
    </row>
    <row r="22" spans="1:23">
      <c r="A22" s="9" t="s">
        <v>31</v>
      </c>
      <c r="B22" s="27">
        <v>122</v>
      </c>
      <c r="C22" s="27">
        <v>209</v>
      </c>
      <c r="D22" s="27">
        <v>256</v>
      </c>
      <c r="E22" s="27">
        <v>385</v>
      </c>
      <c r="F22" s="28">
        <v>511.9</v>
      </c>
      <c r="G22" s="28">
        <v>838.8</v>
      </c>
      <c r="H22" s="28"/>
      <c r="I22" s="28"/>
      <c r="J22" s="29">
        <v>8</v>
      </c>
      <c r="K22" s="29">
        <v>15</v>
      </c>
      <c r="L22" s="29">
        <v>22</v>
      </c>
      <c r="M22" s="29">
        <v>32</v>
      </c>
      <c r="N22" s="29">
        <v>50</v>
      </c>
      <c r="O22" s="27"/>
      <c r="P22" s="27"/>
      <c r="Q22" s="27"/>
      <c r="R22" s="19">
        <f t="shared" si="1"/>
        <v>0.0748559023879033</v>
      </c>
      <c r="S22" s="19">
        <f t="shared" si="1"/>
        <v>0.081929606082454</v>
      </c>
      <c r="T22" s="19">
        <f t="shared" si="1"/>
        <v>0.0981021689497717</v>
      </c>
      <c r="U22" s="19">
        <f t="shared" si="2"/>
        <v>0.0948822866631086</v>
      </c>
      <c r="V22" s="19">
        <f t="shared" si="3"/>
        <v>0.111501515082587</v>
      </c>
      <c r="W22" s="15"/>
    </row>
    <row r="23" spans="1:23">
      <c r="A23" s="9" t="s">
        <v>32</v>
      </c>
      <c r="B23" s="27">
        <v>373</v>
      </c>
      <c r="C23" s="27">
        <v>29</v>
      </c>
      <c r="D23" s="27">
        <v>29</v>
      </c>
      <c r="E23" s="27">
        <v>40</v>
      </c>
      <c r="F23" s="28">
        <v>52.6</v>
      </c>
      <c r="G23" s="28">
        <v>83</v>
      </c>
      <c r="H23" s="28"/>
      <c r="I23" s="28"/>
      <c r="J23" s="29">
        <v>1</v>
      </c>
      <c r="K23" s="29">
        <v>1</v>
      </c>
      <c r="L23" s="29">
        <v>2</v>
      </c>
      <c r="M23" s="29">
        <v>3</v>
      </c>
      <c r="N23" s="29">
        <v>4</v>
      </c>
      <c r="O23" s="27"/>
      <c r="P23" s="27"/>
      <c r="Q23" s="27"/>
      <c r="R23" s="19">
        <f t="shared" si="1"/>
        <v>0.00306046249709256</v>
      </c>
      <c r="S23" s="19">
        <f t="shared" si="1"/>
        <v>0.0393638797039836</v>
      </c>
      <c r="T23" s="19">
        <f t="shared" si="1"/>
        <v>0.0787277594079673</v>
      </c>
      <c r="U23" s="19">
        <f t="shared" si="2"/>
        <v>0.0856164383561644</v>
      </c>
      <c r="V23" s="19">
        <f t="shared" si="3"/>
        <v>0.0868100769137281</v>
      </c>
      <c r="W23" s="15"/>
    </row>
    <row r="24" spans="1:23">
      <c r="A24" s="9" t="s">
        <v>33</v>
      </c>
      <c r="B24" s="27">
        <v>11</v>
      </c>
      <c r="C24" s="27">
        <v>13</v>
      </c>
      <c r="D24" s="27">
        <v>13</v>
      </c>
      <c r="E24" s="27">
        <v>16</v>
      </c>
      <c r="F24" s="28">
        <v>19.4</v>
      </c>
      <c r="G24" s="28">
        <v>46.1</v>
      </c>
      <c r="H24" s="28"/>
      <c r="I24" s="28"/>
      <c r="J24" s="29">
        <v>0.2</v>
      </c>
      <c r="K24" s="29">
        <v>1</v>
      </c>
      <c r="L24" s="29">
        <v>1</v>
      </c>
      <c r="M24" s="29">
        <v>1</v>
      </c>
      <c r="N24" s="29">
        <v>1</v>
      </c>
      <c r="O24" s="27"/>
      <c r="P24" s="27"/>
      <c r="Q24" s="27"/>
      <c r="R24" s="19">
        <f t="shared" si="1"/>
        <v>0.020755500207555</v>
      </c>
      <c r="S24" s="19">
        <f t="shared" si="1"/>
        <v>0.0878117316473481</v>
      </c>
      <c r="T24" s="19">
        <f t="shared" si="1"/>
        <v>0.0878117316473481</v>
      </c>
      <c r="U24" s="19">
        <f t="shared" si="2"/>
        <v>0.0713470319634703</v>
      </c>
      <c r="V24" s="19">
        <f t="shared" si="3"/>
        <v>0.0588429129595632</v>
      </c>
      <c r="W24" s="15"/>
    </row>
    <row r="25" spans="1:23">
      <c r="A25" s="9" t="s">
        <v>34</v>
      </c>
      <c r="B25" s="27">
        <v>12</v>
      </c>
      <c r="C25" s="27">
        <v>43</v>
      </c>
      <c r="D25" s="27">
        <v>7</v>
      </c>
      <c r="E25" s="27">
        <v>7</v>
      </c>
      <c r="F25" s="28">
        <v>9.2</v>
      </c>
      <c r="G25" s="28">
        <v>15.1</v>
      </c>
      <c r="H25" s="28"/>
      <c r="I25" s="28"/>
      <c r="J25" s="29">
        <v>0.2</v>
      </c>
      <c r="K25" s="29">
        <v>2</v>
      </c>
      <c r="L25" s="29">
        <v>0.4</v>
      </c>
      <c r="M25" s="29">
        <v>0.4</v>
      </c>
      <c r="N25" s="29">
        <v>1</v>
      </c>
      <c r="O25" s="27"/>
      <c r="P25" s="27"/>
      <c r="Q25" s="27"/>
      <c r="R25" s="19">
        <f t="shared" si="1"/>
        <v>0.0190258751902588</v>
      </c>
      <c r="S25" s="19">
        <f t="shared" si="1"/>
        <v>0.0530954656472337</v>
      </c>
      <c r="T25" s="19">
        <f t="shared" si="1"/>
        <v>0.0652315720808871</v>
      </c>
      <c r="U25" s="19">
        <f t="shared" si="2"/>
        <v>0.0652315720808871</v>
      </c>
      <c r="V25" s="19">
        <f t="shared" si="3"/>
        <v>0.124081794719079</v>
      </c>
      <c r="W25" s="15"/>
    </row>
    <row r="26" spans="1:23">
      <c r="A26" s="9" t="s">
        <v>35</v>
      </c>
      <c r="B26" s="27">
        <v>19</v>
      </c>
      <c r="C26" s="27">
        <v>13</v>
      </c>
      <c r="D26" s="27">
        <v>19</v>
      </c>
      <c r="E26" s="27">
        <v>22</v>
      </c>
      <c r="F26" s="28">
        <v>26.9</v>
      </c>
      <c r="G26" s="28">
        <v>33.2</v>
      </c>
      <c r="H26" s="28"/>
      <c r="I26" s="28"/>
      <c r="J26" s="29">
        <v>1</v>
      </c>
      <c r="K26" s="29">
        <v>1</v>
      </c>
      <c r="L26" s="29">
        <v>2</v>
      </c>
      <c r="M26" s="29">
        <v>2</v>
      </c>
      <c r="N26" s="29">
        <v>2</v>
      </c>
      <c r="O26" s="27"/>
      <c r="P26" s="27"/>
      <c r="Q26" s="27"/>
      <c r="R26" s="19">
        <f t="shared" si="1"/>
        <v>0.0600817111271329</v>
      </c>
      <c r="S26" s="19">
        <f t="shared" si="1"/>
        <v>0.0878117316473481</v>
      </c>
      <c r="T26" s="19">
        <f t="shared" si="1"/>
        <v>0.120163422254266</v>
      </c>
      <c r="U26" s="19">
        <f t="shared" si="2"/>
        <v>0.103777501037775</v>
      </c>
      <c r="V26" s="19">
        <f t="shared" si="3"/>
        <v>0.0848737926702993</v>
      </c>
      <c r="W26" s="15"/>
    </row>
    <row r="27" spans="1:23">
      <c r="A27" s="9" t="s">
        <v>36</v>
      </c>
      <c r="B27" s="27"/>
      <c r="C27" s="27">
        <v>17</v>
      </c>
      <c r="D27" s="27">
        <v>19</v>
      </c>
      <c r="E27" s="27">
        <v>19</v>
      </c>
      <c r="F27" s="28">
        <v>19.4</v>
      </c>
      <c r="G27" s="28">
        <v>23.7</v>
      </c>
      <c r="H27" s="28"/>
      <c r="I27" s="28"/>
      <c r="J27" s="31"/>
      <c r="K27" s="29">
        <v>1</v>
      </c>
      <c r="L27" s="29">
        <v>1</v>
      </c>
      <c r="M27" s="29">
        <v>1</v>
      </c>
      <c r="N27" s="31">
        <v>1</v>
      </c>
      <c r="O27" s="27"/>
      <c r="P27" s="27"/>
      <c r="Q27" s="27"/>
      <c r="R27" s="19" t="e">
        <f t="shared" si="1"/>
        <v>#DIV/0!</v>
      </c>
      <c r="S27" s="19">
        <f t="shared" si="1"/>
        <v>0.067150147730325</v>
      </c>
      <c r="T27" s="19">
        <f t="shared" si="1"/>
        <v>0.0600817111271329</v>
      </c>
      <c r="U27" s="19">
        <f t="shared" si="2"/>
        <v>0.0600817111271329</v>
      </c>
      <c r="V27" s="19">
        <f t="shared" si="3"/>
        <v>0.0588429129595632</v>
      </c>
      <c r="W27" s="15"/>
    </row>
    <row r="28" spans="1:23">
      <c r="A28" s="9" t="s">
        <v>37</v>
      </c>
      <c r="B28" s="27">
        <v>0.5</v>
      </c>
      <c r="C28" s="27">
        <v>14</v>
      </c>
      <c r="D28" s="27">
        <v>25</v>
      </c>
      <c r="E28" s="27">
        <v>38</v>
      </c>
      <c r="F28" s="28">
        <v>47.2</v>
      </c>
      <c r="G28" s="28">
        <v>60.1</v>
      </c>
      <c r="H28" s="28"/>
      <c r="I28" s="28"/>
      <c r="J28" s="29">
        <v>0.3</v>
      </c>
      <c r="K28" s="29">
        <v>1</v>
      </c>
      <c r="L28" s="29">
        <v>2</v>
      </c>
      <c r="M28" s="29">
        <v>3</v>
      </c>
      <c r="N28" s="29">
        <v>4</v>
      </c>
      <c r="O28" s="27"/>
      <c r="P28" s="27"/>
      <c r="Q28" s="27"/>
      <c r="R28" s="32">
        <f>S28</f>
        <v>0.0815394651011089</v>
      </c>
      <c r="S28" s="19">
        <f t="shared" si="1"/>
        <v>0.0815394651011089</v>
      </c>
      <c r="T28" s="19">
        <f t="shared" si="1"/>
        <v>0.091324200913242</v>
      </c>
      <c r="U28" s="19">
        <f t="shared" si="2"/>
        <v>0.0901225666906994</v>
      </c>
      <c r="V28" s="19">
        <f t="shared" si="3"/>
        <v>0.096741738255553</v>
      </c>
      <c r="W28" s="15"/>
    </row>
    <row r="29" spans="1:23">
      <c r="A29" s="9" t="s">
        <v>38</v>
      </c>
      <c r="B29" s="33"/>
      <c r="C29" s="33"/>
      <c r="D29" s="33"/>
      <c r="E29" s="33"/>
      <c r="F29" s="28">
        <v>2.2</v>
      </c>
      <c r="G29" s="28">
        <v>2.2</v>
      </c>
      <c r="H29" s="28"/>
      <c r="I29" s="28"/>
      <c r="J29" s="34"/>
      <c r="K29" s="34"/>
      <c r="L29" s="34"/>
      <c r="M29" s="34"/>
      <c r="N29" s="34">
        <v>0.2</v>
      </c>
      <c r="O29" s="33"/>
      <c r="P29" s="33"/>
      <c r="Q29" s="33"/>
      <c r="R29" s="19" t="e">
        <f t="shared" si="1"/>
        <v>#DIV/0!</v>
      </c>
      <c r="S29" s="19" t="e">
        <f t="shared" si="1"/>
        <v>#DIV/0!</v>
      </c>
      <c r="T29" s="19" t="e">
        <f t="shared" si="1"/>
        <v>#DIV/0!</v>
      </c>
      <c r="U29" s="19" t="e">
        <f t="shared" si="2"/>
        <v>#DIV/0!</v>
      </c>
      <c r="V29" s="19">
        <f t="shared" si="3"/>
        <v>0.103777501037775</v>
      </c>
      <c r="W29" s="15"/>
    </row>
    <row r="30" spans="1:23">
      <c r="A30" s="9" t="s">
        <v>39</v>
      </c>
      <c r="B30" s="27">
        <v>51</v>
      </c>
      <c r="C30" s="27">
        <v>76</v>
      </c>
      <c r="D30" s="27">
        <v>161</v>
      </c>
      <c r="E30" s="27">
        <v>194</v>
      </c>
      <c r="F30" s="28">
        <v>210.9</v>
      </c>
      <c r="G30" s="28">
        <v>322.5</v>
      </c>
      <c r="H30" s="28"/>
      <c r="I30" s="28"/>
      <c r="J30" s="29">
        <v>2</v>
      </c>
      <c r="K30" s="29">
        <v>6</v>
      </c>
      <c r="L30" s="29">
        <v>14</v>
      </c>
      <c r="M30" s="29">
        <v>16</v>
      </c>
      <c r="N30" s="29">
        <v>20</v>
      </c>
      <c r="O30" s="27"/>
      <c r="P30" s="27"/>
      <c r="Q30" s="27"/>
      <c r="R30" s="19">
        <f t="shared" si="1"/>
        <v>0.04476676515355</v>
      </c>
      <c r="S30" s="19">
        <f t="shared" si="1"/>
        <v>0.0901225666906994</v>
      </c>
      <c r="T30" s="19">
        <f t="shared" si="1"/>
        <v>0.0992654357752631</v>
      </c>
      <c r="U30" s="19">
        <f t="shared" si="2"/>
        <v>0.094148660735301</v>
      </c>
      <c r="V30" s="19">
        <f t="shared" si="3"/>
        <v>0.108255335364203</v>
      </c>
      <c r="W30" s="15"/>
    </row>
    <row r="31" spans="1:23">
      <c r="A31" s="9" t="s">
        <v>40</v>
      </c>
      <c r="B31" s="27">
        <v>18</v>
      </c>
      <c r="C31" s="27">
        <v>49</v>
      </c>
      <c r="D31" s="27">
        <v>71</v>
      </c>
      <c r="E31" s="27">
        <v>74</v>
      </c>
      <c r="F31" s="28">
        <v>77.1</v>
      </c>
      <c r="G31" s="28">
        <v>85.5</v>
      </c>
      <c r="H31" s="28"/>
      <c r="I31" s="28"/>
      <c r="J31" s="29">
        <v>1</v>
      </c>
      <c r="K31" s="29">
        <v>2</v>
      </c>
      <c r="L31" s="29">
        <v>6</v>
      </c>
      <c r="M31" s="29">
        <v>9</v>
      </c>
      <c r="N31" s="29">
        <v>9</v>
      </c>
      <c r="O31" s="27"/>
      <c r="P31" s="27"/>
      <c r="Q31" s="27"/>
      <c r="R31" s="19">
        <f t="shared" si="1"/>
        <v>0.0634195839675292</v>
      </c>
      <c r="S31" s="19">
        <f t="shared" si="1"/>
        <v>0.0465939800577765</v>
      </c>
      <c r="T31" s="19">
        <f t="shared" si="1"/>
        <v>0.0964692263168049</v>
      </c>
      <c r="U31" s="19">
        <f t="shared" si="2"/>
        <v>0.138837467604591</v>
      </c>
      <c r="V31" s="19">
        <f t="shared" si="3"/>
        <v>0.133255156974575</v>
      </c>
      <c r="W31" s="15"/>
    </row>
    <row r="32" spans="1:23">
      <c r="A32" s="9" t="s">
        <v>41</v>
      </c>
      <c r="B32" s="27">
        <v>5</v>
      </c>
      <c r="C32" s="27">
        <v>10</v>
      </c>
      <c r="D32" s="27">
        <v>15</v>
      </c>
      <c r="E32" s="27">
        <v>17</v>
      </c>
      <c r="F32" s="28">
        <v>16</v>
      </c>
      <c r="G32" s="28">
        <v>15.7</v>
      </c>
      <c r="H32" s="28"/>
      <c r="I32" s="28"/>
      <c r="J32" s="29">
        <v>0.3</v>
      </c>
      <c r="K32" s="29">
        <v>1</v>
      </c>
      <c r="L32" s="29">
        <v>2</v>
      </c>
      <c r="M32" s="29">
        <v>2</v>
      </c>
      <c r="N32" s="29">
        <v>2</v>
      </c>
      <c r="O32" s="27"/>
      <c r="P32" s="27"/>
      <c r="Q32" s="27"/>
      <c r="R32" s="19">
        <f t="shared" si="1"/>
        <v>0.0684931506849315</v>
      </c>
      <c r="S32" s="19">
        <f t="shared" si="1"/>
        <v>0.114155251141553</v>
      </c>
      <c r="T32" s="19">
        <f t="shared" si="1"/>
        <v>0.15220700152207</v>
      </c>
      <c r="U32" s="19">
        <f t="shared" si="2"/>
        <v>0.13430029546065</v>
      </c>
      <c r="V32" s="19">
        <f t="shared" si="3"/>
        <v>0.142694063926941</v>
      </c>
      <c r="W32" s="15"/>
    </row>
    <row r="33" spans="1:23">
      <c r="A33" s="9" t="s">
        <v>42</v>
      </c>
      <c r="B33" s="27">
        <v>33</v>
      </c>
      <c r="C33" s="27">
        <v>55</v>
      </c>
      <c r="D33" s="27">
        <v>74</v>
      </c>
      <c r="E33" s="27">
        <v>75</v>
      </c>
      <c r="F33" s="28">
        <v>80.6</v>
      </c>
      <c r="G33" s="28">
        <v>92.2</v>
      </c>
      <c r="H33" s="28"/>
      <c r="I33" s="28"/>
      <c r="J33" s="29">
        <v>3</v>
      </c>
      <c r="K33" s="29">
        <v>4</v>
      </c>
      <c r="L33" s="29">
        <v>8</v>
      </c>
      <c r="M33" s="29">
        <v>10</v>
      </c>
      <c r="N33" s="29">
        <v>10</v>
      </c>
      <c r="O33" s="27"/>
      <c r="P33" s="27"/>
      <c r="Q33" s="27"/>
      <c r="R33" s="19">
        <f t="shared" si="1"/>
        <v>0.103777501037775</v>
      </c>
      <c r="S33" s="19">
        <f t="shared" si="1"/>
        <v>0.08302200083022</v>
      </c>
      <c r="T33" s="19">
        <f t="shared" si="1"/>
        <v>0.123411082315192</v>
      </c>
      <c r="U33" s="19">
        <f t="shared" si="2"/>
        <v>0.15220700152207</v>
      </c>
      <c r="V33" s="19">
        <f t="shared" si="3"/>
        <v>0.141631825237658</v>
      </c>
      <c r="W33" s="15"/>
    </row>
    <row r="34" spans="1:23">
      <c r="A34" s="9" t="s">
        <v>43</v>
      </c>
      <c r="B34" s="27">
        <v>1</v>
      </c>
      <c r="C34" s="27">
        <v>2</v>
      </c>
      <c r="D34" s="27">
        <v>15</v>
      </c>
      <c r="E34" s="27">
        <v>16</v>
      </c>
      <c r="F34" s="28">
        <v>17.2</v>
      </c>
      <c r="G34" s="28">
        <v>26.9</v>
      </c>
      <c r="H34" s="28"/>
      <c r="I34" s="28"/>
      <c r="J34" s="4">
        <v>0.01</v>
      </c>
      <c r="K34" s="31">
        <v>0.1</v>
      </c>
      <c r="L34" s="4">
        <v>1</v>
      </c>
      <c r="M34" s="31">
        <v>2</v>
      </c>
      <c r="N34" s="29">
        <v>2</v>
      </c>
      <c r="O34" s="27"/>
      <c r="P34" s="27"/>
      <c r="Q34" s="27"/>
      <c r="R34" s="19">
        <f t="shared" si="1"/>
        <v>0.0114155251141553</v>
      </c>
      <c r="S34" s="19">
        <f t="shared" si="1"/>
        <v>0.0570776255707763</v>
      </c>
      <c r="T34" s="19">
        <f t="shared" si="1"/>
        <v>0.076103500761035</v>
      </c>
      <c r="U34" s="19">
        <f t="shared" si="2"/>
        <v>0.142694063926941</v>
      </c>
      <c r="V34" s="19">
        <f t="shared" si="3"/>
        <v>0.132738664118084</v>
      </c>
      <c r="W34" s="15"/>
    </row>
    <row r="35" spans="1:23">
      <c r="A35" s="20" t="s">
        <v>44</v>
      </c>
      <c r="B35" s="16"/>
      <c r="C35" s="16">
        <v>0</v>
      </c>
      <c r="D35" s="16"/>
      <c r="E35" s="16"/>
      <c r="F35" s="16"/>
      <c r="G35" s="16"/>
      <c r="H35" s="16"/>
      <c r="I35" s="16"/>
      <c r="J35" s="16"/>
      <c r="K35" s="16"/>
      <c r="L35" s="16"/>
      <c r="M35" s="16"/>
      <c r="N35" s="16"/>
      <c r="O35" s="16"/>
      <c r="P35" s="16"/>
      <c r="Q35" s="16"/>
      <c r="R35" s="16"/>
      <c r="S35" s="16"/>
      <c r="T35" s="16"/>
      <c r="U35" s="16"/>
      <c r="V35" s="16"/>
      <c r="W35" s="16"/>
    </row>
    <row r="38" spans="1:23">
      <c r="C38" s="35" t="s">
        <v>45</v>
      </c>
      <c r="D38" s="35" t="s">
        <v>13</v>
      </c>
      <c r="J38" t="s">
        <v>12</v>
      </c>
      <c r="K38" t="s">
        <v>12</v>
      </c>
      <c r="L38" t="s">
        <v>12</v>
      </c>
      <c r="N38" t="b">
        <f>J38=K38</f>
        <v>1</v>
      </c>
      <c r="O38" t="b">
        <f>K38=L38</f>
        <v>1</v>
      </c>
    </row>
    <row r="39" spans="1:23">
      <c r="C39" s="35" t="s">
        <v>46</v>
      </c>
      <c r="D39" s="35" t="s">
        <v>14</v>
      </c>
      <c r="J39" t="s">
        <v>13</v>
      </c>
      <c r="K39" t="s">
        <v>13</v>
      </c>
      <c r="L39" t="s">
        <v>13</v>
      </c>
      <c r="N39" t="b">
        <f t="shared" ref="N39:N70" si="4">J39=K39</f>
        <v>1</v>
      </c>
      <c r="O39" t="b">
        <f t="shared" ref="O39:O70" si="5">K39=L39</f>
        <v>1</v>
      </c>
    </row>
    <row r="40" spans="1:23">
      <c r="C40" s="35" t="s">
        <v>47</v>
      </c>
      <c r="D40" s="35" t="s">
        <v>15</v>
      </c>
      <c r="J40" t="s">
        <v>14</v>
      </c>
      <c r="K40" t="s">
        <v>14</v>
      </c>
      <c r="L40" t="s">
        <v>14</v>
      </c>
      <c r="N40" t="b">
        <f t="shared" si="4"/>
        <v>1</v>
      </c>
      <c r="O40" t="b">
        <f t="shared" si="5"/>
        <v>1</v>
      </c>
    </row>
    <row r="41" spans="1:23">
      <c r="C41" s="35" t="s">
        <v>48</v>
      </c>
      <c r="D41" s="35" t="s">
        <v>16</v>
      </c>
      <c r="J41" t="s">
        <v>15</v>
      </c>
      <c r="K41" t="s">
        <v>15</v>
      </c>
      <c r="L41" t="s">
        <v>15</v>
      </c>
      <c r="N41" t="b">
        <f t="shared" si="4"/>
        <v>1</v>
      </c>
      <c r="O41" t="b">
        <f t="shared" si="5"/>
        <v>1</v>
      </c>
    </row>
    <row r="42" spans="1:23">
      <c r="C42" s="35" t="s">
        <v>49</v>
      </c>
      <c r="D42" s="35" t="s">
        <v>17</v>
      </c>
      <c r="J42" t="s">
        <v>16</v>
      </c>
      <c r="K42" t="s">
        <v>16</v>
      </c>
      <c r="L42" t="s">
        <v>16</v>
      </c>
      <c r="N42" t="b">
        <f t="shared" si="4"/>
        <v>1</v>
      </c>
      <c r="O42" t="b">
        <f t="shared" si="5"/>
        <v>1</v>
      </c>
    </row>
    <row r="43" spans="1:23">
      <c r="C43" s="35" t="s">
        <v>50</v>
      </c>
      <c r="D43" s="35" t="s">
        <v>18</v>
      </c>
      <c r="J43" t="s">
        <v>17</v>
      </c>
      <c r="K43" t="s">
        <v>17</v>
      </c>
      <c r="L43" t="s">
        <v>17</v>
      </c>
      <c r="N43" t="b">
        <f t="shared" si="4"/>
        <v>1</v>
      </c>
      <c r="O43" t="b">
        <f t="shared" si="5"/>
        <v>1</v>
      </c>
    </row>
    <row r="44" spans="1:23">
      <c r="C44" s="35" t="s">
        <v>51</v>
      </c>
      <c r="D44" s="35" t="s">
        <v>19</v>
      </c>
      <c r="J44" t="s">
        <v>18</v>
      </c>
      <c r="K44" t="s">
        <v>18</v>
      </c>
      <c r="L44" t="s">
        <v>18</v>
      </c>
      <c r="N44" t="b">
        <f t="shared" si="4"/>
        <v>1</v>
      </c>
      <c r="O44" t="b">
        <f t="shared" si="5"/>
        <v>1</v>
      </c>
    </row>
    <row r="45" spans="1:23">
      <c r="C45" s="35" t="s">
        <v>52</v>
      </c>
      <c r="D45" s="35" t="s">
        <v>20</v>
      </c>
      <c r="J45" t="s">
        <v>19</v>
      </c>
      <c r="K45" t="s">
        <v>19</v>
      </c>
      <c r="L45" t="s">
        <v>19</v>
      </c>
      <c r="N45" t="b">
        <f t="shared" si="4"/>
        <v>1</v>
      </c>
      <c r="O45" t="b">
        <f t="shared" si="5"/>
        <v>1</v>
      </c>
    </row>
    <row r="46" spans="1:23">
      <c r="C46" s="35" t="s">
        <v>53</v>
      </c>
      <c r="D46" s="35" t="s">
        <v>21</v>
      </c>
      <c r="J46" t="s">
        <v>20</v>
      </c>
      <c r="K46" t="s">
        <v>20</v>
      </c>
      <c r="L46" t="s">
        <v>20</v>
      </c>
      <c r="N46" t="b">
        <f t="shared" si="4"/>
        <v>1</v>
      </c>
      <c r="O46" t="b">
        <f t="shared" si="5"/>
        <v>1</v>
      </c>
    </row>
    <row r="47" spans="1:23">
      <c r="C47" s="35" t="s">
        <v>54</v>
      </c>
      <c r="D47" s="35" t="s">
        <v>22</v>
      </c>
      <c r="J47" t="s">
        <v>21</v>
      </c>
      <c r="K47" t="s">
        <v>21</v>
      </c>
      <c r="L47" t="s">
        <v>21</v>
      </c>
      <c r="N47" t="b">
        <f t="shared" si="4"/>
        <v>1</v>
      </c>
      <c r="O47" t="b">
        <f t="shared" si="5"/>
        <v>1</v>
      </c>
    </row>
    <row r="48" spans="1:23">
      <c r="C48" s="35" t="s">
        <v>55</v>
      </c>
      <c r="D48" s="35" t="s">
        <v>23</v>
      </c>
      <c r="J48" t="s">
        <v>22</v>
      </c>
      <c r="K48" t="s">
        <v>22</v>
      </c>
      <c r="L48" t="s">
        <v>22</v>
      </c>
      <c r="N48" t="b">
        <f t="shared" si="4"/>
        <v>1</v>
      </c>
      <c r="O48" t="b">
        <f t="shared" si="5"/>
        <v>1</v>
      </c>
    </row>
    <row r="49" spans="3:15">
      <c r="C49" s="35" t="s">
        <v>56</v>
      </c>
      <c r="D49" s="35" t="s">
        <v>24</v>
      </c>
      <c r="J49" t="s">
        <v>23</v>
      </c>
      <c r="K49" t="s">
        <v>23</v>
      </c>
      <c r="L49" t="s">
        <v>23</v>
      </c>
      <c r="N49" t="b">
        <f t="shared" si="4"/>
        <v>1</v>
      </c>
      <c r="O49" t="b">
        <f t="shared" si="5"/>
        <v>1</v>
      </c>
    </row>
    <row r="50" spans="3:15">
      <c r="C50" s="35" t="s">
        <v>57</v>
      </c>
      <c r="D50" s="35" t="s">
        <v>25</v>
      </c>
      <c r="J50" t="s">
        <v>24</v>
      </c>
      <c r="K50" t="s">
        <v>24</v>
      </c>
      <c r="L50" t="s">
        <v>24</v>
      </c>
      <c r="N50" t="b">
        <f t="shared" si="4"/>
        <v>1</v>
      </c>
      <c r="O50" t="b">
        <f t="shared" si="5"/>
        <v>1</v>
      </c>
    </row>
    <row r="51" spans="3:15">
      <c r="C51" s="35" t="s">
        <v>58</v>
      </c>
      <c r="D51" s="35" t="s">
        <v>26</v>
      </c>
      <c r="J51" t="s">
        <v>25</v>
      </c>
      <c r="K51" t="s">
        <v>25</v>
      </c>
      <c r="L51" t="s">
        <v>25</v>
      </c>
      <c r="N51" t="b">
        <f t="shared" si="4"/>
        <v>1</v>
      </c>
      <c r="O51" t="b">
        <f t="shared" si="5"/>
        <v>1</v>
      </c>
    </row>
    <row r="52" spans="3:15">
      <c r="C52" s="35" t="s">
        <v>59</v>
      </c>
      <c r="D52" s="35" t="s">
        <v>27</v>
      </c>
      <c r="J52" t="s">
        <v>26</v>
      </c>
      <c r="K52" t="s">
        <v>26</v>
      </c>
      <c r="L52" t="s">
        <v>26</v>
      </c>
      <c r="N52" t="b">
        <f t="shared" si="4"/>
        <v>1</v>
      </c>
      <c r="O52" t="b">
        <f t="shared" si="5"/>
        <v>1</v>
      </c>
    </row>
    <row r="53" spans="3:15">
      <c r="C53" s="35" t="s">
        <v>60</v>
      </c>
      <c r="D53" s="35" t="s">
        <v>28</v>
      </c>
      <c r="J53" t="s">
        <v>27</v>
      </c>
      <c r="K53" t="s">
        <v>27</v>
      </c>
      <c r="L53" t="s">
        <v>27</v>
      </c>
      <c r="N53" t="b">
        <f t="shared" si="4"/>
        <v>1</v>
      </c>
      <c r="O53" t="b">
        <f t="shared" si="5"/>
        <v>1</v>
      </c>
    </row>
    <row r="54" spans="3:15">
      <c r="C54" s="35" t="s">
        <v>61</v>
      </c>
      <c r="D54" s="35" t="s">
        <v>29</v>
      </c>
      <c r="J54" t="s">
        <v>28</v>
      </c>
      <c r="K54" t="s">
        <v>28</v>
      </c>
      <c r="L54" t="s">
        <v>28</v>
      </c>
      <c r="N54" t="b">
        <f t="shared" si="4"/>
        <v>1</v>
      </c>
      <c r="O54" t="b">
        <f t="shared" si="5"/>
        <v>1</v>
      </c>
    </row>
    <row r="55" spans="3:15">
      <c r="C55" s="35" t="s">
        <v>62</v>
      </c>
      <c r="D55" s="35" t="s">
        <v>30</v>
      </c>
      <c r="J55" t="s">
        <v>29</v>
      </c>
      <c r="K55" t="s">
        <v>29</v>
      </c>
      <c r="L55" t="s">
        <v>29</v>
      </c>
      <c r="N55" t="b">
        <f t="shared" si="4"/>
        <v>1</v>
      </c>
      <c r="O55" t="b">
        <f t="shared" si="5"/>
        <v>1</v>
      </c>
    </row>
    <row r="56" spans="3:15">
      <c r="C56" s="35" t="s">
        <v>63</v>
      </c>
      <c r="D56" s="35" t="s">
        <v>31</v>
      </c>
      <c r="J56" t="s">
        <v>30</v>
      </c>
      <c r="K56" t="s">
        <v>30</v>
      </c>
      <c r="L56" t="s">
        <v>30</v>
      </c>
      <c r="N56" t="b">
        <f t="shared" si="4"/>
        <v>1</v>
      </c>
      <c r="O56" t="b">
        <f t="shared" si="5"/>
        <v>1</v>
      </c>
    </row>
    <row r="57" spans="3:15">
      <c r="C57" s="35" t="s">
        <v>64</v>
      </c>
      <c r="D57" s="35" t="s">
        <v>32</v>
      </c>
      <c r="J57" t="s">
        <v>31</v>
      </c>
      <c r="K57" t="s">
        <v>31</v>
      </c>
      <c r="L57" t="s">
        <v>31</v>
      </c>
      <c r="N57" t="b">
        <f t="shared" si="4"/>
        <v>1</v>
      </c>
      <c r="O57" t="b">
        <f t="shared" si="5"/>
        <v>1</v>
      </c>
    </row>
    <row r="58" spans="3:15">
      <c r="C58" s="35" t="s">
        <v>65</v>
      </c>
      <c r="D58" s="35" t="s">
        <v>33</v>
      </c>
      <c r="J58" t="s">
        <v>32</v>
      </c>
      <c r="K58" t="s">
        <v>32</v>
      </c>
      <c r="L58" t="s">
        <v>32</v>
      </c>
      <c r="N58" t="b">
        <f t="shared" si="4"/>
        <v>1</v>
      </c>
      <c r="O58" t="b">
        <f t="shared" si="5"/>
        <v>1</v>
      </c>
    </row>
    <row r="59" spans="3:15">
      <c r="C59" s="35" t="s">
        <v>66</v>
      </c>
      <c r="D59" s="35" t="s">
        <v>34</v>
      </c>
      <c r="J59" t="s">
        <v>33</v>
      </c>
      <c r="K59" t="s">
        <v>33</v>
      </c>
      <c r="L59" t="s">
        <v>33</v>
      </c>
      <c r="N59" t="b">
        <f t="shared" si="4"/>
        <v>1</v>
      </c>
      <c r="O59" t="b">
        <f t="shared" si="5"/>
        <v>1</v>
      </c>
    </row>
    <row r="60" spans="3:15">
      <c r="C60" s="35" t="s">
        <v>67</v>
      </c>
      <c r="D60" s="35" t="s">
        <v>35</v>
      </c>
      <c r="J60" t="s">
        <v>34</v>
      </c>
      <c r="K60" t="s">
        <v>34</v>
      </c>
      <c r="L60" t="s">
        <v>34</v>
      </c>
      <c r="N60" t="b">
        <f t="shared" si="4"/>
        <v>1</v>
      </c>
      <c r="O60" t="b">
        <f t="shared" si="5"/>
        <v>1</v>
      </c>
    </row>
    <row r="61" spans="3:15">
      <c r="C61" s="35" t="s">
        <v>68</v>
      </c>
      <c r="D61" s="35" t="s">
        <v>36</v>
      </c>
      <c r="J61" t="s">
        <v>35</v>
      </c>
      <c r="K61" t="s">
        <v>35</v>
      </c>
      <c r="L61" t="s">
        <v>35</v>
      </c>
      <c r="N61" t="b">
        <f t="shared" si="4"/>
        <v>1</v>
      </c>
      <c r="O61" t="b">
        <f t="shared" si="5"/>
        <v>1</v>
      </c>
    </row>
    <row r="62" spans="3:15">
      <c r="C62" s="35" t="s">
        <v>69</v>
      </c>
      <c r="D62" s="35" t="s">
        <v>37</v>
      </c>
      <c r="J62" t="s">
        <v>36</v>
      </c>
      <c r="K62" t="s">
        <v>36</v>
      </c>
      <c r="L62" t="s">
        <v>36</v>
      </c>
      <c r="N62" t="b">
        <f t="shared" si="4"/>
        <v>1</v>
      </c>
      <c r="O62" t="b">
        <f t="shared" si="5"/>
        <v>1</v>
      </c>
    </row>
    <row r="63" spans="3:15">
      <c r="C63" s="35" t="s">
        <v>70</v>
      </c>
      <c r="D63" s="35" t="s">
        <v>38</v>
      </c>
      <c r="J63" t="s">
        <v>37</v>
      </c>
      <c r="K63" t="s">
        <v>37</v>
      </c>
      <c r="L63" t="s">
        <v>37</v>
      </c>
      <c r="N63" t="b">
        <f t="shared" si="4"/>
        <v>1</v>
      </c>
      <c r="O63" t="b">
        <f t="shared" si="5"/>
        <v>1</v>
      </c>
    </row>
    <row r="64" spans="3:15">
      <c r="C64" s="35" t="s">
        <v>71</v>
      </c>
      <c r="D64" s="35" t="s">
        <v>39</v>
      </c>
      <c r="J64" t="s">
        <v>38</v>
      </c>
      <c r="K64" t="s">
        <v>38</v>
      </c>
      <c r="L64" t="s">
        <v>38</v>
      </c>
      <c r="N64" t="b">
        <f t="shared" si="4"/>
        <v>1</v>
      </c>
      <c r="O64" t="b">
        <f t="shared" si="5"/>
        <v>1</v>
      </c>
    </row>
    <row r="65" spans="3:15">
      <c r="C65" s="35" t="s">
        <v>72</v>
      </c>
      <c r="D65" s="35" t="s">
        <v>40</v>
      </c>
      <c r="J65" t="s">
        <v>39</v>
      </c>
      <c r="K65" t="s">
        <v>39</v>
      </c>
      <c r="L65" t="s">
        <v>39</v>
      </c>
      <c r="N65" t="b">
        <f t="shared" si="4"/>
        <v>1</v>
      </c>
      <c r="O65" t="b">
        <f t="shared" si="5"/>
        <v>1</v>
      </c>
    </row>
    <row r="66" spans="3:15">
      <c r="C66" s="35" t="s">
        <v>73</v>
      </c>
      <c r="D66" s="35" t="s">
        <v>41</v>
      </c>
      <c r="J66" t="s">
        <v>40</v>
      </c>
      <c r="K66" t="s">
        <v>40</v>
      </c>
      <c r="L66" t="s">
        <v>40</v>
      </c>
      <c r="N66" t="b">
        <f t="shared" si="4"/>
        <v>1</v>
      </c>
      <c r="O66" t="b">
        <f t="shared" si="5"/>
        <v>1</v>
      </c>
    </row>
    <row r="67" spans="3:15">
      <c r="C67" s="35" t="s">
        <v>74</v>
      </c>
      <c r="D67" s="35" t="s">
        <v>42</v>
      </c>
      <c r="J67" t="s">
        <v>41</v>
      </c>
      <c r="K67" t="s">
        <v>41</v>
      </c>
      <c r="L67" t="s">
        <v>41</v>
      </c>
      <c r="N67" t="b">
        <f t="shared" si="4"/>
        <v>1</v>
      </c>
      <c r="O67" t="b">
        <f t="shared" si="5"/>
        <v>1</v>
      </c>
    </row>
    <row r="68" spans="3:15">
      <c r="C68" s="35" t="s">
        <v>75</v>
      </c>
      <c r="D68" s="35" t="s">
        <v>43</v>
      </c>
      <c r="J68" t="s">
        <v>42</v>
      </c>
      <c r="K68" t="s">
        <v>42</v>
      </c>
      <c r="L68" t="s">
        <v>42</v>
      </c>
      <c r="N68" t="b">
        <f t="shared" si="4"/>
        <v>1</v>
      </c>
      <c r="O68" t="b">
        <f t="shared" si="5"/>
        <v>1</v>
      </c>
    </row>
    <row r="69" spans="3:15">
      <c r="C69" s="35" t="s">
        <v>76</v>
      </c>
      <c r="D69" s="35" t="s">
        <v>77</v>
      </c>
      <c r="J69" t="s">
        <v>43</v>
      </c>
      <c r="K69" t="s">
        <v>43</v>
      </c>
      <c r="L69" t="s">
        <v>43</v>
      </c>
      <c r="N69" t="b">
        <f t="shared" si="4"/>
        <v>1</v>
      </c>
      <c r="O69" t="b">
        <f t="shared" si="5"/>
        <v>1</v>
      </c>
    </row>
    <row r="70" spans="3:15">
      <c r="C70" s="35" t="s">
        <v>78</v>
      </c>
      <c r="D70" s="35" t="s">
        <v>79</v>
      </c>
      <c r="J70" t="s">
        <v>44</v>
      </c>
      <c r="K70" t="s">
        <v>44</v>
      </c>
      <c r="L70" t="s">
        <v>44</v>
      </c>
      <c r="N70" t="b">
        <f t="shared" si="4"/>
        <v>1</v>
      </c>
      <c r="O70" t="b">
        <f t="shared" si="5"/>
        <v>1</v>
      </c>
    </row>
    <row r="71" spans="3:15">
      <c r="C71" s="35" t="s">
        <v>80</v>
      </c>
      <c r="D71" s="35" t="s">
        <v>81</v>
      </c>
    </row>
    <row r="72" spans="3:15">
      <c r="C72" s="36" t="s">
        <v>44</v>
      </c>
      <c r="D72" s="36" t="s">
        <v>44</v>
      </c>
    </row>
  </sheetData>
  <mergeCells count="4">
    <mergeCell ref="B1:I1"/>
    <mergeCell ref="J1:Q1"/>
    <mergeCell ref="R1:X1"/>
    <mergeCell ref="A1:A2"/>
  </mergeCells>
  <conditionalFormatting sqref="A35">
    <cfRule type="duplicateValues" dxfId="0" priority="1"/>
  </conditionalFormatting>
  <conditionalFormatting sqref="C72">
    <cfRule type="duplicateValues" dxfId="0" priority="2"/>
  </conditionalFormatting>
  <conditionalFormatting sqref="D72">
    <cfRule type="duplicateValues" dxfId="0" priority="3"/>
  </conditionalFormatting>
  <conditionalFormatting sqref="R3:Y3 R4:W34">
    <cfRule type="colorScale" priority="5">
      <colorScale>
        <cfvo type="min"/>
        <cfvo type="percentile" val="50"/>
        <cfvo type="max"/>
        <color rgb="FFF8696B"/>
        <color rgb="FFFFEB84"/>
        <color rgb="FF63BE7B"/>
      </colorScale>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71"/>
  <sheetViews>
    <sheetView topLeftCell="A7" workbookViewId="0">
      <selection activeCell="U42" sqref="U42"/>
    </sheetView>
  </sheetViews>
  <sheetFormatPr defaultColWidth="9" defaultRowHeight="13.85"/>
  <cols>
    <col min="1" max="1" width="17.2654867256637" style="3" customWidth="1"/>
    <col min="2" max="2" width="8.46902654867257" style="3" customWidth="1"/>
    <col min="3" max="16384" width="9" style="3"/>
  </cols>
  <sheetData>
    <row r="1" spans="1:46">
      <c r="A1" s="4" t="s">
        <v>8</v>
      </c>
      <c r="B1" s="5" t="s">
        <v>9</v>
      </c>
      <c r="C1" s="5"/>
      <c r="D1" s="5"/>
      <c r="E1" s="5"/>
      <c r="F1" s="5"/>
      <c r="G1" s="5"/>
      <c r="H1" s="5"/>
      <c r="I1" s="5"/>
      <c r="J1" s="5"/>
      <c r="K1" s="5"/>
      <c r="L1" s="5"/>
      <c r="M1" s="5"/>
      <c r="N1" s="5"/>
      <c r="O1" s="5" t="s">
        <v>10</v>
      </c>
      <c r="P1" s="5"/>
      <c r="Q1" s="5"/>
      <c r="R1" s="5"/>
      <c r="S1" s="5"/>
      <c r="T1" s="5"/>
      <c r="U1" s="5"/>
      <c r="V1" s="5"/>
      <c r="W1" s="5"/>
      <c r="X1" s="5"/>
      <c r="Y1" s="5"/>
      <c r="Z1" s="5"/>
      <c r="AA1" s="5"/>
      <c r="AB1" s="6" t="s">
        <v>82</v>
      </c>
      <c r="AC1" s="6"/>
      <c r="AD1" s="6"/>
      <c r="AE1" s="6" t="s">
        <v>83</v>
      </c>
      <c r="AF1" s="6"/>
      <c r="AG1" s="7"/>
      <c r="AH1" s="8" t="s">
        <v>11</v>
      </c>
      <c r="AI1" s="6"/>
      <c r="AJ1" s="6"/>
      <c r="AK1" s="6"/>
      <c r="AL1" s="6"/>
      <c r="AM1" s="6"/>
      <c r="AN1" s="6"/>
      <c r="AO1" s="6"/>
      <c r="AP1" s="6"/>
      <c r="AQ1" s="6"/>
      <c r="AR1" s="6"/>
      <c r="AS1" s="6"/>
      <c r="AT1" s="6"/>
    </row>
    <row r="2" ht="13.9" spans="1:46">
      <c r="A2" s="4"/>
      <c r="B2" s="9">
        <v>2010</v>
      </c>
      <c r="C2" s="9">
        <v>2011</v>
      </c>
      <c r="D2" s="9">
        <v>2012</v>
      </c>
      <c r="E2" s="9">
        <v>2013</v>
      </c>
      <c r="F2" s="9">
        <v>2014</v>
      </c>
      <c r="G2" s="9">
        <v>2015</v>
      </c>
      <c r="H2" s="9">
        <v>2016</v>
      </c>
      <c r="I2" s="9">
        <v>2017</v>
      </c>
      <c r="J2" s="9">
        <v>2018</v>
      </c>
      <c r="K2" s="9">
        <v>2019</v>
      </c>
      <c r="L2" s="9">
        <v>2020</v>
      </c>
      <c r="M2" s="9">
        <v>2021</v>
      </c>
      <c r="N2" s="9">
        <v>2022</v>
      </c>
      <c r="O2" s="9">
        <v>2010</v>
      </c>
      <c r="P2" s="9">
        <v>2011</v>
      </c>
      <c r="Q2" s="9">
        <v>2012</v>
      </c>
      <c r="R2" s="9">
        <v>2013</v>
      </c>
      <c r="S2" s="9">
        <v>2014</v>
      </c>
      <c r="T2" s="9">
        <v>2015</v>
      </c>
      <c r="U2" s="9">
        <v>2016</v>
      </c>
      <c r="V2" s="9">
        <v>2017</v>
      </c>
      <c r="W2" s="9">
        <v>2018</v>
      </c>
      <c r="X2" s="9">
        <v>2019</v>
      </c>
      <c r="Y2" s="9">
        <v>2020</v>
      </c>
      <c r="Z2" s="9">
        <v>2021</v>
      </c>
      <c r="AA2" s="9">
        <v>2022</v>
      </c>
      <c r="AB2" s="9" t="s">
        <v>84</v>
      </c>
      <c r="AC2" s="9" t="s">
        <v>85</v>
      </c>
      <c r="AD2" s="9" t="s">
        <v>86</v>
      </c>
      <c r="AE2" s="9" t="s">
        <v>84</v>
      </c>
      <c r="AF2" s="9" t="s">
        <v>85</v>
      </c>
      <c r="AG2" s="9" t="s">
        <v>86</v>
      </c>
      <c r="AH2" s="9">
        <v>2010</v>
      </c>
      <c r="AI2" s="9">
        <v>2011</v>
      </c>
      <c r="AJ2" s="9">
        <v>2012</v>
      </c>
      <c r="AK2" s="9">
        <v>2013</v>
      </c>
      <c r="AL2" s="9">
        <v>2014</v>
      </c>
      <c r="AM2" s="9">
        <v>2015</v>
      </c>
      <c r="AN2" s="9">
        <v>2016</v>
      </c>
      <c r="AO2" s="9">
        <v>2017</v>
      </c>
      <c r="AP2" s="9">
        <v>2018</v>
      </c>
      <c r="AQ2" s="9">
        <v>2019</v>
      </c>
      <c r="AR2" s="9">
        <v>2020</v>
      </c>
      <c r="AS2" s="9">
        <v>2021</v>
      </c>
      <c r="AT2" s="9">
        <v>2022</v>
      </c>
    </row>
    <row r="3" spans="1:46">
      <c r="A3" s="9" t="s">
        <v>12</v>
      </c>
      <c r="B3" s="9">
        <v>212.2</v>
      </c>
      <c r="C3" s="9">
        <v>240.9</v>
      </c>
      <c r="D3" s="9">
        <v>340.9</v>
      </c>
      <c r="E3" s="9">
        <v>1588.7</v>
      </c>
      <c r="F3" s="9">
        <v>2486.3</v>
      </c>
      <c r="G3" s="9">
        <v>4219</v>
      </c>
      <c r="H3" s="9">
        <v>7631</v>
      </c>
      <c r="I3" s="9">
        <v>13040</v>
      </c>
      <c r="J3" s="9">
        <v>17433</v>
      </c>
      <c r="K3" s="9">
        <v>20431</v>
      </c>
      <c r="L3" s="9">
        <v>25360</v>
      </c>
      <c r="M3" s="9">
        <v>30598.7</v>
      </c>
      <c r="N3" s="9">
        <v>39203.8</v>
      </c>
      <c r="O3" s="9">
        <f>SUM(O4:O35)</f>
        <v>6.056</v>
      </c>
      <c r="P3" s="9">
        <f t="shared" ref="P3:Z3" si="0">SUM(P4:P35)</f>
        <v>8.55</v>
      </c>
      <c r="Q3" s="9">
        <f t="shared" si="0"/>
        <v>36.6501</v>
      </c>
      <c r="R3" s="9">
        <f t="shared" si="0"/>
        <v>84.01</v>
      </c>
      <c r="S3" s="9">
        <f t="shared" si="0"/>
        <v>235.4</v>
      </c>
      <c r="T3" s="9">
        <f t="shared" si="0"/>
        <v>394.6</v>
      </c>
      <c r="U3" s="9">
        <f t="shared" si="0"/>
        <v>664.62</v>
      </c>
      <c r="V3" s="9">
        <f t="shared" si="0"/>
        <v>1178.4</v>
      </c>
      <c r="W3" s="9">
        <f t="shared" si="0"/>
        <v>1768</v>
      </c>
      <c r="X3" s="9">
        <f t="shared" si="0"/>
        <v>2241</v>
      </c>
      <c r="Y3" s="9">
        <f t="shared" si="0"/>
        <v>2614</v>
      </c>
      <c r="Z3" s="9">
        <f t="shared" si="0"/>
        <v>3271</v>
      </c>
      <c r="AA3" s="10"/>
      <c r="AB3" s="11">
        <v>1230</v>
      </c>
      <c r="AC3" s="12">
        <v>1291</v>
      </c>
      <c r="AD3" s="11">
        <v>1281</v>
      </c>
      <c r="AE3" s="13">
        <f>AB3/8760</f>
        <v>0.14041095890411</v>
      </c>
      <c r="AF3" s="13">
        <f t="shared" ref="AF3:AG3" si="1">AC3/8760</f>
        <v>0.147374429223744</v>
      </c>
      <c r="AG3" s="13">
        <f t="shared" si="1"/>
        <v>0.146232876712329</v>
      </c>
      <c r="AH3" s="14">
        <f>IFERROR(O3*10^4/B3/8760,"")</f>
        <v>0.0325788973097664</v>
      </c>
      <c r="AI3" s="14">
        <f t="shared" ref="AI3:AS3" si="2">IFERROR(P3*10^4/C3/8760,"")</f>
        <v>0.04051587369283</v>
      </c>
      <c r="AJ3" s="14">
        <f t="shared" si="2"/>
        <v>0.122728112932327</v>
      </c>
      <c r="AK3" s="14">
        <f t="shared" si="2"/>
        <v>0.0603649691471129</v>
      </c>
      <c r="AL3" s="14">
        <f t="shared" si="2"/>
        <v>0.108080867629496</v>
      </c>
      <c r="AM3" s="14">
        <f t="shared" si="2"/>
        <v>0.106768575729928</v>
      </c>
      <c r="AN3" s="14">
        <f t="shared" si="2"/>
        <v>0.0994232250212274</v>
      </c>
      <c r="AO3" s="14">
        <f t="shared" si="2"/>
        <v>0.103159929405832</v>
      </c>
      <c r="AP3" s="14">
        <f t="shared" si="2"/>
        <v>0.11577266335012</v>
      </c>
      <c r="AQ3" s="14">
        <f t="shared" si="2"/>
        <v>0.125212626796642</v>
      </c>
      <c r="AR3" s="14">
        <f t="shared" si="2"/>
        <v>0.117666335364361</v>
      </c>
      <c r="AS3" s="14">
        <f t="shared" si="2"/>
        <v>0.12203192504388</v>
      </c>
      <c r="AT3" s="15"/>
    </row>
    <row r="4" spans="1:46">
      <c r="A4" s="9" t="s">
        <v>13</v>
      </c>
      <c r="B4" s="9"/>
      <c r="C4" s="9"/>
      <c r="D4" s="9"/>
      <c r="E4" s="9"/>
      <c r="F4" s="9">
        <v>2.5</v>
      </c>
      <c r="G4" s="9">
        <v>8</v>
      </c>
      <c r="H4" s="9">
        <v>15</v>
      </c>
      <c r="I4" s="9">
        <v>25</v>
      </c>
      <c r="J4" s="9">
        <v>40</v>
      </c>
      <c r="K4" s="9">
        <v>51</v>
      </c>
      <c r="L4" s="9">
        <v>62</v>
      </c>
      <c r="M4" s="9">
        <v>80.1</v>
      </c>
      <c r="N4" s="9">
        <v>95.3</v>
      </c>
      <c r="O4" s="16"/>
      <c r="P4" s="16"/>
      <c r="Q4" s="16"/>
      <c r="R4" s="16"/>
      <c r="S4" s="16">
        <v>0.2</v>
      </c>
      <c r="T4" s="16">
        <v>0.4</v>
      </c>
      <c r="U4" s="16">
        <v>1.1</v>
      </c>
      <c r="V4" s="16">
        <v>2</v>
      </c>
      <c r="W4" s="16">
        <v>3</v>
      </c>
      <c r="X4" s="16">
        <v>5</v>
      </c>
      <c r="Y4" s="16">
        <v>6</v>
      </c>
      <c r="Z4" s="9">
        <v>6</v>
      </c>
      <c r="AA4" s="10"/>
      <c r="AB4" s="11">
        <v>1261</v>
      </c>
      <c r="AC4" s="12">
        <v>1323</v>
      </c>
      <c r="AD4" s="11">
        <v>1242</v>
      </c>
      <c r="AE4" s="13">
        <f t="shared" ref="AE4:AE34" si="3">AB4/8760</f>
        <v>0.143949771689498</v>
      </c>
      <c r="AF4" s="13">
        <f t="shared" ref="AF4:AF34" si="4">AC4/8760</f>
        <v>0.151027397260274</v>
      </c>
      <c r="AG4" s="13">
        <f t="shared" ref="AG4:AG34" si="5">AD4/8760</f>
        <v>0.141780821917808</v>
      </c>
      <c r="AH4" s="14" t="str">
        <f t="shared" ref="AH4:AH34" si="6">IFERROR(O4*10^4/B4/8760,"")</f>
        <v/>
      </c>
      <c r="AI4" s="14" t="str">
        <f t="shared" ref="AI4:AI34" si="7">IFERROR(P4*10^4/C4/8760,"")</f>
        <v/>
      </c>
      <c r="AJ4" s="14" t="str">
        <f t="shared" ref="AJ4:AJ34" si="8">IFERROR(Q4*10^4/D4/8760,"")</f>
        <v/>
      </c>
      <c r="AK4" s="14" t="str">
        <f t="shared" ref="AK4:AK34" si="9">IFERROR(R4*10^4/E4/8760,"")</f>
        <v/>
      </c>
      <c r="AL4" s="14">
        <f t="shared" ref="AL4:AL34" si="10">IFERROR(S4*10^4/F4/8760,"")</f>
        <v>0.091324200913242</v>
      </c>
      <c r="AM4" s="14">
        <f t="shared" ref="AM4:AM34" si="11">IFERROR(T4*10^4/G4/8760,"")</f>
        <v>0.0570776255707763</v>
      </c>
      <c r="AN4" s="14">
        <f t="shared" ref="AN4:AN34" si="12">IFERROR(U4*10^4/H4/8760,"")</f>
        <v>0.0837138508371385</v>
      </c>
      <c r="AO4" s="14">
        <f t="shared" ref="AO4:AO34" si="13">IFERROR(V4*10^4/I4/8760,"")</f>
        <v>0.091324200913242</v>
      </c>
      <c r="AP4" s="14">
        <f t="shared" ref="AP4:AP34" si="14">IFERROR(W4*10^4/J4/8760,"")</f>
        <v>0.0856164383561644</v>
      </c>
      <c r="AQ4" s="14">
        <f t="shared" ref="AQ4:AQ34" si="15">IFERROR(X4*10^4/K4/8760,"")</f>
        <v>0.111916912883875</v>
      </c>
      <c r="AR4" s="14">
        <f t="shared" ref="AR4:AR34" si="16">IFERROR(Y4*10^4/L4/8760,"")</f>
        <v>0.110472823685373</v>
      </c>
      <c r="AS4" s="14">
        <f t="shared" ref="AS4:AS34" si="17">IFERROR(Z4*10^4/M4/8760,"")</f>
        <v>0.0855095514168933</v>
      </c>
      <c r="AT4" s="15"/>
    </row>
    <row r="5" spans="1:46">
      <c r="A5" s="9" t="s">
        <v>14</v>
      </c>
      <c r="B5" s="9"/>
      <c r="C5" s="9"/>
      <c r="D5" s="9">
        <v>0.2</v>
      </c>
      <c r="E5" s="9">
        <v>1.6</v>
      </c>
      <c r="F5" s="9">
        <v>4.7</v>
      </c>
      <c r="G5" s="9">
        <v>12</v>
      </c>
      <c r="H5" s="9">
        <v>60</v>
      </c>
      <c r="I5" s="9">
        <v>68</v>
      </c>
      <c r="J5" s="9">
        <v>128</v>
      </c>
      <c r="K5" s="9">
        <v>143</v>
      </c>
      <c r="L5" s="9">
        <v>164</v>
      </c>
      <c r="M5" s="9">
        <v>177.8</v>
      </c>
      <c r="N5" s="9">
        <v>220.6</v>
      </c>
      <c r="O5" s="16"/>
      <c r="P5" s="16"/>
      <c r="Q5" s="16"/>
      <c r="R5" s="16">
        <v>0.02</v>
      </c>
      <c r="S5" s="16">
        <v>0.3</v>
      </c>
      <c r="T5" s="16">
        <v>0.6</v>
      </c>
      <c r="U5" s="16">
        <v>3</v>
      </c>
      <c r="V5" s="16">
        <v>6.2</v>
      </c>
      <c r="W5" s="16">
        <v>8</v>
      </c>
      <c r="X5" s="16">
        <v>15</v>
      </c>
      <c r="Y5" s="16">
        <v>19</v>
      </c>
      <c r="Z5" s="9">
        <v>20</v>
      </c>
      <c r="AA5" s="10"/>
      <c r="AB5" s="11">
        <v>864</v>
      </c>
      <c r="AC5" s="12">
        <v>1144</v>
      </c>
      <c r="AD5" s="11">
        <v>1265</v>
      </c>
      <c r="AE5" s="13">
        <f t="shared" si="3"/>
        <v>0.0986301369863014</v>
      </c>
      <c r="AF5" s="13">
        <f t="shared" si="4"/>
        <v>0.130593607305936</v>
      </c>
      <c r="AG5" s="13">
        <f t="shared" si="5"/>
        <v>0.144406392694064</v>
      </c>
      <c r="AH5" s="14" t="str">
        <f t="shared" si="6"/>
        <v/>
      </c>
      <c r="AI5" s="14" t="str">
        <f t="shared" si="7"/>
        <v/>
      </c>
      <c r="AJ5" s="14">
        <f t="shared" si="8"/>
        <v>0</v>
      </c>
      <c r="AK5" s="14">
        <f t="shared" si="9"/>
        <v>0.0142694063926941</v>
      </c>
      <c r="AL5" s="14">
        <f t="shared" si="10"/>
        <v>0.0728650539201399</v>
      </c>
      <c r="AM5" s="14">
        <f t="shared" si="11"/>
        <v>0.0570776255707763</v>
      </c>
      <c r="AN5" s="14">
        <f t="shared" si="12"/>
        <v>0.0570776255707763</v>
      </c>
      <c r="AO5" s="14">
        <f t="shared" si="13"/>
        <v>0.104082728982004</v>
      </c>
      <c r="AP5" s="14">
        <f t="shared" si="14"/>
        <v>0.0713470319634703</v>
      </c>
      <c r="AQ5" s="14">
        <f t="shared" si="15"/>
        <v>0.119743270428202</v>
      </c>
      <c r="AR5" s="14">
        <f t="shared" si="16"/>
        <v>0.132253034859116</v>
      </c>
      <c r="AS5" s="14">
        <f t="shared" si="17"/>
        <v>0.128408606458439</v>
      </c>
      <c r="AT5" s="15"/>
    </row>
    <row r="6" spans="1:46">
      <c r="A6" s="9" t="s">
        <v>15</v>
      </c>
      <c r="B6" s="9"/>
      <c r="C6" s="9">
        <v>14.7</v>
      </c>
      <c r="D6" s="9"/>
      <c r="E6" s="9">
        <v>25.1</v>
      </c>
      <c r="F6" s="9">
        <v>114.5</v>
      </c>
      <c r="G6" s="9">
        <v>222</v>
      </c>
      <c r="H6" s="9">
        <v>443</v>
      </c>
      <c r="I6" s="9">
        <v>868</v>
      </c>
      <c r="J6" s="9">
        <v>1234</v>
      </c>
      <c r="K6" s="9">
        <v>1474</v>
      </c>
      <c r="L6" s="9">
        <v>2190</v>
      </c>
      <c r="M6" s="9">
        <v>2921.3</v>
      </c>
      <c r="N6" s="9">
        <v>3855.3</v>
      </c>
      <c r="O6" s="16"/>
      <c r="P6" s="16">
        <v>0.4</v>
      </c>
      <c r="Q6" s="16"/>
      <c r="R6" s="16">
        <v>1.1</v>
      </c>
      <c r="S6" s="16">
        <v>5.8</v>
      </c>
      <c r="T6" s="16">
        <v>16</v>
      </c>
      <c r="U6" s="16">
        <v>40</v>
      </c>
      <c r="V6" s="16">
        <v>77</v>
      </c>
      <c r="W6" s="16">
        <v>126</v>
      </c>
      <c r="X6" s="16">
        <v>176</v>
      </c>
      <c r="Y6" s="16">
        <v>211</v>
      </c>
      <c r="Z6" s="9">
        <v>279</v>
      </c>
      <c r="AA6" s="10"/>
      <c r="AB6" s="11">
        <v>1275</v>
      </c>
      <c r="AC6" s="12">
        <v>1379</v>
      </c>
      <c r="AD6" s="11">
        <v>1336</v>
      </c>
      <c r="AE6" s="13">
        <f t="shared" si="3"/>
        <v>0.145547945205479</v>
      </c>
      <c r="AF6" s="13">
        <f t="shared" si="4"/>
        <v>0.157420091324201</v>
      </c>
      <c r="AG6" s="13">
        <f t="shared" si="5"/>
        <v>0.152511415525114</v>
      </c>
      <c r="AH6" s="14" t="str">
        <f t="shared" si="6"/>
        <v/>
      </c>
      <c r="AI6" s="14">
        <f t="shared" si="7"/>
        <v>0.031062653371851</v>
      </c>
      <c r="AJ6" s="14" t="str">
        <f t="shared" si="8"/>
        <v/>
      </c>
      <c r="AK6" s="14">
        <f t="shared" si="9"/>
        <v>0.0500281977114373</v>
      </c>
      <c r="AL6" s="14">
        <f t="shared" si="10"/>
        <v>0.0578253673904807</v>
      </c>
      <c r="AM6" s="14">
        <f t="shared" si="11"/>
        <v>0.0822740548767946</v>
      </c>
      <c r="AN6" s="14">
        <f t="shared" si="12"/>
        <v>0.103074718863704</v>
      </c>
      <c r="AO6" s="14">
        <f t="shared" si="13"/>
        <v>0.101266755044926</v>
      </c>
      <c r="AP6" s="14">
        <f t="shared" si="14"/>
        <v>0.116560467129948</v>
      </c>
      <c r="AQ6" s="14">
        <f t="shared" si="15"/>
        <v>0.136304777482451</v>
      </c>
      <c r="AR6" s="14">
        <f t="shared" si="16"/>
        <v>0.109985196305331</v>
      </c>
      <c r="AS6" s="14">
        <f t="shared" si="17"/>
        <v>0.109024458523579</v>
      </c>
      <c r="AT6" s="15"/>
    </row>
    <row r="7" spans="1:46">
      <c r="A7" s="9" t="s">
        <v>16</v>
      </c>
      <c r="B7" s="9">
        <v>1.5</v>
      </c>
      <c r="C7" s="9">
        <v>2.7</v>
      </c>
      <c r="D7" s="9">
        <v>1.5</v>
      </c>
      <c r="E7" s="9">
        <v>3.5</v>
      </c>
      <c r="F7" s="9">
        <v>41.3</v>
      </c>
      <c r="G7" s="9">
        <v>111</v>
      </c>
      <c r="H7" s="9">
        <v>297</v>
      </c>
      <c r="I7" s="9">
        <v>590</v>
      </c>
      <c r="J7" s="9">
        <v>864</v>
      </c>
      <c r="K7" s="9">
        <v>1088</v>
      </c>
      <c r="L7" s="9">
        <v>1309</v>
      </c>
      <c r="M7" s="9">
        <v>1457.7</v>
      </c>
      <c r="N7" s="9">
        <v>1695.7</v>
      </c>
      <c r="O7" s="16">
        <v>0.006</v>
      </c>
      <c r="P7" s="16">
        <v>0.1</v>
      </c>
      <c r="Q7" s="16">
        <v>0.2</v>
      </c>
      <c r="R7" s="16">
        <v>0.5</v>
      </c>
      <c r="S7" s="16">
        <v>3.2</v>
      </c>
      <c r="T7" s="16">
        <v>8</v>
      </c>
      <c r="U7" s="16">
        <v>27</v>
      </c>
      <c r="V7" s="16">
        <v>56</v>
      </c>
      <c r="W7" s="16">
        <v>94</v>
      </c>
      <c r="X7" s="16">
        <v>128</v>
      </c>
      <c r="Y7" s="16">
        <v>159</v>
      </c>
      <c r="Z7" s="9">
        <v>189</v>
      </c>
      <c r="AA7" s="10"/>
      <c r="AB7" s="11">
        <v>1265</v>
      </c>
      <c r="AC7" s="12">
        <v>1307</v>
      </c>
      <c r="AD7" s="11">
        <v>1277</v>
      </c>
      <c r="AE7" s="13">
        <f t="shared" si="3"/>
        <v>0.144406392694064</v>
      </c>
      <c r="AF7" s="13">
        <f t="shared" si="4"/>
        <v>0.149200913242009</v>
      </c>
      <c r="AG7" s="13">
        <f t="shared" si="5"/>
        <v>0.145776255707763</v>
      </c>
      <c r="AH7" s="14">
        <f t="shared" si="6"/>
        <v>0.0045662100456621</v>
      </c>
      <c r="AI7" s="14">
        <f t="shared" si="7"/>
        <v>0.0422797226450194</v>
      </c>
      <c r="AJ7" s="14">
        <f t="shared" si="8"/>
        <v>0.15220700152207</v>
      </c>
      <c r="AK7" s="14">
        <f t="shared" si="9"/>
        <v>0.163078930202218</v>
      </c>
      <c r="AL7" s="14">
        <f t="shared" si="10"/>
        <v>0.0884495892622199</v>
      </c>
      <c r="AM7" s="14">
        <f t="shared" si="11"/>
        <v>0.0822740548767946</v>
      </c>
      <c r="AN7" s="14">
        <f t="shared" si="12"/>
        <v>0.103777501037775</v>
      </c>
      <c r="AO7" s="14">
        <f t="shared" si="13"/>
        <v>0.108350746846219</v>
      </c>
      <c r="AP7" s="14">
        <f t="shared" si="14"/>
        <v>0.124196685269745</v>
      </c>
      <c r="AQ7" s="14">
        <f t="shared" si="15"/>
        <v>0.13430029546065</v>
      </c>
      <c r="AR7" s="14">
        <f t="shared" si="16"/>
        <v>0.138660694663918</v>
      </c>
      <c r="AS7" s="14">
        <f t="shared" si="17"/>
        <v>0.148009483883882</v>
      </c>
      <c r="AT7" s="15"/>
    </row>
    <row r="8" spans="1:46">
      <c r="A8" s="9" t="s">
        <v>17</v>
      </c>
      <c r="B8" s="9">
        <v>8.7</v>
      </c>
      <c r="C8" s="9">
        <v>8.7</v>
      </c>
      <c r="D8" s="9">
        <v>21</v>
      </c>
      <c r="E8" s="9">
        <v>136.8</v>
      </c>
      <c r="F8" s="9">
        <v>285.4</v>
      </c>
      <c r="G8" s="9">
        <v>471</v>
      </c>
      <c r="H8" s="9">
        <v>638</v>
      </c>
      <c r="I8" s="9">
        <v>743</v>
      </c>
      <c r="J8" s="9">
        <v>946</v>
      </c>
      <c r="K8" s="9">
        <v>1051</v>
      </c>
      <c r="L8" s="9">
        <v>1237</v>
      </c>
      <c r="M8" s="9">
        <v>1402</v>
      </c>
      <c r="N8" s="9">
        <v>1550.8</v>
      </c>
      <c r="O8" s="16">
        <v>0.1</v>
      </c>
      <c r="P8" s="16">
        <v>0.1</v>
      </c>
      <c r="Q8" s="16">
        <v>1.7</v>
      </c>
      <c r="R8" s="16">
        <v>6.2</v>
      </c>
      <c r="S8" s="16">
        <v>24.7</v>
      </c>
      <c r="T8" s="16">
        <v>57</v>
      </c>
      <c r="U8" s="16">
        <v>83</v>
      </c>
      <c r="V8" s="16">
        <v>113</v>
      </c>
      <c r="W8" s="16">
        <v>130</v>
      </c>
      <c r="X8" s="16">
        <v>163</v>
      </c>
      <c r="Y8" s="16">
        <v>188</v>
      </c>
      <c r="Z8" s="9">
        <v>212</v>
      </c>
      <c r="AA8" s="10"/>
      <c r="AB8" s="11">
        <v>1632</v>
      </c>
      <c r="AC8" s="12">
        <v>1663</v>
      </c>
      <c r="AD8" s="11">
        <v>1654</v>
      </c>
      <c r="AE8" s="13">
        <f t="shared" si="3"/>
        <v>0.186301369863014</v>
      </c>
      <c r="AF8" s="13">
        <f t="shared" si="4"/>
        <v>0.189840182648402</v>
      </c>
      <c r="AG8" s="13">
        <f t="shared" si="5"/>
        <v>0.188812785388128</v>
      </c>
      <c r="AH8" s="14">
        <f t="shared" si="6"/>
        <v>0.0131212932346612</v>
      </c>
      <c r="AI8" s="14">
        <f t="shared" si="7"/>
        <v>0.0131212932346612</v>
      </c>
      <c r="AJ8" s="14">
        <f t="shared" si="8"/>
        <v>0.0924113937812568</v>
      </c>
      <c r="AK8" s="14">
        <f t="shared" si="9"/>
        <v>0.0517370290261422</v>
      </c>
      <c r="AL8" s="14">
        <f t="shared" si="10"/>
        <v>0.0987958900909722</v>
      </c>
      <c r="AM8" s="14">
        <f t="shared" si="11"/>
        <v>0.138149666986592</v>
      </c>
      <c r="AN8" s="14">
        <f t="shared" si="12"/>
        <v>0.148509182519575</v>
      </c>
      <c r="AO8" s="14">
        <f t="shared" si="13"/>
        <v>0.173614311964945</v>
      </c>
      <c r="AP8" s="14">
        <f t="shared" si="14"/>
        <v>0.156872966685009</v>
      </c>
      <c r="AQ8" s="14">
        <f t="shared" si="15"/>
        <v>0.177043824320391</v>
      </c>
      <c r="AR8" s="14">
        <f t="shared" si="16"/>
        <v>0.173493833586191</v>
      </c>
      <c r="AS8" s="14">
        <f t="shared" si="17"/>
        <v>0.17261707019978</v>
      </c>
      <c r="AT8" s="15"/>
    </row>
    <row r="9" spans="1:46">
      <c r="A9" s="9" t="s">
        <v>18</v>
      </c>
      <c r="B9" s="9"/>
      <c r="C9" s="9"/>
      <c r="D9" s="9">
        <v>1</v>
      </c>
      <c r="E9" s="9">
        <v>2.3</v>
      </c>
      <c r="F9" s="9">
        <v>7</v>
      </c>
      <c r="G9" s="9">
        <v>16</v>
      </c>
      <c r="H9" s="9">
        <v>52</v>
      </c>
      <c r="I9" s="9">
        <v>223</v>
      </c>
      <c r="J9" s="9">
        <v>302</v>
      </c>
      <c r="K9" s="9">
        <v>343</v>
      </c>
      <c r="L9" s="9">
        <v>400</v>
      </c>
      <c r="M9" s="9">
        <v>477.5</v>
      </c>
      <c r="N9" s="9">
        <v>600.6</v>
      </c>
      <c r="O9" s="16"/>
      <c r="P9" s="16"/>
      <c r="Q9" s="16">
        <v>0.0001</v>
      </c>
      <c r="R9" s="16">
        <v>0.2</v>
      </c>
      <c r="S9" s="16">
        <v>0.7</v>
      </c>
      <c r="T9" s="16">
        <v>1</v>
      </c>
      <c r="U9" s="16">
        <v>4</v>
      </c>
      <c r="V9" s="16">
        <v>12</v>
      </c>
      <c r="W9" s="16">
        <v>32</v>
      </c>
      <c r="X9" s="16">
        <v>42</v>
      </c>
      <c r="Y9" s="16">
        <v>51</v>
      </c>
      <c r="Z9" s="9">
        <v>55</v>
      </c>
      <c r="AA9" s="10"/>
      <c r="AB9" s="11">
        <v>1235</v>
      </c>
      <c r="AC9" s="12">
        <v>1396</v>
      </c>
      <c r="AD9" s="11">
        <v>1453</v>
      </c>
      <c r="AE9" s="13">
        <f t="shared" si="3"/>
        <v>0.140981735159817</v>
      </c>
      <c r="AF9" s="13">
        <f t="shared" si="4"/>
        <v>0.159360730593607</v>
      </c>
      <c r="AG9" s="13">
        <f t="shared" si="5"/>
        <v>0.165867579908676</v>
      </c>
      <c r="AH9" s="14" t="str">
        <f t="shared" si="6"/>
        <v/>
      </c>
      <c r="AI9" s="14" t="str">
        <f t="shared" si="7"/>
        <v/>
      </c>
      <c r="AJ9" s="14">
        <f t="shared" si="8"/>
        <v>0.000114155251141553</v>
      </c>
      <c r="AK9" s="14">
        <f t="shared" si="9"/>
        <v>0.0992654357752631</v>
      </c>
      <c r="AL9" s="14">
        <f t="shared" si="10"/>
        <v>0.114155251141553</v>
      </c>
      <c r="AM9" s="14">
        <f t="shared" si="11"/>
        <v>0.0713470319634703</v>
      </c>
      <c r="AN9" s="14">
        <f t="shared" si="12"/>
        <v>0.0878117316473481</v>
      </c>
      <c r="AO9" s="14">
        <f t="shared" si="13"/>
        <v>0.0614288346950058</v>
      </c>
      <c r="AP9" s="14">
        <f t="shared" si="14"/>
        <v>0.120959206507605</v>
      </c>
      <c r="AQ9" s="14">
        <f t="shared" si="15"/>
        <v>0.13978194017333</v>
      </c>
      <c r="AR9" s="14">
        <f t="shared" si="16"/>
        <v>0.145547945205479</v>
      </c>
      <c r="AS9" s="14">
        <f t="shared" si="17"/>
        <v>0.131487723827966</v>
      </c>
      <c r="AT9" s="15"/>
    </row>
    <row r="10" spans="1:46">
      <c r="A10" s="9" t="s">
        <v>19</v>
      </c>
      <c r="B10" s="9"/>
      <c r="C10" s="9"/>
      <c r="D10" s="9"/>
      <c r="E10" s="9">
        <v>1</v>
      </c>
      <c r="F10" s="9">
        <v>6.1</v>
      </c>
      <c r="G10" s="9">
        <v>7</v>
      </c>
      <c r="H10" s="9">
        <v>56</v>
      </c>
      <c r="I10" s="9">
        <v>159</v>
      </c>
      <c r="J10" s="9">
        <v>265</v>
      </c>
      <c r="K10" s="9">
        <v>274</v>
      </c>
      <c r="L10" s="9">
        <v>338</v>
      </c>
      <c r="M10" s="9">
        <v>345.9</v>
      </c>
      <c r="N10" s="9">
        <v>386.6</v>
      </c>
      <c r="O10" s="16"/>
      <c r="P10" s="16"/>
      <c r="Q10" s="16"/>
      <c r="R10" s="16">
        <v>0.03</v>
      </c>
      <c r="S10" s="16">
        <v>0.5</v>
      </c>
      <c r="T10" s="16">
        <v>1</v>
      </c>
      <c r="U10" s="16">
        <v>3</v>
      </c>
      <c r="V10" s="16">
        <v>13</v>
      </c>
      <c r="W10" s="16">
        <v>24</v>
      </c>
      <c r="X10" s="16">
        <v>40</v>
      </c>
      <c r="Y10" s="16">
        <v>45</v>
      </c>
      <c r="Z10" s="9">
        <v>52</v>
      </c>
      <c r="AA10" s="10"/>
      <c r="AB10" s="11">
        <v>1332</v>
      </c>
      <c r="AC10" s="12">
        <v>1504</v>
      </c>
      <c r="AD10" s="11">
        <v>1531</v>
      </c>
      <c r="AE10" s="13">
        <f t="shared" si="3"/>
        <v>0.152054794520548</v>
      </c>
      <c r="AF10" s="13">
        <f t="shared" si="4"/>
        <v>0.171689497716895</v>
      </c>
      <c r="AG10" s="13">
        <f t="shared" si="5"/>
        <v>0.174771689497717</v>
      </c>
      <c r="AH10" s="14" t="str">
        <f t="shared" si="6"/>
        <v/>
      </c>
      <c r="AI10" s="14" t="str">
        <f t="shared" si="7"/>
        <v/>
      </c>
      <c r="AJ10" s="14" t="str">
        <f t="shared" si="8"/>
        <v/>
      </c>
      <c r="AK10" s="14">
        <f t="shared" si="9"/>
        <v>0.0342465753424658</v>
      </c>
      <c r="AL10" s="14">
        <f t="shared" si="10"/>
        <v>0.0935698779848791</v>
      </c>
      <c r="AM10" s="14">
        <f t="shared" si="11"/>
        <v>0.163078930202218</v>
      </c>
      <c r="AN10" s="14">
        <f t="shared" si="12"/>
        <v>0.0611545988258317</v>
      </c>
      <c r="AO10" s="14">
        <f t="shared" si="13"/>
        <v>0.0933344820654203</v>
      </c>
      <c r="AP10" s="14">
        <f t="shared" si="14"/>
        <v>0.103385887826312</v>
      </c>
      <c r="AQ10" s="14">
        <f t="shared" si="15"/>
        <v>0.1666500016665</v>
      </c>
      <c r="AR10" s="14">
        <f t="shared" si="16"/>
        <v>0.151981843235795</v>
      </c>
      <c r="AS10" s="14">
        <f t="shared" si="17"/>
        <v>0.171612404144572</v>
      </c>
      <c r="AT10" s="15"/>
    </row>
    <row r="11" spans="1:46">
      <c r="A11" s="9" t="s">
        <v>20</v>
      </c>
      <c r="B11" s="9"/>
      <c r="C11" s="9"/>
      <c r="D11" s="9"/>
      <c r="E11" s="9">
        <v>1.1</v>
      </c>
      <c r="F11" s="9">
        <v>1.1</v>
      </c>
      <c r="G11" s="9">
        <v>2</v>
      </c>
      <c r="H11" s="9">
        <v>17</v>
      </c>
      <c r="I11" s="9">
        <v>94</v>
      </c>
      <c r="J11" s="9">
        <v>215</v>
      </c>
      <c r="K11" s="9">
        <v>274</v>
      </c>
      <c r="L11" s="9">
        <v>318</v>
      </c>
      <c r="M11" s="9">
        <v>419.8</v>
      </c>
      <c r="N11" s="9">
        <v>475.3</v>
      </c>
      <c r="O11" s="16"/>
      <c r="P11" s="16"/>
      <c r="Q11" s="16"/>
      <c r="R11" s="16"/>
      <c r="S11" s="16">
        <v>0.2</v>
      </c>
      <c r="T11" s="16">
        <v>0.2</v>
      </c>
      <c r="U11" s="16">
        <v>1.3</v>
      </c>
      <c r="V11" s="16">
        <v>6</v>
      </c>
      <c r="W11" s="16">
        <v>20</v>
      </c>
      <c r="X11" s="16">
        <v>32</v>
      </c>
      <c r="Y11" s="16">
        <v>43</v>
      </c>
      <c r="Z11" s="9">
        <v>51</v>
      </c>
      <c r="AA11" s="10"/>
      <c r="AB11" s="11">
        <v>1447</v>
      </c>
      <c r="AC11" s="12">
        <v>1566</v>
      </c>
      <c r="AD11" s="11">
        <v>1604</v>
      </c>
      <c r="AE11" s="13">
        <f t="shared" si="3"/>
        <v>0.165182648401826</v>
      </c>
      <c r="AF11" s="13">
        <f t="shared" si="4"/>
        <v>0.178767123287671</v>
      </c>
      <c r="AG11" s="13">
        <f t="shared" si="5"/>
        <v>0.18310502283105</v>
      </c>
      <c r="AH11" s="14" t="str">
        <f t="shared" si="6"/>
        <v/>
      </c>
      <c r="AI11" s="14" t="str">
        <f t="shared" si="7"/>
        <v/>
      </c>
      <c r="AJ11" s="14" t="str">
        <f t="shared" si="8"/>
        <v/>
      </c>
      <c r="AK11" s="14">
        <f t="shared" si="9"/>
        <v>0</v>
      </c>
      <c r="AL11" s="14">
        <f t="shared" si="10"/>
        <v>0.20755500207555</v>
      </c>
      <c r="AM11" s="14">
        <f t="shared" si="11"/>
        <v>0.114155251141553</v>
      </c>
      <c r="AN11" s="14">
        <f t="shared" si="12"/>
        <v>0.0872951920494225</v>
      </c>
      <c r="AO11" s="14">
        <f t="shared" si="13"/>
        <v>0.0728650539201399</v>
      </c>
      <c r="AP11" s="14">
        <f t="shared" si="14"/>
        <v>0.106190931294467</v>
      </c>
      <c r="AQ11" s="14">
        <f t="shared" si="15"/>
        <v>0.1333200013332</v>
      </c>
      <c r="AR11" s="14">
        <f t="shared" si="16"/>
        <v>0.154360874185118</v>
      </c>
      <c r="AS11" s="14">
        <f t="shared" si="17"/>
        <v>0.138683130257722</v>
      </c>
      <c r="AT11" s="15"/>
    </row>
    <row r="12" spans="1:46">
      <c r="A12" s="9" t="s">
        <v>21</v>
      </c>
      <c r="B12" s="9">
        <v>0.7</v>
      </c>
      <c r="C12" s="9">
        <v>1.4</v>
      </c>
      <c r="D12" s="9">
        <v>0.7</v>
      </c>
      <c r="E12" s="9">
        <v>0.7</v>
      </c>
      <c r="F12" s="9">
        <v>8.7</v>
      </c>
      <c r="G12" s="9">
        <v>21</v>
      </c>
      <c r="H12" s="9">
        <v>35</v>
      </c>
      <c r="I12" s="9">
        <v>58</v>
      </c>
      <c r="J12" s="9">
        <v>89</v>
      </c>
      <c r="K12" s="9">
        <v>109</v>
      </c>
      <c r="L12" s="9">
        <v>137</v>
      </c>
      <c r="M12" s="9">
        <v>168.3</v>
      </c>
      <c r="N12" s="9">
        <v>194.8</v>
      </c>
      <c r="O12" s="16">
        <v>0.1</v>
      </c>
      <c r="P12" s="16">
        <v>0.14</v>
      </c>
      <c r="Q12" s="16">
        <v>0.1</v>
      </c>
      <c r="R12" s="16">
        <v>0.1</v>
      </c>
      <c r="S12" s="16">
        <v>0.8</v>
      </c>
      <c r="T12" s="16">
        <v>1</v>
      </c>
      <c r="U12" s="16">
        <v>1</v>
      </c>
      <c r="V12" s="16">
        <v>3</v>
      </c>
      <c r="W12" s="16">
        <v>6</v>
      </c>
      <c r="X12" s="16">
        <v>8</v>
      </c>
      <c r="Y12" s="16">
        <v>10</v>
      </c>
      <c r="Z12" s="9">
        <v>15</v>
      </c>
      <c r="AA12" s="10"/>
      <c r="AB12" s="11">
        <v>946</v>
      </c>
      <c r="AC12" s="12">
        <v>867</v>
      </c>
      <c r="AD12" s="11">
        <v>861</v>
      </c>
      <c r="AE12" s="13">
        <f t="shared" si="3"/>
        <v>0.107990867579909</v>
      </c>
      <c r="AF12" s="13">
        <f t="shared" si="4"/>
        <v>0.098972602739726</v>
      </c>
      <c r="AG12" s="13">
        <f t="shared" si="5"/>
        <v>0.0982876712328767</v>
      </c>
      <c r="AH12" s="14">
        <f t="shared" si="6"/>
        <v>0.163078930202218</v>
      </c>
      <c r="AI12" s="14">
        <f t="shared" si="7"/>
        <v>0.114155251141553</v>
      </c>
      <c r="AJ12" s="14">
        <f t="shared" si="8"/>
        <v>0.163078930202218</v>
      </c>
      <c r="AK12" s="14">
        <f t="shared" si="9"/>
        <v>0.163078930202218</v>
      </c>
      <c r="AL12" s="14">
        <f t="shared" si="10"/>
        <v>0.10497034587729</v>
      </c>
      <c r="AM12" s="14">
        <f t="shared" si="11"/>
        <v>0.0543596434007393</v>
      </c>
      <c r="AN12" s="14">
        <f t="shared" si="12"/>
        <v>0.0326157860404436</v>
      </c>
      <c r="AO12" s="14">
        <f t="shared" si="13"/>
        <v>0.0590458195559754</v>
      </c>
      <c r="AP12" s="14">
        <f t="shared" si="14"/>
        <v>0.0769585962752039</v>
      </c>
      <c r="AQ12" s="14">
        <f t="shared" si="15"/>
        <v>0.0837836705626074</v>
      </c>
      <c r="AR12" s="14">
        <f t="shared" si="16"/>
        <v>0.08332500083325</v>
      </c>
      <c r="AS12" s="14">
        <f t="shared" si="17"/>
        <v>0.10174264807625</v>
      </c>
      <c r="AT12" s="15"/>
    </row>
    <row r="13" spans="1:46">
      <c r="A13" s="9" t="s">
        <v>22</v>
      </c>
      <c r="B13" s="9">
        <v>33</v>
      </c>
      <c r="C13" s="9">
        <v>39.6</v>
      </c>
      <c r="D13" s="9">
        <v>43</v>
      </c>
      <c r="E13" s="9">
        <v>104.6</v>
      </c>
      <c r="F13" s="9">
        <v>256.2</v>
      </c>
      <c r="G13" s="9">
        <v>422</v>
      </c>
      <c r="H13" s="9">
        <v>546</v>
      </c>
      <c r="I13" s="9">
        <v>907</v>
      </c>
      <c r="J13" s="9">
        <v>1332</v>
      </c>
      <c r="K13" s="9">
        <v>1486</v>
      </c>
      <c r="L13" s="9">
        <v>1684</v>
      </c>
      <c r="M13" s="9">
        <v>1916</v>
      </c>
      <c r="N13" s="9">
        <v>2508.5</v>
      </c>
      <c r="O13" s="16">
        <v>0.8</v>
      </c>
      <c r="P13" s="16">
        <v>1</v>
      </c>
      <c r="Q13" s="16">
        <v>4.2</v>
      </c>
      <c r="R13" s="16">
        <v>6</v>
      </c>
      <c r="S13" s="16">
        <v>13.9</v>
      </c>
      <c r="T13" s="16">
        <v>31</v>
      </c>
      <c r="U13" s="16">
        <v>47</v>
      </c>
      <c r="V13" s="16">
        <v>81</v>
      </c>
      <c r="W13" s="16">
        <v>120</v>
      </c>
      <c r="X13" s="16">
        <v>154</v>
      </c>
      <c r="Y13" s="16">
        <v>167</v>
      </c>
      <c r="Z13" s="9">
        <v>195</v>
      </c>
      <c r="AA13" s="10"/>
      <c r="AB13" s="11">
        <v>1059</v>
      </c>
      <c r="AC13" s="12">
        <v>1192</v>
      </c>
      <c r="AD13" s="11">
        <v>1165</v>
      </c>
      <c r="AE13" s="13">
        <f t="shared" si="3"/>
        <v>0.120890410958904</v>
      </c>
      <c r="AF13" s="13">
        <f t="shared" si="4"/>
        <v>0.136073059360731</v>
      </c>
      <c r="AG13" s="13">
        <f t="shared" si="5"/>
        <v>0.132990867579909</v>
      </c>
      <c r="AH13" s="14">
        <f t="shared" si="6"/>
        <v>0.02767400027674</v>
      </c>
      <c r="AI13" s="14">
        <f t="shared" si="7"/>
        <v>0.0288270836216042</v>
      </c>
      <c r="AJ13" s="14">
        <f t="shared" si="8"/>
        <v>0.111500477859191</v>
      </c>
      <c r="AK13" s="14">
        <f t="shared" si="9"/>
        <v>0.0654810235993609</v>
      </c>
      <c r="AL13" s="14">
        <f t="shared" si="10"/>
        <v>0.061934347809039</v>
      </c>
      <c r="AM13" s="14">
        <f t="shared" si="11"/>
        <v>0.0838581228764959</v>
      </c>
      <c r="AN13" s="14">
        <f t="shared" si="12"/>
        <v>0.0982655092244133</v>
      </c>
      <c r="AO13" s="14">
        <f t="shared" si="13"/>
        <v>0.101946806421894</v>
      </c>
      <c r="AP13" s="14">
        <f t="shared" si="14"/>
        <v>0.102842568595993</v>
      </c>
      <c r="AQ13" s="14">
        <f t="shared" si="15"/>
        <v>0.118303557710626</v>
      </c>
      <c r="AR13" s="14">
        <f t="shared" si="16"/>
        <v>0.113206216987169</v>
      </c>
      <c r="AS13" s="14">
        <f t="shared" si="17"/>
        <v>0.116180970629451</v>
      </c>
      <c r="AT13" s="15"/>
    </row>
    <row r="14" spans="1:46">
      <c r="A14" s="9" t="s">
        <v>23</v>
      </c>
      <c r="B14" s="9"/>
      <c r="C14" s="9">
        <v>0.8</v>
      </c>
      <c r="D14" s="9">
        <v>1.2</v>
      </c>
      <c r="E14" s="9">
        <v>18</v>
      </c>
      <c r="F14" s="9">
        <v>49.8</v>
      </c>
      <c r="G14" s="9">
        <v>164</v>
      </c>
      <c r="H14" s="9">
        <v>338</v>
      </c>
      <c r="I14" s="9">
        <v>814</v>
      </c>
      <c r="J14" s="9">
        <v>1138</v>
      </c>
      <c r="K14" s="9">
        <v>1339</v>
      </c>
      <c r="L14" s="9">
        <v>1517</v>
      </c>
      <c r="M14" s="9">
        <v>1841.8</v>
      </c>
      <c r="N14" s="9">
        <v>2539</v>
      </c>
      <c r="O14" s="16"/>
      <c r="P14" s="16">
        <v>0.1</v>
      </c>
      <c r="Q14" s="16">
        <v>0.1</v>
      </c>
      <c r="R14" s="16">
        <v>0.8</v>
      </c>
      <c r="S14" s="16">
        <v>2.6</v>
      </c>
      <c r="T14" s="16">
        <v>8</v>
      </c>
      <c r="U14" s="16">
        <v>22</v>
      </c>
      <c r="V14" s="16">
        <v>56</v>
      </c>
      <c r="W14" s="16">
        <v>100</v>
      </c>
      <c r="X14" s="16">
        <v>119</v>
      </c>
      <c r="Y14" s="16">
        <v>131</v>
      </c>
      <c r="Z14" s="9">
        <v>155</v>
      </c>
      <c r="AA14" s="10"/>
      <c r="AB14" s="11">
        <v>1085</v>
      </c>
      <c r="AC14" s="12">
        <v>1104</v>
      </c>
      <c r="AD14" s="11">
        <v>998</v>
      </c>
      <c r="AE14" s="13">
        <f t="shared" si="3"/>
        <v>0.123858447488584</v>
      </c>
      <c r="AF14" s="13">
        <f t="shared" si="4"/>
        <v>0.126027397260274</v>
      </c>
      <c r="AG14" s="13">
        <f t="shared" si="5"/>
        <v>0.113926940639269</v>
      </c>
      <c r="AH14" s="14" t="str">
        <f t="shared" si="6"/>
        <v/>
      </c>
      <c r="AI14" s="14">
        <f t="shared" si="7"/>
        <v>0.142694063926941</v>
      </c>
      <c r="AJ14" s="14">
        <f t="shared" si="8"/>
        <v>0.0951293759512938</v>
      </c>
      <c r="AK14" s="14">
        <f t="shared" si="9"/>
        <v>0.0507356671740233</v>
      </c>
      <c r="AL14" s="14">
        <f t="shared" si="10"/>
        <v>0.0595991271020154</v>
      </c>
      <c r="AM14" s="14">
        <f t="shared" si="11"/>
        <v>0.0556854883617329</v>
      </c>
      <c r="AN14" s="14">
        <f t="shared" si="12"/>
        <v>0.074302234470833</v>
      </c>
      <c r="AO14" s="14">
        <f t="shared" si="13"/>
        <v>0.0785343251096676</v>
      </c>
      <c r="AP14" s="14">
        <f t="shared" si="14"/>
        <v>0.100312171477638</v>
      </c>
      <c r="AQ14" s="14">
        <f t="shared" si="15"/>
        <v>0.101452388990625</v>
      </c>
      <c r="AR14" s="14">
        <f t="shared" si="16"/>
        <v>0.0985783645322569</v>
      </c>
      <c r="AS14" s="14">
        <f t="shared" si="17"/>
        <v>0.0960694099627573</v>
      </c>
      <c r="AT14" s="15"/>
    </row>
    <row r="15" spans="1:46">
      <c r="A15" s="9" t="s">
        <v>24</v>
      </c>
      <c r="B15" s="9"/>
      <c r="C15" s="9">
        <v>0.4</v>
      </c>
      <c r="D15" s="9">
        <v>1.9</v>
      </c>
      <c r="E15" s="9">
        <v>5</v>
      </c>
      <c r="F15" s="9">
        <v>40</v>
      </c>
      <c r="G15" s="9">
        <v>121</v>
      </c>
      <c r="H15" s="9">
        <v>345</v>
      </c>
      <c r="I15" s="9">
        <v>888</v>
      </c>
      <c r="J15" s="9">
        <v>1118</v>
      </c>
      <c r="K15" s="9">
        <v>1254</v>
      </c>
      <c r="L15" s="9">
        <v>1370</v>
      </c>
      <c r="M15" s="9">
        <v>1706.8</v>
      </c>
      <c r="N15" s="9">
        <v>2154</v>
      </c>
      <c r="O15" s="16"/>
      <c r="P15" s="16">
        <v>0.03</v>
      </c>
      <c r="Q15" s="16">
        <v>0.1</v>
      </c>
      <c r="R15" s="16">
        <v>0.3</v>
      </c>
      <c r="S15" s="16">
        <v>1</v>
      </c>
      <c r="T15" s="16">
        <v>4</v>
      </c>
      <c r="U15" s="16">
        <v>21</v>
      </c>
      <c r="V15" s="16">
        <v>62</v>
      </c>
      <c r="W15" s="16">
        <v>104</v>
      </c>
      <c r="X15" s="16">
        <v>125</v>
      </c>
      <c r="Y15" s="16">
        <v>130</v>
      </c>
      <c r="Z15" s="9">
        <v>155</v>
      </c>
      <c r="AA15" s="10"/>
      <c r="AB15" s="11">
        <v>1065</v>
      </c>
      <c r="AC15" s="12">
        <v>1102</v>
      </c>
      <c r="AD15" s="11">
        <v>1071</v>
      </c>
      <c r="AE15" s="13">
        <f t="shared" si="3"/>
        <v>0.121575342465753</v>
      </c>
      <c r="AF15" s="13">
        <f t="shared" si="4"/>
        <v>0.125799086757991</v>
      </c>
      <c r="AG15" s="13">
        <f t="shared" si="5"/>
        <v>0.122260273972603</v>
      </c>
      <c r="AH15" s="14" t="str">
        <f t="shared" si="6"/>
        <v/>
      </c>
      <c r="AI15" s="14">
        <f t="shared" si="7"/>
        <v>0.0856164383561644</v>
      </c>
      <c r="AJ15" s="14">
        <f t="shared" si="8"/>
        <v>0.0600817111271329</v>
      </c>
      <c r="AK15" s="14">
        <f t="shared" si="9"/>
        <v>0.0684931506849315</v>
      </c>
      <c r="AL15" s="14">
        <f t="shared" si="10"/>
        <v>0.0285388127853881</v>
      </c>
      <c r="AM15" s="14">
        <f t="shared" si="11"/>
        <v>0.0377372731046455</v>
      </c>
      <c r="AN15" s="14">
        <f t="shared" si="12"/>
        <v>0.0694858050426841</v>
      </c>
      <c r="AO15" s="14">
        <f t="shared" si="13"/>
        <v>0.0797029906618948</v>
      </c>
      <c r="AP15" s="14">
        <f t="shared" si="14"/>
        <v>0.106190931294467</v>
      </c>
      <c r="AQ15" s="14">
        <f t="shared" si="15"/>
        <v>0.113791119558964</v>
      </c>
      <c r="AR15" s="14">
        <f t="shared" si="16"/>
        <v>0.108322501083225</v>
      </c>
      <c r="AS15" s="14">
        <f t="shared" si="17"/>
        <v>0.103668056754984</v>
      </c>
      <c r="AT15" s="15"/>
    </row>
    <row r="16" spans="1:46">
      <c r="A16" s="9" t="s">
        <v>25</v>
      </c>
      <c r="B16" s="9"/>
      <c r="C16" s="9"/>
      <c r="D16" s="9">
        <v>0.1</v>
      </c>
      <c r="E16" s="9">
        <v>2.6</v>
      </c>
      <c r="F16" s="9">
        <v>7.8</v>
      </c>
      <c r="G16" s="9">
        <v>13</v>
      </c>
      <c r="H16" s="9">
        <v>27</v>
      </c>
      <c r="I16" s="9">
        <v>92</v>
      </c>
      <c r="J16" s="9">
        <v>148</v>
      </c>
      <c r="K16" s="9">
        <v>169</v>
      </c>
      <c r="L16" s="9">
        <v>202</v>
      </c>
      <c r="M16" s="9">
        <v>277</v>
      </c>
      <c r="N16" s="9">
        <v>464.9</v>
      </c>
      <c r="O16" s="16"/>
      <c r="P16" s="16"/>
      <c r="Q16" s="16">
        <v>0.02</v>
      </c>
      <c r="R16" s="16">
        <v>0.1</v>
      </c>
      <c r="S16" s="16">
        <v>0.5</v>
      </c>
      <c r="T16" s="16">
        <v>1</v>
      </c>
      <c r="U16" s="16">
        <v>1</v>
      </c>
      <c r="V16" s="16">
        <v>6</v>
      </c>
      <c r="W16" s="16">
        <v>14</v>
      </c>
      <c r="X16" s="16">
        <v>16</v>
      </c>
      <c r="Y16" s="16">
        <v>19</v>
      </c>
      <c r="Z16" s="9">
        <v>25</v>
      </c>
      <c r="AA16" s="10"/>
      <c r="AB16" s="11">
        <v>1099</v>
      </c>
      <c r="AC16" s="12">
        <v>1040</v>
      </c>
      <c r="AD16" s="11">
        <v>1063</v>
      </c>
      <c r="AE16" s="13">
        <f t="shared" si="3"/>
        <v>0.125456621004566</v>
      </c>
      <c r="AF16" s="13">
        <f t="shared" si="4"/>
        <v>0.118721461187215</v>
      </c>
      <c r="AG16" s="13">
        <f t="shared" si="5"/>
        <v>0.12134703196347</v>
      </c>
      <c r="AH16" s="14" t="str">
        <f t="shared" si="6"/>
        <v/>
      </c>
      <c r="AI16" s="14" t="str">
        <f t="shared" si="7"/>
        <v/>
      </c>
      <c r="AJ16" s="14">
        <f t="shared" si="8"/>
        <v>0.228310502283105</v>
      </c>
      <c r="AK16" s="14">
        <f t="shared" si="9"/>
        <v>0.043905865823674</v>
      </c>
      <c r="AL16" s="14">
        <f t="shared" si="10"/>
        <v>0.0731764430394567</v>
      </c>
      <c r="AM16" s="14">
        <f t="shared" si="11"/>
        <v>0.0878117316473481</v>
      </c>
      <c r="AN16" s="14">
        <f t="shared" si="12"/>
        <v>0.0422797226450195</v>
      </c>
      <c r="AO16" s="14">
        <f t="shared" si="13"/>
        <v>0.0744490768314473</v>
      </c>
      <c r="AP16" s="14">
        <f t="shared" si="14"/>
        <v>0.107984697025793</v>
      </c>
      <c r="AQ16" s="14">
        <f t="shared" si="15"/>
        <v>0.108075977412121</v>
      </c>
      <c r="AR16" s="14">
        <f t="shared" si="16"/>
        <v>0.107373751073738</v>
      </c>
      <c r="AS16" s="14">
        <f t="shared" si="17"/>
        <v>0.103028205001401</v>
      </c>
      <c r="AT16" s="15"/>
    </row>
    <row r="17" spans="1:46">
      <c r="A17" s="9" t="s">
        <v>26</v>
      </c>
      <c r="B17" s="9"/>
      <c r="C17" s="9">
        <v>0.7</v>
      </c>
      <c r="D17" s="9">
        <v>1.6</v>
      </c>
      <c r="E17" s="9">
        <v>8.5</v>
      </c>
      <c r="F17" s="9">
        <v>20.4</v>
      </c>
      <c r="G17" s="9">
        <v>43</v>
      </c>
      <c r="H17" s="9">
        <v>228</v>
      </c>
      <c r="I17" s="9">
        <v>449</v>
      </c>
      <c r="J17" s="9">
        <v>536</v>
      </c>
      <c r="K17" s="9">
        <v>630</v>
      </c>
      <c r="L17" s="9">
        <v>776</v>
      </c>
      <c r="M17" s="9">
        <v>911.1</v>
      </c>
      <c r="N17" s="9">
        <v>1201.9</v>
      </c>
      <c r="O17" s="16"/>
      <c r="P17" s="16">
        <v>0.04</v>
      </c>
      <c r="Q17" s="16">
        <v>0.1</v>
      </c>
      <c r="R17" s="16">
        <v>0.4</v>
      </c>
      <c r="S17" s="16">
        <v>1</v>
      </c>
      <c r="T17" s="16">
        <v>2</v>
      </c>
      <c r="U17" s="16">
        <v>11</v>
      </c>
      <c r="V17" s="16">
        <v>30</v>
      </c>
      <c r="W17" s="16">
        <v>52</v>
      </c>
      <c r="X17" s="16">
        <v>56</v>
      </c>
      <c r="Y17" s="16">
        <v>62</v>
      </c>
      <c r="Z17" s="9">
        <v>80</v>
      </c>
      <c r="AA17" s="10"/>
      <c r="AB17" s="11">
        <v>1064</v>
      </c>
      <c r="AC17" s="12">
        <v>1004</v>
      </c>
      <c r="AD17" s="11">
        <v>917</v>
      </c>
      <c r="AE17" s="13">
        <f t="shared" si="3"/>
        <v>0.121461187214612</v>
      </c>
      <c r="AF17" s="13">
        <f t="shared" si="4"/>
        <v>0.114611872146119</v>
      </c>
      <c r="AG17" s="13">
        <f t="shared" si="5"/>
        <v>0.104680365296804</v>
      </c>
      <c r="AH17" s="14" t="str">
        <f t="shared" si="6"/>
        <v/>
      </c>
      <c r="AI17" s="14">
        <f t="shared" si="7"/>
        <v>0.0652315720808871</v>
      </c>
      <c r="AJ17" s="14">
        <f t="shared" si="8"/>
        <v>0.0713470319634703</v>
      </c>
      <c r="AK17" s="14">
        <f t="shared" si="9"/>
        <v>0.05372011818426</v>
      </c>
      <c r="AL17" s="14">
        <f t="shared" si="10"/>
        <v>0.0559584564419375</v>
      </c>
      <c r="AM17" s="14">
        <f t="shared" si="11"/>
        <v>0.0530954656472337</v>
      </c>
      <c r="AN17" s="14">
        <f t="shared" si="12"/>
        <v>0.0550749018665385</v>
      </c>
      <c r="AO17" s="14">
        <f t="shared" si="13"/>
        <v>0.076272996308387</v>
      </c>
      <c r="AP17" s="14">
        <f t="shared" si="14"/>
        <v>0.110747631704491</v>
      </c>
      <c r="AQ17" s="14">
        <f t="shared" si="15"/>
        <v>0.101471334348047</v>
      </c>
      <c r="AR17" s="14">
        <f t="shared" si="16"/>
        <v>0.0912065150873229</v>
      </c>
      <c r="AS17" s="14">
        <f t="shared" si="17"/>
        <v>0.100235101430405</v>
      </c>
      <c r="AT17" s="15"/>
    </row>
    <row r="18" spans="1:46">
      <c r="A18" s="9" t="s">
        <v>27</v>
      </c>
      <c r="B18" s="9">
        <v>3.5</v>
      </c>
      <c r="C18" s="9">
        <v>3.7</v>
      </c>
      <c r="D18" s="9">
        <v>6.6</v>
      </c>
      <c r="E18" s="9">
        <v>11.8</v>
      </c>
      <c r="F18" s="9">
        <v>30.6</v>
      </c>
      <c r="G18" s="9">
        <v>133</v>
      </c>
      <c r="H18" s="9">
        <v>455</v>
      </c>
      <c r="I18" s="9">
        <v>1052</v>
      </c>
      <c r="J18" s="9">
        <v>1361</v>
      </c>
      <c r="K18" s="9">
        <v>1619</v>
      </c>
      <c r="L18" s="9">
        <v>2272</v>
      </c>
      <c r="M18" s="9">
        <v>3343.4</v>
      </c>
      <c r="N18" s="9">
        <v>4269.9</v>
      </c>
      <c r="O18" s="16">
        <v>0.4</v>
      </c>
      <c r="P18" s="16">
        <v>0.4</v>
      </c>
      <c r="Q18" s="16">
        <v>0.7</v>
      </c>
      <c r="R18" s="16">
        <v>1</v>
      </c>
      <c r="S18" s="16">
        <v>1.9</v>
      </c>
      <c r="T18" s="16">
        <v>7</v>
      </c>
      <c r="U18" s="16">
        <v>31</v>
      </c>
      <c r="V18" s="16">
        <v>73</v>
      </c>
      <c r="W18" s="16">
        <v>137</v>
      </c>
      <c r="X18" s="16">
        <v>167</v>
      </c>
      <c r="Y18" s="16">
        <v>206</v>
      </c>
      <c r="Z18" s="9">
        <v>310</v>
      </c>
      <c r="AA18" s="10"/>
      <c r="AB18" s="11">
        <v>1227</v>
      </c>
      <c r="AC18" s="12">
        <v>1284</v>
      </c>
      <c r="AD18" s="11">
        <v>1225</v>
      </c>
      <c r="AE18" s="13">
        <f t="shared" si="3"/>
        <v>0.140068493150685</v>
      </c>
      <c r="AF18" s="13">
        <f t="shared" si="4"/>
        <v>0.146575342465753</v>
      </c>
      <c r="AG18" s="13">
        <f t="shared" si="5"/>
        <v>0.139840182648402</v>
      </c>
      <c r="AH18" s="14">
        <f t="shared" si="6"/>
        <v>0.130463144161774</v>
      </c>
      <c r="AI18" s="14">
        <f t="shared" si="7"/>
        <v>0.123411082315192</v>
      </c>
      <c r="AJ18" s="14">
        <f t="shared" si="8"/>
        <v>0.121073751210738</v>
      </c>
      <c r="AK18" s="14">
        <f t="shared" si="9"/>
        <v>0.096741738255553</v>
      </c>
      <c r="AL18" s="14">
        <f t="shared" si="10"/>
        <v>0.0708807114931208</v>
      </c>
      <c r="AM18" s="14">
        <f t="shared" si="11"/>
        <v>0.0600817111271329</v>
      </c>
      <c r="AN18" s="14">
        <f t="shared" si="12"/>
        <v>0.0777761051733654</v>
      </c>
      <c r="AO18" s="14">
        <f t="shared" si="13"/>
        <v>0.0792141951837769</v>
      </c>
      <c r="AP18" s="14">
        <f t="shared" si="14"/>
        <v>0.11491013524168</v>
      </c>
      <c r="AQ18" s="14">
        <f t="shared" si="15"/>
        <v>0.117751247317105</v>
      </c>
      <c r="AR18" s="14">
        <f t="shared" si="16"/>
        <v>0.103503440735739</v>
      </c>
      <c r="AS18" s="14">
        <f t="shared" si="17"/>
        <v>0.105844732469586</v>
      </c>
      <c r="AT18" s="15"/>
    </row>
    <row r="19" spans="1:46">
      <c r="A19" s="9" t="s">
        <v>28</v>
      </c>
      <c r="B19" s="9"/>
      <c r="C19" s="9"/>
      <c r="D19" s="9"/>
      <c r="E19" s="9">
        <v>2</v>
      </c>
      <c r="F19" s="9">
        <v>20.1</v>
      </c>
      <c r="G19" s="9">
        <v>41</v>
      </c>
      <c r="H19" s="9">
        <v>284</v>
      </c>
      <c r="I19" s="9">
        <v>703</v>
      </c>
      <c r="J19" s="9">
        <v>991</v>
      </c>
      <c r="K19" s="9">
        <v>1054</v>
      </c>
      <c r="L19" s="9">
        <v>1175</v>
      </c>
      <c r="M19" s="9">
        <v>1555.6</v>
      </c>
      <c r="N19" s="9">
        <v>2333</v>
      </c>
      <c r="O19" s="16"/>
      <c r="P19" s="16"/>
      <c r="Q19" s="16"/>
      <c r="R19" s="16">
        <v>0.02</v>
      </c>
      <c r="S19" s="16">
        <v>0.5</v>
      </c>
      <c r="T19" s="16">
        <v>3.1</v>
      </c>
      <c r="U19" s="16">
        <v>12</v>
      </c>
      <c r="V19" s="16">
        <v>44</v>
      </c>
      <c r="W19" s="16">
        <v>84</v>
      </c>
      <c r="X19" s="16">
        <v>102</v>
      </c>
      <c r="Y19" s="16">
        <v>112</v>
      </c>
      <c r="Z19" s="9">
        <v>136</v>
      </c>
      <c r="AA19" s="10"/>
      <c r="AB19" s="11">
        <v>998</v>
      </c>
      <c r="AC19" s="12">
        <v>1061</v>
      </c>
      <c r="AD19" s="11">
        <v>1055</v>
      </c>
      <c r="AE19" s="13">
        <f t="shared" si="3"/>
        <v>0.113926940639269</v>
      </c>
      <c r="AF19" s="13">
        <f t="shared" si="4"/>
        <v>0.121118721461187</v>
      </c>
      <c r="AG19" s="13">
        <f t="shared" si="5"/>
        <v>0.120433789954338</v>
      </c>
      <c r="AH19" s="14" t="str">
        <f t="shared" si="6"/>
        <v/>
      </c>
      <c r="AI19" s="14" t="str">
        <f t="shared" si="7"/>
        <v/>
      </c>
      <c r="AJ19" s="14" t="str">
        <f t="shared" si="8"/>
        <v/>
      </c>
      <c r="AK19" s="14">
        <f t="shared" si="9"/>
        <v>0.0114155251141553</v>
      </c>
      <c r="AL19" s="14">
        <f t="shared" si="10"/>
        <v>0.0283968286421772</v>
      </c>
      <c r="AM19" s="14">
        <f t="shared" si="11"/>
        <v>0.086312506960686</v>
      </c>
      <c r="AN19" s="14">
        <f t="shared" si="12"/>
        <v>0.0482346131584025</v>
      </c>
      <c r="AO19" s="14">
        <f t="shared" si="13"/>
        <v>0.0714485213403743</v>
      </c>
      <c r="AP19" s="14">
        <f t="shared" si="14"/>
        <v>0.0967612623197821</v>
      </c>
      <c r="AQ19" s="14">
        <f t="shared" si="15"/>
        <v>0.110472823685373</v>
      </c>
      <c r="AR19" s="14">
        <f t="shared" si="16"/>
        <v>0.108811813854076</v>
      </c>
      <c r="AS19" s="14">
        <f t="shared" si="17"/>
        <v>0.0998014538136484</v>
      </c>
      <c r="AT19" s="15"/>
    </row>
    <row r="20" spans="1:46">
      <c r="A20" s="9" t="s">
        <v>29</v>
      </c>
      <c r="B20" s="9"/>
      <c r="C20" s="9">
        <v>0.3</v>
      </c>
      <c r="D20" s="9">
        <v>1.2</v>
      </c>
      <c r="E20" s="9">
        <v>4.8</v>
      </c>
      <c r="F20" s="9">
        <v>8.6</v>
      </c>
      <c r="G20" s="9">
        <v>48</v>
      </c>
      <c r="H20" s="9">
        <v>187</v>
      </c>
      <c r="I20" s="9">
        <v>413</v>
      </c>
      <c r="J20" s="9">
        <v>510</v>
      </c>
      <c r="K20" s="9">
        <v>621</v>
      </c>
      <c r="L20" s="9">
        <v>698</v>
      </c>
      <c r="M20" s="9">
        <v>952.6</v>
      </c>
      <c r="N20" s="9">
        <v>1315.7</v>
      </c>
      <c r="O20" s="16"/>
      <c r="P20" s="16">
        <v>0.03</v>
      </c>
      <c r="Q20" s="16">
        <v>0.1</v>
      </c>
      <c r="R20" s="16">
        <v>0.2</v>
      </c>
      <c r="S20" s="16">
        <v>0.6</v>
      </c>
      <c r="T20" s="16">
        <v>2</v>
      </c>
      <c r="U20" s="16">
        <v>11</v>
      </c>
      <c r="V20" s="16">
        <v>28</v>
      </c>
      <c r="W20" s="16">
        <v>49</v>
      </c>
      <c r="X20" s="16">
        <v>57</v>
      </c>
      <c r="Y20" s="16">
        <v>65</v>
      </c>
      <c r="Z20" s="9">
        <v>83</v>
      </c>
      <c r="AA20" s="10"/>
      <c r="AB20" s="11">
        <v>1115</v>
      </c>
      <c r="AC20" s="12">
        <v>1103</v>
      </c>
      <c r="AD20" s="11">
        <v>1013</v>
      </c>
      <c r="AE20" s="13">
        <f t="shared" si="3"/>
        <v>0.127283105022831</v>
      </c>
      <c r="AF20" s="13">
        <f t="shared" si="4"/>
        <v>0.125913242009132</v>
      </c>
      <c r="AG20" s="13">
        <f t="shared" si="5"/>
        <v>0.115639269406393</v>
      </c>
      <c r="AH20" s="14" t="str">
        <f t="shared" si="6"/>
        <v/>
      </c>
      <c r="AI20" s="14">
        <f t="shared" si="7"/>
        <v>0.114155251141553</v>
      </c>
      <c r="AJ20" s="14">
        <f t="shared" si="8"/>
        <v>0.0951293759512938</v>
      </c>
      <c r="AK20" s="14">
        <f t="shared" si="9"/>
        <v>0.0475646879756469</v>
      </c>
      <c r="AL20" s="14">
        <f t="shared" si="10"/>
        <v>0.0796431984708506</v>
      </c>
      <c r="AM20" s="14">
        <f t="shared" si="11"/>
        <v>0.0475646879756469</v>
      </c>
      <c r="AN20" s="14">
        <f t="shared" si="12"/>
        <v>0.067150147730325</v>
      </c>
      <c r="AO20" s="14">
        <f t="shared" si="13"/>
        <v>0.0773933906044424</v>
      </c>
      <c r="AP20" s="14">
        <f t="shared" si="14"/>
        <v>0.109678574626198</v>
      </c>
      <c r="AQ20" s="14">
        <f t="shared" si="15"/>
        <v>0.104780182207222</v>
      </c>
      <c r="AR20" s="14">
        <f t="shared" si="16"/>
        <v>0.106305033298007</v>
      </c>
      <c r="AS20" s="14">
        <f t="shared" si="17"/>
        <v>0.0994634247821631</v>
      </c>
      <c r="AT20" s="15"/>
    </row>
    <row r="21" spans="1:46">
      <c r="A21" s="9" t="s">
        <v>30</v>
      </c>
      <c r="B21" s="9"/>
      <c r="C21" s="9"/>
      <c r="D21" s="9"/>
      <c r="E21" s="9">
        <v>0.1</v>
      </c>
      <c r="F21" s="9">
        <v>4.9</v>
      </c>
      <c r="G21" s="9">
        <v>17</v>
      </c>
      <c r="H21" s="9">
        <v>30</v>
      </c>
      <c r="I21" s="9">
        <v>176</v>
      </c>
      <c r="J21" s="9">
        <v>292</v>
      </c>
      <c r="K21" s="9">
        <v>344</v>
      </c>
      <c r="L21" s="9">
        <v>391</v>
      </c>
      <c r="M21" s="9">
        <v>451.1</v>
      </c>
      <c r="N21" s="9">
        <v>635.9</v>
      </c>
      <c r="O21" s="16"/>
      <c r="P21" s="16"/>
      <c r="Q21" s="16"/>
      <c r="R21" s="16">
        <v>0.03</v>
      </c>
      <c r="S21" s="16">
        <v>0.2</v>
      </c>
      <c r="T21" s="16">
        <v>0.8</v>
      </c>
      <c r="U21" s="16">
        <v>2</v>
      </c>
      <c r="V21" s="16">
        <v>6</v>
      </c>
      <c r="W21" s="16">
        <v>20</v>
      </c>
      <c r="X21" s="16">
        <v>26</v>
      </c>
      <c r="Y21" s="16">
        <v>30</v>
      </c>
      <c r="Z21" s="9">
        <v>38</v>
      </c>
      <c r="AA21" s="10"/>
      <c r="AB21" s="11">
        <v>933</v>
      </c>
      <c r="AC21" s="12">
        <v>905</v>
      </c>
      <c r="AD21" s="11">
        <v>902</v>
      </c>
      <c r="AE21" s="13">
        <f t="shared" si="3"/>
        <v>0.106506849315068</v>
      </c>
      <c r="AF21" s="13">
        <f t="shared" si="4"/>
        <v>0.103310502283105</v>
      </c>
      <c r="AG21" s="13">
        <f t="shared" si="5"/>
        <v>0.10296803652968</v>
      </c>
      <c r="AH21" s="14" t="str">
        <f t="shared" si="6"/>
        <v/>
      </c>
      <c r="AI21" s="14" t="str">
        <f t="shared" si="7"/>
        <v/>
      </c>
      <c r="AJ21" s="14" t="str">
        <f t="shared" si="8"/>
        <v/>
      </c>
      <c r="AK21" s="14">
        <f t="shared" si="9"/>
        <v>0.342465753424658</v>
      </c>
      <c r="AL21" s="14">
        <f t="shared" si="10"/>
        <v>0.0465939800577765</v>
      </c>
      <c r="AM21" s="14">
        <f t="shared" si="11"/>
        <v>0.05372011818426</v>
      </c>
      <c r="AN21" s="14">
        <f t="shared" si="12"/>
        <v>0.076103500761035</v>
      </c>
      <c r="AO21" s="14">
        <f t="shared" si="13"/>
        <v>0.0389165628891656</v>
      </c>
      <c r="AP21" s="14">
        <f t="shared" si="14"/>
        <v>0.0781885281791456</v>
      </c>
      <c r="AQ21" s="14">
        <f t="shared" si="15"/>
        <v>0.0862801316767548</v>
      </c>
      <c r="AR21" s="14">
        <f t="shared" si="16"/>
        <v>0.0875871492134674</v>
      </c>
      <c r="AS21" s="14">
        <f t="shared" si="17"/>
        <v>0.0961627032449345</v>
      </c>
      <c r="AT21" s="15"/>
    </row>
    <row r="22" spans="1:46">
      <c r="A22" s="9" t="s">
        <v>31</v>
      </c>
      <c r="B22" s="9">
        <v>0.8</v>
      </c>
      <c r="C22" s="9">
        <v>0.8</v>
      </c>
      <c r="D22" s="9">
        <v>0.8</v>
      </c>
      <c r="E22" s="9">
        <v>4.4</v>
      </c>
      <c r="F22" s="9">
        <v>51.1</v>
      </c>
      <c r="G22" s="9">
        <v>62</v>
      </c>
      <c r="H22" s="9">
        <v>117</v>
      </c>
      <c r="I22" s="9">
        <v>332</v>
      </c>
      <c r="J22" s="9">
        <v>527</v>
      </c>
      <c r="K22" s="9">
        <v>610</v>
      </c>
      <c r="L22" s="9">
        <v>797</v>
      </c>
      <c r="M22" s="9">
        <v>1020.1</v>
      </c>
      <c r="N22" s="9">
        <v>1590.2</v>
      </c>
      <c r="O22" s="16">
        <v>0.01</v>
      </c>
      <c r="P22" s="16">
        <v>0.01</v>
      </c>
      <c r="Q22" s="16">
        <v>0.03</v>
      </c>
      <c r="R22" s="16">
        <v>0.1</v>
      </c>
      <c r="S22" s="16">
        <v>0.9</v>
      </c>
      <c r="T22" s="16">
        <v>4</v>
      </c>
      <c r="U22" s="16">
        <v>8</v>
      </c>
      <c r="V22" s="16">
        <v>20</v>
      </c>
      <c r="W22" s="16">
        <v>38</v>
      </c>
      <c r="X22" s="16">
        <v>53</v>
      </c>
      <c r="Y22" s="16">
        <v>74</v>
      </c>
      <c r="Z22" s="9">
        <v>103</v>
      </c>
      <c r="AA22" s="10"/>
      <c r="AB22" s="11">
        <v>884</v>
      </c>
      <c r="AC22" s="12">
        <v>915</v>
      </c>
      <c r="AD22" s="11">
        <v>1020</v>
      </c>
      <c r="AE22" s="13">
        <f t="shared" si="3"/>
        <v>0.100913242009132</v>
      </c>
      <c r="AF22" s="13">
        <f t="shared" si="4"/>
        <v>0.104452054794521</v>
      </c>
      <c r="AG22" s="13">
        <f t="shared" si="5"/>
        <v>0.116438356164384</v>
      </c>
      <c r="AH22" s="14">
        <f t="shared" si="6"/>
        <v>0.0142694063926941</v>
      </c>
      <c r="AI22" s="14">
        <f t="shared" si="7"/>
        <v>0.0142694063926941</v>
      </c>
      <c r="AJ22" s="14">
        <f t="shared" si="8"/>
        <v>0.0428082191780822</v>
      </c>
      <c r="AK22" s="14">
        <f t="shared" si="9"/>
        <v>0.0259443752594437</v>
      </c>
      <c r="AL22" s="14">
        <f t="shared" si="10"/>
        <v>0.0201056215317803</v>
      </c>
      <c r="AM22" s="14">
        <f t="shared" si="11"/>
        <v>0.0736485491235823</v>
      </c>
      <c r="AN22" s="14">
        <f t="shared" si="12"/>
        <v>0.0780548725754205</v>
      </c>
      <c r="AO22" s="14">
        <f t="shared" si="13"/>
        <v>0.0687682235792485</v>
      </c>
      <c r="AP22" s="14">
        <f t="shared" si="14"/>
        <v>0.0823130843145919</v>
      </c>
      <c r="AQ22" s="14">
        <f t="shared" si="15"/>
        <v>0.0991840706639719</v>
      </c>
      <c r="AR22" s="14">
        <f t="shared" si="16"/>
        <v>0.105991073832809</v>
      </c>
      <c r="AS22" s="14">
        <f t="shared" si="17"/>
        <v>0.115263119964512</v>
      </c>
      <c r="AT22" s="15"/>
    </row>
    <row r="23" spans="1:46">
      <c r="A23" s="9" t="s">
        <v>32</v>
      </c>
      <c r="B23" s="9"/>
      <c r="C23" s="9"/>
      <c r="D23" s="9"/>
      <c r="E23" s="9">
        <v>4.2</v>
      </c>
      <c r="F23" s="9">
        <v>4.5</v>
      </c>
      <c r="G23" s="9">
        <v>12</v>
      </c>
      <c r="H23" s="9">
        <v>16</v>
      </c>
      <c r="I23" s="9">
        <v>78</v>
      </c>
      <c r="J23" s="9">
        <v>124</v>
      </c>
      <c r="K23" s="9">
        <v>135</v>
      </c>
      <c r="L23" s="9">
        <v>205</v>
      </c>
      <c r="M23" s="9">
        <v>311.7</v>
      </c>
      <c r="N23" s="9">
        <v>520.4</v>
      </c>
      <c r="O23" s="16"/>
      <c r="P23" s="16"/>
      <c r="Q23" s="16"/>
      <c r="R23" s="16">
        <v>0.3</v>
      </c>
      <c r="S23" s="16">
        <v>0.4</v>
      </c>
      <c r="T23" s="16">
        <v>0.5</v>
      </c>
      <c r="U23" s="16">
        <v>1.1</v>
      </c>
      <c r="V23" s="16">
        <v>4</v>
      </c>
      <c r="W23" s="16">
        <v>9</v>
      </c>
      <c r="X23" s="16">
        <v>14</v>
      </c>
      <c r="Y23" s="16">
        <v>19</v>
      </c>
      <c r="Z23" s="9">
        <v>29</v>
      </c>
      <c r="AA23" s="10"/>
      <c r="AB23" s="11">
        <v>1006</v>
      </c>
      <c r="AC23" s="12">
        <v>1097</v>
      </c>
      <c r="AD23" s="11">
        <v>1085</v>
      </c>
      <c r="AE23" s="13">
        <f t="shared" si="3"/>
        <v>0.114840182648402</v>
      </c>
      <c r="AF23" s="13">
        <f t="shared" si="4"/>
        <v>0.125228310502283</v>
      </c>
      <c r="AG23" s="13">
        <f t="shared" si="5"/>
        <v>0.123858447488584</v>
      </c>
      <c r="AH23" s="14" t="str">
        <f t="shared" si="6"/>
        <v/>
      </c>
      <c r="AI23" s="14" t="str">
        <f t="shared" si="7"/>
        <v/>
      </c>
      <c r="AJ23" s="14" t="str">
        <f t="shared" si="8"/>
        <v/>
      </c>
      <c r="AK23" s="14">
        <f t="shared" si="9"/>
        <v>0.0815394651011089</v>
      </c>
      <c r="AL23" s="14">
        <f t="shared" si="10"/>
        <v>0.101471334348047</v>
      </c>
      <c r="AM23" s="14">
        <f t="shared" si="11"/>
        <v>0.0475646879756469</v>
      </c>
      <c r="AN23" s="14">
        <f t="shared" si="12"/>
        <v>0.0784817351598174</v>
      </c>
      <c r="AO23" s="14">
        <f t="shared" si="13"/>
        <v>0.0585411544315654</v>
      </c>
      <c r="AP23" s="14">
        <f t="shared" si="14"/>
        <v>0.08285461776403</v>
      </c>
      <c r="AQ23" s="14">
        <f t="shared" si="15"/>
        <v>0.118383223406054</v>
      </c>
      <c r="AR23" s="14">
        <f t="shared" si="16"/>
        <v>0.105802427887293</v>
      </c>
      <c r="AS23" s="14">
        <f t="shared" si="17"/>
        <v>0.106207965450915</v>
      </c>
      <c r="AT23" s="15"/>
    </row>
    <row r="24" spans="1:46">
      <c r="A24" s="9" t="s">
        <v>33</v>
      </c>
      <c r="B24" s="9">
        <v>2</v>
      </c>
      <c r="C24" s="9">
        <v>2.5</v>
      </c>
      <c r="D24" s="9">
        <v>2</v>
      </c>
      <c r="E24" s="9">
        <v>8.9</v>
      </c>
      <c r="F24" s="9">
        <v>13.9</v>
      </c>
      <c r="G24" s="9">
        <v>16</v>
      </c>
      <c r="H24" s="9">
        <v>29</v>
      </c>
      <c r="I24" s="9">
        <v>43</v>
      </c>
      <c r="J24" s="9">
        <v>136</v>
      </c>
      <c r="K24" s="9">
        <v>140</v>
      </c>
      <c r="L24" s="9">
        <v>143</v>
      </c>
      <c r="M24" s="9">
        <v>146.5</v>
      </c>
      <c r="N24" s="9">
        <v>245.8</v>
      </c>
      <c r="O24" s="16">
        <v>0.04</v>
      </c>
      <c r="P24" s="16">
        <v>0.2</v>
      </c>
      <c r="Q24" s="16">
        <v>0.3</v>
      </c>
      <c r="R24" s="16">
        <v>0.5</v>
      </c>
      <c r="S24" s="16">
        <v>1.7</v>
      </c>
      <c r="T24" s="16">
        <v>2</v>
      </c>
      <c r="U24" s="16">
        <v>3</v>
      </c>
      <c r="V24" s="16">
        <v>3</v>
      </c>
      <c r="W24" s="16">
        <v>6</v>
      </c>
      <c r="X24" s="16">
        <v>14</v>
      </c>
      <c r="Y24" s="16">
        <v>15</v>
      </c>
      <c r="Z24" s="9">
        <v>16</v>
      </c>
      <c r="AA24" s="10"/>
      <c r="AB24" s="11">
        <v>752</v>
      </c>
      <c r="AC24" s="12">
        <v>1023</v>
      </c>
      <c r="AD24" s="11">
        <v>1061</v>
      </c>
      <c r="AE24" s="13">
        <f t="shared" si="3"/>
        <v>0.0858447488584475</v>
      </c>
      <c r="AF24" s="13">
        <f t="shared" si="4"/>
        <v>0.116780821917808</v>
      </c>
      <c r="AG24" s="13">
        <f t="shared" si="5"/>
        <v>0.121118721461187</v>
      </c>
      <c r="AH24" s="14">
        <f t="shared" si="6"/>
        <v>0.0228310502283105</v>
      </c>
      <c r="AI24" s="14">
        <f t="shared" si="7"/>
        <v>0.091324200913242</v>
      </c>
      <c r="AJ24" s="14">
        <f t="shared" si="8"/>
        <v>0.171232876712329</v>
      </c>
      <c r="AK24" s="14">
        <f t="shared" si="9"/>
        <v>0.06413216356267</v>
      </c>
      <c r="AL24" s="14">
        <f t="shared" si="10"/>
        <v>0.139614335928517</v>
      </c>
      <c r="AM24" s="14">
        <f t="shared" si="11"/>
        <v>0.142694063926941</v>
      </c>
      <c r="AN24" s="14">
        <f t="shared" si="12"/>
        <v>0.118091639111951</v>
      </c>
      <c r="AO24" s="14">
        <f t="shared" si="13"/>
        <v>0.0796431984708506</v>
      </c>
      <c r="AP24" s="14">
        <f t="shared" si="14"/>
        <v>0.0503626107977438</v>
      </c>
      <c r="AQ24" s="14">
        <f t="shared" si="15"/>
        <v>0.114155251141553</v>
      </c>
      <c r="AR24" s="14">
        <f t="shared" si="16"/>
        <v>0.119743270428202</v>
      </c>
      <c r="AS24" s="14">
        <f t="shared" si="17"/>
        <v>0.124674677014665</v>
      </c>
      <c r="AT24" s="15"/>
    </row>
    <row r="25" spans="1:46">
      <c r="A25" s="9" t="s">
        <v>34</v>
      </c>
      <c r="B25" s="9"/>
      <c r="C25" s="9"/>
      <c r="D25" s="9"/>
      <c r="E25" s="9"/>
      <c r="F25" s="9"/>
      <c r="G25" s="9"/>
      <c r="H25" s="9" t="s">
        <v>87</v>
      </c>
      <c r="I25" s="9">
        <v>12</v>
      </c>
      <c r="J25" s="9">
        <v>43</v>
      </c>
      <c r="K25" s="9">
        <v>65</v>
      </c>
      <c r="L25" s="9">
        <v>67</v>
      </c>
      <c r="M25" s="9">
        <v>63.4</v>
      </c>
      <c r="N25" s="9">
        <v>69.3</v>
      </c>
      <c r="O25" s="16"/>
      <c r="P25" s="16"/>
      <c r="Q25" s="16"/>
      <c r="R25" s="16"/>
      <c r="S25" s="16"/>
      <c r="T25" s="16"/>
      <c r="U25" s="16">
        <v>0.02</v>
      </c>
      <c r="V25" s="16">
        <v>0.2</v>
      </c>
      <c r="W25" s="16">
        <v>2</v>
      </c>
      <c r="X25" s="16">
        <v>3</v>
      </c>
      <c r="Y25" s="16">
        <v>4</v>
      </c>
      <c r="Z25" s="9">
        <v>5</v>
      </c>
      <c r="AA25" s="10"/>
      <c r="AB25" s="11">
        <v>602</v>
      </c>
      <c r="AC25" s="12">
        <v>606</v>
      </c>
      <c r="AD25" s="11">
        <v>655</v>
      </c>
      <c r="AE25" s="13">
        <f t="shared" si="3"/>
        <v>0.0687214611872146</v>
      </c>
      <c r="AF25" s="13">
        <f t="shared" si="4"/>
        <v>0.0691780821917808</v>
      </c>
      <c r="AG25" s="13">
        <f t="shared" si="5"/>
        <v>0.0747716894977169</v>
      </c>
      <c r="AH25" s="14" t="str">
        <f t="shared" si="6"/>
        <v/>
      </c>
      <c r="AI25" s="14" t="str">
        <f t="shared" si="7"/>
        <v/>
      </c>
      <c r="AJ25" s="14" t="str">
        <f t="shared" si="8"/>
        <v/>
      </c>
      <c r="AK25" s="14" t="str">
        <f t="shared" si="9"/>
        <v/>
      </c>
      <c r="AL25" s="14" t="str">
        <f t="shared" si="10"/>
        <v/>
      </c>
      <c r="AM25" s="14" t="str">
        <f t="shared" si="11"/>
        <v/>
      </c>
      <c r="AN25" s="14" t="str">
        <f t="shared" si="12"/>
        <v/>
      </c>
      <c r="AO25" s="14">
        <f t="shared" si="13"/>
        <v>0.0190258751902588</v>
      </c>
      <c r="AP25" s="14">
        <f t="shared" si="14"/>
        <v>0.0530954656472337</v>
      </c>
      <c r="AQ25" s="14">
        <f t="shared" si="15"/>
        <v>0.0526870389884089</v>
      </c>
      <c r="AR25" s="14">
        <f t="shared" si="16"/>
        <v>0.0681523887412254</v>
      </c>
      <c r="AS25" s="14">
        <f t="shared" si="17"/>
        <v>0.0900278005848206</v>
      </c>
      <c r="AT25" s="15"/>
    </row>
    <row r="26" spans="1:46">
      <c r="A26" s="9" t="s">
        <v>35</v>
      </c>
      <c r="B26" s="9"/>
      <c r="C26" s="9"/>
      <c r="D26" s="9"/>
      <c r="E26" s="9">
        <v>3.3</v>
      </c>
      <c r="F26" s="9">
        <v>5.4</v>
      </c>
      <c r="G26" s="9">
        <v>36</v>
      </c>
      <c r="H26" s="9">
        <v>96</v>
      </c>
      <c r="I26" s="9">
        <v>135</v>
      </c>
      <c r="J26" s="9">
        <v>181</v>
      </c>
      <c r="K26" s="9">
        <v>188</v>
      </c>
      <c r="L26" s="9">
        <v>191</v>
      </c>
      <c r="M26" s="9">
        <v>195.9</v>
      </c>
      <c r="N26" s="9">
        <v>206.2</v>
      </c>
      <c r="O26" s="16"/>
      <c r="P26" s="16"/>
      <c r="Q26" s="16"/>
      <c r="R26" s="16">
        <v>0.01</v>
      </c>
      <c r="S26" s="16">
        <v>0.5</v>
      </c>
      <c r="T26" s="16">
        <v>2</v>
      </c>
      <c r="U26" s="16">
        <v>11</v>
      </c>
      <c r="V26" s="16">
        <v>16</v>
      </c>
      <c r="W26" s="16">
        <v>22</v>
      </c>
      <c r="X26" s="16">
        <v>28</v>
      </c>
      <c r="Y26" s="16">
        <v>27</v>
      </c>
      <c r="Z26" s="9">
        <v>30</v>
      </c>
      <c r="AA26" s="10"/>
      <c r="AB26" s="11">
        <v>1461</v>
      </c>
      <c r="AC26" s="12">
        <v>1554</v>
      </c>
      <c r="AD26" s="11">
        <v>1466</v>
      </c>
      <c r="AE26" s="13">
        <f t="shared" si="3"/>
        <v>0.166780821917808</v>
      </c>
      <c r="AF26" s="13">
        <f t="shared" si="4"/>
        <v>0.177397260273973</v>
      </c>
      <c r="AG26" s="13">
        <f t="shared" si="5"/>
        <v>0.167351598173516</v>
      </c>
      <c r="AH26" s="14" t="str">
        <f t="shared" si="6"/>
        <v/>
      </c>
      <c r="AI26" s="14" t="str">
        <f t="shared" si="7"/>
        <v/>
      </c>
      <c r="AJ26" s="14" t="str">
        <f t="shared" si="8"/>
        <v/>
      </c>
      <c r="AK26" s="14">
        <f t="shared" si="9"/>
        <v>0.0034592500345925</v>
      </c>
      <c r="AL26" s="14">
        <f t="shared" si="10"/>
        <v>0.105699306612549</v>
      </c>
      <c r="AM26" s="14">
        <f t="shared" si="11"/>
        <v>0.0634195839675292</v>
      </c>
      <c r="AN26" s="14">
        <f t="shared" si="12"/>
        <v>0.130802891933029</v>
      </c>
      <c r="AO26" s="14">
        <f t="shared" si="13"/>
        <v>0.135295112464062</v>
      </c>
      <c r="AP26" s="14">
        <f t="shared" si="14"/>
        <v>0.138752238956583</v>
      </c>
      <c r="AQ26" s="14">
        <f t="shared" si="15"/>
        <v>0.170018459146993</v>
      </c>
      <c r="AR26" s="14">
        <f t="shared" si="16"/>
        <v>0.161371297425231</v>
      </c>
      <c r="AS26" s="14">
        <f t="shared" si="17"/>
        <v>0.174816617368381</v>
      </c>
      <c r="AT26" s="15"/>
    </row>
    <row r="27" spans="1:46">
      <c r="A27" s="9" t="s">
        <v>36</v>
      </c>
      <c r="B27" s="9"/>
      <c r="C27" s="9"/>
      <c r="D27" s="9"/>
      <c r="E27" s="9"/>
      <c r="F27" s="9"/>
      <c r="G27" s="9">
        <v>3</v>
      </c>
      <c r="H27" s="9">
        <v>46</v>
      </c>
      <c r="I27" s="9">
        <v>135</v>
      </c>
      <c r="J27" s="9">
        <v>178</v>
      </c>
      <c r="K27" s="9">
        <v>510</v>
      </c>
      <c r="L27" s="9">
        <v>1057</v>
      </c>
      <c r="M27" s="9">
        <v>1137</v>
      </c>
      <c r="N27" s="9">
        <v>1420.3</v>
      </c>
      <c r="O27" s="16"/>
      <c r="P27" s="16"/>
      <c r="Q27" s="16"/>
      <c r="R27" s="16"/>
      <c r="S27" s="16"/>
      <c r="T27" s="16">
        <v>0</v>
      </c>
      <c r="U27" s="16">
        <v>1.1</v>
      </c>
      <c r="V27" s="16">
        <v>6</v>
      </c>
      <c r="W27" s="16">
        <v>16</v>
      </c>
      <c r="X27" s="16">
        <v>20</v>
      </c>
      <c r="Y27" s="16">
        <v>45</v>
      </c>
      <c r="Z27" s="9">
        <v>83</v>
      </c>
      <c r="AA27" s="10"/>
      <c r="AB27" s="11">
        <v>932</v>
      </c>
      <c r="AC27" s="12">
        <v>1092</v>
      </c>
      <c r="AD27" s="11">
        <v>1032</v>
      </c>
      <c r="AE27" s="13">
        <f t="shared" si="3"/>
        <v>0.106392694063927</v>
      </c>
      <c r="AF27" s="13">
        <f t="shared" si="4"/>
        <v>0.124657534246575</v>
      </c>
      <c r="AG27" s="13">
        <f t="shared" si="5"/>
        <v>0.117808219178082</v>
      </c>
      <c r="AH27" s="14" t="str">
        <f t="shared" si="6"/>
        <v/>
      </c>
      <c r="AI27" s="14" t="str">
        <f t="shared" si="7"/>
        <v/>
      </c>
      <c r="AJ27" s="14" t="str">
        <f t="shared" si="8"/>
        <v/>
      </c>
      <c r="AK27" s="14" t="str">
        <f t="shared" si="9"/>
        <v/>
      </c>
      <c r="AL27" s="14" t="str">
        <f t="shared" si="10"/>
        <v/>
      </c>
      <c r="AM27" s="14">
        <f t="shared" si="11"/>
        <v>0</v>
      </c>
      <c r="AN27" s="14">
        <f t="shared" si="12"/>
        <v>0.0272979948381973</v>
      </c>
      <c r="AO27" s="14">
        <f t="shared" si="13"/>
        <v>0.0507356671740233</v>
      </c>
      <c r="AP27" s="14">
        <f t="shared" si="14"/>
        <v>0.102611461700272</v>
      </c>
      <c r="AQ27" s="14">
        <f t="shared" si="15"/>
        <v>0.04476676515355</v>
      </c>
      <c r="AR27" s="14">
        <f t="shared" si="16"/>
        <v>0.0485996811860914</v>
      </c>
      <c r="AS27" s="14">
        <f t="shared" si="17"/>
        <v>0.0833323293293655</v>
      </c>
      <c r="AT27" s="15"/>
    </row>
    <row r="28" spans="1:46">
      <c r="A28" s="9" t="s">
        <v>37</v>
      </c>
      <c r="B28" s="9">
        <v>2</v>
      </c>
      <c r="C28" s="9">
        <v>2</v>
      </c>
      <c r="D28" s="9">
        <v>3</v>
      </c>
      <c r="E28" s="9">
        <v>11</v>
      </c>
      <c r="F28" s="9">
        <v>28.2</v>
      </c>
      <c r="G28" s="9">
        <v>117</v>
      </c>
      <c r="H28" s="9">
        <v>208</v>
      </c>
      <c r="I28" s="9">
        <v>238</v>
      </c>
      <c r="J28" s="9">
        <v>326</v>
      </c>
      <c r="K28" s="9">
        <v>375</v>
      </c>
      <c r="L28" s="9">
        <v>388</v>
      </c>
      <c r="M28" s="9">
        <v>397.1</v>
      </c>
      <c r="N28" s="9">
        <v>585.3</v>
      </c>
      <c r="O28" s="16">
        <v>0.3</v>
      </c>
      <c r="P28" s="16">
        <v>0.3</v>
      </c>
      <c r="Q28" s="16">
        <v>0.3</v>
      </c>
      <c r="R28" s="16">
        <v>0.9</v>
      </c>
      <c r="S28" s="16">
        <v>2.9</v>
      </c>
      <c r="T28" s="16">
        <v>6</v>
      </c>
      <c r="U28" s="16">
        <v>23</v>
      </c>
      <c r="V28" s="16">
        <v>28</v>
      </c>
      <c r="W28" s="16">
        <v>34</v>
      </c>
      <c r="X28" s="16">
        <v>48</v>
      </c>
      <c r="Y28" s="16">
        <v>50</v>
      </c>
      <c r="Z28" s="9">
        <v>51</v>
      </c>
      <c r="AA28" s="10"/>
      <c r="AB28" s="11">
        <v>1182</v>
      </c>
      <c r="AC28" s="12">
        <v>1350</v>
      </c>
      <c r="AD28" s="11">
        <v>1332</v>
      </c>
      <c r="AE28" s="13">
        <f t="shared" si="3"/>
        <v>0.134931506849315</v>
      </c>
      <c r="AF28" s="13">
        <f t="shared" si="4"/>
        <v>0.154109589041096</v>
      </c>
      <c r="AG28" s="13">
        <f t="shared" si="5"/>
        <v>0.152054794520548</v>
      </c>
      <c r="AH28" s="14">
        <f t="shared" si="6"/>
        <v>0.171232876712329</v>
      </c>
      <c r="AI28" s="14">
        <f t="shared" si="7"/>
        <v>0.171232876712329</v>
      </c>
      <c r="AJ28" s="14">
        <f t="shared" si="8"/>
        <v>0.114155251141553</v>
      </c>
      <c r="AK28" s="14">
        <f t="shared" si="9"/>
        <v>0.0933997509339975</v>
      </c>
      <c r="AL28" s="14">
        <f t="shared" si="10"/>
        <v>0.117393697982448</v>
      </c>
      <c r="AM28" s="14">
        <f t="shared" si="11"/>
        <v>0.0585411544315654</v>
      </c>
      <c r="AN28" s="14">
        <f t="shared" si="12"/>
        <v>0.126229364243063</v>
      </c>
      <c r="AO28" s="14">
        <f t="shared" si="13"/>
        <v>0.13430029546065</v>
      </c>
      <c r="AP28" s="14">
        <f t="shared" si="14"/>
        <v>0.119057623889963</v>
      </c>
      <c r="AQ28" s="14">
        <f t="shared" si="15"/>
        <v>0.146118721461187</v>
      </c>
      <c r="AR28" s="14">
        <f t="shared" si="16"/>
        <v>0.147107282398908</v>
      </c>
      <c r="AS28" s="14">
        <f t="shared" si="17"/>
        <v>0.146610874042286</v>
      </c>
      <c r="AT28" s="15"/>
    </row>
    <row r="29" spans="1:46">
      <c r="A29" s="9" t="s">
        <v>38</v>
      </c>
      <c r="B29" s="9">
        <v>4</v>
      </c>
      <c r="C29" s="9">
        <v>6.6</v>
      </c>
      <c r="D29" s="9">
        <v>8</v>
      </c>
      <c r="E29" s="9">
        <v>11</v>
      </c>
      <c r="F29" s="9">
        <v>13</v>
      </c>
      <c r="G29" s="9">
        <v>17</v>
      </c>
      <c r="H29" s="9">
        <v>33</v>
      </c>
      <c r="I29" s="9">
        <v>79</v>
      </c>
      <c r="J29" s="9">
        <v>98</v>
      </c>
      <c r="K29" s="9">
        <v>110</v>
      </c>
      <c r="L29" s="9">
        <v>137</v>
      </c>
      <c r="M29" s="9">
        <v>138.7</v>
      </c>
      <c r="N29" s="9">
        <v>178.1</v>
      </c>
      <c r="O29" s="16">
        <v>0.4</v>
      </c>
      <c r="P29" s="16">
        <v>1.8</v>
      </c>
      <c r="Q29" s="16">
        <v>0.8</v>
      </c>
      <c r="R29" s="16">
        <v>1.4</v>
      </c>
      <c r="S29" s="16">
        <v>1.8</v>
      </c>
      <c r="T29" s="16">
        <v>2</v>
      </c>
      <c r="U29" s="16">
        <v>4</v>
      </c>
      <c r="V29" s="16">
        <v>6</v>
      </c>
      <c r="W29" s="16">
        <v>8</v>
      </c>
      <c r="X29" s="16">
        <v>13</v>
      </c>
      <c r="Y29" s="16">
        <v>14</v>
      </c>
      <c r="Z29" s="9">
        <v>17</v>
      </c>
      <c r="AA29" s="10"/>
      <c r="AB29" s="11">
        <v>900</v>
      </c>
      <c r="AC29" s="12">
        <v>1210</v>
      </c>
      <c r="AD29" s="11">
        <v>1116</v>
      </c>
      <c r="AE29" s="13">
        <f t="shared" si="3"/>
        <v>0.102739726027397</v>
      </c>
      <c r="AF29" s="13">
        <f t="shared" si="4"/>
        <v>0.138127853881279</v>
      </c>
      <c r="AG29" s="13">
        <f t="shared" si="5"/>
        <v>0.127397260273973</v>
      </c>
      <c r="AH29" s="14">
        <f t="shared" si="6"/>
        <v>0.114155251141553</v>
      </c>
      <c r="AI29" s="14">
        <f t="shared" si="7"/>
        <v>0.311332503113325</v>
      </c>
      <c r="AJ29" s="14">
        <f t="shared" si="8"/>
        <v>0.114155251141553</v>
      </c>
      <c r="AK29" s="14">
        <f t="shared" si="9"/>
        <v>0.145288501452885</v>
      </c>
      <c r="AL29" s="14">
        <f t="shared" si="10"/>
        <v>0.158061116965227</v>
      </c>
      <c r="AM29" s="14">
        <f t="shared" si="11"/>
        <v>0.13430029546065</v>
      </c>
      <c r="AN29" s="14">
        <f t="shared" si="12"/>
        <v>0.1383700013837</v>
      </c>
      <c r="AO29" s="14">
        <f t="shared" si="13"/>
        <v>0.0867001907404196</v>
      </c>
      <c r="AP29" s="14">
        <f t="shared" si="14"/>
        <v>0.0931879601155531</v>
      </c>
      <c r="AQ29" s="14">
        <f t="shared" si="15"/>
        <v>0.134910751349108</v>
      </c>
      <c r="AR29" s="14">
        <f t="shared" si="16"/>
        <v>0.11665500116655</v>
      </c>
      <c r="AS29" s="14">
        <f t="shared" si="17"/>
        <v>0.139916313583734</v>
      </c>
      <c r="AT29" s="15"/>
    </row>
    <row r="30" spans="1:46">
      <c r="A30" s="9" t="s">
        <v>39</v>
      </c>
      <c r="B30" s="9">
        <v>2</v>
      </c>
      <c r="C30" s="9">
        <v>2</v>
      </c>
      <c r="D30" s="9">
        <v>2.1</v>
      </c>
      <c r="E30" s="9">
        <v>6.3</v>
      </c>
      <c r="F30" s="9">
        <v>31.3</v>
      </c>
      <c r="G30" s="9">
        <v>72</v>
      </c>
      <c r="H30" s="9">
        <v>246</v>
      </c>
      <c r="I30" s="9">
        <v>535</v>
      </c>
      <c r="J30" s="9">
        <v>716</v>
      </c>
      <c r="K30" s="9">
        <v>939</v>
      </c>
      <c r="L30" s="9">
        <v>1089</v>
      </c>
      <c r="M30" s="9">
        <v>1313.7</v>
      </c>
      <c r="N30" s="9">
        <v>1516.2</v>
      </c>
      <c r="O30" s="16"/>
      <c r="P30" s="16"/>
      <c r="Q30" s="16">
        <v>0.3</v>
      </c>
      <c r="R30" s="16">
        <v>0.8</v>
      </c>
      <c r="S30" s="16">
        <v>0.9</v>
      </c>
      <c r="T30" s="16">
        <v>6</v>
      </c>
      <c r="U30" s="16">
        <v>20</v>
      </c>
      <c r="V30" s="16">
        <v>52</v>
      </c>
      <c r="W30" s="16">
        <v>71</v>
      </c>
      <c r="X30" s="16">
        <v>94</v>
      </c>
      <c r="Y30" s="16">
        <v>119</v>
      </c>
      <c r="Z30" s="9">
        <v>141</v>
      </c>
      <c r="AA30" s="10"/>
      <c r="AB30" s="11">
        <v>1274</v>
      </c>
      <c r="AC30" s="12">
        <v>1273</v>
      </c>
      <c r="AD30" s="11">
        <v>1392</v>
      </c>
      <c r="AE30" s="13">
        <f t="shared" si="3"/>
        <v>0.145433789954338</v>
      </c>
      <c r="AF30" s="13">
        <f t="shared" si="4"/>
        <v>0.145319634703196</v>
      </c>
      <c r="AG30" s="13">
        <f t="shared" si="5"/>
        <v>0.158904109589041</v>
      </c>
      <c r="AH30" s="14">
        <f t="shared" si="6"/>
        <v>0</v>
      </c>
      <c r="AI30" s="14">
        <f t="shared" si="7"/>
        <v>0</v>
      </c>
      <c r="AJ30" s="14">
        <f t="shared" si="8"/>
        <v>0.163078930202218</v>
      </c>
      <c r="AK30" s="14">
        <f t="shared" si="9"/>
        <v>0.144959049068638</v>
      </c>
      <c r="AL30" s="14">
        <f t="shared" si="10"/>
        <v>0.0328241936189768</v>
      </c>
      <c r="AM30" s="14">
        <f t="shared" si="11"/>
        <v>0.0951293759512938</v>
      </c>
      <c r="AN30" s="14">
        <f t="shared" si="12"/>
        <v>0.0928091472695549</v>
      </c>
      <c r="AO30" s="14">
        <f t="shared" si="13"/>
        <v>0.110954636623565</v>
      </c>
      <c r="AP30" s="14">
        <f t="shared" si="14"/>
        <v>0.113198642891763</v>
      </c>
      <c r="AQ30" s="14">
        <f t="shared" si="15"/>
        <v>0.11427682222903</v>
      </c>
      <c r="AR30" s="14">
        <f t="shared" si="16"/>
        <v>0.124742652762578</v>
      </c>
      <c r="AS30" s="14">
        <f t="shared" si="17"/>
        <v>0.122523334177962</v>
      </c>
      <c r="AT30" s="15"/>
    </row>
    <row r="31" spans="1:46">
      <c r="A31" s="9" t="s">
        <v>40</v>
      </c>
      <c r="B31" s="9">
        <v>11</v>
      </c>
      <c r="C31" s="9">
        <v>11.1</v>
      </c>
      <c r="D31" s="9">
        <v>38</v>
      </c>
      <c r="E31" s="9">
        <v>429.8</v>
      </c>
      <c r="F31" s="9">
        <v>517.3</v>
      </c>
      <c r="G31" s="9">
        <v>610</v>
      </c>
      <c r="H31" s="9">
        <v>686</v>
      </c>
      <c r="I31" s="9">
        <v>786</v>
      </c>
      <c r="J31" s="9">
        <v>839</v>
      </c>
      <c r="K31" s="9">
        <v>924</v>
      </c>
      <c r="L31" s="9">
        <v>982</v>
      </c>
      <c r="M31" s="9">
        <v>1124.8</v>
      </c>
      <c r="N31" s="9">
        <v>1396.4</v>
      </c>
      <c r="O31" s="16">
        <v>0.6</v>
      </c>
      <c r="P31" s="16">
        <v>0.6</v>
      </c>
      <c r="Q31" s="16">
        <v>3.1</v>
      </c>
      <c r="R31" s="16">
        <v>19</v>
      </c>
      <c r="S31" s="16">
        <v>40</v>
      </c>
      <c r="T31" s="16">
        <v>59</v>
      </c>
      <c r="U31" s="16">
        <v>60</v>
      </c>
      <c r="V31" s="16">
        <v>73</v>
      </c>
      <c r="W31" s="16">
        <v>95</v>
      </c>
      <c r="X31" s="16">
        <v>118</v>
      </c>
      <c r="Y31" s="16">
        <v>133</v>
      </c>
      <c r="Z31" s="9">
        <v>150</v>
      </c>
      <c r="AA31" s="10"/>
      <c r="AB31" s="11">
        <v>1336</v>
      </c>
      <c r="AC31" s="12">
        <v>1422</v>
      </c>
      <c r="AD31" s="11">
        <v>1511</v>
      </c>
      <c r="AE31" s="13">
        <f t="shared" si="3"/>
        <v>0.152511415525114</v>
      </c>
      <c r="AF31" s="13">
        <f t="shared" si="4"/>
        <v>0.162328767123288</v>
      </c>
      <c r="AG31" s="13">
        <f t="shared" si="5"/>
        <v>0.172488584474886</v>
      </c>
      <c r="AH31" s="14">
        <f t="shared" si="6"/>
        <v>0.062266500622665</v>
      </c>
      <c r="AI31" s="14">
        <f t="shared" si="7"/>
        <v>0.061705541157596</v>
      </c>
      <c r="AJ31" s="14">
        <f t="shared" si="8"/>
        <v>0.093126652247056</v>
      </c>
      <c r="AK31" s="14">
        <f t="shared" si="9"/>
        <v>0.0504641640690902</v>
      </c>
      <c r="AL31" s="14">
        <f t="shared" si="10"/>
        <v>0.0882700569430137</v>
      </c>
      <c r="AM31" s="14">
        <f t="shared" si="11"/>
        <v>0.110412456022157</v>
      </c>
      <c r="AN31" s="14">
        <f t="shared" si="12"/>
        <v>0.0998442429809497</v>
      </c>
      <c r="AO31" s="14">
        <f t="shared" si="13"/>
        <v>0.106022052586938</v>
      </c>
      <c r="AP31" s="14">
        <f t="shared" si="14"/>
        <v>0.129258031685906</v>
      </c>
      <c r="AQ31" s="14">
        <f t="shared" si="15"/>
        <v>0.145782680029255</v>
      </c>
      <c r="AR31" s="14">
        <f t="shared" si="16"/>
        <v>0.154609454193752</v>
      </c>
      <c r="AS31" s="14">
        <f t="shared" si="17"/>
        <v>0.152234065355911</v>
      </c>
      <c r="AT31" s="15"/>
    </row>
    <row r="32" spans="1:46">
      <c r="A32" s="9" t="s">
        <v>41</v>
      </c>
      <c r="B32" s="9">
        <v>94</v>
      </c>
      <c r="C32" s="9">
        <v>93.8</v>
      </c>
      <c r="D32" s="9">
        <v>136</v>
      </c>
      <c r="E32" s="9">
        <v>348.1</v>
      </c>
      <c r="F32" s="9">
        <v>412.4</v>
      </c>
      <c r="G32" s="9">
        <v>564</v>
      </c>
      <c r="H32" s="9">
        <v>682</v>
      </c>
      <c r="I32" s="9">
        <v>791</v>
      </c>
      <c r="J32" s="9">
        <v>962</v>
      </c>
      <c r="K32" s="9">
        <v>1122</v>
      </c>
      <c r="L32" s="9">
        <v>1601</v>
      </c>
      <c r="M32" s="9">
        <v>1610.8</v>
      </c>
      <c r="N32" s="9">
        <v>1821.1</v>
      </c>
      <c r="O32" s="16">
        <v>1.4</v>
      </c>
      <c r="P32" s="16">
        <v>1.4</v>
      </c>
      <c r="Q32" s="16">
        <v>15</v>
      </c>
      <c r="R32" s="16">
        <v>28.2</v>
      </c>
      <c r="S32" s="16">
        <v>58.2</v>
      </c>
      <c r="T32" s="16">
        <v>76</v>
      </c>
      <c r="U32" s="16">
        <v>90</v>
      </c>
      <c r="V32" s="16">
        <v>113</v>
      </c>
      <c r="W32" s="16">
        <v>131</v>
      </c>
      <c r="X32" s="16">
        <v>158</v>
      </c>
      <c r="Y32" s="16">
        <v>167</v>
      </c>
      <c r="Z32" s="9">
        <v>211</v>
      </c>
      <c r="AA32" s="10"/>
      <c r="AB32" s="11">
        <v>1464</v>
      </c>
      <c r="AC32" s="12">
        <v>1487</v>
      </c>
      <c r="AD32" s="11">
        <v>1376</v>
      </c>
      <c r="AE32" s="13">
        <f t="shared" si="3"/>
        <v>0.167123287671233</v>
      </c>
      <c r="AF32" s="13">
        <f t="shared" si="4"/>
        <v>0.169748858447489</v>
      </c>
      <c r="AG32" s="13">
        <f t="shared" si="5"/>
        <v>0.157077625570776</v>
      </c>
      <c r="AH32" s="14">
        <f t="shared" si="6"/>
        <v>0.0170018459146993</v>
      </c>
      <c r="AI32" s="14">
        <f t="shared" si="7"/>
        <v>0.0170380971853063</v>
      </c>
      <c r="AJ32" s="14">
        <f t="shared" si="8"/>
        <v>0.125906526994359</v>
      </c>
      <c r="AK32" s="14">
        <f t="shared" si="9"/>
        <v>0.092478543010393</v>
      </c>
      <c r="AL32" s="14">
        <f t="shared" si="10"/>
        <v>0.16110173657707</v>
      </c>
      <c r="AM32" s="14">
        <f t="shared" si="11"/>
        <v>0.153826224942518</v>
      </c>
      <c r="AN32" s="14">
        <f t="shared" si="12"/>
        <v>0.150644759570964</v>
      </c>
      <c r="AO32" s="14">
        <f t="shared" si="13"/>
        <v>0.163078930202218</v>
      </c>
      <c r="AP32" s="14">
        <f t="shared" si="14"/>
        <v>0.155450497916251</v>
      </c>
      <c r="AQ32" s="14">
        <f t="shared" si="15"/>
        <v>0.160753383960475</v>
      </c>
      <c r="AR32" s="14">
        <f t="shared" si="16"/>
        <v>0.119075121428103</v>
      </c>
      <c r="AS32" s="14">
        <f t="shared" si="17"/>
        <v>0.149532890432503</v>
      </c>
      <c r="AT32" s="15"/>
    </row>
    <row r="33" spans="1:46">
      <c r="A33" s="9" t="s">
        <v>42</v>
      </c>
      <c r="B33" s="9">
        <v>49</v>
      </c>
      <c r="C33" s="9">
        <v>49.1</v>
      </c>
      <c r="D33" s="9">
        <v>53</v>
      </c>
      <c r="E33" s="9">
        <v>155.1</v>
      </c>
      <c r="F33" s="9">
        <v>173.4</v>
      </c>
      <c r="G33" s="9">
        <v>309</v>
      </c>
      <c r="H33" s="9">
        <v>526</v>
      </c>
      <c r="I33" s="9">
        <v>620</v>
      </c>
      <c r="J33" s="9">
        <v>816</v>
      </c>
      <c r="K33" s="9">
        <v>918</v>
      </c>
      <c r="L33" s="9">
        <v>1197</v>
      </c>
      <c r="M33" s="9">
        <v>1384</v>
      </c>
      <c r="N33" s="9">
        <v>1583.7</v>
      </c>
      <c r="O33" s="16">
        <v>1.9</v>
      </c>
      <c r="P33" s="16">
        <v>1.9</v>
      </c>
      <c r="Q33" s="16">
        <v>7.8</v>
      </c>
      <c r="R33" s="16">
        <v>10.5</v>
      </c>
      <c r="S33" s="16">
        <v>25.9</v>
      </c>
      <c r="T33" s="16">
        <v>36</v>
      </c>
      <c r="U33" s="16">
        <v>55</v>
      </c>
      <c r="V33" s="16">
        <v>76</v>
      </c>
      <c r="W33" s="16">
        <v>97</v>
      </c>
      <c r="X33" s="16">
        <v>115</v>
      </c>
      <c r="Y33" s="16">
        <v>136</v>
      </c>
      <c r="Z33" s="9">
        <v>183</v>
      </c>
      <c r="AA33" s="10"/>
      <c r="AB33" s="11">
        <v>1383</v>
      </c>
      <c r="AC33" s="12">
        <v>1371</v>
      </c>
      <c r="AD33" s="11">
        <v>1393</v>
      </c>
      <c r="AE33" s="13">
        <f t="shared" si="3"/>
        <v>0.157876712328767</v>
      </c>
      <c r="AF33" s="13">
        <f t="shared" si="4"/>
        <v>0.156506849315069</v>
      </c>
      <c r="AG33" s="13">
        <f t="shared" si="5"/>
        <v>0.159018264840183</v>
      </c>
      <c r="AH33" s="14">
        <f t="shared" si="6"/>
        <v>0.0442642810548877</v>
      </c>
      <c r="AI33" s="14">
        <f t="shared" si="7"/>
        <v>0.0441741297696435</v>
      </c>
      <c r="AJ33" s="14">
        <f t="shared" si="8"/>
        <v>0.168002067717757</v>
      </c>
      <c r="AK33" s="14">
        <f t="shared" si="9"/>
        <v>0.0772811177940878</v>
      </c>
      <c r="AL33" s="14">
        <f t="shared" si="10"/>
        <v>0.170508708452492</v>
      </c>
      <c r="AM33" s="14">
        <f t="shared" si="11"/>
        <v>0.132996409096954</v>
      </c>
      <c r="AN33" s="14">
        <f t="shared" si="12"/>
        <v>0.119363855756376</v>
      </c>
      <c r="AO33" s="14">
        <f t="shared" si="13"/>
        <v>0.139932243334806</v>
      </c>
      <c r="AP33" s="14">
        <f t="shared" si="14"/>
        <v>0.135699256871698</v>
      </c>
      <c r="AQ33" s="14">
        <f t="shared" si="15"/>
        <v>0.143004944240507</v>
      </c>
      <c r="AR33" s="14">
        <f t="shared" si="16"/>
        <v>0.129700201798255</v>
      </c>
      <c r="AS33" s="14">
        <f t="shared" si="17"/>
        <v>0.150942275714625</v>
      </c>
      <c r="AT33" s="15"/>
    </row>
    <row r="34" spans="1:46">
      <c r="A34" s="9" t="s">
        <v>43</v>
      </c>
      <c r="B34" s="9"/>
      <c r="C34" s="9"/>
      <c r="D34" s="9">
        <v>18</v>
      </c>
      <c r="E34" s="9">
        <v>277.1</v>
      </c>
      <c r="F34" s="9">
        <v>326.1</v>
      </c>
      <c r="G34" s="9">
        <v>529</v>
      </c>
      <c r="H34" s="9">
        <v>893</v>
      </c>
      <c r="I34" s="9">
        <v>934</v>
      </c>
      <c r="J34" s="9">
        <v>978</v>
      </c>
      <c r="K34" s="9">
        <v>1072</v>
      </c>
      <c r="L34" s="9">
        <v>1266</v>
      </c>
      <c r="M34" s="9">
        <v>1272</v>
      </c>
      <c r="N34" s="9">
        <v>1467.2</v>
      </c>
      <c r="O34" s="16"/>
      <c r="P34" s="16"/>
      <c r="Q34" s="16">
        <v>1.7</v>
      </c>
      <c r="R34" s="16">
        <v>5.3</v>
      </c>
      <c r="S34" s="16">
        <v>43.6</v>
      </c>
      <c r="T34" s="16">
        <v>57</v>
      </c>
      <c r="U34" s="16">
        <v>67</v>
      </c>
      <c r="V34" s="16">
        <v>107</v>
      </c>
      <c r="W34" s="16">
        <v>116</v>
      </c>
      <c r="X34" s="16">
        <v>132</v>
      </c>
      <c r="Y34" s="16">
        <v>157</v>
      </c>
      <c r="Z34" s="9">
        <v>196</v>
      </c>
      <c r="AA34" s="10"/>
      <c r="AB34" s="11">
        <v>1228</v>
      </c>
      <c r="AC34" s="12">
        <v>1284</v>
      </c>
      <c r="AD34" s="11">
        <v>1396</v>
      </c>
      <c r="AE34" s="13">
        <f t="shared" si="3"/>
        <v>0.140182648401826</v>
      </c>
      <c r="AF34" s="13">
        <f t="shared" si="4"/>
        <v>0.146575342465753</v>
      </c>
      <c r="AG34" s="13">
        <f t="shared" si="5"/>
        <v>0.159360730593607</v>
      </c>
      <c r="AH34" s="14" t="str">
        <f t="shared" si="6"/>
        <v/>
      </c>
      <c r="AI34" s="14" t="str">
        <f t="shared" si="7"/>
        <v/>
      </c>
      <c r="AJ34" s="14">
        <f t="shared" si="8"/>
        <v>0.1078132927448</v>
      </c>
      <c r="AK34" s="14">
        <f t="shared" si="9"/>
        <v>0.0218340971147683</v>
      </c>
      <c r="AL34" s="14">
        <f t="shared" si="10"/>
        <v>0.15262707604329</v>
      </c>
      <c r="AM34" s="14">
        <f t="shared" si="11"/>
        <v>0.123002822591087</v>
      </c>
      <c r="AN34" s="14">
        <f t="shared" si="12"/>
        <v>0.0856483967131469</v>
      </c>
      <c r="AO34" s="14">
        <f t="shared" si="13"/>
        <v>0.130777429037967</v>
      </c>
      <c r="AP34" s="14">
        <f t="shared" si="14"/>
        <v>0.135398866384664</v>
      </c>
      <c r="AQ34" s="14">
        <f t="shared" si="15"/>
        <v>0.140564301778777</v>
      </c>
      <c r="AR34" s="14">
        <f t="shared" si="16"/>
        <v>0.141566938619461</v>
      </c>
      <c r="AS34" s="14">
        <f t="shared" si="17"/>
        <v>0.1758996008156</v>
      </c>
      <c r="AT34" s="15"/>
    </row>
    <row r="35" spans="1:46">
      <c r="A35" s="17" t="s">
        <v>44</v>
      </c>
      <c r="B35" s="16"/>
      <c r="C35" s="16"/>
      <c r="D35" s="16"/>
      <c r="E35" s="16"/>
      <c r="F35" s="16"/>
      <c r="G35" s="16"/>
      <c r="H35" s="16"/>
      <c r="I35" s="16"/>
      <c r="J35" s="16"/>
      <c r="K35" s="16"/>
      <c r="L35" s="16"/>
      <c r="M35" s="9">
        <v>77.2</v>
      </c>
      <c r="N35" s="16">
        <v>105.8</v>
      </c>
      <c r="O35" s="16"/>
      <c r="P35" s="16"/>
      <c r="Q35" s="16"/>
      <c r="R35" s="16"/>
      <c r="S35" s="16"/>
      <c r="T35" s="16"/>
      <c r="U35" s="16"/>
      <c r="V35" s="16"/>
      <c r="W35" s="16"/>
      <c r="X35" s="16"/>
      <c r="Y35" s="16"/>
      <c r="Z35" s="16"/>
    </row>
    <row r="37" spans="1:46">
      <c r="A37" s="4" t="s">
        <v>8</v>
      </c>
      <c r="B37" s="9" t="s">
        <v>88</v>
      </c>
      <c r="C37" s="9"/>
      <c r="D37" s="9"/>
      <c r="E37" s="9"/>
      <c r="F37" s="9"/>
      <c r="G37" s="9"/>
      <c r="H37" s="9" t="s">
        <v>89</v>
      </c>
      <c r="I37" s="9"/>
      <c r="J37" s="9"/>
      <c r="K37" s="9"/>
      <c r="L37" s="9"/>
      <c r="M37" s="9"/>
      <c r="N37" s="9" t="s">
        <v>11</v>
      </c>
      <c r="O37" s="9"/>
      <c r="P37" s="9"/>
      <c r="Q37" s="9"/>
      <c r="R37" s="9"/>
      <c r="S37" s="9"/>
      <c r="T37" s="18"/>
      <c r="U37" s="18"/>
      <c r="V37" s="18"/>
      <c r="W37" s="18"/>
      <c r="X37" s="18"/>
      <c r="Y37" s="18"/>
      <c r="Z37" s="18"/>
      <c r="AA37" s="18"/>
    </row>
    <row r="38" spans="1:46">
      <c r="A38" s="4"/>
      <c r="B38" s="9">
        <v>2017</v>
      </c>
      <c r="C38" s="9">
        <v>2018</v>
      </c>
      <c r="D38" s="9">
        <v>2019</v>
      </c>
      <c r="E38" s="9">
        <v>2020</v>
      </c>
      <c r="F38" s="9">
        <v>2021</v>
      </c>
      <c r="G38" s="9">
        <v>2022</v>
      </c>
      <c r="H38" s="9">
        <v>2017</v>
      </c>
      <c r="I38" s="9">
        <v>2018</v>
      </c>
      <c r="J38" s="9">
        <v>2019</v>
      </c>
      <c r="K38" s="9">
        <v>2020</v>
      </c>
      <c r="L38" s="9">
        <v>2021</v>
      </c>
      <c r="M38" s="9">
        <v>2022</v>
      </c>
      <c r="N38" s="9">
        <v>2017</v>
      </c>
      <c r="O38" s="9">
        <v>2018</v>
      </c>
      <c r="P38" s="9">
        <v>2019</v>
      </c>
      <c r="Q38" s="9">
        <v>2020</v>
      </c>
      <c r="R38" s="9">
        <v>2021</v>
      </c>
      <c r="S38" s="9">
        <v>2022</v>
      </c>
    </row>
    <row r="39" spans="1:46">
      <c r="A39" s="9" t="s">
        <v>12</v>
      </c>
      <c r="B39" s="9">
        <v>13040</v>
      </c>
      <c r="C39" s="9">
        <v>17433</v>
      </c>
      <c r="D39" s="9">
        <v>20431</v>
      </c>
      <c r="E39" s="9">
        <v>25360</v>
      </c>
      <c r="F39" s="9">
        <v>30598.7</v>
      </c>
      <c r="G39" s="9">
        <v>39203.8</v>
      </c>
      <c r="H39" s="9">
        <f t="shared" ref="H39" si="18">SUM(H40:H71)</f>
        <v>1023.09</v>
      </c>
      <c r="I39" s="9">
        <f t="shared" ref="I39" si="19">SUM(I40:I71)</f>
        <v>1378.9</v>
      </c>
      <c r="J39" s="9">
        <f t="shared" ref="J39" si="20">SUM(J40:J71)</f>
        <v>1699.6</v>
      </c>
      <c r="K39" s="9">
        <f t="shared" ref="K39" si="21">SUM(K40:K71)</f>
        <v>1935.6</v>
      </c>
      <c r="L39" s="9">
        <f t="shared" ref="L39" si="22">SUM(L40:L71)</f>
        <v>2347.8</v>
      </c>
      <c r="M39" s="9"/>
      <c r="N39" s="19">
        <f t="shared" ref="N39:N70" si="23">IFERROR(H39*10^4/B39/8760,"")</f>
        <v>0.0895637238423397</v>
      </c>
      <c r="O39" s="19">
        <f t="shared" ref="O39:O70" si="24">IFERROR(I39*10^4/C39/8760,"")</f>
        <v>0.0902935098945028</v>
      </c>
      <c r="P39" s="19">
        <f t="shared" ref="P39:P70" si="25">IFERROR(J39*10^4/D39/8760,"")</f>
        <v>0.0949626865254675</v>
      </c>
      <c r="Q39" s="19">
        <f t="shared" ref="Q39:Q70" si="26">IFERROR(K39*10^4/E39/8760,"")</f>
        <v>0.0871289054059894</v>
      </c>
      <c r="R39" s="19">
        <f t="shared" ref="R39:R70" si="27">IFERROR(L39*10^4/F39/8760,"")</f>
        <v>0.0875898971623425</v>
      </c>
      <c r="S39" s="15"/>
    </row>
    <row r="40" spans="1:46">
      <c r="A40" s="9" t="s">
        <v>13</v>
      </c>
      <c r="B40" s="9">
        <f>MAX(I4-'Distributed photoelectric data'!B4,0)</f>
        <v>3</v>
      </c>
      <c r="C40" s="9">
        <f>MAX(J4-'Distributed photoelectric data'!C4,0)</f>
        <v>5</v>
      </c>
      <c r="D40" s="9">
        <f>MAX(K4-'Distributed photoelectric data'!D4,0)</f>
        <v>5</v>
      </c>
      <c r="E40" s="9">
        <f>MAX(L4-'Distributed photoelectric data'!E4,0)</f>
        <v>6</v>
      </c>
      <c r="F40" s="9">
        <f>MAX(M4-'Distributed photoelectric data'!F4,0)</f>
        <v>5.09999999999999</v>
      </c>
      <c r="G40" s="9"/>
      <c r="H40" s="16">
        <f>V4-'Distributed photoelectric data'!J4</f>
        <v>1</v>
      </c>
      <c r="I40" s="16">
        <f>W4-'Distributed photoelectric data'!K4</f>
        <v>1</v>
      </c>
      <c r="J40" s="16">
        <f>X4-'Distributed photoelectric data'!L4</f>
        <v>1</v>
      </c>
      <c r="K40" s="16">
        <f>Y4-'Distributed photoelectric data'!M4</f>
        <v>1</v>
      </c>
      <c r="L40" s="16">
        <f>Z4-'Distributed photoelectric data'!N4</f>
        <v>1</v>
      </c>
      <c r="M40" s="9"/>
      <c r="N40" s="19">
        <f t="shared" si="23"/>
        <v>0.380517503805175</v>
      </c>
      <c r="O40" s="19">
        <f t="shared" si="24"/>
        <v>0.228310502283105</v>
      </c>
      <c r="P40" s="19">
        <f t="shared" si="25"/>
        <v>0.228310502283105</v>
      </c>
      <c r="Q40" s="19">
        <f t="shared" si="26"/>
        <v>0.190258751902588</v>
      </c>
      <c r="R40" s="19">
        <f t="shared" si="27"/>
        <v>0.22383382576775</v>
      </c>
      <c r="S40" s="15"/>
    </row>
    <row r="41" spans="1:46">
      <c r="A41" s="9" t="s">
        <v>14</v>
      </c>
      <c r="B41" s="9">
        <f>MAX(I5-'Distributed photoelectric data'!B5,0)</f>
        <v>53</v>
      </c>
      <c r="C41" s="9">
        <f>MAX(J5-'Distributed photoelectric data'!C5,0)</f>
        <v>97</v>
      </c>
      <c r="D41" s="9">
        <f>MAX(K5-'Distributed photoelectric data'!D5,0)</f>
        <v>105</v>
      </c>
      <c r="E41" s="9">
        <f>MAX(L5-'Distributed photoelectric data'!E5,0)</f>
        <v>119</v>
      </c>
      <c r="F41" s="9">
        <f>MAX(M5-'Distributed photoelectric data'!F5,0)</f>
        <v>118.9</v>
      </c>
      <c r="G41" s="9"/>
      <c r="H41" s="16">
        <f>V5-'Distributed photoelectric data'!J5</f>
        <v>5.2</v>
      </c>
      <c r="I41" s="16">
        <f>W5-'Distributed photoelectric data'!K5</f>
        <v>6</v>
      </c>
      <c r="J41" s="16">
        <f>X5-'Distributed photoelectric data'!L5</f>
        <v>12</v>
      </c>
      <c r="K41" s="16">
        <f>Y5-'Distributed photoelectric data'!M5</f>
        <v>15</v>
      </c>
      <c r="L41" s="16">
        <f>Z5-'Distributed photoelectric data'!N5</f>
        <v>16</v>
      </c>
      <c r="M41" s="9"/>
      <c r="N41" s="19">
        <f t="shared" si="23"/>
        <v>0.112001378478504</v>
      </c>
      <c r="O41" s="19">
        <f t="shared" si="24"/>
        <v>0.0706114955514758</v>
      </c>
      <c r="P41" s="19">
        <f t="shared" si="25"/>
        <v>0.130463144161774</v>
      </c>
      <c r="Q41" s="19">
        <f t="shared" si="26"/>
        <v>0.143893173707839</v>
      </c>
      <c r="R41" s="19">
        <f t="shared" si="27"/>
        <v>0.153615140308229</v>
      </c>
      <c r="S41" s="15"/>
    </row>
    <row r="42" spans="1:46">
      <c r="A42" s="9" t="s">
        <v>15</v>
      </c>
      <c r="B42" s="9">
        <f>MAX(I6-'Distributed photoelectric data'!B6,0)</f>
        <v>517</v>
      </c>
      <c r="C42" s="9">
        <f>MAX(J6-'Distributed photoelectric data'!C6,0)</f>
        <v>856</v>
      </c>
      <c r="D42" s="9">
        <f>MAX(K6-'Distributed photoelectric data'!D6,0)</f>
        <v>961</v>
      </c>
      <c r="E42" s="9">
        <f>MAX(L6-'Distributed photoelectric data'!E6,0)</f>
        <v>1443</v>
      </c>
      <c r="F42" s="9">
        <f>MAX(M6-'Distributed photoelectric data'!F6,0)</f>
        <v>1658.8</v>
      </c>
      <c r="G42" s="9"/>
      <c r="H42" s="16">
        <f>V6-'Distributed photoelectric data'!J6</f>
        <v>66</v>
      </c>
      <c r="I42" s="16">
        <f>W6-'Distributed photoelectric data'!K6</f>
        <v>94</v>
      </c>
      <c r="J42" s="16">
        <f>X6-'Distributed photoelectric data'!L6</f>
        <v>123</v>
      </c>
      <c r="K42" s="16">
        <f>Y6-'Distributed photoelectric data'!M6</f>
        <v>141</v>
      </c>
      <c r="L42" s="16">
        <f>Z6-'Distributed photoelectric data'!N6</f>
        <v>165</v>
      </c>
      <c r="M42" s="9"/>
      <c r="N42" s="19">
        <f t="shared" si="23"/>
        <v>0.14573010784028</v>
      </c>
      <c r="O42" s="19">
        <f t="shared" si="24"/>
        <v>0.125357401954509</v>
      </c>
      <c r="P42" s="19">
        <f t="shared" si="25"/>
        <v>0.146109218422591</v>
      </c>
      <c r="Q42" s="19">
        <f t="shared" si="26"/>
        <v>0.111544632092577</v>
      </c>
      <c r="R42" s="19">
        <f t="shared" si="27"/>
        <v>0.11354965299226</v>
      </c>
      <c r="S42" s="15"/>
    </row>
    <row r="43" spans="1:46">
      <c r="A43" s="9" t="s">
        <v>16</v>
      </c>
      <c r="B43" s="9">
        <f>MAX(I7-'Distributed photoelectric data'!B7,0)</f>
        <v>530</v>
      </c>
      <c r="C43" s="9">
        <f>MAX(J7-'Distributed photoelectric data'!C7,0)</f>
        <v>681</v>
      </c>
      <c r="D43" s="9">
        <f>MAX(K7-'Distributed photoelectric data'!D7,0)</f>
        <v>857</v>
      </c>
      <c r="E43" s="9">
        <f>MAX(L7-'Distributed photoelectric data'!E7,0)</f>
        <v>1029</v>
      </c>
      <c r="F43" s="9">
        <f>MAX(M7-'Distributed photoelectric data'!F7,0)</f>
        <v>1101.8</v>
      </c>
      <c r="G43" s="9"/>
      <c r="H43" s="16">
        <f>V7-'Distributed photoelectric data'!J7</f>
        <v>51</v>
      </c>
      <c r="I43" s="16">
        <f>W7-'Distributed photoelectric data'!K7</f>
        <v>80</v>
      </c>
      <c r="J43" s="16">
        <f>X7-'Distributed photoelectric data'!L7</f>
        <v>103</v>
      </c>
      <c r="K43" s="16">
        <f>Y7-'Distributed photoelectric data'!M7</f>
        <v>128</v>
      </c>
      <c r="L43" s="16">
        <f>Z7-'Distributed photoelectric data'!N7</f>
        <v>149</v>
      </c>
      <c r="M43" s="9"/>
      <c r="N43" s="19">
        <f t="shared" si="23"/>
        <v>0.109847505815456</v>
      </c>
      <c r="O43" s="19">
        <f t="shared" si="24"/>
        <v>0.134103085041471</v>
      </c>
      <c r="P43" s="19">
        <f t="shared" si="25"/>
        <v>0.137199426692881</v>
      </c>
      <c r="Q43" s="19">
        <f t="shared" si="26"/>
        <v>0.142000701128462</v>
      </c>
      <c r="R43" s="19">
        <f t="shared" si="27"/>
        <v>0.154375861500194</v>
      </c>
      <c r="S43" s="15"/>
    </row>
    <row r="44" spans="1:46">
      <c r="A44" s="9" t="s">
        <v>17</v>
      </c>
      <c r="B44" s="9">
        <f>MAX(I8-'Distributed photoelectric data'!B8,0)</f>
        <v>741</v>
      </c>
      <c r="C44" s="9">
        <f>MAX(J8-'Distributed photoelectric data'!C8,0)</f>
        <v>933</v>
      </c>
      <c r="D44" s="9">
        <f>MAX(K8-'Distributed photoelectric data'!D8,0)</f>
        <v>971</v>
      </c>
      <c r="E44" s="9">
        <f>MAX(L8-'Distributed photoelectric data'!E8,0)</f>
        <v>1149</v>
      </c>
      <c r="F44" s="9">
        <f>MAX(M8-'Distributed photoelectric data'!F8,0)</f>
        <v>1299.5</v>
      </c>
      <c r="G44" s="9"/>
      <c r="H44" s="16">
        <f>V8-'Distributed photoelectric data'!J8</f>
        <v>112.7</v>
      </c>
      <c r="I44" s="16">
        <f>W8-'Distributed photoelectric data'!K8</f>
        <v>129</v>
      </c>
      <c r="J44" s="16">
        <f>X8-'Distributed photoelectric data'!L8</f>
        <v>160</v>
      </c>
      <c r="K44" s="16">
        <f>Y8-'Distributed photoelectric data'!M8</f>
        <v>175</v>
      </c>
      <c r="L44" s="16">
        <f>Z8-'Distributed photoelectric data'!N8</f>
        <v>197</v>
      </c>
      <c r="M44" s="9"/>
      <c r="N44" s="19">
        <f t="shared" si="23"/>
        <v>0.173620739590458</v>
      </c>
      <c r="O44" s="19">
        <f t="shared" si="24"/>
        <v>0.157835234697323</v>
      </c>
      <c r="P44" s="19">
        <f t="shared" si="25"/>
        <v>0.188103400439221</v>
      </c>
      <c r="Q44" s="19">
        <f t="shared" si="26"/>
        <v>0.173865700172077</v>
      </c>
      <c r="R44" s="19">
        <f t="shared" si="27"/>
        <v>0.173055671218821</v>
      </c>
      <c r="S44" s="15"/>
    </row>
    <row r="45" spans="1:46">
      <c r="A45" s="9" t="s">
        <v>18</v>
      </c>
      <c r="B45" s="9">
        <f>MAX(I9-'Distributed photoelectric data'!B9,0)</f>
        <v>185</v>
      </c>
      <c r="C45" s="9">
        <f>MAX(J9-'Distributed photoelectric data'!C9,0)</f>
        <v>219</v>
      </c>
      <c r="D45" s="9">
        <f>MAX(K9-'Distributed photoelectric data'!D9,0)</f>
        <v>246</v>
      </c>
      <c r="E45" s="9">
        <f>MAX(L9-'Distributed photoelectric data'!E9,0)</f>
        <v>282</v>
      </c>
      <c r="F45" s="9">
        <f>MAX(M9-'Distributed photoelectric data'!F9,0)</f>
        <v>317.5</v>
      </c>
      <c r="G45" s="9"/>
      <c r="H45" s="16">
        <f>V9-'Distributed photoelectric data'!J9</f>
        <v>9</v>
      </c>
      <c r="I45" s="16">
        <f>W9-'Distributed photoelectric data'!K9</f>
        <v>25</v>
      </c>
      <c r="J45" s="16">
        <f>X9-'Distributed photoelectric data'!L9</f>
        <v>32</v>
      </c>
      <c r="K45" s="16">
        <f>Y9-'Distributed photoelectric data'!M9</f>
        <v>39</v>
      </c>
      <c r="L45" s="16">
        <f>Z9-'Distributed photoelectric data'!N9</f>
        <v>41</v>
      </c>
      <c r="M45" s="9"/>
      <c r="N45" s="19">
        <f t="shared" si="23"/>
        <v>0.0555349870418364</v>
      </c>
      <c r="O45" s="19">
        <f t="shared" si="24"/>
        <v>0.130314213631909</v>
      </c>
      <c r="P45" s="19">
        <f t="shared" si="25"/>
        <v>0.148494635631288</v>
      </c>
      <c r="Q45" s="19">
        <f t="shared" si="26"/>
        <v>0.157874283493636</v>
      </c>
      <c r="R45" s="19">
        <f t="shared" si="27"/>
        <v>0.147413080214288</v>
      </c>
      <c r="S45" s="15"/>
    </row>
    <row r="46" spans="1:46">
      <c r="A46" s="9" t="s">
        <v>19</v>
      </c>
      <c r="B46" s="9">
        <f>MAX(I10-'Distributed photoelectric data'!B10,0)</f>
        <v>107</v>
      </c>
      <c r="C46" s="9">
        <f>MAX(J10-'Distributed photoelectric data'!C10,0)</f>
        <v>203</v>
      </c>
      <c r="D46" s="9">
        <f>MAX(K10-'Distributed photoelectric data'!D10,0)</f>
        <v>205</v>
      </c>
      <c r="E46" s="9">
        <f>MAX(L10-'Distributed photoelectric data'!E10,0)</f>
        <v>262</v>
      </c>
      <c r="F46" s="9">
        <f>MAX(M10-'Distributed photoelectric data'!F10,0)</f>
        <v>265.8</v>
      </c>
      <c r="G46" s="9"/>
      <c r="H46" s="16">
        <f>V10-'Distributed photoelectric data'!J10</f>
        <v>11</v>
      </c>
      <c r="I46" s="16">
        <f>W10-'Distributed photoelectric data'!K10</f>
        <v>17</v>
      </c>
      <c r="J46" s="16">
        <f>X10-'Distributed photoelectric data'!L10</f>
        <v>31</v>
      </c>
      <c r="K46" s="16">
        <f>Y10-'Distributed photoelectric data'!M10</f>
        <v>36</v>
      </c>
      <c r="L46" s="16">
        <f>Z10-'Distributed photoelectric data'!N10</f>
        <v>42</v>
      </c>
      <c r="M46" s="9"/>
      <c r="N46" s="19">
        <f t="shared" si="23"/>
        <v>0.11735586565954</v>
      </c>
      <c r="O46" s="19">
        <f t="shared" si="24"/>
        <v>0.0955979935668174</v>
      </c>
      <c r="P46" s="19">
        <f t="shared" si="25"/>
        <v>0.172625013921372</v>
      </c>
      <c r="Q46" s="19">
        <f t="shared" si="26"/>
        <v>0.156854543553278</v>
      </c>
      <c r="R46" s="19">
        <f t="shared" si="27"/>
        <v>0.180380758011483</v>
      </c>
      <c r="S46" s="15"/>
    </row>
    <row r="47" spans="1:46">
      <c r="A47" s="9" t="s">
        <v>20</v>
      </c>
      <c r="B47" s="9">
        <f>MAX(I11-'Distributed photoelectric data'!B11,0)</f>
        <v>64</v>
      </c>
      <c r="C47" s="9">
        <f>MAX(J11-'Distributed photoelectric data'!C11,0)</f>
        <v>141</v>
      </c>
      <c r="D47" s="9">
        <f>MAX(K11-'Distributed photoelectric data'!D11,0)</f>
        <v>195</v>
      </c>
      <c r="E47" s="9">
        <f>MAX(L11-'Distributed photoelectric data'!E11,0)</f>
        <v>235</v>
      </c>
      <c r="F47" s="9">
        <f>MAX(M11-'Distributed photoelectric data'!F11,0)</f>
        <v>330</v>
      </c>
      <c r="G47" s="9"/>
      <c r="H47" s="16">
        <f>V11-'Distributed photoelectric data'!J11</f>
        <v>5</v>
      </c>
      <c r="I47" s="16">
        <f>W11-'Distributed photoelectric data'!K11</f>
        <v>15</v>
      </c>
      <c r="J47" s="16">
        <f>X11-'Distributed photoelectric data'!L11</f>
        <v>23</v>
      </c>
      <c r="K47" s="16">
        <f>Y11-'Distributed photoelectric data'!M11</f>
        <v>33</v>
      </c>
      <c r="L47" s="16">
        <f>Z11-'Distributed photoelectric data'!N11</f>
        <v>41</v>
      </c>
      <c r="M47" s="9"/>
      <c r="N47" s="19">
        <f t="shared" si="23"/>
        <v>0.0891837899543379</v>
      </c>
      <c r="O47" s="19">
        <f t="shared" si="24"/>
        <v>0.121441756533566</v>
      </c>
      <c r="P47" s="19">
        <f t="shared" si="25"/>
        <v>0.1346446551926</v>
      </c>
      <c r="Q47" s="19">
        <f t="shared" si="26"/>
        <v>0.160303118624308</v>
      </c>
      <c r="R47" s="19">
        <f t="shared" si="27"/>
        <v>0.141829251418293</v>
      </c>
      <c r="S47" s="15"/>
    </row>
    <row r="48" spans="1:46">
      <c r="A48" s="9" t="s">
        <v>21</v>
      </c>
      <c r="B48" s="9">
        <f>MAX(I12-'Distributed photoelectric data'!B12,0)</f>
        <v>0</v>
      </c>
      <c r="C48" s="9">
        <f>MAX(J12-'Distributed photoelectric data'!C12,0)</f>
        <v>7</v>
      </c>
      <c r="D48" s="9">
        <f>MAX(K12-'Distributed photoelectric data'!D12,0)</f>
        <v>7</v>
      </c>
      <c r="E48" s="9">
        <f>MAX(L12-'Distributed photoelectric data'!E12,0)</f>
        <v>20</v>
      </c>
      <c r="F48" s="9">
        <f>MAX(M12-'Distributed photoelectric data'!F12,0)</f>
        <v>24.1</v>
      </c>
      <c r="G48" s="9"/>
      <c r="H48" s="16">
        <f>V12-'Distributed photoelectric data'!J12</f>
        <v>1</v>
      </c>
      <c r="I48" s="16">
        <f>W12-'Distributed photoelectric data'!K12</f>
        <v>1</v>
      </c>
      <c r="J48" s="16">
        <f>X12-'Distributed photoelectric data'!L12</f>
        <v>1</v>
      </c>
      <c r="K48" s="16">
        <f>Y12-'Distributed photoelectric data'!M12</f>
        <v>1</v>
      </c>
      <c r="L48" s="16">
        <f>Z12-'Distributed photoelectric data'!N12</f>
        <v>3</v>
      </c>
      <c r="M48" s="9"/>
      <c r="N48" s="19" t="str">
        <f t="shared" si="23"/>
        <v/>
      </c>
      <c r="O48" s="19">
        <f t="shared" si="24"/>
        <v>0.163078930202218</v>
      </c>
      <c r="P48" s="19">
        <f t="shared" si="25"/>
        <v>0.163078930202218</v>
      </c>
      <c r="Q48" s="19">
        <f t="shared" si="26"/>
        <v>0.0570776255707763</v>
      </c>
      <c r="R48" s="19">
        <f t="shared" si="27"/>
        <v>0.142101972375376</v>
      </c>
      <c r="S48" s="15"/>
    </row>
    <row r="49" spans="1:19">
      <c r="A49" s="9" t="s">
        <v>22</v>
      </c>
      <c r="B49" s="9">
        <f>MAX(I13-'Distributed photoelectric data'!B13,0)</f>
        <v>580</v>
      </c>
      <c r="C49" s="9">
        <f>MAX(J13-'Distributed photoelectric data'!C13,0)</f>
        <v>792</v>
      </c>
      <c r="D49" s="9">
        <f>MAX(K13-'Distributed photoelectric data'!D13,0)</f>
        <v>822</v>
      </c>
      <c r="E49" s="9">
        <f>MAX(L13-'Distributed photoelectric data'!E13,0)</f>
        <v>896</v>
      </c>
      <c r="F49" s="9">
        <f>MAX(M13-'Distributed photoelectric data'!F13,0)</f>
        <v>941.1</v>
      </c>
      <c r="G49" s="9"/>
      <c r="H49" s="16">
        <f>V13-'Distributed photoelectric data'!J13</f>
        <v>62</v>
      </c>
      <c r="I49" s="16">
        <f>W13-'Distributed photoelectric data'!K13</f>
        <v>80</v>
      </c>
      <c r="J49" s="16">
        <f>X13-'Distributed photoelectric data'!L13</f>
        <v>101</v>
      </c>
      <c r="K49" s="16">
        <f>Y13-'Distributed photoelectric data'!M13</f>
        <v>106</v>
      </c>
      <c r="L49" s="16">
        <f>Z13-'Distributed photoelectric data'!N13</f>
        <v>118</v>
      </c>
      <c r="M49" s="9"/>
      <c r="N49" s="19">
        <f t="shared" si="23"/>
        <v>0.122028027082349</v>
      </c>
      <c r="O49" s="19">
        <f t="shared" si="24"/>
        <v>0.115308334486417</v>
      </c>
      <c r="P49" s="19">
        <f t="shared" si="25"/>
        <v>0.140263751402637</v>
      </c>
      <c r="Q49" s="19">
        <f t="shared" si="26"/>
        <v>0.135049739073712</v>
      </c>
      <c r="R49" s="19">
        <f t="shared" si="27"/>
        <v>0.143133775738</v>
      </c>
      <c r="S49" s="15"/>
    </row>
    <row r="50" spans="1:19">
      <c r="A50" s="9" t="s">
        <v>23</v>
      </c>
      <c r="B50" s="9">
        <f>MAX(I14-'Distributed photoelectric data'!B14,0)</f>
        <v>315</v>
      </c>
      <c r="C50" s="9">
        <f>MAX(J14-'Distributed photoelectric data'!C14,0)</f>
        <v>361</v>
      </c>
      <c r="D50" s="9">
        <f>MAX(K14-'Distributed photoelectric data'!D14,0)</f>
        <v>414</v>
      </c>
      <c r="E50" s="9">
        <f>MAX(L14-'Distributed photoelectric data'!E14,0)</f>
        <v>450</v>
      </c>
      <c r="F50" s="9">
        <f>MAX(M14-'Distributed photoelectric data'!F14,0)</f>
        <v>577</v>
      </c>
      <c r="G50" s="9"/>
      <c r="H50" s="16">
        <f>V14-'Distributed photoelectric data'!J14</f>
        <v>25</v>
      </c>
      <c r="I50" s="16">
        <f>W14-'Distributed photoelectric data'!K14</f>
        <v>37</v>
      </c>
      <c r="J50" s="16">
        <f>X14-'Distributed photoelectric data'!L14</f>
        <v>44</v>
      </c>
      <c r="K50" s="16">
        <f>Y14-'Distributed photoelectric data'!M14</f>
        <v>43</v>
      </c>
      <c r="L50" s="16">
        <f>Z14-'Distributed photoelectric data'!N14</f>
        <v>52</v>
      </c>
      <c r="M50" s="9"/>
      <c r="N50" s="19">
        <f t="shared" si="23"/>
        <v>0.0905994056678988</v>
      </c>
      <c r="O50" s="19">
        <f t="shared" si="24"/>
        <v>0.117001226931785</v>
      </c>
      <c r="P50" s="19">
        <f t="shared" si="25"/>
        <v>0.121324421503099</v>
      </c>
      <c r="Q50" s="19">
        <f t="shared" si="26"/>
        <v>0.10908168442415</v>
      </c>
      <c r="R50" s="19">
        <f t="shared" si="27"/>
        <v>0.102878215933462</v>
      </c>
      <c r="S50" s="15"/>
    </row>
    <row r="51" spans="1:19">
      <c r="A51" s="9" t="s">
        <v>24</v>
      </c>
      <c r="B51" s="9">
        <f>MAX(I15-'Distributed photoelectric data'!B15,0)</f>
        <v>565</v>
      </c>
      <c r="C51" s="9">
        <f>MAX(J15-'Distributed photoelectric data'!C15,0)</f>
        <v>677</v>
      </c>
      <c r="D51" s="9">
        <f>MAX(K15-'Distributed photoelectric data'!D15,0)</f>
        <v>774</v>
      </c>
      <c r="E51" s="9">
        <f>MAX(L15-'Distributed photoelectric data'!E15,0)</f>
        <v>826</v>
      </c>
      <c r="F51" s="9">
        <f>MAX(M15-'Distributed photoelectric data'!F15,0)</f>
        <v>947</v>
      </c>
      <c r="G51" s="9"/>
      <c r="H51" s="16">
        <f>V15-'Distributed photoelectric data'!J15</f>
        <v>44</v>
      </c>
      <c r="I51" s="16">
        <f>W15-'Distributed photoelectric data'!K15</f>
        <v>68</v>
      </c>
      <c r="J51" s="16">
        <f>X15-'Distributed photoelectric data'!L15</f>
        <v>79</v>
      </c>
      <c r="K51" s="16">
        <f>Y15-'Distributed photoelectric data'!M15</f>
        <v>85</v>
      </c>
      <c r="L51" s="16">
        <f>Z15-'Distributed photoelectric data'!N15</f>
        <v>103</v>
      </c>
      <c r="M51" s="9"/>
      <c r="N51" s="19">
        <f t="shared" si="23"/>
        <v>0.0888996646058108</v>
      </c>
      <c r="O51" s="19">
        <f t="shared" si="24"/>
        <v>0.114661108975267</v>
      </c>
      <c r="P51" s="19">
        <f t="shared" si="25"/>
        <v>0.116515049614763</v>
      </c>
      <c r="Q51" s="19">
        <f t="shared" si="26"/>
        <v>0.117472110738886</v>
      </c>
      <c r="R51" s="19">
        <f t="shared" si="27"/>
        <v>0.12416041042851</v>
      </c>
      <c r="S51" s="15"/>
    </row>
    <row r="52" spans="1:19">
      <c r="A52" s="9" t="s">
        <v>25</v>
      </c>
      <c r="B52" s="9">
        <f>MAX(I16-'Distributed photoelectric data'!B16,0)</f>
        <v>0</v>
      </c>
      <c r="C52" s="9">
        <f>MAX(J16-'Distributed photoelectric data'!C16,0)</f>
        <v>37</v>
      </c>
      <c r="D52" s="9">
        <f>MAX(K16-'Distributed photoelectric data'!D16,0)</f>
        <v>38</v>
      </c>
      <c r="E52" s="9">
        <f>MAX(L16-'Distributed photoelectric data'!E16,0)</f>
        <v>38</v>
      </c>
      <c r="F52" s="9">
        <f>MAX(M16-'Distributed photoelectric data'!F16,0)</f>
        <v>39.1</v>
      </c>
      <c r="G52" s="9"/>
      <c r="H52" s="16">
        <f>V16-'Distributed photoelectric data'!J16</f>
        <v>3</v>
      </c>
      <c r="I52" s="16">
        <f>W16-'Distributed photoelectric data'!K16</f>
        <v>5</v>
      </c>
      <c r="J52" s="16">
        <f>X16-'Distributed photoelectric data'!L16</f>
        <v>5</v>
      </c>
      <c r="K52" s="16">
        <f>Y16-'Distributed photoelectric data'!M16</f>
        <v>4</v>
      </c>
      <c r="L52" s="16">
        <f>Z16-'Distributed photoelectric data'!N16</f>
        <v>5</v>
      </c>
      <c r="M52" s="9"/>
      <c r="N52" s="19" t="str">
        <f t="shared" si="23"/>
        <v/>
      </c>
      <c r="O52" s="19">
        <f t="shared" si="24"/>
        <v>0.15426385289399</v>
      </c>
      <c r="P52" s="19">
        <f t="shared" si="25"/>
        <v>0.150204277817832</v>
      </c>
      <c r="Q52" s="19">
        <f t="shared" si="26"/>
        <v>0.120163422254266</v>
      </c>
      <c r="R52" s="19">
        <f t="shared" si="27"/>
        <v>0.145978582022446</v>
      </c>
      <c r="S52" s="15"/>
    </row>
    <row r="53" spans="1:19">
      <c r="A53" s="9" t="s">
        <v>26</v>
      </c>
      <c r="B53" s="9">
        <f>MAX(I17-'Distributed photoelectric data'!B17,0)</f>
        <v>277</v>
      </c>
      <c r="C53" s="9">
        <f>MAX(J17-'Distributed photoelectric data'!C17,0)</f>
        <v>294</v>
      </c>
      <c r="D53" s="9">
        <f>MAX(K17-'Distributed photoelectric data'!D17,0)</f>
        <v>368</v>
      </c>
      <c r="E53" s="9">
        <f>MAX(L17-'Distributed photoelectric data'!E17,0)</f>
        <v>477</v>
      </c>
      <c r="F53" s="9">
        <f>MAX(M17-'Distributed photoelectric data'!F17,0)</f>
        <v>551.9</v>
      </c>
      <c r="G53" s="9"/>
      <c r="H53" s="16">
        <f>V17-'Distributed photoelectric data'!J17</f>
        <v>22</v>
      </c>
      <c r="I53" s="16">
        <f>W17-'Distributed photoelectric data'!K17</f>
        <v>31</v>
      </c>
      <c r="J53" s="16">
        <f>X17-'Distributed photoelectric data'!L17</f>
        <v>32</v>
      </c>
      <c r="K53" s="16">
        <f>Y17-'Distributed photoelectric data'!M17</f>
        <v>36</v>
      </c>
      <c r="L53" s="16">
        <f>Z17-'Distributed photoelectric data'!N17</f>
        <v>50</v>
      </c>
      <c r="M53" s="9"/>
      <c r="N53" s="19">
        <f t="shared" si="23"/>
        <v>0.090664820401233</v>
      </c>
      <c r="O53" s="19">
        <f t="shared" si="24"/>
        <v>0.120367781815923</v>
      </c>
      <c r="P53" s="19">
        <f t="shared" si="25"/>
        <v>0.0992654357752631</v>
      </c>
      <c r="Q53" s="19">
        <f t="shared" si="26"/>
        <v>0.0861549065219264</v>
      </c>
      <c r="R53" s="19">
        <f t="shared" si="27"/>
        <v>0.103420231148353</v>
      </c>
      <c r="S53" s="15"/>
    </row>
    <row r="54" spans="1:19">
      <c r="A54" s="9" t="s">
        <v>27</v>
      </c>
      <c r="B54" s="9">
        <f>MAX(I18-'Distributed photoelectric data'!B18,0)</f>
        <v>578</v>
      </c>
      <c r="C54" s="9">
        <f>MAX(J18-'Distributed photoelectric data'!C18,0)</f>
        <v>648</v>
      </c>
      <c r="D54" s="9">
        <f>MAX(K18-'Distributed photoelectric data'!D18,0)</f>
        <v>677</v>
      </c>
      <c r="E54" s="9">
        <f>MAX(L18-'Distributed photoelectric data'!E18,0)</f>
        <v>805</v>
      </c>
      <c r="F54" s="9">
        <f>MAX(M18-'Distributed photoelectric data'!F18,0)</f>
        <v>1009</v>
      </c>
      <c r="G54" s="9"/>
      <c r="H54" s="16">
        <f>V18-'Distributed photoelectric data'!J18</f>
        <v>53</v>
      </c>
      <c r="I54" s="16">
        <f>W18-'Distributed photoelectric data'!K18</f>
        <v>77</v>
      </c>
      <c r="J54" s="16">
        <f>X18-'Distributed photoelectric data'!L18</f>
        <v>87</v>
      </c>
      <c r="K54" s="16">
        <f>Y18-'Distributed photoelectric data'!M18</f>
        <v>89</v>
      </c>
      <c r="L54" s="16">
        <f>Z18-'Distributed photoelectric data'!N18</f>
        <v>108</v>
      </c>
      <c r="M54" s="9"/>
      <c r="N54" s="19">
        <f t="shared" si="23"/>
        <v>0.104675230285507</v>
      </c>
      <c r="O54" s="19">
        <f t="shared" si="24"/>
        <v>0.135647443486104</v>
      </c>
      <c r="P54" s="19">
        <f t="shared" si="25"/>
        <v>0.14669877177718</v>
      </c>
      <c r="Q54" s="19">
        <f t="shared" si="26"/>
        <v>0.126208911199977</v>
      </c>
      <c r="R54" s="19">
        <f t="shared" si="27"/>
        <v>0.122187979418114</v>
      </c>
      <c r="S54" s="15"/>
    </row>
    <row r="55" spans="1:19">
      <c r="A55" s="9" t="s">
        <v>28</v>
      </c>
      <c r="B55" s="9">
        <f>MAX(I19-'Distributed photoelectric data'!B19,0)</f>
        <v>492</v>
      </c>
      <c r="C55" s="9">
        <f>MAX(J19-'Distributed photoelectric data'!C19,0)</f>
        <v>600</v>
      </c>
      <c r="D55" s="9">
        <f>MAX(K19-'Distributed photoelectric data'!D19,0)</f>
        <v>600</v>
      </c>
      <c r="E55" s="9">
        <f>MAX(L19-'Distributed photoelectric data'!E19,0)</f>
        <v>604</v>
      </c>
      <c r="F55" s="9">
        <f>MAX(M19-'Distributed photoelectric data'!F19,0)</f>
        <v>625.8</v>
      </c>
      <c r="G55" s="9"/>
      <c r="H55" s="16">
        <f>V19-'Distributed photoelectric data'!J19</f>
        <v>40</v>
      </c>
      <c r="I55" s="16">
        <f>W19-'Distributed photoelectric data'!K19</f>
        <v>57</v>
      </c>
      <c r="J55" s="16">
        <f>X19-'Distributed photoelectric data'!L19</f>
        <v>64</v>
      </c>
      <c r="K55" s="16">
        <f>Y19-'Distributed photoelectric data'!M19</f>
        <v>63</v>
      </c>
      <c r="L55" s="16">
        <f>Z19-'Distributed photoelectric data'!N19</f>
        <v>64</v>
      </c>
      <c r="M55" s="9"/>
      <c r="N55" s="19">
        <f t="shared" si="23"/>
        <v>0.0928091472695549</v>
      </c>
      <c r="O55" s="19">
        <f t="shared" si="24"/>
        <v>0.108447488584475</v>
      </c>
      <c r="P55" s="19">
        <f t="shared" si="25"/>
        <v>0.121765601217656</v>
      </c>
      <c r="Q55" s="19">
        <f t="shared" si="26"/>
        <v>0.119069218905924</v>
      </c>
      <c r="R55" s="19">
        <f t="shared" si="27"/>
        <v>0.116745542874071</v>
      </c>
      <c r="S55" s="15"/>
    </row>
    <row r="56" spans="1:19">
      <c r="A56" s="9" t="s">
        <v>29</v>
      </c>
      <c r="B56" s="9">
        <f>MAX(I20-'Distributed photoelectric data'!B20,0)</f>
        <v>236</v>
      </c>
      <c r="C56" s="9">
        <f>MAX(J20-'Distributed photoelectric data'!C20,0)</f>
        <v>335</v>
      </c>
      <c r="D56" s="9">
        <f>MAX(K20-'Distributed photoelectric data'!D20,0)</f>
        <v>419</v>
      </c>
      <c r="E56" s="9">
        <f>MAX(L20-'Distributed photoelectric data'!E20,0)</f>
        <v>486</v>
      </c>
      <c r="F56" s="9">
        <f>MAX(M20-'Distributed photoelectric data'!F20,0)</f>
        <v>713</v>
      </c>
      <c r="G56" s="9"/>
      <c r="H56" s="16">
        <f>V20-'Distributed photoelectric data'!J20</f>
        <v>23</v>
      </c>
      <c r="I56" s="16">
        <f>W20-'Distributed photoelectric data'!K20</f>
        <v>36</v>
      </c>
      <c r="J56" s="16">
        <f>X20-'Distributed photoelectric data'!L20</f>
        <v>40</v>
      </c>
      <c r="K56" s="16">
        <f>Y20-'Distributed photoelectric data'!M20</f>
        <v>46</v>
      </c>
      <c r="L56" s="16">
        <f>Z20-'Distributed photoelectric data'!N20</f>
        <v>63</v>
      </c>
      <c r="M56" s="9"/>
      <c r="N56" s="19">
        <f t="shared" si="23"/>
        <v>0.111252998993886</v>
      </c>
      <c r="O56" s="19">
        <f t="shared" si="24"/>
        <v>0.122674299734206</v>
      </c>
      <c r="P56" s="19">
        <f t="shared" si="25"/>
        <v>0.108978760039668</v>
      </c>
      <c r="Q56" s="19">
        <f t="shared" si="26"/>
        <v>0.108048180092827</v>
      </c>
      <c r="R56" s="19">
        <f t="shared" si="27"/>
        <v>0.100866491190993</v>
      </c>
      <c r="S56" s="15"/>
    </row>
    <row r="57" spans="1:19">
      <c r="A57" s="9" t="s">
        <v>30</v>
      </c>
      <c r="B57" s="9">
        <f>MAX(I21-'Distributed photoelectric data'!B21,0)</f>
        <v>86</v>
      </c>
      <c r="C57" s="9">
        <f>MAX(J21-'Distributed photoelectric data'!C21,0)</f>
        <v>126</v>
      </c>
      <c r="D57" s="9">
        <f>MAX(K21-'Distributed photoelectric data'!D21,0)</f>
        <v>155</v>
      </c>
      <c r="E57" s="9">
        <f>MAX(L21-'Distributed photoelectric data'!E21,0)</f>
        <v>191</v>
      </c>
      <c r="F57" s="9">
        <f>MAX(M21-'Distributed photoelectric data'!F21,0)</f>
        <v>220.1</v>
      </c>
      <c r="G57" s="9"/>
      <c r="H57" s="16">
        <f>V21-'Distributed photoelectric data'!J21</f>
        <v>2</v>
      </c>
      <c r="I57" s="16">
        <f>W21-'Distributed photoelectric data'!K21</f>
        <v>10</v>
      </c>
      <c r="J57" s="16">
        <f>X21-'Distributed photoelectric data'!L21</f>
        <v>13</v>
      </c>
      <c r="K57" s="16">
        <f>Y21-'Distributed photoelectric data'!M21</f>
        <v>16</v>
      </c>
      <c r="L57" s="16">
        <f>Z21-'Distributed photoelectric data'!N21</f>
        <v>21</v>
      </c>
      <c r="M57" s="9"/>
      <c r="N57" s="19">
        <f t="shared" si="23"/>
        <v>0.0265477328236169</v>
      </c>
      <c r="O57" s="19">
        <f t="shared" si="24"/>
        <v>0.0905994056678988</v>
      </c>
      <c r="P57" s="19">
        <f t="shared" si="25"/>
        <v>0.095743113860657</v>
      </c>
      <c r="Q57" s="19">
        <f t="shared" si="26"/>
        <v>0.0956274355112482</v>
      </c>
      <c r="R57" s="19">
        <f t="shared" si="27"/>
        <v>0.108916868422199</v>
      </c>
      <c r="S57" s="15"/>
    </row>
    <row r="58" spans="1:19">
      <c r="A58" s="9" t="s">
        <v>31</v>
      </c>
      <c r="B58" s="9">
        <f>MAX(I22-'Distributed photoelectric data'!B22,0)</f>
        <v>210</v>
      </c>
      <c r="C58" s="9">
        <f>MAX(J22-'Distributed photoelectric data'!C22,0)</f>
        <v>318</v>
      </c>
      <c r="D58" s="9">
        <f>MAX(K22-'Distributed photoelectric data'!D22,0)</f>
        <v>354</v>
      </c>
      <c r="E58" s="9">
        <f>MAX(L22-'Distributed photoelectric data'!E22,0)</f>
        <v>412</v>
      </c>
      <c r="F58" s="9">
        <f>MAX(M22-'Distributed photoelectric data'!F22,0)</f>
        <v>508.2</v>
      </c>
      <c r="G58" s="9"/>
      <c r="H58" s="16">
        <f>V22-'Distributed photoelectric data'!J22</f>
        <v>12</v>
      </c>
      <c r="I58" s="16">
        <f>W22-'Distributed photoelectric data'!K22</f>
        <v>23</v>
      </c>
      <c r="J58" s="16">
        <f>X22-'Distributed photoelectric data'!L22</f>
        <v>31</v>
      </c>
      <c r="K58" s="16">
        <f>Y22-'Distributed photoelectric data'!M22</f>
        <v>42</v>
      </c>
      <c r="L58" s="16">
        <f>Z22-'Distributed photoelectric data'!N22</f>
        <v>53</v>
      </c>
      <c r="M58" s="9"/>
      <c r="N58" s="19">
        <f t="shared" si="23"/>
        <v>0.0652315720808871</v>
      </c>
      <c r="O58" s="19">
        <f t="shared" si="24"/>
        <v>0.0825651187501795</v>
      </c>
      <c r="P58" s="19">
        <f t="shared" si="25"/>
        <v>0.0999664628640714</v>
      </c>
      <c r="Q58" s="19">
        <f t="shared" si="26"/>
        <v>0.116371857959835</v>
      </c>
      <c r="R58" s="19">
        <f t="shared" si="27"/>
        <v>0.119052111580131</v>
      </c>
      <c r="S58" s="15"/>
    </row>
    <row r="59" spans="1:19">
      <c r="A59" s="9" t="s">
        <v>32</v>
      </c>
      <c r="B59" s="9">
        <f>MAX(I23-'Distributed photoelectric data'!B23,0)</f>
        <v>0</v>
      </c>
      <c r="C59" s="9">
        <f>MAX(J23-'Distributed photoelectric data'!C23,0)</f>
        <v>95</v>
      </c>
      <c r="D59" s="9">
        <f>MAX(K23-'Distributed photoelectric data'!D23,0)</f>
        <v>106</v>
      </c>
      <c r="E59" s="9">
        <f>MAX(L23-'Distributed photoelectric data'!E23,0)</f>
        <v>165</v>
      </c>
      <c r="F59" s="9">
        <f>MAX(M23-'Distributed photoelectric data'!F23,0)</f>
        <v>259.1</v>
      </c>
      <c r="G59" s="9"/>
      <c r="H59" s="16">
        <f>V23-'Distributed photoelectric data'!J23</f>
        <v>3</v>
      </c>
      <c r="I59" s="16">
        <f>W23-'Distributed photoelectric data'!K23</f>
        <v>8</v>
      </c>
      <c r="J59" s="16">
        <f>X23-'Distributed photoelectric data'!L23</f>
        <v>12</v>
      </c>
      <c r="K59" s="16">
        <f>Y23-'Distributed photoelectric data'!M23</f>
        <v>16</v>
      </c>
      <c r="L59" s="16">
        <f>Z23-'Distributed photoelectric data'!N23</f>
        <v>25</v>
      </c>
      <c r="M59" s="9"/>
      <c r="N59" s="19" t="str">
        <f t="shared" si="23"/>
        <v/>
      </c>
      <c r="O59" s="19">
        <f t="shared" si="24"/>
        <v>0.0961307378034126</v>
      </c>
      <c r="P59" s="19">
        <f t="shared" si="25"/>
        <v>0.12923235978289</v>
      </c>
      <c r="Q59" s="19">
        <f t="shared" si="26"/>
        <v>0.11069600110696</v>
      </c>
      <c r="R59" s="19">
        <f t="shared" si="27"/>
        <v>0.110145938963289</v>
      </c>
      <c r="S59" s="15"/>
    </row>
    <row r="60" spans="1:19">
      <c r="A60" s="9" t="s">
        <v>33</v>
      </c>
      <c r="B60" s="9">
        <f>MAX(I24-'Distributed photoelectric data'!B24,0)</f>
        <v>32</v>
      </c>
      <c r="C60" s="9">
        <f>MAX(J24-'Distributed photoelectric data'!C24,0)</f>
        <v>123</v>
      </c>
      <c r="D60" s="9">
        <f>MAX(K24-'Distributed photoelectric data'!D24,0)</f>
        <v>127</v>
      </c>
      <c r="E60" s="9">
        <f>MAX(L24-'Distributed photoelectric data'!E24,0)</f>
        <v>127</v>
      </c>
      <c r="F60" s="9">
        <f>MAX(M24-'Distributed photoelectric data'!F24,0)</f>
        <v>127.1</v>
      </c>
      <c r="G60" s="9"/>
      <c r="H60" s="16">
        <f>V24-'Distributed photoelectric data'!J24</f>
        <v>2.8</v>
      </c>
      <c r="I60" s="16">
        <f>W24-'Distributed photoelectric data'!K24</f>
        <v>5</v>
      </c>
      <c r="J60" s="16">
        <f>X24-'Distributed photoelectric data'!L24</f>
        <v>13</v>
      </c>
      <c r="K60" s="16">
        <f>Y24-'Distributed photoelectric data'!M24</f>
        <v>14</v>
      </c>
      <c r="L60" s="16">
        <f>Z24-'Distributed photoelectric data'!N24</f>
        <v>15</v>
      </c>
      <c r="M60" s="9"/>
      <c r="N60" s="19">
        <f t="shared" si="23"/>
        <v>0.0998858447488584</v>
      </c>
      <c r="O60" s="19">
        <f t="shared" si="24"/>
        <v>0.0464045736347774</v>
      </c>
      <c r="P60" s="19">
        <f t="shared" si="25"/>
        <v>0.11685183187718</v>
      </c>
      <c r="Q60" s="19">
        <f t="shared" si="26"/>
        <v>0.12584043432927</v>
      </c>
      <c r="R60" s="19">
        <f t="shared" si="27"/>
        <v>0.13472295571387</v>
      </c>
      <c r="S60" s="15"/>
    </row>
    <row r="61" spans="1:19">
      <c r="A61" s="9" t="s">
        <v>34</v>
      </c>
      <c r="B61" s="9">
        <f>MAX(I25-'Distributed photoelectric data'!B25,0)</f>
        <v>0</v>
      </c>
      <c r="C61" s="9">
        <f>MAX(J25-'Distributed photoelectric data'!C25,0)</f>
        <v>0</v>
      </c>
      <c r="D61" s="9">
        <f>MAX(K25-'Distributed photoelectric data'!D25,0)</f>
        <v>58</v>
      </c>
      <c r="E61" s="9">
        <f>MAX(L25-'Distributed photoelectric data'!E25,0)</f>
        <v>60</v>
      </c>
      <c r="F61" s="9">
        <f>MAX(M25-'Distributed photoelectric data'!F25,0)</f>
        <v>54.2</v>
      </c>
      <c r="G61" s="9"/>
      <c r="H61" s="16">
        <f>V25-'Distributed photoelectric data'!J25</f>
        <v>0</v>
      </c>
      <c r="I61" s="16">
        <f>W25-'Distributed photoelectric data'!K25</f>
        <v>0</v>
      </c>
      <c r="J61" s="16">
        <f>X25-'Distributed photoelectric data'!L25</f>
        <v>2.6</v>
      </c>
      <c r="K61" s="16">
        <f>Y25-'Distributed photoelectric data'!M25</f>
        <v>3.6</v>
      </c>
      <c r="L61" s="16">
        <f>Z25-'Distributed photoelectric data'!N25</f>
        <v>4</v>
      </c>
      <c r="M61" s="9"/>
      <c r="N61" s="19" t="str">
        <f t="shared" si="23"/>
        <v/>
      </c>
      <c r="O61" s="19" t="str">
        <f t="shared" si="24"/>
        <v/>
      </c>
      <c r="P61" s="19">
        <f t="shared" si="25"/>
        <v>0.0511730436151787</v>
      </c>
      <c r="Q61" s="19">
        <f t="shared" si="26"/>
        <v>0.0684931506849315</v>
      </c>
      <c r="R61" s="19">
        <f t="shared" si="27"/>
        <v>0.0842474178166439</v>
      </c>
      <c r="S61" s="15"/>
    </row>
    <row r="62" spans="1:19">
      <c r="A62" s="9" t="s">
        <v>35</v>
      </c>
      <c r="B62" s="9">
        <f>MAX(I26-'Distributed photoelectric data'!B26,0)</f>
        <v>116</v>
      </c>
      <c r="C62" s="9">
        <f>MAX(J26-'Distributed photoelectric data'!C26,0)</f>
        <v>168</v>
      </c>
      <c r="D62" s="9">
        <f>MAX(K26-'Distributed photoelectric data'!D26,0)</f>
        <v>169</v>
      </c>
      <c r="E62" s="9">
        <f>MAX(L26-'Distributed photoelectric data'!E26,0)</f>
        <v>169</v>
      </c>
      <c r="F62" s="9">
        <f>MAX(M26-'Distributed photoelectric data'!F26,0)</f>
        <v>169</v>
      </c>
      <c r="G62" s="9"/>
      <c r="H62" s="16">
        <f>V26-'Distributed photoelectric data'!J26</f>
        <v>15</v>
      </c>
      <c r="I62" s="16">
        <f>W26-'Distributed photoelectric data'!K26</f>
        <v>21</v>
      </c>
      <c r="J62" s="16">
        <f>X26-'Distributed photoelectric data'!L26</f>
        <v>26</v>
      </c>
      <c r="K62" s="16">
        <f>Y26-'Distributed photoelectric data'!M26</f>
        <v>25</v>
      </c>
      <c r="L62" s="16">
        <f>Z26-'Distributed photoelectric data'!N26</f>
        <v>28</v>
      </c>
      <c r="M62" s="9"/>
      <c r="N62" s="19">
        <f t="shared" si="23"/>
        <v>0.147614548889939</v>
      </c>
      <c r="O62" s="19">
        <f t="shared" si="24"/>
        <v>0.142694063926941</v>
      </c>
      <c r="P62" s="19">
        <f t="shared" si="25"/>
        <v>0.175623463294696</v>
      </c>
      <c r="Q62" s="19">
        <f t="shared" si="26"/>
        <v>0.168868714706439</v>
      </c>
      <c r="R62" s="19">
        <f t="shared" si="27"/>
        <v>0.189132960471211</v>
      </c>
      <c r="S62" s="15"/>
    </row>
    <row r="63" spans="1:19">
      <c r="A63" s="9" t="s">
        <v>36</v>
      </c>
      <c r="B63" s="9">
        <f>MAX(I27-'Distributed photoelectric data'!B27,0)</f>
        <v>135</v>
      </c>
      <c r="C63" s="9">
        <f>MAX(J27-'Distributed photoelectric data'!C27,0)</f>
        <v>161</v>
      </c>
      <c r="D63" s="9">
        <f>MAX(K27-'Distributed photoelectric data'!D27,0)</f>
        <v>491</v>
      </c>
      <c r="E63" s="9">
        <f>MAX(L27-'Distributed photoelectric data'!E27,0)</f>
        <v>1038</v>
      </c>
      <c r="F63" s="9">
        <f>MAX(M27-'Distributed photoelectric data'!F27,0)</f>
        <v>1117.6</v>
      </c>
      <c r="G63" s="9"/>
      <c r="H63" s="16">
        <f>V27-'Distributed photoelectric data'!J27</f>
        <v>6</v>
      </c>
      <c r="I63" s="16">
        <f>W27-'Distributed photoelectric data'!K27</f>
        <v>15</v>
      </c>
      <c r="J63" s="16">
        <f>X27-'Distributed photoelectric data'!L27</f>
        <v>19</v>
      </c>
      <c r="K63" s="16">
        <f>Y27-'Distributed photoelectric data'!M27</f>
        <v>44</v>
      </c>
      <c r="L63" s="16">
        <f>Z27-'Distributed photoelectric data'!N27</f>
        <v>82</v>
      </c>
      <c r="M63" s="9"/>
      <c r="N63" s="19">
        <f t="shared" si="23"/>
        <v>0.0507356671740233</v>
      </c>
      <c r="O63" s="19">
        <f t="shared" si="24"/>
        <v>0.106355824044925</v>
      </c>
      <c r="P63" s="19">
        <f t="shared" si="25"/>
        <v>0.0441741297696435</v>
      </c>
      <c r="Q63" s="19">
        <f t="shared" si="26"/>
        <v>0.0483895091544153</v>
      </c>
      <c r="R63" s="19">
        <f t="shared" si="27"/>
        <v>0.0837574319399365</v>
      </c>
      <c r="S63" s="15"/>
    </row>
    <row r="64" spans="1:19">
      <c r="A64" s="9" t="s">
        <v>37</v>
      </c>
      <c r="B64" s="9">
        <f>MAX(I28-'Distributed photoelectric data'!B28,0)</f>
        <v>237.5</v>
      </c>
      <c r="C64" s="9">
        <f>MAX(J28-'Distributed photoelectric data'!C28,0)</f>
        <v>312</v>
      </c>
      <c r="D64" s="9">
        <f>MAX(K28-'Distributed photoelectric data'!D28,0)</f>
        <v>350</v>
      </c>
      <c r="E64" s="9">
        <f>MAX(L28-'Distributed photoelectric data'!E28,0)</f>
        <v>350</v>
      </c>
      <c r="F64" s="9">
        <f>MAX(M28-'Distributed photoelectric data'!F28,0)</f>
        <v>349.9</v>
      </c>
      <c r="G64" s="9"/>
      <c r="H64" s="16">
        <f>V28-'Distributed photoelectric data'!J28</f>
        <v>27.7</v>
      </c>
      <c r="I64" s="16">
        <f>W28-'Distributed photoelectric data'!K28</f>
        <v>33</v>
      </c>
      <c r="J64" s="16">
        <f>X28-'Distributed photoelectric data'!L28</f>
        <v>46</v>
      </c>
      <c r="K64" s="16">
        <f>Y28-'Distributed photoelectric data'!M28</f>
        <v>47</v>
      </c>
      <c r="L64" s="16">
        <f>Z28-'Distributed photoelectric data'!N28</f>
        <v>47</v>
      </c>
      <c r="M64" s="9"/>
      <c r="N64" s="19">
        <f t="shared" si="23"/>
        <v>0.133141071857727</v>
      </c>
      <c r="O64" s="19">
        <f t="shared" si="24"/>
        <v>0.120741131015104</v>
      </c>
      <c r="P64" s="19">
        <f t="shared" si="25"/>
        <v>0.15003261578604</v>
      </c>
      <c r="Q64" s="19">
        <f t="shared" si="26"/>
        <v>0.153294194390085</v>
      </c>
      <c r="R64" s="19">
        <f t="shared" si="27"/>
        <v>0.153338005248727</v>
      </c>
      <c r="S64" s="15"/>
    </row>
    <row r="65" spans="1:19">
      <c r="A65" s="9" t="s">
        <v>38</v>
      </c>
      <c r="B65" s="9">
        <f>MAX(I29-'Distributed photoelectric data'!B29,0)</f>
        <v>79</v>
      </c>
      <c r="C65" s="9">
        <f>MAX(J29-'Distributed photoelectric data'!C29,0)</f>
        <v>98</v>
      </c>
      <c r="D65" s="9">
        <f>MAX(K29-'Distributed photoelectric data'!D29,0)</f>
        <v>110</v>
      </c>
      <c r="E65" s="9">
        <f>MAX(L29-'Distributed photoelectric data'!E29,0)</f>
        <v>137</v>
      </c>
      <c r="F65" s="9">
        <f>MAX(M29-'Distributed photoelectric data'!F29,0)</f>
        <v>136.5</v>
      </c>
      <c r="G65" s="9"/>
      <c r="H65" s="16">
        <f>V29-'Distributed photoelectric data'!J29</f>
        <v>6</v>
      </c>
      <c r="I65" s="16">
        <f>W29-'Distributed photoelectric data'!K29</f>
        <v>8</v>
      </c>
      <c r="J65" s="16">
        <f>X29-'Distributed photoelectric data'!L29</f>
        <v>13</v>
      </c>
      <c r="K65" s="16">
        <f>Y29-'Distributed photoelectric data'!M29</f>
        <v>14</v>
      </c>
      <c r="L65" s="16">
        <f>Z29-'Distributed photoelectric data'!N29</f>
        <v>16.8</v>
      </c>
      <c r="M65" s="9"/>
      <c r="N65" s="19">
        <f t="shared" si="23"/>
        <v>0.0867001907404196</v>
      </c>
      <c r="O65" s="19">
        <f t="shared" si="24"/>
        <v>0.0931879601155531</v>
      </c>
      <c r="P65" s="19">
        <f t="shared" si="25"/>
        <v>0.134910751349108</v>
      </c>
      <c r="Q65" s="19">
        <f t="shared" si="26"/>
        <v>0.11665500116655</v>
      </c>
      <c r="R65" s="19">
        <f t="shared" si="27"/>
        <v>0.140498770635757</v>
      </c>
      <c r="S65" s="15"/>
    </row>
    <row r="66" spans="1:19">
      <c r="A66" s="9" t="s">
        <v>39</v>
      </c>
      <c r="B66" s="9">
        <f>MAX(I30-'Distributed photoelectric data'!B30,0)</f>
        <v>484</v>
      </c>
      <c r="C66" s="9">
        <f>MAX(J30-'Distributed photoelectric data'!C30,0)</f>
        <v>640</v>
      </c>
      <c r="D66" s="9">
        <f>MAX(K30-'Distributed photoelectric data'!D30,0)</f>
        <v>778</v>
      </c>
      <c r="E66" s="9">
        <f>MAX(L30-'Distributed photoelectric data'!E30,0)</f>
        <v>895</v>
      </c>
      <c r="F66" s="9">
        <f>MAX(M30-'Distributed photoelectric data'!F30,0)</f>
        <v>1102.8</v>
      </c>
      <c r="G66" s="9"/>
      <c r="H66" s="16">
        <f>V30-'Distributed photoelectric data'!J30</f>
        <v>50</v>
      </c>
      <c r="I66" s="16">
        <f>W30-'Distributed photoelectric data'!K30</f>
        <v>65</v>
      </c>
      <c r="J66" s="16">
        <f>X30-'Distributed photoelectric data'!L30</f>
        <v>80</v>
      </c>
      <c r="K66" s="16">
        <f>Y30-'Distributed photoelectric data'!M30</f>
        <v>103</v>
      </c>
      <c r="L66" s="16">
        <f>Z30-'Distributed photoelectric data'!N30</f>
        <v>121</v>
      </c>
      <c r="M66" s="9"/>
      <c r="N66" s="19">
        <f t="shared" si="23"/>
        <v>0.117928978452017</v>
      </c>
      <c r="O66" s="19">
        <f t="shared" si="24"/>
        <v>0.115938926940639</v>
      </c>
      <c r="P66" s="19">
        <f t="shared" si="25"/>
        <v>0.117383291662265</v>
      </c>
      <c r="Q66" s="19">
        <f t="shared" si="26"/>
        <v>0.131374199637764</v>
      </c>
      <c r="R66" s="19">
        <f t="shared" si="27"/>
        <v>0.125251953102356</v>
      </c>
      <c r="S66" s="15"/>
    </row>
    <row r="67" spans="1:19">
      <c r="A67" s="9" t="s">
        <v>40</v>
      </c>
      <c r="B67" s="9">
        <f>MAX(I31-'Distributed photoelectric data'!B31,0)</f>
        <v>768</v>
      </c>
      <c r="C67" s="9">
        <f>MAX(J31-'Distributed photoelectric data'!C31,0)</f>
        <v>790</v>
      </c>
      <c r="D67" s="9">
        <f>MAX(K31-'Distributed photoelectric data'!D31,0)</f>
        <v>853</v>
      </c>
      <c r="E67" s="9">
        <f>MAX(L31-'Distributed photoelectric data'!E31,0)</f>
        <v>908</v>
      </c>
      <c r="F67" s="9">
        <f>MAX(M31-'Distributed photoelectric data'!F31,0)</f>
        <v>1047.7</v>
      </c>
      <c r="G67" s="9"/>
      <c r="H67" s="16">
        <f>V31-'Distributed photoelectric data'!J31</f>
        <v>72</v>
      </c>
      <c r="I67" s="16">
        <f>W31-'Distributed photoelectric data'!K31</f>
        <v>93</v>
      </c>
      <c r="J67" s="16">
        <f>X31-'Distributed photoelectric data'!L31</f>
        <v>112</v>
      </c>
      <c r="K67" s="16">
        <f>Y31-'Distributed photoelectric data'!M31</f>
        <v>124</v>
      </c>
      <c r="L67" s="16">
        <f>Z31-'Distributed photoelectric data'!N31</f>
        <v>141</v>
      </c>
      <c r="M67" s="9"/>
      <c r="N67" s="19">
        <f t="shared" si="23"/>
        <v>0.107020547945205</v>
      </c>
      <c r="O67" s="19">
        <f t="shared" si="24"/>
        <v>0.13438529564765</v>
      </c>
      <c r="P67" s="19">
        <f t="shared" si="25"/>
        <v>0.149887316856435</v>
      </c>
      <c r="Q67" s="19">
        <f t="shared" si="26"/>
        <v>0.15589483636071</v>
      </c>
      <c r="R67" s="19">
        <f t="shared" si="27"/>
        <v>0.15363071882179</v>
      </c>
      <c r="S67" s="15"/>
    </row>
    <row r="68" spans="1:19">
      <c r="A68" s="9" t="s">
        <v>41</v>
      </c>
      <c r="B68" s="9">
        <f>MAX(I32-'Distributed photoelectric data'!B32,0)</f>
        <v>786</v>
      </c>
      <c r="C68" s="9">
        <f>MAX(J32-'Distributed photoelectric data'!C32,0)</f>
        <v>952</v>
      </c>
      <c r="D68" s="9">
        <f>MAX(K32-'Distributed photoelectric data'!D32,0)</f>
        <v>1107</v>
      </c>
      <c r="E68" s="9">
        <f>MAX(L32-'Distributed photoelectric data'!E32,0)</f>
        <v>1584</v>
      </c>
      <c r="F68" s="9">
        <f>MAX(M32-'Distributed photoelectric data'!F32,0)</f>
        <v>1594.8</v>
      </c>
      <c r="G68" s="9"/>
      <c r="H68" s="16">
        <f>V32-'Distributed photoelectric data'!J32</f>
        <v>112.7</v>
      </c>
      <c r="I68" s="16">
        <f>W32-'Distributed photoelectric data'!K32</f>
        <v>130</v>
      </c>
      <c r="J68" s="16">
        <f>X32-'Distributed photoelectric data'!L32</f>
        <v>156</v>
      </c>
      <c r="K68" s="16">
        <f>Y32-'Distributed photoelectric data'!M32</f>
        <v>165</v>
      </c>
      <c r="L68" s="16">
        <f>Z32-'Distributed photoelectric data'!N32</f>
        <v>209</v>
      </c>
      <c r="M68" s="9"/>
      <c r="N68" s="19">
        <f t="shared" si="23"/>
        <v>0.163680620911615</v>
      </c>
      <c r="O68" s="19">
        <f t="shared" si="24"/>
        <v>0.155884271516826</v>
      </c>
      <c r="P68" s="19">
        <f t="shared" si="25"/>
        <v>0.160869188600562</v>
      </c>
      <c r="Q68" s="19">
        <f t="shared" si="26"/>
        <v>0.118911719939117</v>
      </c>
      <c r="R68" s="19">
        <f t="shared" si="27"/>
        <v>0.149601501684126</v>
      </c>
      <c r="S68" s="15"/>
    </row>
    <row r="69" spans="1:19">
      <c r="A69" s="9" t="s">
        <v>42</v>
      </c>
      <c r="B69" s="9">
        <f>MAX(I33-'Distributed photoelectric data'!B33,0)</f>
        <v>587</v>
      </c>
      <c r="C69" s="9">
        <f>MAX(J33-'Distributed photoelectric data'!C33,0)</f>
        <v>761</v>
      </c>
      <c r="D69" s="9">
        <f>MAX(K33-'Distributed photoelectric data'!D33,0)</f>
        <v>844</v>
      </c>
      <c r="E69" s="9">
        <f>MAX(L33-'Distributed photoelectric data'!E33,0)</f>
        <v>1122</v>
      </c>
      <c r="F69" s="9">
        <f>MAX(M33-'Distributed photoelectric data'!F33,0)</f>
        <v>1303.4</v>
      </c>
      <c r="G69" s="9"/>
      <c r="H69" s="16">
        <f>V33-'Distributed photoelectric data'!J33</f>
        <v>73</v>
      </c>
      <c r="I69" s="16">
        <f>W33-'Distributed photoelectric data'!K33</f>
        <v>93</v>
      </c>
      <c r="J69" s="16">
        <f>X33-'Distributed photoelectric data'!L33</f>
        <v>107</v>
      </c>
      <c r="K69" s="16">
        <f>Y33-'Distributed photoelectric data'!M33</f>
        <v>126</v>
      </c>
      <c r="L69" s="16">
        <f>Z33-'Distributed photoelectric data'!N33</f>
        <v>173</v>
      </c>
      <c r="M69" s="9"/>
      <c r="N69" s="19">
        <f t="shared" si="23"/>
        <v>0.141964792731403</v>
      </c>
      <c r="O69" s="19">
        <f t="shared" si="24"/>
        <v>0.139506417295196</v>
      </c>
      <c r="P69" s="19">
        <f t="shared" si="25"/>
        <v>0.144722889480404</v>
      </c>
      <c r="Q69" s="19">
        <f t="shared" si="26"/>
        <v>0.128195736576075</v>
      </c>
      <c r="R69" s="19">
        <f t="shared" si="27"/>
        <v>0.151518017857055</v>
      </c>
      <c r="S69" s="15"/>
    </row>
    <row r="70" spans="1:19">
      <c r="A70" s="9" t="s">
        <v>43</v>
      </c>
      <c r="B70" s="9">
        <f>MAX(I34-'Distributed photoelectric data'!B34,0)</f>
        <v>933</v>
      </c>
      <c r="C70" s="9">
        <f>MAX(J34-'Distributed photoelectric data'!C34,0)</f>
        <v>976</v>
      </c>
      <c r="D70" s="9">
        <f>MAX(K34-'Distributed photoelectric data'!D34,0)</f>
        <v>1057</v>
      </c>
      <c r="E70" s="9">
        <f>MAX(L34-'Distributed photoelectric data'!E34,0)</f>
        <v>1250</v>
      </c>
      <c r="F70" s="9">
        <f>MAX(M34-'Distributed photoelectric data'!F34,0)</f>
        <v>1254.8</v>
      </c>
      <c r="G70" s="9"/>
      <c r="H70" s="16">
        <f>V34-'Distributed photoelectric data'!J34</f>
        <v>106.99</v>
      </c>
      <c r="I70" s="16">
        <f>W34-'Distributed photoelectric data'!K34</f>
        <v>115.9</v>
      </c>
      <c r="J70" s="16">
        <f>X34-'Distributed photoelectric data'!L34</f>
        <v>131</v>
      </c>
      <c r="K70" s="16">
        <f>Y34-'Distributed photoelectric data'!M34</f>
        <v>155</v>
      </c>
      <c r="L70" s="16">
        <f>Z34-'Distributed photoelectric data'!N34</f>
        <v>194</v>
      </c>
      <c r="M70" s="9"/>
      <c r="N70" s="19">
        <f t="shared" si="23"/>
        <v>0.130905362482687</v>
      </c>
      <c r="O70" s="19">
        <f t="shared" si="24"/>
        <v>0.135559360730594</v>
      </c>
      <c r="P70" s="19">
        <f t="shared" si="25"/>
        <v>0.141479071897288</v>
      </c>
      <c r="Q70" s="19">
        <f t="shared" si="26"/>
        <v>0.141552511415525</v>
      </c>
      <c r="R70" s="19">
        <f t="shared" si="27"/>
        <v>0.176491223473551</v>
      </c>
      <c r="S70" s="15"/>
    </row>
    <row r="71" spans="1:19">
      <c r="A71" s="20" t="s">
        <v>44</v>
      </c>
      <c r="B71" s="9">
        <f>MAX(I35-'Distributed photoelectric data'!B35,0)</f>
        <v>0</v>
      </c>
      <c r="C71" s="9">
        <f>MAX(J35-'Distributed photoelectric data'!C35,0)</f>
        <v>0</v>
      </c>
      <c r="D71" s="9">
        <f>MAX(K35-'Distributed photoelectric data'!D35,0)</f>
        <v>0</v>
      </c>
      <c r="E71" s="9">
        <f>MAX(L35-'Distributed photoelectric data'!E35,0)</f>
        <v>0</v>
      </c>
      <c r="F71" s="9">
        <f>MAX(M35-'Distributed photoelectric data'!F35,0)</f>
        <v>77.2</v>
      </c>
      <c r="G71" s="16"/>
      <c r="H71" s="16"/>
      <c r="I71" s="16"/>
      <c r="J71" s="16"/>
      <c r="K71" s="16"/>
      <c r="L71" s="16"/>
      <c r="M71" s="16"/>
      <c r="N71" s="16"/>
      <c r="O71" s="16"/>
      <c r="P71" s="16"/>
      <c r="Q71" s="16"/>
      <c r="R71" s="16"/>
      <c r="S71" s="16"/>
    </row>
  </sheetData>
  <mergeCells count="12">
    <mergeCell ref="B1:N1"/>
    <mergeCell ref="O1:AA1"/>
    <mergeCell ref="AB1:AD1"/>
    <mergeCell ref="AE1:AG1"/>
    <mergeCell ref="AH1:AT1"/>
    <mergeCell ref="B37:G37"/>
    <mergeCell ref="H37:M37"/>
    <mergeCell ref="N37:S37"/>
    <mergeCell ref="AB37:AD37"/>
    <mergeCell ref="AE37:AG37"/>
    <mergeCell ref="A1:A2"/>
    <mergeCell ref="A37:A38"/>
  </mergeCells>
  <conditionalFormatting sqref="A35">
    <cfRule type="duplicateValues" dxfId="0" priority="2"/>
  </conditionalFormatting>
  <conditionalFormatting sqref="A71">
    <cfRule type="duplicateValues" dxfId="0" priority="1"/>
  </conditionalFormatting>
  <conditionalFormatting sqref="O4:AA34 AA3">
    <cfRule type="colorScale" priority="9">
      <colorScale>
        <cfvo type="min"/>
        <cfvo type="percentile" val="50"/>
        <cfvo type="max"/>
        <color rgb="FFF8696B"/>
        <color rgb="FFFFEB84"/>
        <color rgb="FF63BE7B"/>
      </colorScale>
    </cfRule>
  </conditionalFormatting>
  <conditionalFormatting sqref="AE3:AG34">
    <cfRule type="colorScale" priority="13">
      <colorScale>
        <cfvo type="min"/>
        <cfvo type="percentile" val="50"/>
        <cfvo type="max"/>
        <color rgb="FFF8696B"/>
        <color rgb="FFFFEB84"/>
        <color rgb="FF63BE7B"/>
      </colorScale>
    </cfRule>
  </conditionalFormatting>
  <conditionalFormatting sqref="AH3:AT34">
    <cfRule type="colorScale" priority="7">
      <colorScale>
        <cfvo type="min"/>
        <cfvo type="percentile" val="50"/>
        <cfvo type="max"/>
        <color rgb="FFF8696B"/>
        <color rgb="FFFFEB84"/>
        <color rgb="FF63BE7B"/>
      </colorScale>
    </cfRule>
  </conditionalFormatting>
  <conditionalFormatting sqref="B4:N35">
    <cfRule type="colorScale" priority="8">
      <colorScale>
        <cfvo type="min"/>
        <cfvo type="percentile" val="50"/>
        <cfvo type="max"/>
        <color rgb="FFF8696B"/>
        <color rgb="FFFFEB84"/>
        <color rgb="FF63BE7B"/>
      </colorScale>
    </cfRule>
  </conditionalFormatting>
  <conditionalFormatting sqref="H40:M70 M39">
    <cfRule type="colorScale" priority="5">
      <colorScale>
        <cfvo type="min"/>
        <cfvo type="percentile" val="50"/>
        <cfvo type="max"/>
        <color rgb="FFF8696B"/>
        <color rgb="FFFFEB84"/>
        <color rgb="FF63BE7B"/>
      </colorScale>
    </cfRule>
  </conditionalFormatting>
  <conditionalFormatting sqref="N39:S70">
    <cfRule type="colorScale" priority="14">
      <colorScale>
        <cfvo type="min"/>
        <cfvo type="percentile" val="50"/>
        <cfvo type="max"/>
        <color rgb="FFF8696B"/>
        <color rgb="FFFFEB84"/>
        <color rgb="FF63BE7B"/>
      </colorScale>
    </cfRule>
  </conditionalFormatting>
  <conditionalFormatting sqref="B40:G71">
    <cfRule type="colorScale" priority="16">
      <colorScale>
        <cfvo type="min"/>
        <cfvo type="percentile" val="50"/>
        <cfvo type="max"/>
        <color rgb="FFF8696B"/>
        <color rgb="FFFFEB84"/>
        <color rgb="FF63BE7B"/>
      </colorScale>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S3"/>
  <sheetViews>
    <sheetView tabSelected="1" workbookViewId="0">
      <selection activeCell="J13" sqref="J13"/>
    </sheetView>
  </sheetViews>
  <sheetFormatPr defaultColWidth="9" defaultRowHeight="13.85" outlineLevelRow="2"/>
  <cols>
    <col min="2" max="3" width="12.7964601769912"/>
    <col min="4" max="4" width="10.5309734513274"/>
    <col min="5" max="7" width="12.7964601769912"/>
    <col min="9" max="22" width="12.7964601769912"/>
  </cols>
  <sheetData>
    <row r="1" spans="1:45">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v>2051</v>
      </c>
      <c r="AK1">
        <v>2052</v>
      </c>
      <c r="AL1">
        <v>2053</v>
      </c>
      <c r="AM1">
        <v>2054</v>
      </c>
      <c r="AN1">
        <v>2055</v>
      </c>
      <c r="AO1">
        <v>2056</v>
      </c>
      <c r="AP1">
        <v>2057</v>
      </c>
      <c r="AQ1">
        <v>2058</v>
      </c>
      <c r="AR1">
        <v>2059</v>
      </c>
      <c r="AS1">
        <v>2060</v>
      </c>
    </row>
    <row r="2" s="1" customFormat="1" spans="1:45">
      <c r="A2" s="1" t="s">
        <v>90</v>
      </c>
      <c r="B2" s="2">
        <f>'Distributed photoelectric data'!R3</f>
        <v>0.0480587990043715</v>
      </c>
      <c r="C2" s="2">
        <f>'Distributed photoelectric data'!S3</f>
        <v>0.0881086879708024</v>
      </c>
      <c r="D2" s="2">
        <f>'Distributed photoelectric data'!T3</f>
        <v>0.0994332488610206</v>
      </c>
      <c r="E2" s="2">
        <f>'Distributed photoelectric data'!U3</f>
        <v>0.0990308106875101</v>
      </c>
      <c r="F2" s="2">
        <f>'Distributed photoelectric data'!V3</f>
        <v>0.09821930210397</v>
      </c>
      <c r="G2" s="2">
        <f>'Distributed photoelectric data'!W3</f>
        <v>0.104073782445382</v>
      </c>
      <c r="H2" s="2">
        <f>'Distributed photoelectric data'!X3</f>
        <v>0.0934102739672189</v>
      </c>
      <c r="I2" s="2">
        <f>'Distributed photoelectric data'!Y3</f>
        <v>0.105449991849099</v>
      </c>
      <c r="J2" s="1">
        <f>MIN(I2+0.005,1500/8760)</f>
        <v>0.110449991849099</v>
      </c>
      <c r="K2" s="1">
        <f>MIN(J2+0.005,1500/8760)</f>
        <v>0.115449991849099</v>
      </c>
      <c r="L2" s="1">
        <v>0.115449991849099</v>
      </c>
      <c r="M2" s="1">
        <v>0.115449991849099</v>
      </c>
      <c r="N2" s="1">
        <v>0.115449991849099</v>
      </c>
      <c r="O2" s="1">
        <v>0.115449991849099</v>
      </c>
      <c r="P2" s="1">
        <v>0.115449991849099</v>
      </c>
      <c r="Q2" s="1">
        <v>0.115449991849099</v>
      </c>
      <c r="R2" s="1">
        <v>0.115449991849099</v>
      </c>
      <c r="S2" s="1">
        <v>0.115449991849099</v>
      </c>
      <c r="T2" s="1">
        <v>0.115449991849099</v>
      </c>
      <c r="U2" s="1">
        <v>0.115449991849099</v>
      </c>
      <c r="V2" s="1">
        <v>0.115449991849099</v>
      </c>
      <c r="W2" s="1">
        <v>0.115449991849099</v>
      </c>
      <c r="X2" s="1">
        <v>0.115449991849099</v>
      </c>
      <c r="Y2" s="1">
        <v>0.115449991849099</v>
      </c>
      <c r="Z2" s="1">
        <v>0.115449991849099</v>
      </c>
      <c r="AA2" s="1">
        <v>0.115449991849099</v>
      </c>
      <c r="AB2" s="1">
        <v>0.115449991849099</v>
      </c>
      <c r="AC2" s="1">
        <v>0.115449991849099</v>
      </c>
      <c r="AD2" s="1">
        <v>0.115449991849099</v>
      </c>
      <c r="AE2" s="1">
        <v>0.115449991849099</v>
      </c>
      <c r="AF2" s="1">
        <v>0.115449991849099</v>
      </c>
      <c r="AG2" s="1">
        <v>0.115449991849099</v>
      </c>
      <c r="AH2" s="1">
        <v>0.115449991849099</v>
      </c>
      <c r="AI2" s="1">
        <v>0.115449991849099</v>
      </c>
      <c r="AJ2" s="1">
        <v>0.115449991849099</v>
      </c>
      <c r="AK2" s="1">
        <v>0.115449991849099</v>
      </c>
      <c r="AL2" s="1">
        <v>0.115449991849099</v>
      </c>
      <c r="AM2" s="1">
        <v>0.115449991849099</v>
      </c>
      <c r="AN2" s="1">
        <v>0.115449991849099</v>
      </c>
      <c r="AO2" s="1">
        <v>0.115449991849099</v>
      </c>
      <c r="AP2" s="1">
        <v>0.115449991849099</v>
      </c>
      <c r="AQ2" s="1">
        <v>0.115449991849099</v>
      </c>
      <c r="AR2" s="1">
        <v>0.115449991849099</v>
      </c>
      <c r="AS2" s="1">
        <v>0.115449991849099</v>
      </c>
    </row>
    <row r="3" spans="1:45">
      <c r="B3">
        <f>B2*8760</f>
        <v>420.995079278294</v>
      </c>
      <c r="C3">
        <f t="shared" ref="C3:L3" si="0">C2*8760</f>
        <v>771.832106624229</v>
      </c>
      <c r="D3">
        <f t="shared" si="0"/>
        <v>871.03526002254</v>
      </c>
      <c r="E3">
        <f t="shared" si="0"/>
        <v>867.509901622588</v>
      </c>
      <c r="F3">
        <f t="shared" si="0"/>
        <v>860.401086430777</v>
      </c>
      <c r="G3">
        <f t="shared" si="0"/>
        <v>911.686334221546</v>
      </c>
      <c r="H3">
        <f t="shared" si="0"/>
        <v>818.273999952838</v>
      </c>
      <c r="I3">
        <f t="shared" si="0"/>
        <v>923.741928598107</v>
      </c>
      <c r="J3">
        <f t="shared" si="0"/>
        <v>967.541928598107</v>
      </c>
      <c r="K3">
        <f t="shared" si="0"/>
        <v>1011.34192859811</v>
      </c>
      <c r="L3">
        <f t="shared" si="0"/>
        <v>1011.34192859811</v>
      </c>
      <c r="M3">
        <f t="shared" ref="M3:AS3" si="1">M2*8760</f>
        <v>1011.34192859811</v>
      </c>
      <c r="N3">
        <f t="shared" si="1"/>
        <v>1011.34192859811</v>
      </c>
      <c r="O3">
        <f t="shared" si="1"/>
        <v>1011.34192859811</v>
      </c>
      <c r="P3">
        <f t="shared" si="1"/>
        <v>1011.34192859811</v>
      </c>
      <c r="Q3">
        <f t="shared" si="1"/>
        <v>1011.34192859811</v>
      </c>
      <c r="R3">
        <f t="shared" si="1"/>
        <v>1011.34192859811</v>
      </c>
      <c r="S3">
        <f t="shared" si="1"/>
        <v>1011.34192859811</v>
      </c>
      <c r="T3">
        <f t="shared" si="1"/>
        <v>1011.34192859811</v>
      </c>
      <c r="U3">
        <f t="shared" si="1"/>
        <v>1011.34192859811</v>
      </c>
      <c r="V3">
        <f t="shared" si="1"/>
        <v>1011.34192859811</v>
      </c>
      <c r="W3">
        <f t="shared" si="1"/>
        <v>1011.34192859811</v>
      </c>
      <c r="X3">
        <f t="shared" si="1"/>
        <v>1011.34192859811</v>
      </c>
      <c r="Y3">
        <f t="shared" si="1"/>
        <v>1011.34192859811</v>
      </c>
      <c r="Z3">
        <f t="shared" si="1"/>
        <v>1011.34192859811</v>
      </c>
      <c r="AA3">
        <f t="shared" si="1"/>
        <v>1011.34192859811</v>
      </c>
      <c r="AB3">
        <f t="shared" si="1"/>
        <v>1011.34192859811</v>
      </c>
      <c r="AC3">
        <f t="shared" si="1"/>
        <v>1011.34192859811</v>
      </c>
      <c r="AD3">
        <f t="shared" si="1"/>
        <v>1011.34192859811</v>
      </c>
      <c r="AE3">
        <f t="shared" si="1"/>
        <v>1011.34192859811</v>
      </c>
      <c r="AF3">
        <f t="shared" si="1"/>
        <v>1011.34192859811</v>
      </c>
      <c r="AG3">
        <f t="shared" si="1"/>
        <v>1011.34192859811</v>
      </c>
      <c r="AH3">
        <f t="shared" si="1"/>
        <v>1011.34192859811</v>
      </c>
      <c r="AI3">
        <f t="shared" si="1"/>
        <v>1011.34192859811</v>
      </c>
      <c r="AJ3">
        <f t="shared" si="1"/>
        <v>1011.34192859811</v>
      </c>
      <c r="AK3">
        <f t="shared" si="1"/>
        <v>1011.34192859811</v>
      </c>
      <c r="AL3">
        <f t="shared" si="1"/>
        <v>1011.34192859811</v>
      </c>
      <c r="AM3">
        <f t="shared" si="1"/>
        <v>1011.34192859811</v>
      </c>
      <c r="AN3">
        <f t="shared" si="1"/>
        <v>1011.34192859811</v>
      </c>
      <c r="AO3">
        <f t="shared" si="1"/>
        <v>1011.34192859811</v>
      </c>
      <c r="AP3">
        <f t="shared" si="1"/>
        <v>1011.34192859811</v>
      </c>
      <c r="AQ3">
        <f t="shared" si="1"/>
        <v>1011.34192859811</v>
      </c>
      <c r="AR3">
        <f t="shared" si="1"/>
        <v>1011.34192859811</v>
      </c>
      <c r="AS3">
        <f t="shared" si="1"/>
        <v>1011.34192859811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About</vt:lpstr>
      <vt:lpstr>Distributed photoelectric data</vt:lpstr>
      <vt:lpstr>PV power generation data</vt:lpstr>
      <vt:lpstr>DSCF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南山有台</cp:lastModifiedBy>
  <dcterms:created xsi:type="dcterms:W3CDTF">2022-03-09T09:32:00Z</dcterms:created>
  <dcterms:modified xsi:type="dcterms:W3CDTF">2026-10-21T09:25:06Z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6CD9C5F108674032B884D886A557F794_12</vt:lpwstr>
  </property>
  <property fmtid="{D5CDD505-2E9C-101B-9397-08002B2CF9AE}" pid="3" name="KSOProductBuildVer">
    <vt:lpwstr>2052-12.1.0.28505</vt:lpwstr>
  </property>
  <property fmtid="{D5CDD505-2E9C-101B-9397-08002B2CF9AE}" pid="4" name="CalculationRule">
    <vt:i4>0</vt:i4>
  </property>
</Properties>
</file>