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文件\20220913接收EPS模型\EPS Building\EPS Shandong 3.3.1\InputData\bldgs\PPEIdtIL\"/>
    </mc:Choice>
  </mc:AlternateContent>
  <xr:revisionPtr revIDLastSave="0" documentId="13_ncr:1_{EDC0F926-A8D9-45F8-9FB0-25EB2B761914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  <workbookView xWindow="43080" yWindow="-120" windowWidth="38640" windowHeight="21120" activeTab="2" xr2:uid="{72817E84-71EB-4DED-8AC7-424DD20B041C}"/>
  </bookViews>
  <sheets>
    <sheet name="Data Source" sheetId="1" r:id="rId1"/>
    <sheet name="calculation" sheetId="4" r:id="rId2"/>
    <sheet name="PPEIdtI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B2" i="3"/>
  <c r="D3" i="3"/>
  <c r="D6" i="3"/>
  <c r="C6" i="3"/>
  <c r="B6" i="3"/>
  <c r="C3" i="3"/>
  <c r="B3" i="3"/>
  <c r="E8" i="4"/>
  <c r="E2" i="4"/>
  <c r="E5" i="4"/>
</calcChain>
</file>

<file path=xl/sharedStrings.xml><?xml version="1.0" encoding="utf-8"?>
<sst xmlns="http://schemas.openxmlformats.org/spreadsheetml/2006/main" count="32" uniqueCount="23">
  <si>
    <t>Commercial</t>
  </si>
  <si>
    <t>heating</t>
  </si>
  <si>
    <t>cooling and ventilation</t>
  </si>
  <si>
    <t>lighting</t>
  </si>
  <si>
    <t>appliances</t>
  </si>
  <si>
    <t>other component</t>
  </si>
  <si>
    <t>envelope</t>
  </si>
  <si>
    <t>Urban Residential</t>
  </si>
  <si>
    <t>Rural Residential</t>
  </si>
  <si>
    <t>Efficiency Improvement by Building Component (dimensionless)</t>
  </si>
  <si>
    <t>中国建筑节能年度发展研究报告</t>
    <phoneticPr fontId="4" type="noConversion"/>
  </si>
  <si>
    <t>组件</t>
    <phoneticPr fontId="4" type="noConversion"/>
  </si>
  <si>
    <t>能效提升率</t>
    <phoneticPr fontId="4" type="noConversion"/>
  </si>
  <si>
    <t>能效限定值</t>
    <phoneticPr fontId="4" type="noConversion"/>
  </si>
  <si>
    <t>更改标签后能效限定值</t>
    <phoneticPr fontId="4" type="noConversion"/>
  </si>
  <si>
    <t>家电</t>
    <phoneticPr fontId="4" type="noConversion"/>
  </si>
  <si>
    <t>电冰箱</t>
    <phoneticPr fontId="4" type="noConversion"/>
  </si>
  <si>
    <t>房间空调器</t>
    <phoneticPr fontId="4" type="noConversion"/>
  </si>
  <si>
    <t>电动洗衣机</t>
    <phoneticPr fontId="4" type="noConversion"/>
  </si>
  <si>
    <t>单位功效耗电量</t>
    <phoneticPr fontId="4" type="noConversion"/>
  </si>
  <si>
    <t>更改标签后单位功效耗电量</t>
    <phoneticPr fontId="4" type="noConversion"/>
  </si>
  <si>
    <t>能耗指数</t>
    <phoneticPr fontId="4" type="noConversion"/>
  </si>
  <si>
    <t>更改标签后能耗指数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</si>
</sst>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5" formatCode="0.000"/>
  </numFmts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5" fillId="0" borderId="0" xfId="0" applyFont="1"/>
    <xf numFmtId="9" fontId="0" fillId="0" borderId="0" xfId="0" applyNumberFormat="1"/>
    <xf numFmtId="10" fontId="0" fillId="0" borderId="0" xfId="0" applyNumberFormat="1"/>
    <xf numFmtId="9" fontId="0" fillId="0" borderId="0" xfId="2" applyFont="1" applyAlignment="1"/>
    <xf numFmtId="10" fontId="0" fillId="0" borderId="0" xfId="2" applyNumberFormat="1" applyFont="1" applyAlignment="1"/>
    <xf numFmtId="195" fontId="0" fillId="0" borderId="0" xfId="0" applyNumberFormat="1"/>
  </cellXfs>
  <cellStyles count="3">
    <cellStyle name="百分比" xfId="2" builtinId="5"/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2" sqref="A2"/>
    </sheetView>
    <sheetView workbookViewId="1"/>
  </sheetViews>
  <sheetFormatPr defaultRowHeight="13.5" x14ac:dyDescent="0.3"/>
  <cols>
    <col min="1" max="1" width="60.59765625" customWidth="1"/>
  </cols>
  <sheetData>
    <row r="1" spans="1:2" x14ac:dyDescent="0.3">
      <c r="A1" s="6" t="s">
        <v>10</v>
      </c>
    </row>
    <row r="3" spans="1:2" x14ac:dyDescent="0.3">
      <c r="A3" s="1"/>
    </row>
    <row r="4" spans="1:2" x14ac:dyDescent="0.3">
      <c r="B4" s="3"/>
    </row>
    <row r="6" spans="1:2" x14ac:dyDescent="0.3">
      <c r="B6" s="2"/>
    </row>
    <row r="9" spans="1:2" x14ac:dyDescent="0.3">
      <c r="A9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ACB1-D1DA-4284-A02E-645E2021AA43}">
  <dimension ref="A1:E8"/>
  <sheetViews>
    <sheetView tabSelected="1" workbookViewId="0">
      <selection activeCell="F11" sqref="F11"/>
    </sheetView>
    <sheetView workbookViewId="1"/>
  </sheetViews>
  <sheetFormatPr defaultRowHeight="13.5" x14ac:dyDescent="0.3"/>
  <cols>
    <col min="1" max="1" width="20.33203125" customWidth="1"/>
    <col min="2" max="2" width="25.86328125" customWidth="1"/>
    <col min="3" max="3" width="18.19921875" customWidth="1"/>
    <col min="4" max="4" width="29.796875" customWidth="1"/>
    <col min="5" max="5" width="15.6640625" customWidth="1"/>
  </cols>
  <sheetData>
    <row r="1" spans="1:5" x14ac:dyDescent="0.3">
      <c r="A1" t="s">
        <v>15</v>
      </c>
      <c r="B1" t="s">
        <v>11</v>
      </c>
      <c r="C1" t="s">
        <v>21</v>
      </c>
      <c r="D1" t="s">
        <v>22</v>
      </c>
      <c r="E1" t="s">
        <v>12</v>
      </c>
    </row>
    <row r="2" spans="1:5" x14ac:dyDescent="0.3">
      <c r="A2" t="s">
        <v>16</v>
      </c>
      <c r="B2" t="s">
        <v>2</v>
      </c>
      <c r="C2" s="7">
        <v>1.2</v>
      </c>
      <c r="D2" s="7">
        <v>0.7</v>
      </c>
      <c r="E2" s="8">
        <f>(1/D2-1/C2)/(1/C2)</f>
        <v>0.7142857142857143</v>
      </c>
    </row>
    <row r="4" spans="1:5" x14ac:dyDescent="0.3">
      <c r="A4" t="s">
        <v>15</v>
      </c>
      <c r="B4" t="s">
        <v>11</v>
      </c>
      <c r="C4" t="s">
        <v>13</v>
      </c>
      <c r="D4" t="s">
        <v>14</v>
      </c>
      <c r="E4" t="s">
        <v>12</v>
      </c>
    </row>
    <row r="5" spans="1:5" x14ac:dyDescent="0.3">
      <c r="A5" t="s">
        <v>17</v>
      </c>
      <c r="B5" t="s">
        <v>2</v>
      </c>
      <c r="C5">
        <v>2</v>
      </c>
      <c r="D5">
        <v>3.6</v>
      </c>
      <c r="E5" s="9">
        <f>(D5-C5)/C5</f>
        <v>0.8</v>
      </c>
    </row>
    <row r="7" spans="1:5" x14ac:dyDescent="0.3">
      <c r="A7" t="s">
        <v>15</v>
      </c>
      <c r="B7" t="s">
        <v>11</v>
      </c>
      <c r="C7" t="s">
        <v>19</v>
      </c>
      <c r="D7" t="s">
        <v>20</v>
      </c>
      <c r="E7" t="s">
        <v>12</v>
      </c>
    </row>
    <row r="8" spans="1:5" x14ac:dyDescent="0.3">
      <c r="A8" t="s">
        <v>18</v>
      </c>
      <c r="B8" t="s">
        <v>4</v>
      </c>
      <c r="C8">
        <v>58</v>
      </c>
      <c r="D8">
        <v>22</v>
      </c>
      <c r="E8" s="10">
        <f>(1/D8-1/C8)/(1/C8)</f>
        <v>1.6363636363636365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D7"/>
  <sheetViews>
    <sheetView workbookViewId="0">
      <selection activeCell="A6" sqref="A6"/>
    </sheetView>
    <sheetView tabSelected="1" workbookViewId="1">
      <selection activeCell="D14" sqref="D14"/>
    </sheetView>
  </sheetViews>
  <sheetFormatPr defaultRowHeight="13.5" x14ac:dyDescent="0.3"/>
  <cols>
    <col min="1" max="1" width="28.33203125" customWidth="1"/>
    <col min="2" max="2" width="18.73046875" customWidth="1"/>
    <col min="3" max="3" width="19.1328125" customWidth="1"/>
    <col min="4" max="4" width="14" customWidth="1"/>
  </cols>
  <sheetData>
    <row r="1" spans="1:4" ht="54" x14ac:dyDescent="0.3">
      <c r="A1" s="5" t="s">
        <v>9</v>
      </c>
      <c r="B1" s="4" t="s">
        <v>7</v>
      </c>
      <c r="C1" s="4" t="s">
        <v>8</v>
      </c>
      <c r="D1" s="4" t="s">
        <v>0</v>
      </c>
    </row>
    <row r="2" spans="1:4" x14ac:dyDescent="0.3">
      <c r="A2" t="s">
        <v>1</v>
      </c>
      <c r="B2" s="11">
        <f>$B$3</f>
        <v>0.75714285714285712</v>
      </c>
      <c r="C2" s="11">
        <f t="shared" ref="C2:D2" si="0">$B$3</f>
        <v>0.75714285714285712</v>
      </c>
      <c r="D2" s="11">
        <f t="shared" si="0"/>
        <v>0.75714285714285712</v>
      </c>
    </row>
    <row r="3" spans="1:4" x14ac:dyDescent="0.3">
      <c r="A3" t="s">
        <v>2</v>
      </c>
      <c r="B3" s="11">
        <f>AVERAGE(calculation!E2,calculation!E5)</f>
        <v>0.75714285714285712</v>
      </c>
      <c r="C3" s="11">
        <f>B3</f>
        <v>0.75714285714285712</v>
      </c>
      <c r="D3" s="11">
        <f>B3</f>
        <v>0.75714285714285712</v>
      </c>
    </row>
    <row r="4" spans="1:4" x14ac:dyDescent="0.3">
      <c r="A4" t="s">
        <v>6</v>
      </c>
      <c r="B4">
        <v>0</v>
      </c>
      <c r="C4">
        <v>0</v>
      </c>
      <c r="D4">
        <v>0</v>
      </c>
    </row>
    <row r="5" spans="1:4" x14ac:dyDescent="0.3">
      <c r="A5" t="s">
        <v>3</v>
      </c>
      <c r="B5">
        <v>0</v>
      </c>
      <c r="C5">
        <v>0</v>
      </c>
      <c r="D5">
        <v>0</v>
      </c>
    </row>
    <row r="6" spans="1:4" x14ac:dyDescent="0.3">
      <c r="A6" t="s">
        <v>4</v>
      </c>
      <c r="B6" s="11">
        <f>calculation!E8</f>
        <v>1.6363636363636365</v>
      </c>
      <c r="C6" s="11">
        <f>B6</f>
        <v>1.6363636363636365</v>
      </c>
      <c r="D6" s="11">
        <f>B6</f>
        <v>1.6363636363636365</v>
      </c>
    </row>
    <row r="7" spans="1:4" x14ac:dyDescent="0.3">
      <c r="A7" t="s">
        <v>5</v>
      </c>
      <c r="B7">
        <v>0</v>
      </c>
      <c r="C7">
        <v>0</v>
      </c>
      <c r="D7">
        <v>0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Source</vt:lpstr>
      <vt:lpstr>calculation</vt:lpstr>
      <vt:lpstr>PPEIdtIL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Liya</cp:lastModifiedBy>
  <dcterms:created xsi:type="dcterms:W3CDTF">2014-10-11T20:42:21Z</dcterms:created>
  <dcterms:modified xsi:type="dcterms:W3CDTF">2023-01-31T07:29:33Z</dcterms:modified>
</cp:coreProperties>
</file>