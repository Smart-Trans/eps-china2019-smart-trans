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工作文件\20220913接收EPS模型\EPS Building\EPS Shandong 3.3.1\InputData\bldgs\BFoCSbQL\"/>
    </mc:Choice>
  </mc:AlternateContent>
  <xr:revisionPtr revIDLastSave="0" documentId="13_ncr:1_{F652811B-EE83-4AA5-B921-089C2317B91A}" xr6:coauthVersionLast="47" xr6:coauthVersionMax="47" xr10:uidLastSave="{00000000-0000-0000-0000-000000000000}"/>
  <bookViews>
    <workbookView xWindow="43080" yWindow="-120" windowWidth="38640" windowHeight="21120" activeTab="5" xr2:uid="{00000000-000D-0000-FFFF-FFFF00000000}"/>
    <workbookView xWindow="-98" yWindow="-98" windowWidth="21795" windowHeight="12975" activeTab="2" xr2:uid="{DE0DD641-46BF-44B9-8F18-95E79AF655B4}"/>
    <workbookView minimized="1" xWindow="2633" yWindow="2850" windowWidth="15959" windowHeight="9195" activeTab="1" xr2:uid="{07D6D8C0-C585-425A-BF37-CB72E1123500}"/>
  </bookViews>
  <sheets>
    <sheet name="data source" sheetId="1" r:id="rId1"/>
    <sheet name="农村数据" sheetId="6" r:id="rId2"/>
    <sheet name="城镇数据" sheetId="7" r:id="rId3"/>
    <sheet name="BFoCSbQL-rural-residential" sheetId="3" r:id="rId4"/>
    <sheet name="BFoCSbQL-urban-residential" sheetId="5" r:id="rId5"/>
    <sheet name="BFoCSbQL-commercial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C7" i="5"/>
  <c r="C6" i="5"/>
  <c r="C5" i="5"/>
  <c r="C4" i="5"/>
  <c r="C3" i="5"/>
  <c r="C2" i="5"/>
  <c r="K18" i="7"/>
  <c r="K15" i="7"/>
  <c r="K12" i="7"/>
  <c r="K9" i="7"/>
  <c r="K6" i="7"/>
  <c r="B3" i="3"/>
  <c r="B4" i="3"/>
  <c r="B5" i="3"/>
  <c r="B6" i="3"/>
  <c r="B7" i="3"/>
  <c r="B2" i="3"/>
  <c r="C3" i="3" a="1"/>
  <c r="C3" i="3" s="1"/>
  <c r="C4" i="3" a="1"/>
  <c r="C4" i="3" s="1"/>
  <c r="C5" i="3" a="1"/>
  <c r="C5" i="3" s="1"/>
  <c r="C6" i="3" a="1"/>
  <c r="C6" i="3" s="1"/>
  <c r="C7" i="3" a="1"/>
  <c r="C7" i="3" s="1"/>
  <c r="C2" i="3" a="1"/>
  <c r="C2" i="3" s="1"/>
  <c r="L8" i="6"/>
  <c r="K6" i="6"/>
  <c r="K7" i="6"/>
  <c r="K4" i="6"/>
  <c r="E7" i="7" l="1"/>
  <c r="H5" i="6"/>
  <c r="K5" i="6" s="1"/>
  <c r="G5" i="6"/>
  <c r="F5" i="6"/>
  <c r="G4" i="6"/>
  <c r="F4" i="6"/>
  <c r="B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<sst xmlns="http://schemas.openxmlformats.org/spreadsheetml/2006/main" count="101" uniqueCount="47">
  <si>
    <t>Source:</t>
  </si>
  <si>
    <t>lighting</t>
  </si>
  <si>
    <t>appliances</t>
  </si>
  <si>
    <t>other</t>
  </si>
  <si>
    <t>cooling and ventilation</t>
  </si>
  <si>
    <t>heating</t>
  </si>
  <si>
    <t>envelope</t>
  </si>
  <si>
    <t>standard-compliant</t>
  </si>
  <si>
    <t>rebate-qualifying</t>
  </si>
  <si>
    <t>Dimensionless fraction of total components</t>
  </si>
  <si>
    <t>中国家庭能源消费研究报告2015</t>
    <phoneticPr fontId="3" type="noConversion"/>
  </si>
  <si>
    <t>冰箱</t>
    <phoneticPr fontId="3" type="noConversion"/>
  </si>
  <si>
    <t>无标识</t>
    <phoneticPr fontId="3" type="noConversion"/>
  </si>
  <si>
    <t>一级能效</t>
    <phoneticPr fontId="3" type="noConversion"/>
  </si>
  <si>
    <t>二级能效</t>
    <phoneticPr fontId="3" type="noConversion"/>
  </si>
  <si>
    <t>三级能效</t>
    <phoneticPr fontId="3" type="noConversion"/>
  </si>
  <si>
    <t>四级能效</t>
    <phoneticPr fontId="3" type="noConversion"/>
  </si>
  <si>
    <t>五级能效</t>
    <phoneticPr fontId="3" type="noConversion"/>
  </si>
  <si>
    <t>洗衣机</t>
    <phoneticPr fontId="3" type="noConversion"/>
  </si>
  <si>
    <t>电视</t>
    <phoneticPr fontId="3" type="noConversion"/>
  </si>
  <si>
    <t>计算机</t>
    <phoneticPr fontId="3" type="noConversion"/>
  </si>
  <si>
    <t>农村每百户拥有量</t>
    <phoneticPr fontId="3" type="noConversion"/>
  </si>
  <si>
    <t>灯具</t>
    <phoneticPr fontId="3" type="noConversion"/>
  </si>
  <si>
    <t>节能灯</t>
    <phoneticPr fontId="3" type="noConversion"/>
  </si>
  <si>
    <t>白炽灯</t>
    <phoneticPr fontId="3" type="noConversion"/>
  </si>
  <si>
    <t>日光灯</t>
    <phoneticPr fontId="3" type="noConversion"/>
  </si>
  <si>
    <t>热水器</t>
    <phoneticPr fontId="3" type="noConversion"/>
  </si>
  <si>
    <t>1-2级</t>
    <phoneticPr fontId="3" type="noConversion"/>
  </si>
  <si>
    <t>3-4级</t>
    <phoneticPr fontId="3" type="noConversion"/>
  </si>
  <si>
    <t>空调</t>
    <phoneticPr fontId="3" type="noConversion"/>
  </si>
  <si>
    <t>1-3级能效标识</t>
    <phoneticPr fontId="3" type="noConversion"/>
  </si>
  <si>
    <t>家用电冰箱</t>
    <phoneticPr fontId="3" type="noConversion"/>
  </si>
  <si>
    <t>定频房间空调器</t>
    <phoneticPr fontId="3" type="noConversion"/>
  </si>
  <si>
    <t>4级</t>
    <phoneticPr fontId="3" type="noConversion"/>
  </si>
  <si>
    <t>3级</t>
    <phoneticPr fontId="3" type="noConversion"/>
  </si>
  <si>
    <t>1级</t>
    <phoneticPr fontId="3" type="noConversion"/>
  </si>
  <si>
    <t>2级</t>
    <phoneticPr fontId="3" type="noConversion"/>
  </si>
  <si>
    <t>5级</t>
    <phoneticPr fontId="3" type="noConversion"/>
  </si>
  <si>
    <t>电动洗衣机</t>
    <phoneticPr fontId="3" type="noConversion"/>
  </si>
  <si>
    <t>智能坐便器</t>
    <phoneticPr fontId="3" type="noConversion"/>
  </si>
  <si>
    <t>4-5级</t>
    <phoneticPr fontId="3" type="noConversion"/>
  </si>
  <si>
    <t>室内LED产品</t>
    <phoneticPr fontId="3" type="noConversion"/>
  </si>
  <si>
    <t xml:space="preserve">2021中国建筑节能年度发展研究报告 </t>
    <phoneticPr fontId="3" type="noConversion"/>
  </si>
  <si>
    <t>缺各类电器总量</t>
    <phoneticPr fontId="3" type="noConversion"/>
  </si>
  <si>
    <t>所属组件</t>
    <phoneticPr fontId="3" type="noConversion"/>
  </si>
  <si>
    <t>三级及以上权重</t>
    <phoneticPr fontId="3" type="noConversion"/>
  </si>
  <si>
    <t>3级以上比例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</si>
</sst>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i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76" fontId="0" fillId="0" borderId="0" xfId="0" applyNumberFormat="1"/>
    <xf numFmtId="0" fontId="1" fillId="0" borderId="0" xfId="0" applyFont="1" applyAlignment="1">
      <alignment wrapText="1"/>
    </xf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/>
    <sheetView workbookViewId="1"/>
    <sheetView workbookViewId="2">
      <selection activeCell="B6" sqref="B6"/>
    </sheetView>
  </sheetViews>
  <sheetFormatPr defaultRowHeight="13.5" x14ac:dyDescent="0.3"/>
  <cols>
    <col min="1" max="1" width="15.73046875" customWidth="1"/>
    <col min="2" max="2" width="54.265625" customWidth="1"/>
  </cols>
  <sheetData>
    <row r="1" spans="1:7" x14ac:dyDescent="0.3">
      <c r="A1" s="1"/>
    </row>
    <row r="3" spans="1:7" x14ac:dyDescent="0.3">
      <c r="A3" s="1" t="s">
        <v>0</v>
      </c>
      <c r="B3" t="s">
        <v>10</v>
      </c>
    </row>
    <row r="4" spans="1:7" x14ac:dyDescent="0.3">
      <c r="B4" s="8" t="s">
        <v>42</v>
      </c>
      <c r="C4" s="8"/>
      <c r="D4" s="8"/>
      <c r="E4" s="8"/>
      <c r="F4" s="8"/>
      <c r="G4" s="8"/>
    </row>
    <row r="6" spans="1:7" x14ac:dyDescent="0.3">
      <c r="B6" s="2"/>
    </row>
    <row r="8" spans="1:7" x14ac:dyDescent="0.3">
      <c r="A8" s="1"/>
    </row>
  </sheetData>
  <mergeCells count="1">
    <mergeCell ref="B4:G4"/>
  </mergeCells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D3A7-E9B0-4DBA-9AE5-8C49051E61E8}">
  <dimension ref="C3:L24"/>
  <sheetViews>
    <sheetView workbookViewId="0">
      <selection activeCell="E29" sqref="E29:F34"/>
    </sheetView>
    <sheetView workbookViewId="1">
      <selection activeCell="L13" sqref="L13"/>
    </sheetView>
    <sheetView tabSelected="1" workbookViewId="2">
      <selection activeCell="L8" sqref="L8"/>
    </sheetView>
  </sheetViews>
  <sheetFormatPr defaultRowHeight="13.5" x14ac:dyDescent="0.3"/>
  <cols>
    <col min="4" max="4" width="25.33203125" customWidth="1"/>
    <col min="6" max="6" width="15.9296875" customWidth="1"/>
    <col min="11" max="11" width="16.19921875" customWidth="1"/>
    <col min="12" max="12" width="27" customWidth="1"/>
  </cols>
  <sheetData>
    <row r="3" spans="3:12" x14ac:dyDescent="0.3">
      <c r="D3" t="s">
        <v>44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45</v>
      </c>
      <c r="L3" t="s">
        <v>21</v>
      </c>
    </row>
    <row r="4" spans="3:12" x14ac:dyDescent="0.3">
      <c r="C4" t="s">
        <v>11</v>
      </c>
      <c r="D4" t="s">
        <v>4</v>
      </c>
      <c r="E4">
        <v>0.28000000000000003</v>
      </c>
      <c r="F4">
        <f>0.76-0.28</f>
        <v>0.48</v>
      </c>
      <c r="G4">
        <f>0.92-0.76</f>
        <v>0.16000000000000003</v>
      </c>
      <c r="H4">
        <v>0.05</v>
      </c>
      <c r="I4">
        <v>0.02</v>
      </c>
      <c r="J4">
        <v>0.01</v>
      </c>
      <c r="K4">
        <f>SUM(H4:J4)</f>
        <v>0.08</v>
      </c>
      <c r="L4">
        <v>75</v>
      </c>
    </row>
    <row r="5" spans="3:12" x14ac:dyDescent="0.3">
      <c r="C5" t="s">
        <v>18</v>
      </c>
      <c r="D5" t="s">
        <v>2</v>
      </c>
      <c r="E5">
        <v>0.52</v>
      </c>
      <c r="F5">
        <f>0.68-0.52</f>
        <v>0.16000000000000003</v>
      </c>
      <c r="G5">
        <f>0.86-0.68</f>
        <v>0.17999999999999994</v>
      </c>
      <c r="H5">
        <f>0.97-0.86</f>
        <v>0.10999999999999999</v>
      </c>
      <c r="I5">
        <v>0.03</v>
      </c>
      <c r="J5">
        <v>0</v>
      </c>
      <c r="K5">
        <f t="shared" ref="K5:K7" si="0">SUM(H5:J5)</f>
        <v>0.13999999999999999</v>
      </c>
      <c r="L5">
        <v>69.7</v>
      </c>
    </row>
    <row r="6" spans="3:12" x14ac:dyDescent="0.3">
      <c r="C6" t="s">
        <v>19</v>
      </c>
      <c r="D6" t="s">
        <v>2</v>
      </c>
      <c r="E6">
        <v>0.81</v>
      </c>
      <c r="F6">
        <v>0.1</v>
      </c>
      <c r="G6">
        <v>0.05</v>
      </c>
      <c r="H6">
        <v>0.03</v>
      </c>
      <c r="I6">
        <v>0.01</v>
      </c>
      <c r="J6">
        <v>0</v>
      </c>
      <c r="K6">
        <f t="shared" si="0"/>
        <v>0.04</v>
      </c>
      <c r="L6">
        <v>98.6</v>
      </c>
    </row>
    <row r="7" spans="3:12" x14ac:dyDescent="0.3">
      <c r="C7" t="s">
        <v>20</v>
      </c>
      <c r="D7" t="s">
        <v>2</v>
      </c>
      <c r="E7">
        <v>0.8</v>
      </c>
      <c r="F7">
        <v>0.1</v>
      </c>
      <c r="G7">
        <v>0.03</v>
      </c>
      <c r="H7">
        <v>7.0000000000000007E-2</v>
      </c>
      <c r="I7">
        <v>0</v>
      </c>
      <c r="J7">
        <v>0</v>
      </c>
      <c r="K7">
        <f t="shared" si="0"/>
        <v>7.0000000000000007E-2</v>
      </c>
      <c r="L7">
        <v>20.7</v>
      </c>
    </row>
    <row r="8" spans="3:12" x14ac:dyDescent="0.3">
      <c r="C8" t="s">
        <v>22</v>
      </c>
      <c r="D8" t="s">
        <v>1</v>
      </c>
      <c r="K8">
        <v>0.52400000000000002</v>
      </c>
      <c r="L8">
        <f>100*5.8</f>
        <v>580</v>
      </c>
    </row>
    <row r="9" spans="3:12" x14ac:dyDescent="0.3">
      <c r="C9" t="s">
        <v>26</v>
      </c>
      <c r="D9" t="s">
        <v>5</v>
      </c>
      <c r="K9">
        <v>0.87</v>
      </c>
      <c r="L9">
        <v>35</v>
      </c>
    </row>
    <row r="10" spans="3:12" x14ac:dyDescent="0.3">
      <c r="C10" t="s">
        <v>29</v>
      </c>
      <c r="D10" t="s">
        <v>4</v>
      </c>
      <c r="K10">
        <v>0.76</v>
      </c>
      <c r="L10">
        <v>75</v>
      </c>
    </row>
    <row r="12" spans="3:12" x14ac:dyDescent="0.3">
      <c r="E12" t="s">
        <v>23</v>
      </c>
      <c r="F12" t="s">
        <v>24</v>
      </c>
      <c r="G12" t="s">
        <v>25</v>
      </c>
    </row>
    <row r="13" spans="3:12" x14ac:dyDescent="0.3">
      <c r="E13" s="6">
        <v>0.52400000000000002</v>
      </c>
      <c r="F13" s="6">
        <v>0.23799999999999999</v>
      </c>
      <c r="G13" s="6">
        <v>0.23799999999999999</v>
      </c>
    </row>
    <row r="14" spans="3:12" x14ac:dyDescent="0.3">
      <c r="E14" s="6"/>
      <c r="F14" s="6"/>
      <c r="G14" s="6"/>
    </row>
    <row r="15" spans="3:12" x14ac:dyDescent="0.3">
      <c r="E15" s="6"/>
      <c r="F15" s="6"/>
      <c r="G15" s="6"/>
    </row>
    <row r="17" spans="3:12" x14ac:dyDescent="0.3">
      <c r="C17" t="s">
        <v>26</v>
      </c>
      <c r="D17" t="s">
        <v>5</v>
      </c>
      <c r="E17" t="s">
        <v>12</v>
      </c>
      <c r="F17" t="s">
        <v>27</v>
      </c>
      <c r="G17" t="s">
        <v>28</v>
      </c>
      <c r="H17">
        <v>5</v>
      </c>
      <c r="L17" t="s">
        <v>21</v>
      </c>
    </row>
    <row r="18" spans="3:12" x14ac:dyDescent="0.3">
      <c r="E18" s="6">
        <v>0.60699999999999998</v>
      </c>
      <c r="F18" s="6">
        <v>0.30599999999999999</v>
      </c>
      <c r="G18" s="6">
        <v>8.4000000000000005E-2</v>
      </c>
      <c r="H18" s="6">
        <v>3.0000000000000001E-3</v>
      </c>
      <c r="L18" s="9">
        <v>35</v>
      </c>
    </row>
    <row r="20" spans="3:12" x14ac:dyDescent="0.3">
      <c r="C20" t="s">
        <v>29</v>
      </c>
      <c r="D20" t="s">
        <v>4</v>
      </c>
      <c r="E20" t="s">
        <v>12</v>
      </c>
      <c r="F20" t="s">
        <v>30</v>
      </c>
    </row>
    <row r="21" spans="3:12" x14ac:dyDescent="0.3">
      <c r="E21" s="7">
        <v>0.24</v>
      </c>
      <c r="F21" s="7">
        <v>0.76</v>
      </c>
      <c r="L21">
        <v>75</v>
      </c>
    </row>
    <row r="24" spans="3:12" x14ac:dyDescent="0.3">
      <c r="C24" s="8" t="s">
        <v>10</v>
      </c>
      <c r="D24" s="8"/>
      <c r="E24" s="8"/>
      <c r="F24" s="8"/>
      <c r="G24" s="8"/>
      <c r="H24" s="8"/>
      <c r="I24" s="8"/>
      <c r="J24" s="8"/>
      <c r="K24" s="8"/>
      <c r="L24" s="8"/>
    </row>
  </sheetData>
  <mergeCells count="1">
    <mergeCell ref="C24:L2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1D2F-8B3C-447E-997C-CF907F8B5E3D}">
  <dimension ref="C3:K22"/>
  <sheetViews>
    <sheetView workbookViewId="0">
      <selection activeCell="G39" sqref="G39"/>
    </sheetView>
    <sheetView tabSelected="1" workbookViewId="1">
      <selection activeCell="K19" sqref="K19"/>
    </sheetView>
    <sheetView workbookViewId="2">
      <selection activeCell="J6" sqref="J6"/>
    </sheetView>
  </sheetViews>
  <sheetFormatPr defaultRowHeight="13.5" x14ac:dyDescent="0.3"/>
  <cols>
    <col min="1" max="1" width="9.06640625" customWidth="1"/>
    <col min="2" max="2" width="5.1328125" customWidth="1"/>
    <col min="3" max="3" width="16.265625" customWidth="1"/>
    <col min="10" max="10" width="31.3984375" customWidth="1"/>
    <col min="11" max="11" width="15.46484375" customWidth="1"/>
  </cols>
  <sheetData>
    <row r="3" spans="3:11" x14ac:dyDescent="0.3">
      <c r="D3" s="7"/>
      <c r="E3" s="7"/>
    </row>
    <row r="5" spans="3:11" x14ac:dyDescent="0.3">
      <c r="J5" t="s">
        <v>44</v>
      </c>
      <c r="K5" t="s">
        <v>46</v>
      </c>
    </row>
    <row r="6" spans="3:11" x14ac:dyDescent="0.3">
      <c r="C6" t="s">
        <v>31</v>
      </c>
      <c r="D6" t="s">
        <v>35</v>
      </c>
      <c r="E6" t="s">
        <v>36</v>
      </c>
      <c r="F6" t="s">
        <v>34</v>
      </c>
      <c r="G6" t="s">
        <v>33</v>
      </c>
      <c r="J6" t="s">
        <v>4</v>
      </c>
      <c r="K6" s="7">
        <f>SUM(F7:G7)</f>
        <v>0.27</v>
      </c>
    </row>
    <row r="7" spans="3:11" x14ac:dyDescent="0.3">
      <c r="D7" s="7">
        <v>0.42</v>
      </c>
      <c r="E7" s="6">
        <f>58%-27%</f>
        <v>0.30999999999999994</v>
      </c>
      <c r="F7" s="7">
        <v>0.26</v>
      </c>
      <c r="G7" s="7">
        <v>0.01</v>
      </c>
    </row>
    <row r="9" spans="3:11" x14ac:dyDescent="0.3">
      <c r="C9" t="s">
        <v>32</v>
      </c>
      <c r="D9" t="s">
        <v>35</v>
      </c>
      <c r="E9" t="s">
        <v>36</v>
      </c>
      <c r="F9" t="s">
        <v>34</v>
      </c>
      <c r="G9" t="s">
        <v>33</v>
      </c>
      <c r="H9" t="s">
        <v>37</v>
      </c>
      <c r="J9" t="s">
        <v>4</v>
      </c>
      <c r="K9" s="7">
        <f>SUM(F10:H10)</f>
        <v>0.36000000000000004</v>
      </c>
    </row>
    <row r="10" spans="3:11" x14ac:dyDescent="0.3">
      <c r="D10" s="7">
        <v>0.49</v>
      </c>
      <c r="E10" s="7">
        <v>0.15</v>
      </c>
      <c r="F10" s="7">
        <v>0.34</v>
      </c>
      <c r="G10" s="7">
        <v>0</v>
      </c>
      <c r="H10" s="7">
        <v>0.02</v>
      </c>
    </row>
    <row r="12" spans="3:11" x14ac:dyDescent="0.3">
      <c r="C12" t="s">
        <v>38</v>
      </c>
      <c r="D12" t="s">
        <v>35</v>
      </c>
      <c r="E12" t="s">
        <v>36</v>
      </c>
      <c r="F12" t="s">
        <v>34</v>
      </c>
      <c r="G12" t="s">
        <v>33</v>
      </c>
      <c r="H12" t="s">
        <v>37</v>
      </c>
      <c r="J12" t="s">
        <v>2</v>
      </c>
      <c r="K12" s="7">
        <f>SUM(F13:H13)</f>
        <v>0.48000000000000004</v>
      </c>
    </row>
    <row r="13" spans="3:11" x14ac:dyDescent="0.3">
      <c r="D13" s="7">
        <v>0.35</v>
      </c>
      <c r="E13" s="7">
        <v>0.17</v>
      </c>
      <c r="F13" s="7">
        <v>0.39</v>
      </c>
      <c r="G13" s="7">
        <v>7.0000000000000007E-2</v>
      </c>
      <c r="H13" s="7">
        <v>0.02</v>
      </c>
    </row>
    <row r="15" spans="3:11" x14ac:dyDescent="0.3">
      <c r="C15" t="s">
        <v>39</v>
      </c>
      <c r="D15" t="s">
        <v>35</v>
      </c>
      <c r="E15" t="s">
        <v>36</v>
      </c>
      <c r="F15" t="s">
        <v>34</v>
      </c>
      <c r="G15" t="s">
        <v>40</v>
      </c>
      <c r="J15" t="s">
        <v>3</v>
      </c>
      <c r="K15" s="7">
        <f>SUM(F16:G16)</f>
        <v>0.82</v>
      </c>
    </row>
    <row r="16" spans="3:11" x14ac:dyDescent="0.3">
      <c r="D16" s="7">
        <v>0.01</v>
      </c>
      <c r="E16" s="7">
        <v>0.17</v>
      </c>
      <c r="F16" s="7">
        <v>0.57999999999999996</v>
      </c>
      <c r="G16" s="7">
        <v>0.24</v>
      </c>
    </row>
    <row r="18" spans="3:11" x14ac:dyDescent="0.3">
      <c r="C18" t="s">
        <v>41</v>
      </c>
      <c r="D18" t="s">
        <v>35</v>
      </c>
      <c r="E18" t="s">
        <v>36</v>
      </c>
      <c r="F18" t="s">
        <v>34</v>
      </c>
      <c r="J18" t="s">
        <v>1</v>
      </c>
      <c r="K18" s="7">
        <f>F19</f>
        <v>0.69</v>
      </c>
    </row>
    <row r="19" spans="3:11" x14ac:dyDescent="0.3">
      <c r="D19" s="7">
        <v>0.02</v>
      </c>
      <c r="E19" s="7">
        <v>0.28999999999999998</v>
      </c>
      <c r="F19" s="7">
        <v>0.69</v>
      </c>
    </row>
    <row r="22" spans="3:11" x14ac:dyDescent="0.3">
      <c r="C22" s="8" t="s">
        <v>43</v>
      </c>
      <c r="D22" s="8"/>
      <c r="E22" s="8"/>
      <c r="F22" s="8"/>
      <c r="G22" s="8"/>
      <c r="H22" s="8"/>
    </row>
  </sheetData>
  <mergeCells count="1">
    <mergeCell ref="C22:H2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7"/>
  <sheetViews>
    <sheetView workbookViewId="0">
      <selection activeCell="C11" sqref="C11"/>
    </sheetView>
    <sheetView workbookViewId="1">
      <selection activeCell="C2" sqref="C2"/>
    </sheetView>
    <sheetView workbookViewId="2"/>
  </sheetViews>
  <sheetFormatPr defaultRowHeight="13.5" x14ac:dyDescent="0.3"/>
  <cols>
    <col min="1" max="1" width="28.86328125" customWidth="1"/>
    <col min="2" max="2" width="24.73046875" customWidth="1"/>
    <col min="3" max="3" width="30.265625" customWidth="1"/>
  </cols>
  <sheetData>
    <row r="1" spans="1:3" ht="27" x14ac:dyDescent="0.3">
      <c r="A1" s="5" t="s">
        <v>9</v>
      </c>
      <c r="B1" s="3" t="s">
        <v>7</v>
      </c>
      <c r="C1" s="3" t="s">
        <v>8</v>
      </c>
    </row>
    <row r="2" spans="1:3" x14ac:dyDescent="0.3">
      <c r="A2" t="s">
        <v>5</v>
      </c>
      <c r="B2" s="4">
        <f>1-C2</f>
        <v>0.13</v>
      </c>
      <c r="C2" s="4" cm="1">
        <f t="array" ref="C2">IFERROR(SUMPRODUCT((农村数据!$D$4:$D$10=A2)*1,农村数据!$K$4:$K$10,农村数据!$L$4:$L$10)/SUMPRODUCT((农村数据!$D$4:$D$10=A2)*1,农村数据!$L$4:$L$10),0)</f>
        <v>0.87</v>
      </c>
    </row>
    <row r="3" spans="1:3" x14ac:dyDescent="0.3">
      <c r="A3" t="s">
        <v>4</v>
      </c>
      <c r="B3" s="4">
        <f t="shared" ref="B3:B7" si="0">1-C3</f>
        <v>0.58000000000000007</v>
      </c>
      <c r="C3" s="4" cm="1">
        <f t="array" ref="C3">IFERROR(SUMPRODUCT((农村数据!$D$4:$D$10=A3)*1,农村数据!$K$4:$K$10,农村数据!$L$4:$L$10)/SUMPRODUCT((农村数据!$D$4:$D$10=A3)*1,农村数据!$L$4:$L$10),0)</f>
        <v>0.42</v>
      </c>
    </row>
    <row r="4" spans="1:3" x14ac:dyDescent="0.3">
      <c r="A4" t="s">
        <v>6</v>
      </c>
      <c r="B4" s="4">
        <f t="shared" si="0"/>
        <v>1</v>
      </c>
      <c r="C4" s="4" cm="1">
        <f t="array" ref="C4">IFERROR(SUMPRODUCT((农村数据!$D$4:$D$10=A4)*1,农村数据!$K$4:$K$10,农村数据!$L$4:$L$10)/SUMPRODUCT((农村数据!$D$4:$D$10=A4)*1,农村数据!$L$4:$L$10),0)</f>
        <v>0</v>
      </c>
    </row>
    <row r="5" spans="1:3" x14ac:dyDescent="0.3">
      <c r="A5" t="s">
        <v>1</v>
      </c>
      <c r="B5" s="4">
        <f t="shared" si="0"/>
        <v>0.47599999999999998</v>
      </c>
      <c r="C5" s="4" cm="1">
        <f t="array" ref="C5">IFERROR(SUMPRODUCT((农村数据!$D$4:$D$10=A5)*1,农村数据!$K$4:$K$10,农村数据!$L$4:$L$10)/SUMPRODUCT((农村数据!$D$4:$D$10=A5)*1,农村数据!$L$4:$L$10),0)</f>
        <v>0.52400000000000002</v>
      </c>
    </row>
    <row r="6" spans="1:3" x14ac:dyDescent="0.3">
      <c r="A6" t="s">
        <v>2</v>
      </c>
      <c r="B6" s="4">
        <f t="shared" si="0"/>
        <v>0.9198359788359789</v>
      </c>
      <c r="C6" s="4" cm="1">
        <f t="array" ref="C6">IFERROR(SUMPRODUCT((农村数据!$D$4:$D$10=A6)*1,农村数据!$K$4:$K$10,农村数据!$L$4:$L$10)/SUMPRODUCT((农村数据!$D$4:$D$10=A6)*1,农村数据!$L$4:$L$10),0)</f>
        <v>8.016402116402116E-2</v>
      </c>
    </row>
    <row r="7" spans="1:3" x14ac:dyDescent="0.3">
      <c r="A7" t="s">
        <v>3</v>
      </c>
      <c r="B7" s="4">
        <f t="shared" si="0"/>
        <v>1</v>
      </c>
      <c r="C7" s="4" cm="1">
        <f t="array" ref="C7">IFERROR(SUMPRODUCT((农村数据!$D$4:$D$10=A7)*1,农村数据!$K$4:$K$10,农村数据!$L$4:$L$10)/SUMPRODUCT((农村数据!$D$4:$D$10=A7)*1,农村数据!$L$4:$L$10),0)</f>
        <v>0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workbookViewId="0">
      <selection sqref="A1:C7"/>
    </sheetView>
    <sheetView workbookViewId="1"/>
    <sheetView workbookViewId="2"/>
  </sheetViews>
  <sheetFormatPr defaultRowHeight="13.5" x14ac:dyDescent="0.3"/>
  <cols>
    <col min="1" max="1" width="28.86328125" customWidth="1"/>
    <col min="2" max="2" width="20.86328125" customWidth="1"/>
    <col min="3" max="3" width="20" customWidth="1"/>
  </cols>
  <sheetData>
    <row r="1" spans="1:3" ht="27" x14ac:dyDescent="0.3">
      <c r="A1" s="5" t="s">
        <v>9</v>
      </c>
      <c r="B1" s="3" t="s">
        <v>7</v>
      </c>
      <c r="C1" s="3" t="s">
        <v>8</v>
      </c>
    </row>
    <row r="2" spans="1:3" x14ac:dyDescent="0.3">
      <c r="A2" t="s">
        <v>5</v>
      </c>
      <c r="B2" s="4">
        <f>1-C2</f>
        <v>0.13</v>
      </c>
      <c r="C2" s="4">
        <f>0.87</f>
        <v>0.87</v>
      </c>
    </row>
    <row r="3" spans="1:3" x14ac:dyDescent="0.3">
      <c r="A3" t="s">
        <v>4</v>
      </c>
      <c r="B3" s="4">
        <f t="shared" ref="B3:B7" si="0">1-C3</f>
        <v>0.68499999999999994</v>
      </c>
      <c r="C3" s="4">
        <f>AVERAGE(城镇数据!K6,城镇数据!K9)</f>
        <v>0.31500000000000006</v>
      </c>
    </row>
    <row r="4" spans="1:3" x14ac:dyDescent="0.3">
      <c r="A4" t="s">
        <v>6</v>
      </c>
      <c r="B4" s="4">
        <f t="shared" si="0"/>
        <v>1</v>
      </c>
      <c r="C4" s="4">
        <f>0</f>
        <v>0</v>
      </c>
    </row>
    <row r="5" spans="1:3" x14ac:dyDescent="0.3">
      <c r="A5" t="s">
        <v>1</v>
      </c>
      <c r="B5" s="4">
        <f t="shared" si="0"/>
        <v>0.31000000000000005</v>
      </c>
      <c r="C5" s="4">
        <f>城镇数据!K18</f>
        <v>0.69</v>
      </c>
    </row>
    <row r="6" spans="1:3" x14ac:dyDescent="0.3">
      <c r="A6" t="s">
        <v>2</v>
      </c>
      <c r="B6" s="4">
        <f t="shared" si="0"/>
        <v>0.52</v>
      </c>
      <c r="C6" s="4">
        <f>城镇数据!K12</f>
        <v>0.48000000000000004</v>
      </c>
    </row>
    <row r="7" spans="1:3" x14ac:dyDescent="0.3">
      <c r="A7" t="s">
        <v>3</v>
      </c>
      <c r="B7" s="4">
        <f t="shared" si="0"/>
        <v>0.18000000000000005</v>
      </c>
      <c r="C7" s="4">
        <f>城镇数据!K15</f>
        <v>0.82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E14"/>
  <sheetViews>
    <sheetView tabSelected="1" workbookViewId="0">
      <selection activeCell="E14" sqref="E14"/>
    </sheetView>
    <sheetView workbookViewId="1"/>
    <sheetView workbookViewId="2"/>
  </sheetViews>
  <sheetFormatPr defaultRowHeight="13.5" x14ac:dyDescent="0.3"/>
  <cols>
    <col min="1" max="1" width="28.86328125" customWidth="1"/>
    <col min="2" max="2" width="20.86328125" customWidth="1"/>
    <col min="3" max="3" width="20" customWidth="1"/>
  </cols>
  <sheetData>
    <row r="1" spans="1:5" ht="27" x14ac:dyDescent="0.3">
      <c r="A1" s="5" t="s">
        <v>9</v>
      </c>
      <c r="B1" s="3" t="s">
        <v>7</v>
      </c>
      <c r="C1" s="3" t="s">
        <v>8</v>
      </c>
    </row>
    <row r="2" spans="1:5" x14ac:dyDescent="0.3">
      <c r="A2" t="s">
        <v>5</v>
      </c>
      <c r="B2" s="4">
        <v>0.13</v>
      </c>
      <c r="C2" s="4">
        <v>0.87</v>
      </c>
    </row>
    <row r="3" spans="1:5" x14ac:dyDescent="0.3">
      <c r="A3" t="s">
        <v>4</v>
      </c>
      <c r="B3" s="4">
        <v>0.68499999999999994</v>
      </c>
      <c r="C3">
        <v>0.31500000000000006</v>
      </c>
    </row>
    <row r="4" spans="1:5" x14ac:dyDescent="0.3">
      <c r="A4" t="s">
        <v>6</v>
      </c>
      <c r="B4" s="4">
        <v>1</v>
      </c>
      <c r="C4" s="4">
        <v>0</v>
      </c>
    </row>
    <row r="5" spans="1:5" x14ac:dyDescent="0.3">
      <c r="A5" t="s">
        <v>1</v>
      </c>
      <c r="B5" s="4">
        <v>0.31000000000000005</v>
      </c>
      <c r="C5">
        <v>0.69</v>
      </c>
    </row>
    <row r="6" spans="1:5" x14ac:dyDescent="0.3">
      <c r="A6" t="s">
        <v>2</v>
      </c>
      <c r="B6" s="4">
        <v>0.52</v>
      </c>
      <c r="C6" s="4">
        <v>0.48000000000000004</v>
      </c>
    </row>
    <row r="7" spans="1:5" x14ac:dyDescent="0.3">
      <c r="A7" t="s">
        <v>3</v>
      </c>
      <c r="B7" s="4">
        <v>0.18000000000000005</v>
      </c>
      <c r="C7" s="4">
        <v>0.82</v>
      </c>
    </row>
    <row r="14" spans="1:5" x14ac:dyDescent="0.3">
      <c r="E14" s="4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 source</vt:lpstr>
      <vt:lpstr>农村数据</vt:lpstr>
      <vt:lpstr>城镇数据</vt:lpstr>
      <vt:lpstr>BFoCSbQL-rural-residential</vt:lpstr>
      <vt:lpstr>BFoCSbQL-urban-residential</vt:lpstr>
      <vt:lpstr>BFoCSbQL-commercial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Liya</cp:lastModifiedBy>
  <dcterms:created xsi:type="dcterms:W3CDTF">2014-04-21T17:35:08Z</dcterms:created>
  <dcterms:modified xsi:type="dcterms:W3CDTF">2023-01-30T03:55:19Z</dcterms:modified>
</cp:coreProperties>
</file>