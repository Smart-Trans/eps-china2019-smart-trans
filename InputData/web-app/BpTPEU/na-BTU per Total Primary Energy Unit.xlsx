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https://d.docs.live.net/90267e054ca37a11/Provincial Work/web-app-sd/BpTPEU/"/>
    </mc:Choice>
  </mc:AlternateContent>
  <xr:revisionPtr revIDLastSave="34" documentId="13_ncr:1_{6499F5B5-1EE5-4EA0-92B5-30E785498B05}" xr6:coauthVersionLast="47" xr6:coauthVersionMax="47" xr10:uidLastSave="{FB4E6EF1-1FC9-48C6-BAA7-5EDD939B4CBC}"/>
  <bookViews>
    <workbookView xWindow="-28800" yWindow="1080" windowWidth="21600" windowHeight="11385" activeTab="2" xr2:uid="{00000000-000D-0000-FFFF-FFFF00000000}"/>
  </bookViews>
  <sheets>
    <sheet name="About" sheetId="1" r:id="rId1"/>
    <sheet name="GBT2589" sheetId="4" r:id="rId2"/>
    <sheet name="BpTPEU-large" sheetId="2" r:id="rId3"/>
    <sheet name="BpTPEU-small" sheetId="3" r:id="rId4"/>
  </sheets>
  <externalReferences>
    <externalReference r:id="rId5"/>
    <externalReference r:id="rId6"/>
    <externalReference r:id="rId7"/>
  </externalReferences>
  <definedNames>
    <definedName name="BAU">[1]参数数据库!#REF!</definedName>
    <definedName name="CH4_Ar4_to_AR5">[2]Overview!$B$25</definedName>
    <definedName name="HHV_Adjust">[3]About!$A$203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[2]Overview!$B$19</definedName>
    <definedName name="million">[2]Overview!$B$22</definedName>
    <definedName name="N2O_AR4_to_AR5">[2]Overview!$B$26</definedName>
    <definedName name="quadrillion">[3]About!$A$215</definedName>
    <definedName name="shorttons_to_grams">[3]About!$A$214</definedName>
    <definedName name="trillion">[3]About!$A$216</definedName>
    <definedName name="use_lifecycle_biofuel_EIs">[3]About!$A$89</definedName>
    <definedName name="情景二">[1]参数数据库!#REF!</definedName>
    <definedName name="情景一">[1]参数数据库!#REF!</definedName>
    <definedName name="手动输入">[1]参数数据库!#REF!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B2" i="3"/>
  <c r="F15" i="4"/>
</calcChain>
</file>

<file path=xl/sharedStrings.xml><?xml version="1.0" encoding="utf-8"?>
<sst xmlns="http://schemas.openxmlformats.org/spreadsheetml/2006/main" count="30" uniqueCount="28">
  <si>
    <t>Source:</t>
  </si>
  <si>
    <t>Notes</t>
  </si>
  <si>
    <t>BTU</t>
  </si>
  <si>
    <t>large primary energy output unit</t>
  </si>
  <si>
    <t>small primary energy output unit</t>
  </si>
  <si>
    <t>BpTPEU BTU per Large Primary Energy Unit</t>
  </si>
  <si>
    <t>BpTPEU BTU per Small Primary Energy Unit</t>
  </si>
  <si>
    <t>For China Regional EPS:</t>
    <phoneticPr fontId="3" type="noConversion"/>
  </si>
  <si>
    <t>The large primary energy output unit (used in totals graphs) is: 10^4 tce 万吨标煤</t>
    <phoneticPr fontId="3" type="noConversion"/>
  </si>
  <si>
    <t>The small primary energy output unit (used in energy intensity per unit GDP graphs) is: kgce 千克标煤</t>
    <phoneticPr fontId="3" type="noConversion"/>
  </si>
  <si>
    <r>
      <t xml:space="preserve">GB/T 2589-2020 </t>
    </r>
    <r>
      <rPr>
        <b/>
        <sz val="10"/>
        <color rgb="FF000000"/>
        <rFont val="等线"/>
        <family val="1"/>
        <charset val="134"/>
      </rPr>
      <t xml:space="preserve">综合能耗计算通则 </t>
    </r>
    <r>
      <rPr>
        <b/>
        <sz val="10"/>
        <color rgb="FF000000"/>
        <rFont val="Times New Roman"/>
        <family val="1"/>
      </rPr>
      <t>General Rules for Calculation of the Comprehensive Energy Consumption</t>
    </r>
    <phoneticPr fontId="8" type="noConversion"/>
  </si>
  <si>
    <t>8.1计算综合能耗时，各种能源应折算为标准煤</t>
    <phoneticPr fontId="8" type="noConversion"/>
  </si>
  <si>
    <t>8.2实际消耗的燃料能源应以其收到基低位发热量为计算依据折算为标准煤量。按照GB/T 3102.4国际蒸汽表卡换算，低位发热量等于29307.6千焦（kJ）[7000千卡(kcal)]的燃料，称为1千克标准煤(1kgce)</t>
    <phoneticPr fontId="8" type="noConversion"/>
  </si>
  <si>
    <t>1kgce</t>
  </si>
  <si>
    <t>=</t>
    <phoneticPr fontId="8" type="noConversion"/>
  </si>
  <si>
    <t>kJ</t>
    <phoneticPr fontId="8" type="noConversion"/>
  </si>
  <si>
    <t>1BTU</t>
    <phoneticPr fontId="3" type="noConversion"/>
  </si>
  <si>
    <t>=</t>
    <phoneticPr fontId="3" type="noConversion"/>
  </si>
  <si>
    <t>kJ</t>
    <phoneticPr fontId="3" type="noConversion"/>
  </si>
  <si>
    <t>1kgce</t>
    <phoneticPr fontId="3" type="noConversion"/>
  </si>
  <si>
    <t>BTU</t>
    <phoneticPr fontId="3" type="noConversion"/>
  </si>
  <si>
    <t>Chinese Fuel Heat Value</t>
    <phoneticPr fontId="3" type="noConversion"/>
  </si>
  <si>
    <t>China State Administration for Market Regulation</t>
    <phoneticPr fontId="3" type="noConversion"/>
  </si>
  <si>
    <t>国家市场监督管理总局</t>
    <phoneticPr fontId="3" type="noConversion"/>
  </si>
  <si>
    <t>GB/T 2589-2020 General Rules for Calculation of the Comprehensive Energy Consumption</t>
    <phoneticPr fontId="3" type="noConversion"/>
  </si>
  <si>
    <t>GB/T 2589-2020 综合能耗计算通则</t>
    <phoneticPr fontId="3" type="noConversion"/>
  </si>
  <si>
    <t>http://c.gb688.cn/bzgk/gb/showGb?type=online&amp;hcno=53D1440B68E6D50B8BA0CCAB619B6B3E</t>
  </si>
  <si>
    <t>Appendix A</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</si>
</sst>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宋体"/>
      <family val="2"/>
      <scheme val="minor"/>
    </font>
    <font>
      <b/>
      <sz val="11"/>
      <color theme="1"/>
      <name val="宋体"/>
      <family val="2"/>
      <scheme val="minor"/>
    </font>
    <font>
      <sz val="11"/>
      <color theme="1"/>
      <name val="宋体"/>
      <family val="2"/>
      <charset val="134"/>
      <scheme val="minor"/>
    </font>
    <font>
      <sz val="9"/>
      <name val="宋体"/>
      <family val="3"/>
      <charset val="134"/>
      <scheme val="minor"/>
    </font>
    <font>
      <b/>
      <sz val="11"/>
      <color theme="1"/>
      <name val="宋体"/>
      <family val="3"/>
      <charset val="134"/>
      <scheme val="minor"/>
    </font>
    <font>
      <sz val="10"/>
      <color rgb="FF000000"/>
      <name val="Times New Roman"/>
      <family val="1"/>
    </font>
    <font>
      <b/>
      <sz val="10"/>
      <color rgb="FF000000"/>
      <name val="Times New Roman"/>
      <family val="1"/>
    </font>
    <font>
      <b/>
      <sz val="10"/>
      <color rgb="FF000000"/>
      <name val="等线"/>
      <family val="1"/>
      <charset val="134"/>
    </font>
    <font>
      <sz val="9"/>
      <name val="宋体"/>
      <family val="3"/>
      <charset val="134"/>
    </font>
    <font>
      <sz val="10"/>
      <color rgb="FF000000"/>
      <name val="宋体"/>
      <family val="3"/>
      <charset val="134"/>
    </font>
    <font>
      <sz val="10"/>
      <color rgb="FFFF0000"/>
      <name val="Times New Roman"/>
      <family val="1"/>
    </font>
    <font>
      <sz val="10"/>
      <name val="Arial"/>
      <family val="2"/>
    </font>
    <font>
      <b/>
      <sz val="10"/>
      <color rgb="FFFF0000"/>
      <name val="Times New Roman"/>
      <family val="1"/>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0" fontId="2" fillId="0" borderId="0">
      <alignment vertical="center"/>
    </xf>
    <xf numFmtId="0" fontId="5" fillId="0" borderId="0"/>
    <xf numFmtId="0" fontId="11" fillId="0" borderId="0">
      <alignment vertical="center"/>
    </xf>
  </cellStyleXfs>
  <cellXfs count="12">
    <xf numFmtId="0" fontId="0" fillId="0" borderId="0" xfId="0"/>
    <xf numFmtId="0" fontId="1" fillId="0" borderId="0" xfId="0" applyFont="1"/>
    <xf numFmtId="0" fontId="0" fillId="0" borderId="0" xfId="0" applyAlignment="1">
      <alignment horizontal="left"/>
    </xf>
    <xf numFmtId="11" fontId="0" fillId="0" borderId="0" xfId="0" applyNumberFormat="1"/>
    <xf numFmtId="0" fontId="2" fillId="0" borderId="0" xfId="1">
      <alignment vertical="center"/>
    </xf>
    <xf numFmtId="0" fontId="4" fillId="0" borderId="0" xfId="0" applyFont="1"/>
    <xf numFmtId="0" fontId="6" fillId="0" borderId="0" xfId="2" applyFont="1" applyAlignment="1">
      <alignment horizontal="left" vertical="top"/>
    </xf>
    <xf numFmtId="0" fontId="5" fillId="0" borderId="0" xfId="2" applyAlignment="1">
      <alignment horizontal="left" vertical="top"/>
    </xf>
    <xf numFmtId="0" fontId="9" fillId="0" borderId="0" xfId="2" applyFont="1" applyAlignment="1">
      <alignment horizontal="left" vertical="top"/>
    </xf>
    <xf numFmtId="0" fontId="10" fillId="0" borderId="0" xfId="2" applyFont="1" applyAlignment="1">
      <alignment horizontal="center" vertical="top"/>
    </xf>
    <xf numFmtId="0" fontId="12" fillId="0" borderId="0" xfId="2" applyFont="1" applyAlignment="1">
      <alignment horizontal="center" vertical="top"/>
    </xf>
    <xf numFmtId="0" fontId="1" fillId="2" borderId="0" xfId="0" applyFont="1" applyFill="1"/>
  </cellXfs>
  <cellStyles count="4">
    <cellStyle name="常规" xfId="0" builtinId="0"/>
    <cellStyle name="常规 2" xfId="1" xr:uid="{A2E9CE25-9E96-4B7E-B96F-993904C382F8}"/>
    <cellStyle name="常规 2 2" xfId="3" xr:uid="{32ED9395-64BD-4B37-BB46-09132C570BEA}"/>
    <cellStyle name="常规 4" xfId="2" xr:uid="{7A097832-F369-4098-9D31-D86A5B8E3F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3</xdr:row>
      <xdr:rowOff>0</xdr:rowOff>
    </xdr:from>
    <xdr:ext cx="4676774" cy="1422153"/>
    <xdr:pic>
      <xdr:nvPicPr>
        <xdr:cNvPr id="2" name="图片 1">
          <a:extLst>
            <a:ext uri="{FF2B5EF4-FFF2-40B4-BE49-F238E27FC236}">
              <a16:creationId xmlns:a16="http://schemas.microsoft.com/office/drawing/2014/main" id="{1B1B5932-F07D-45A8-BE3F-3C0C18F6242D}"/>
            </a:ext>
          </a:extLst>
        </xdr:cNvPr>
        <xdr:cNvPicPr>
          <a:picLocks noChangeAspect="1"/>
        </xdr:cNvPicPr>
      </xdr:nvPicPr>
      <xdr:blipFill>
        <a:blip xmlns:r="http://schemas.openxmlformats.org/officeDocument/2006/relationships" r:embed="rId1"/>
        <a:stretch>
          <a:fillRect/>
        </a:stretch>
      </xdr:blipFill>
      <xdr:spPr>
        <a:xfrm>
          <a:off x="0" y="485775"/>
          <a:ext cx="4676774" cy="142215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Project\EPS\&#25490;&#25918;&#28165;&#21333;\&#20840;&#22269;&#36947;&#36335;&#20132;&#36890;&#30899;&#25490;&#25918;&#39044;&#27979;_202302_after%20-%20after%20-%20VECC%20-%20&#21103;&#2641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olivia\Documents\EPS_Models%20by%20Region\United%20States\Calibration\Calibratio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Project\EPS\&#25490;&#25918;&#28165;&#21333;\PEI_n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各车型2017销售总表"/>
      <sheetName val="客车电动趋势潜力"/>
      <sheetName val="总量"/>
      <sheetName val="人口"/>
      <sheetName val="油耗情景设置"/>
      <sheetName val="电动化率情景设置"/>
      <sheetName val="里程情景设置"/>
      <sheetName val="里程计算 "/>
      <sheetName val="模型说明"/>
      <sheetName val="VECC油耗"/>
      <sheetName val="重型专用货车"/>
      <sheetName val="Sheet5"/>
      <sheetName val="京津冀"/>
      <sheetName val="长三角城市群"/>
      <sheetName val="珠三角"/>
      <sheetName val="成渝"/>
      <sheetName val="汾渭"/>
      <sheetName val="分国标油耗数据"/>
      <sheetName val="参数输入VECC"/>
      <sheetName val="参数输入"/>
      <sheetName val="参数数据库"/>
      <sheetName val="碳排放计算"/>
      <sheetName val="污染物排放计算"/>
      <sheetName val="乘用车"/>
      <sheetName val="出租车"/>
      <sheetName val="公交车"/>
      <sheetName val="中型公交车"/>
      <sheetName val="大型公交车"/>
      <sheetName val="道路客车"/>
      <sheetName val="轻型货车"/>
      <sheetName val="中重型货车"/>
      <sheetName val="FE+EV+VKT-H"/>
      <sheetName val="碳排放"/>
      <sheetName val="碳排放 (2)"/>
      <sheetName val="中型货车"/>
      <sheetName val="重型货车"/>
      <sheetName val="各年销量 "/>
      <sheetName val="总保有量"/>
      <sheetName val="公交车天然气占比"/>
      <sheetName val="国家统计局数据"/>
      <sheetName val="2017年大中型公交车保有量及对应生产年"/>
      <sheetName val="碳排放对比"/>
      <sheetName val="油耗因子更新"/>
      <sheetName val="修改前后的保有量比较"/>
      <sheetName val="乘用车残存率可视化"/>
      <sheetName val="Sheet4"/>
      <sheetName val="行驶里程区间"/>
      <sheetName val="Sheet3"/>
      <sheetName val="Sheet6"/>
      <sheetName val="各年碳排放"/>
      <sheetName val="油耗 -BAU"/>
      <sheetName val="油耗 -情景一"/>
      <sheetName val="油耗 -情景二"/>
      <sheetName val="油耗 -情景三"/>
      <sheetName val="参考情景"/>
      <sheetName val="轿车保有量+销量"/>
      <sheetName val="(弃用)FE(L)"/>
      <sheetName val="(弃用)FE(M)"/>
      <sheetName val="(弃用)FE(H)"/>
      <sheetName val="(弃用)FE+EV(L)"/>
      <sheetName val="(弃用)FE+EV(M)"/>
      <sheetName val="(弃用)FE+EV(H)"/>
      <sheetName val="(弃用)fe+ev+pvkt(L)"/>
      <sheetName val="(弃用)fe+ev+pvkt(M)"/>
      <sheetName val="(弃用)fe+ev+pvkt(H)"/>
      <sheetName val="(弃用)fe+ev+vkt(L)"/>
      <sheetName val="(弃用)fe+ev+vkt(M)"/>
      <sheetName val="(弃用)fe+ev+vk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1. Transportation"/>
      <sheetName val="2. Electricity"/>
      <sheetName val="3. Industry Energy"/>
      <sheetName val="4. Buildings"/>
      <sheetName val="5. Industry Process"/>
      <sheetName val="6. Total"/>
      <sheetName val="7. Particulates"/>
      <sheetName val="7.1 NOX"/>
      <sheetName val="7.2 SOX"/>
      <sheetName val="7.3 PM25"/>
      <sheetName val="EPS"/>
      <sheetName val="NoSettings"/>
      <sheetName val="Vensim Variables"/>
      <sheetName val="EPA_GHG"/>
      <sheetName val="Table 3-1"/>
      <sheetName val="Table 3-7"/>
      <sheetName val="Table 3-9"/>
      <sheetName val="Table 3-10"/>
      <sheetName val="Table 3-11"/>
      <sheetName val="Table 3-12"/>
      <sheetName val="Table 3-13"/>
      <sheetName val="Table 3-14"/>
      <sheetName val="Table 3-15"/>
      <sheetName val="Table 4-1"/>
      <sheetName val="Table 5-1"/>
      <sheetName val="Table 6-1"/>
      <sheetName val="Table 7-1"/>
      <sheetName val="EIA"/>
      <sheetName val="Table 18"/>
      <sheetName val="Table 54"/>
      <sheetName val="Table 11.1"/>
      <sheetName val="Table 11.2"/>
      <sheetName val="Table 11.3"/>
      <sheetName val="Table 11.4"/>
      <sheetName val="Table 11.5"/>
      <sheetName val="Table 11.6"/>
      <sheetName val="Table 11.7"/>
      <sheetName val="National Emissions Inv"/>
      <sheetName val="EPA Data"/>
      <sheetName val="EPS_part"/>
      <sheetName val="Crosswalk Particulates"/>
      <sheetName val="EPA Data_by prim poll"/>
    </sheetNames>
    <sheetDataSet>
      <sheetData sheetId="0">
        <row r="19">
          <cell r="B19">
            <v>1.1023099999999999</v>
          </cell>
        </row>
        <row r="22">
          <cell r="B22">
            <v>1000000</v>
          </cell>
        </row>
        <row r="25">
          <cell r="B25">
            <v>1.1200000000000001</v>
          </cell>
        </row>
        <row r="26">
          <cell r="B26">
            <v>0.88926174496644295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Key to Data Locs"/>
      <sheetName val="GREET1 Results"/>
      <sheetName val="GREET1 EF"/>
      <sheetName val="GREET1 Electric"/>
      <sheetName val="GREET1 JetFuel_WTWa"/>
      <sheetName val="GREET1 Fuel_Specs"/>
      <sheetName val="EF Hub"/>
      <sheetName val="Fuel Heat Contents"/>
      <sheetName val="eGrid Plant"/>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assenger-Micro&amp;light gasoline"/>
      <sheetName val="Passenger-Micro&amp;light diesel"/>
      <sheetName val="Passenger-TAXI gasoline"/>
      <sheetName val="Passenger-TAXI diesel"/>
      <sheetName val="Passenger-中型客车（gasoline）"/>
      <sheetName val="Passenger-中型客车（diesel）"/>
      <sheetName val="Passenger-大型客车（gasoline）"/>
      <sheetName val="Passenger-大型客车（diesel）"/>
      <sheetName val="Passenger-bus（gasoline）"/>
      <sheetName val="Passenger-bus（diesel)"/>
      <sheetName val="Freight-Mini&amp;light（gasoline）"/>
      <sheetName val="Freight-Mini&amp;light（diesel)"/>
      <sheetName val="Freight-MID(gasoline)"/>
      <sheetName val="Freight-MID(diesel)"/>
      <sheetName val="Freight-heavy(gasoline）"/>
      <sheetName val="Freight-heavy(diesel)"/>
      <sheetName val="passenger-LDV"/>
      <sheetName val="passenger-HDV"/>
      <sheetName val="freight-LDV"/>
      <sheetName val="freight-HDV"/>
      <sheetName val="交通部分"/>
      <sheetName val="建筑-民用源"/>
      <sheetName val="建筑-生物质燃料"/>
      <sheetName val="热值"/>
      <sheetName val="EPS分类对照表"/>
      <sheetName val="电力-CO2"/>
      <sheetName val="电力-VOC&amp;CO"/>
      <sheetName val="电力-NOx"/>
      <sheetName val="电力-SO2"/>
      <sheetName val="电力-PM"/>
      <sheetName val="电力-BCOC"/>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89">
          <cell r="A89" t="b">
            <v>1</v>
          </cell>
        </row>
        <row r="203">
          <cell r="A203" t="b">
            <v>1</v>
          </cell>
        </row>
        <row r="214">
          <cell r="A214">
            <v>907185</v>
          </cell>
        </row>
        <row r="215">
          <cell r="A215">
            <v>1000000000000000</v>
          </cell>
        </row>
        <row r="216">
          <cell r="A216">
            <v>1000000000000</v>
          </cell>
        </row>
      </sheetData>
      <sheetData sheetId="1" refreshError="1"/>
      <sheetData sheetId="2" refreshError="1"/>
      <sheetData sheetId="3" refreshError="1"/>
      <sheetData sheetId="4" refreshError="1"/>
      <sheetData sheetId="5" refreshError="1"/>
      <sheetData sheetId="6" refreshError="1"/>
      <sheetData sheetId="7">
        <row r="20">
          <cell r="E20">
            <v>97.72</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18">
          <cell r="F18">
            <v>3.5930729262505267E-6</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workbookViewId="0">
      <selection activeCell="B11" sqref="B11"/>
    </sheetView>
  </sheetViews>
  <sheetFormatPr defaultRowHeight="13.5" x14ac:dyDescent="0.15"/>
  <cols>
    <col min="2" max="2" width="85.5" customWidth="1"/>
  </cols>
  <sheetData>
    <row r="1" spans="1:3" x14ac:dyDescent="0.15">
      <c r="A1" s="1" t="s">
        <v>5</v>
      </c>
    </row>
    <row r="2" spans="1:3" x14ac:dyDescent="0.15">
      <c r="A2" s="1" t="s">
        <v>6</v>
      </c>
    </row>
    <row r="4" spans="1:3" x14ac:dyDescent="0.15">
      <c r="A4" s="1" t="s">
        <v>0</v>
      </c>
      <c r="B4" s="11" t="s">
        <v>21</v>
      </c>
    </row>
    <row r="5" spans="1:3" x14ac:dyDescent="0.15">
      <c r="B5" t="s">
        <v>22</v>
      </c>
    </row>
    <row r="6" spans="1:3" x14ac:dyDescent="0.15">
      <c r="B6" t="s">
        <v>23</v>
      </c>
      <c r="C6" s="4"/>
    </row>
    <row r="7" spans="1:3" x14ac:dyDescent="0.15">
      <c r="B7" s="2">
        <v>2021</v>
      </c>
      <c r="C7" s="4"/>
    </row>
    <row r="8" spans="1:3" x14ac:dyDescent="0.15">
      <c r="B8" t="s">
        <v>24</v>
      </c>
    </row>
    <row r="9" spans="1:3" x14ac:dyDescent="0.15">
      <c r="B9" t="s">
        <v>25</v>
      </c>
    </row>
    <row r="10" spans="1:3" x14ac:dyDescent="0.15">
      <c r="B10" t="s">
        <v>26</v>
      </c>
    </row>
    <row r="11" spans="1:3" x14ac:dyDescent="0.15">
      <c r="B11" t="s">
        <v>27</v>
      </c>
    </row>
    <row r="13" spans="1:3" x14ac:dyDescent="0.15">
      <c r="A13" s="1" t="s">
        <v>1</v>
      </c>
    </row>
    <row r="14" spans="1:3" x14ac:dyDescent="0.15">
      <c r="A14" s="5" t="s">
        <v>7</v>
      </c>
    </row>
    <row r="15" spans="1:3" x14ac:dyDescent="0.15">
      <c r="A15" t="s">
        <v>8</v>
      </c>
    </row>
    <row r="16" spans="1:3" x14ac:dyDescent="0.15">
      <c r="A16" t="s">
        <v>9</v>
      </c>
    </row>
  </sheetData>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B413A-E3D0-4AF3-A015-0037E9F7F331}">
  <dimension ref="A1:G15"/>
  <sheetViews>
    <sheetView workbookViewId="0">
      <selection activeCell="A15" sqref="A15:XFD15"/>
    </sheetView>
  </sheetViews>
  <sheetFormatPr defaultRowHeight="12.75" x14ac:dyDescent="0.15"/>
  <cols>
    <col min="1" max="1" width="31.25" style="7" bestFit="1" customWidth="1"/>
    <col min="2" max="2" width="25.75" style="7" bestFit="1" customWidth="1"/>
    <col min="3" max="3" width="4.75" style="7" bestFit="1" customWidth="1"/>
    <col min="4" max="9" width="8.125" style="7" customWidth="1"/>
    <col min="10" max="16384" width="9" style="7"/>
  </cols>
  <sheetData>
    <row r="1" spans="1:7" x14ac:dyDescent="0.15">
      <c r="A1" s="6" t="s">
        <v>10</v>
      </c>
    </row>
    <row r="2" spans="1:7" x14ac:dyDescent="0.15">
      <c r="A2" s="8" t="s">
        <v>11</v>
      </c>
    </row>
    <row r="3" spans="1:7" x14ac:dyDescent="0.15">
      <c r="A3" s="8" t="s">
        <v>12</v>
      </c>
    </row>
    <row r="7" spans="1:7" ht="13.5" x14ac:dyDescent="0.15">
      <c r="D7"/>
      <c r="E7"/>
    </row>
    <row r="13" spans="1:7" x14ac:dyDescent="0.15">
      <c r="D13" s="9" t="s">
        <v>13</v>
      </c>
      <c r="E13" s="9" t="s">
        <v>14</v>
      </c>
      <c r="F13" s="9">
        <v>29307.599999999999</v>
      </c>
      <c r="G13" s="9" t="s">
        <v>15</v>
      </c>
    </row>
    <row r="14" spans="1:7" x14ac:dyDescent="0.15">
      <c r="D14" s="9" t="s">
        <v>16</v>
      </c>
      <c r="E14" s="9" t="s">
        <v>17</v>
      </c>
      <c r="F14" s="9">
        <v>1.05505585</v>
      </c>
      <c r="G14" s="9" t="s">
        <v>18</v>
      </c>
    </row>
    <row r="15" spans="1:7" x14ac:dyDescent="0.15">
      <c r="D15" s="10" t="s">
        <v>19</v>
      </c>
      <c r="E15" s="10" t="s">
        <v>17</v>
      </c>
      <c r="F15" s="10">
        <f>F13/F14</f>
        <v>27778.245104275757</v>
      </c>
      <c r="G15" s="10" t="s">
        <v>20</v>
      </c>
    </row>
  </sheetData>
  <phoneticPr fontId="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10"/>
  <sheetViews>
    <sheetView tabSelected="1" workbookViewId="0">
      <selection activeCell="B3" sqref="B3"/>
    </sheetView>
  </sheetViews>
  <sheetFormatPr defaultRowHeight="13.5" x14ac:dyDescent="0.15"/>
  <cols>
    <col min="2" max="2" width="17.875" customWidth="1"/>
  </cols>
  <sheetData>
    <row r="1" spans="1:2" x14ac:dyDescent="0.15">
      <c r="B1" s="2" t="s">
        <v>3</v>
      </c>
    </row>
    <row r="2" spans="1:2" x14ac:dyDescent="0.15">
      <c r="A2" t="s">
        <v>2</v>
      </c>
      <c r="B2" s="3">
        <f>'GBT2589'!F15*10^7</f>
        <v>277782451042.75757</v>
      </c>
    </row>
    <row r="9" spans="1:2" x14ac:dyDescent="0.15">
      <c r="B9" s="3"/>
    </row>
    <row r="10" spans="1:2" x14ac:dyDescent="0.15">
      <c r="B10" s="3"/>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B10"/>
  <sheetViews>
    <sheetView workbookViewId="0">
      <selection activeCell="B3" sqref="B3"/>
    </sheetView>
  </sheetViews>
  <sheetFormatPr defaultRowHeight="13.5" x14ac:dyDescent="0.15"/>
  <cols>
    <col min="2" max="2" width="12" bestFit="1" customWidth="1"/>
  </cols>
  <sheetData>
    <row r="1" spans="1:2" x14ac:dyDescent="0.15">
      <c r="B1" s="2" t="s">
        <v>4</v>
      </c>
    </row>
    <row r="2" spans="1:2" x14ac:dyDescent="0.15">
      <c r="A2" t="s">
        <v>2</v>
      </c>
      <c r="B2">
        <f>'GBT2589'!F15</f>
        <v>27778.245104275757</v>
      </c>
    </row>
    <row r="9" spans="1:2" x14ac:dyDescent="0.15">
      <c r="B9" s="3"/>
    </row>
    <row r="10" spans="1:2" x14ac:dyDescent="0.15">
      <c r="B10" s="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About</vt:lpstr>
      <vt:lpstr>GBT2589</vt:lpstr>
      <vt:lpstr>BpTPEU-large</vt:lpstr>
      <vt:lpstr>BpTPEU-small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Rui Wang</cp:lastModifiedBy>
  <dcterms:created xsi:type="dcterms:W3CDTF">2017-02-22T20:31:49Z</dcterms:created>
  <dcterms:modified xsi:type="dcterms:W3CDTF">2024-03-14T10:09:11Z</dcterms:modified>
</cp:coreProperties>
</file>