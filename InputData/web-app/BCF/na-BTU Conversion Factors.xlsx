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defaultThemeVersion="124226"/>
  <mc:AlternateContent xmlns:mc="http://schemas.openxmlformats.org/markup-compatibility/2006">
    <mc:Choice Requires="x15">
      <x15ac:absPath xmlns:x15ac="http://schemas.microsoft.com/office/spreadsheetml/2010/11/ac" url="D:\Programming\EPS\Github Push\Shandong\eps-shandong-ei\InputData\web-app\BCF\"/>
    </mc:Choice>
  </mc:AlternateContent>
  <xr:revisionPtr revIDLastSave="0" documentId="13_ncr:1_{2319C716-2A06-46A2-9EEE-65CA857DBD88}" xr6:coauthVersionLast="47" xr6:coauthVersionMax="47" xr10:uidLastSave="{00000000-0000-0000-0000-000000000000}"/>
  <bookViews>
    <workbookView xWindow="-120" yWindow="-120" windowWidth="29040" windowHeight="15840" xr2:uid="{6E86E37C-5985-41CF-B663-298DFA4FC38B}"/>
  </bookViews>
  <sheets>
    <sheet name="About" sheetId="1" r:id="rId1"/>
    <sheet name="GBT2589" sheetId="19" r:id="rId2"/>
    <sheet name="Statistical Yearbook" sheetId="20" r:id="rId3"/>
    <sheet name="Heat Value" sheetId="16" r:id="rId4"/>
    <sheet name="Start Year Energy Balance" sheetId="18" r:id="rId5"/>
    <sheet name="AEO Table 73" sheetId="14" r:id="rId6"/>
    <sheet name="GREET1 Fuel_Specs" sheetId="9" r:id="rId7"/>
    <sheet name="EPS Fuel Crosswalk" sheetId="17" r:id="rId8"/>
    <sheet name="Calculation" sheetId="21" r:id="rId9"/>
    <sheet name="Fuel Economy Calculation" sheetId="22" r:id="rId10"/>
    <sheet name="BCF-BpLFOU" sheetId="11" r:id="rId11"/>
    <sheet name="BCF-BpSFOU" sheetId="12" r:id="rId12"/>
    <sheet name="BCF-VFEUCF" sheetId="10" r:id="rId13"/>
    <sheet name="BCF-BpEIEOU" sheetId="13" r:id="rId14"/>
  </sheets>
  <externalReferences>
    <externalReference r:id="rId15"/>
    <externalReference r:id="rId16"/>
    <externalReference r:id="rId17"/>
    <externalReference r:id="rId18"/>
  </externalReferences>
  <definedNames>
    <definedName name="_xlnm._FilterDatabase" localSheetId="7" hidden="1">'EPS Fuel Crosswalk'!$A$1:$F$37</definedName>
    <definedName name="_xlnm._FilterDatabase" localSheetId="3" hidden="1">'Heat Value'!$A$2:$F$2</definedName>
    <definedName name="BAU">[1]参数数据库!#REF!</definedName>
    <definedName name="CH4_Ar4_to_AR5">[2]Overview!$B$25</definedName>
    <definedName name="gal_per_barrel" localSheetId="7">[3]About!$A$63</definedName>
    <definedName name="gal_per_barrel" localSheetId="3">[3]About!$A$63</definedName>
    <definedName name="gal_per_barrel">About!$A$72</definedName>
    <definedName name="HHV_Adjust">[4]About!$A$203</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[2]Overview!$B$19</definedName>
    <definedName name="million">[2]Overview!$B$22</definedName>
    <definedName name="N2O_AR4_to_AR5">[2]Overview!$B$26</definedName>
    <definedName name="quadrillion">[4]About!$A$215</definedName>
    <definedName name="shorttons_to_grams">[4]About!$A$214</definedName>
    <definedName name="trillion">[4]About!$A$216</definedName>
    <definedName name="use_lifecycle_biofuel_EIs">[4]About!$A$89</definedName>
    <definedName name="情景二">[1]参数数据库!#REF!</definedName>
    <definedName name="情景一">[1]参数数据库!#REF!</definedName>
    <definedName name="手动输入">[1]参数数据库!#REF!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22" l="1"/>
  <c r="B7" i="22"/>
  <c r="B6" i="22"/>
  <c r="D5" i="22"/>
  <c r="B4" i="22"/>
  <c r="A4" i="22"/>
  <c r="C2" i="22"/>
  <c r="C41" i="18" l="1"/>
  <c r="B2" i="13"/>
  <c r="B65" i="1" l="1"/>
  <c r="B84" i="1" l="1"/>
  <c r="B13" i="11" l="1"/>
  <c r="B12" i="11" s="1"/>
  <c r="B13" i="12"/>
  <c r="B12" i="12" s="1"/>
  <c r="D5" i="12" l="1"/>
  <c r="E5" i="12"/>
  <c r="F5" i="12"/>
  <c r="G5" i="12"/>
  <c r="H5" i="12"/>
  <c r="I5" i="12"/>
  <c r="J5" i="12"/>
  <c r="K5" i="12"/>
  <c r="L5" i="12"/>
  <c r="M5" i="12"/>
  <c r="N5" i="12"/>
  <c r="O5" i="12"/>
  <c r="P5" i="12"/>
  <c r="Q5" i="12"/>
  <c r="R5" i="12"/>
  <c r="S5" i="12"/>
  <c r="T5" i="12"/>
  <c r="U5" i="12"/>
  <c r="V5" i="12"/>
  <c r="W5" i="12"/>
  <c r="X5" i="12"/>
  <c r="Y5" i="12"/>
  <c r="Z5" i="12"/>
  <c r="AA5" i="12"/>
  <c r="AB5" i="12"/>
  <c r="AC5" i="12"/>
  <c r="AD5" i="12"/>
  <c r="AE5" i="12"/>
  <c r="AF5" i="12"/>
  <c r="AG5" i="12"/>
  <c r="AH5" i="12"/>
  <c r="AI5" i="12"/>
  <c r="AJ5" i="12"/>
  <c r="AK5" i="12"/>
  <c r="AL5" i="12"/>
  <c r="AM5" i="12"/>
  <c r="AN5" i="12"/>
  <c r="AO5" i="12"/>
  <c r="AP5" i="12"/>
  <c r="AQ5" i="12"/>
  <c r="D12" i="12"/>
  <c r="E12" i="12"/>
  <c r="F12" i="12"/>
  <c r="G12" i="12"/>
  <c r="H12" i="12"/>
  <c r="I12" i="12"/>
  <c r="J12" i="12"/>
  <c r="K12" i="12"/>
  <c r="L12" i="12"/>
  <c r="M12" i="12"/>
  <c r="N12" i="12"/>
  <c r="O12" i="12"/>
  <c r="P12" i="12"/>
  <c r="Q12" i="12"/>
  <c r="R12" i="12"/>
  <c r="S12" i="12"/>
  <c r="T12" i="12"/>
  <c r="U12" i="12"/>
  <c r="V12" i="12"/>
  <c r="W12" i="12"/>
  <c r="X12" i="12"/>
  <c r="Y12" i="12"/>
  <c r="Z12" i="12"/>
  <c r="AA12" i="12"/>
  <c r="AB12" i="12"/>
  <c r="AC12" i="12"/>
  <c r="AD12" i="12"/>
  <c r="AE12" i="12"/>
  <c r="AF12" i="12"/>
  <c r="AG12" i="12"/>
  <c r="AH12" i="12"/>
  <c r="AI12" i="12"/>
  <c r="AJ12" i="12"/>
  <c r="AK12" i="12"/>
  <c r="AL12" i="12"/>
  <c r="AM12" i="12"/>
  <c r="AN12" i="12"/>
  <c r="AO12" i="12"/>
  <c r="AP12" i="12"/>
  <c r="AQ12" i="12"/>
  <c r="D13" i="12"/>
  <c r="E13" i="12"/>
  <c r="F13" i="12"/>
  <c r="G13" i="12"/>
  <c r="H13" i="12"/>
  <c r="I13" i="12"/>
  <c r="J13" i="12"/>
  <c r="K13" i="12"/>
  <c r="L13" i="12"/>
  <c r="M13" i="12"/>
  <c r="N13" i="12"/>
  <c r="O13" i="12"/>
  <c r="P13" i="12"/>
  <c r="Q13" i="12"/>
  <c r="R13" i="12"/>
  <c r="S13" i="12"/>
  <c r="T13" i="12"/>
  <c r="U13" i="12"/>
  <c r="V13" i="12"/>
  <c r="W13" i="12"/>
  <c r="X13" i="12"/>
  <c r="Y13" i="12"/>
  <c r="Z13" i="12"/>
  <c r="AA13" i="12"/>
  <c r="AB13" i="12"/>
  <c r="AC13" i="12"/>
  <c r="AD13" i="12"/>
  <c r="AE13" i="12"/>
  <c r="AF13" i="12"/>
  <c r="AG13" i="12"/>
  <c r="AH13" i="12"/>
  <c r="AI13" i="12"/>
  <c r="AJ13" i="12"/>
  <c r="AK13" i="12"/>
  <c r="AL13" i="12"/>
  <c r="AM13" i="12"/>
  <c r="AN13" i="12"/>
  <c r="AO13" i="12"/>
  <c r="AP13" i="12"/>
  <c r="AQ13" i="12"/>
  <c r="D21" i="12"/>
  <c r="E21" i="12"/>
  <c r="F21" i="12"/>
  <c r="G21" i="12"/>
  <c r="H21" i="12"/>
  <c r="I21" i="12"/>
  <c r="J21" i="12"/>
  <c r="K21" i="12"/>
  <c r="L21" i="12"/>
  <c r="M21" i="12"/>
  <c r="N21" i="12"/>
  <c r="O21" i="12"/>
  <c r="P21" i="12"/>
  <c r="Q21" i="12"/>
  <c r="R21" i="12"/>
  <c r="S21" i="12"/>
  <c r="T21" i="12"/>
  <c r="U21" i="12"/>
  <c r="V21" i="12"/>
  <c r="W21" i="12"/>
  <c r="X21" i="12"/>
  <c r="Y21" i="12"/>
  <c r="Z21" i="12"/>
  <c r="AA21" i="12"/>
  <c r="AB21" i="12"/>
  <c r="AC21" i="12"/>
  <c r="AD21" i="12"/>
  <c r="AE21" i="12"/>
  <c r="AF21" i="12"/>
  <c r="AG21" i="12"/>
  <c r="AH21" i="12"/>
  <c r="AI21" i="12"/>
  <c r="AJ21" i="12"/>
  <c r="AK21" i="12"/>
  <c r="AL21" i="12"/>
  <c r="AM21" i="12"/>
  <c r="AN21" i="12"/>
  <c r="AO21" i="12"/>
  <c r="AP21" i="12"/>
  <c r="AQ21" i="12"/>
  <c r="D22" i="12"/>
  <c r="E22" i="12"/>
  <c r="F22" i="12"/>
  <c r="G22" i="12"/>
  <c r="H22" i="12"/>
  <c r="I22" i="12"/>
  <c r="J22" i="12"/>
  <c r="K22" i="12"/>
  <c r="L22" i="12"/>
  <c r="M22" i="12"/>
  <c r="N22" i="12"/>
  <c r="O22" i="12"/>
  <c r="P22" i="12"/>
  <c r="Q22" i="12"/>
  <c r="R22" i="12"/>
  <c r="S22" i="12"/>
  <c r="T22" i="12"/>
  <c r="U22" i="12"/>
  <c r="V22" i="12"/>
  <c r="W22" i="12"/>
  <c r="X22" i="12"/>
  <c r="Y22" i="12"/>
  <c r="Z22" i="12"/>
  <c r="AA22" i="12"/>
  <c r="AB22" i="12"/>
  <c r="AC22" i="12"/>
  <c r="AD22" i="12"/>
  <c r="AE22" i="12"/>
  <c r="AF22" i="12"/>
  <c r="AG22" i="12"/>
  <c r="AH22" i="12"/>
  <c r="AI22" i="12"/>
  <c r="AJ22" i="12"/>
  <c r="AK22" i="12"/>
  <c r="AL22" i="12"/>
  <c r="AM22" i="12"/>
  <c r="AN22" i="12"/>
  <c r="AO22" i="12"/>
  <c r="AP22" i="12"/>
  <c r="AQ22" i="12"/>
  <c r="C5" i="12"/>
  <c r="C12" i="12"/>
  <c r="C13" i="12"/>
  <c r="C21" i="12"/>
  <c r="C22" i="12"/>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I5" i="11"/>
  <c r="AJ5" i="11"/>
  <c r="AK5" i="11"/>
  <c r="AL5" i="11"/>
  <c r="AM5" i="11"/>
  <c r="AN5" i="11"/>
  <c r="AO5" i="11"/>
  <c r="AP5" i="11"/>
  <c r="AQ5"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F12" i="11"/>
  <c r="AG12" i="11"/>
  <c r="AH12" i="11"/>
  <c r="AI12" i="11"/>
  <c r="AJ12" i="11"/>
  <c r="AK12" i="11"/>
  <c r="AL12" i="11"/>
  <c r="AM12" i="11"/>
  <c r="AN12" i="11"/>
  <c r="AO12" i="11"/>
  <c r="AP12" i="11"/>
  <c r="AQ12"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I13" i="11"/>
  <c r="AJ13" i="11"/>
  <c r="AK13" i="11"/>
  <c r="AL13" i="11"/>
  <c r="AM13" i="11"/>
  <c r="AN13" i="11"/>
  <c r="AO13" i="11"/>
  <c r="AP13" i="11"/>
  <c r="AQ13"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I21" i="11"/>
  <c r="AJ21" i="11"/>
  <c r="AK21" i="11"/>
  <c r="AL21" i="11"/>
  <c r="AM21" i="11"/>
  <c r="AN21" i="11"/>
  <c r="AO21" i="11"/>
  <c r="AP21" i="11"/>
  <c r="AQ21"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I22" i="11"/>
  <c r="AJ22" i="11"/>
  <c r="AK22" i="11"/>
  <c r="AL22" i="11"/>
  <c r="AM22" i="11"/>
  <c r="AN22" i="11"/>
  <c r="AO22" i="11"/>
  <c r="AP22" i="11"/>
  <c r="AQ22" i="11"/>
  <c r="C5" i="11"/>
  <c r="C12" i="11"/>
  <c r="C13" i="11"/>
  <c r="C21" i="11"/>
  <c r="C22" i="11"/>
  <c r="L30" i="21"/>
  <c r="L29" i="21"/>
  <c r="L3" i="21"/>
  <c r="L4" i="21"/>
  <c r="L5" i="21"/>
  <c r="L6" i="21"/>
  <c r="L7" i="21"/>
  <c r="L8" i="21"/>
  <c r="L9" i="21"/>
  <c r="L10" i="21"/>
  <c r="L11" i="21"/>
  <c r="L12" i="21"/>
  <c r="L13" i="21"/>
  <c r="L14" i="21"/>
  <c r="L15" i="21"/>
  <c r="L16" i="21"/>
  <c r="L17" i="21"/>
  <c r="L18" i="21"/>
  <c r="L19" i="21"/>
  <c r="L20" i="21"/>
  <c r="L21" i="21"/>
  <c r="L22" i="21"/>
  <c r="L23" i="21"/>
  <c r="L24" i="21"/>
  <c r="L25" i="21"/>
  <c r="L26" i="21"/>
  <c r="L27" i="21"/>
  <c r="L28" i="21"/>
  <c r="L31" i="21"/>
  <c r="L2" i="21"/>
  <c r="F3" i="21"/>
  <c r="F4" i="21"/>
  <c r="F5" i="21"/>
  <c r="F6" i="21"/>
  <c r="F7" i="21"/>
  <c r="F12" i="21"/>
  <c r="F13" i="21"/>
  <c r="F14" i="21"/>
  <c r="F15" i="21"/>
  <c r="F16" i="21"/>
  <c r="F17" i="21"/>
  <c r="F18" i="21"/>
  <c r="F19" i="21"/>
  <c r="F20" i="21"/>
  <c r="F21" i="21"/>
  <c r="F22" i="21"/>
  <c r="F23" i="21"/>
  <c r="F24" i="21"/>
  <c r="F25" i="21"/>
  <c r="F26" i="21"/>
  <c r="F27" i="21"/>
  <c r="F28" i="21"/>
  <c r="F29" i="21"/>
  <c r="F30" i="21"/>
  <c r="F31" i="21"/>
  <c r="F2" i="21"/>
  <c r="AC41" i="18"/>
  <c r="B48" i="20"/>
  <c r="I22" i="21"/>
  <c r="F12" i="16"/>
  <c r="D10" i="21" s="1"/>
  <c r="F13" i="16"/>
  <c r="D11" i="21" s="1"/>
  <c r="F14" i="16"/>
  <c r="D12" i="21" s="1"/>
  <c r="F16" i="16"/>
  <c r="D13" i="21" s="1"/>
  <c r="F17" i="16"/>
  <c r="D14" i="21" s="1"/>
  <c r="F18" i="16"/>
  <c r="D15" i="21" s="1"/>
  <c r="F19" i="16"/>
  <c r="D16" i="21" s="1"/>
  <c r="F20" i="16"/>
  <c r="D17" i="21" s="1"/>
  <c r="F21" i="16"/>
  <c r="D18" i="21" s="1"/>
  <c r="F22" i="16"/>
  <c r="D19" i="21" s="1"/>
  <c r="F23" i="16"/>
  <c r="D20" i="21" s="1"/>
  <c r="F24" i="16"/>
  <c r="D21" i="21" s="1"/>
  <c r="F25" i="16"/>
  <c r="D22" i="21" s="1"/>
  <c r="E22" i="21" s="1"/>
  <c r="F26" i="16"/>
  <c r="D23" i="21" s="1"/>
  <c r="F27" i="16"/>
  <c r="D24" i="21" s="1"/>
  <c r="F28" i="16"/>
  <c r="D25" i="21" s="1"/>
  <c r="F29" i="16"/>
  <c r="D26" i="21" s="1"/>
  <c r="F30" i="16"/>
  <c r="D27" i="21" s="1"/>
  <c r="F31" i="16"/>
  <c r="D28" i="21" s="1"/>
  <c r="F32" i="16"/>
  <c r="D29" i="21" s="1"/>
  <c r="F33" i="16"/>
  <c r="D30" i="21" s="1"/>
  <c r="F34" i="16"/>
  <c r="D31" i="21" s="1"/>
  <c r="F5" i="16"/>
  <c r="D3" i="21" s="1"/>
  <c r="F6" i="16"/>
  <c r="D4" i="21" s="1"/>
  <c r="F7" i="16"/>
  <c r="D5" i="21" s="1"/>
  <c r="F8" i="16"/>
  <c r="D6" i="21" s="1"/>
  <c r="F9" i="16"/>
  <c r="D7" i="21" s="1"/>
  <c r="F10" i="16"/>
  <c r="D8" i="21" s="1"/>
  <c r="F11" i="16"/>
  <c r="D9" i="21" s="1"/>
  <c r="F4" i="16"/>
  <c r="D2" i="21" s="1"/>
  <c r="E17" i="16"/>
  <c r="E18" i="16"/>
  <c r="E19" i="16"/>
  <c r="E20" i="16"/>
  <c r="E21" i="16"/>
  <c r="E22" i="16"/>
  <c r="E23" i="16"/>
  <c r="E24" i="16"/>
  <c r="E25" i="16"/>
  <c r="E26" i="16"/>
  <c r="E27" i="16"/>
  <c r="E28" i="16"/>
  <c r="E29" i="16"/>
  <c r="E30" i="16"/>
  <c r="E31" i="16"/>
  <c r="E32" i="16"/>
  <c r="E33" i="16"/>
  <c r="E34" i="16"/>
  <c r="E16" i="16"/>
  <c r="E5" i="16"/>
  <c r="E6" i="16"/>
  <c r="E7" i="16"/>
  <c r="E8" i="16"/>
  <c r="E9" i="16"/>
  <c r="E10" i="16"/>
  <c r="E11" i="16"/>
  <c r="E12" i="16"/>
  <c r="E13" i="16"/>
  <c r="E14" i="16"/>
  <c r="E4" i="16"/>
  <c r="A73" i="1"/>
  <c r="B15" i="11" s="1"/>
  <c r="O15" i="11" l="1"/>
  <c r="AE15" i="11"/>
  <c r="P15" i="11"/>
  <c r="AF15" i="11"/>
  <c r="C15" i="11"/>
  <c r="Q15" i="11"/>
  <c r="AG15" i="11"/>
  <c r="R15" i="11"/>
  <c r="AH15" i="11"/>
  <c r="S15" i="11"/>
  <c r="AI15" i="11"/>
  <c r="D15" i="11"/>
  <c r="T15" i="11"/>
  <c r="AJ15" i="11"/>
  <c r="E15" i="11"/>
  <c r="U15" i="11"/>
  <c r="AK15" i="11"/>
  <c r="F15" i="11"/>
  <c r="V15" i="11"/>
  <c r="AL15" i="11"/>
  <c r="G15" i="11"/>
  <c r="W15" i="11"/>
  <c r="AM15" i="11"/>
  <c r="H15" i="11"/>
  <c r="X15" i="11"/>
  <c r="AN15" i="11"/>
  <c r="I15" i="11"/>
  <c r="Y15" i="11"/>
  <c r="AO15" i="11"/>
  <c r="K15" i="11"/>
  <c r="AA15" i="11"/>
  <c r="AQ15" i="11"/>
  <c r="L15" i="11"/>
  <c r="AB15" i="11"/>
  <c r="M15" i="11"/>
  <c r="AC15" i="11"/>
  <c r="J15" i="11"/>
  <c r="N15" i="11"/>
  <c r="Z15" i="11"/>
  <c r="AD15" i="11"/>
  <c r="AP15" i="11"/>
  <c r="B2" i="12"/>
  <c r="B2" i="11"/>
  <c r="B16" i="12" l="1"/>
  <c r="B8" i="12"/>
  <c r="B7" i="12"/>
  <c r="B6" i="12"/>
  <c r="D2" i="12"/>
  <c r="T2" i="12"/>
  <c r="AJ2" i="12"/>
  <c r="E2" i="12"/>
  <c r="U2" i="12"/>
  <c r="AK2" i="12"/>
  <c r="F2" i="12"/>
  <c r="V2" i="12"/>
  <c r="AL2" i="12"/>
  <c r="G2" i="12"/>
  <c r="W2" i="12"/>
  <c r="AM2" i="12"/>
  <c r="H2" i="12"/>
  <c r="X2" i="12"/>
  <c r="AN2" i="12"/>
  <c r="I2" i="12"/>
  <c r="Y2" i="12"/>
  <c r="AO2" i="12"/>
  <c r="J2" i="12"/>
  <c r="Z2" i="12"/>
  <c r="AP2" i="12"/>
  <c r="K2" i="12"/>
  <c r="AA2" i="12"/>
  <c r="AQ2" i="12"/>
  <c r="L2" i="12"/>
  <c r="AB2" i="12"/>
  <c r="M2" i="12"/>
  <c r="AC2" i="12"/>
  <c r="N2" i="12"/>
  <c r="AD2" i="12"/>
  <c r="O2" i="12"/>
  <c r="AE2" i="12"/>
  <c r="P2" i="12"/>
  <c r="AF2" i="12"/>
  <c r="C2" i="12"/>
  <c r="Q2" i="12"/>
  <c r="AG2" i="12"/>
  <c r="R2" i="12"/>
  <c r="AH2" i="12"/>
  <c r="S2" i="12"/>
  <c r="AI2" i="12"/>
  <c r="G2" i="11"/>
  <c r="W2" i="11"/>
  <c r="AM2" i="11"/>
  <c r="H2" i="11"/>
  <c r="X2" i="11"/>
  <c r="AN2" i="11"/>
  <c r="I2" i="11"/>
  <c r="Y2" i="11"/>
  <c r="AO2" i="11"/>
  <c r="J2" i="11"/>
  <c r="Z2" i="11"/>
  <c r="AP2" i="11"/>
  <c r="K2" i="11"/>
  <c r="AA2" i="11"/>
  <c r="AQ2" i="11"/>
  <c r="L2" i="11"/>
  <c r="AB2" i="11"/>
  <c r="M2" i="11"/>
  <c r="AC2" i="11"/>
  <c r="N2" i="11"/>
  <c r="AD2" i="11"/>
  <c r="O2" i="11"/>
  <c r="AE2" i="11"/>
  <c r="P2" i="11"/>
  <c r="AF2" i="11"/>
  <c r="C2" i="11"/>
  <c r="Q2" i="11"/>
  <c r="AG2" i="11"/>
  <c r="B16" i="11"/>
  <c r="R2" i="11"/>
  <c r="AH2" i="11"/>
  <c r="S2" i="11"/>
  <c r="AI2" i="11"/>
  <c r="D2" i="11"/>
  <c r="T2" i="11"/>
  <c r="AJ2" i="11"/>
  <c r="B6" i="11"/>
  <c r="E2" i="11"/>
  <c r="U2" i="11"/>
  <c r="AK2" i="11"/>
  <c r="F2" i="11"/>
  <c r="V2" i="11"/>
  <c r="AL2" i="11"/>
  <c r="B7" i="11"/>
  <c r="B8" i="11"/>
  <c r="K36" i="9"/>
  <c r="O7" i="11" l="1"/>
  <c r="AE7" i="11"/>
  <c r="P7" i="11"/>
  <c r="AF7" i="11"/>
  <c r="Q7" i="11"/>
  <c r="AG7" i="11"/>
  <c r="R7" i="11"/>
  <c r="AH7" i="11"/>
  <c r="S7" i="11"/>
  <c r="AI7" i="11"/>
  <c r="D7" i="11"/>
  <c r="T7" i="11"/>
  <c r="AJ7" i="11"/>
  <c r="E7" i="11"/>
  <c r="U7" i="11"/>
  <c r="AK7" i="11"/>
  <c r="F7" i="11"/>
  <c r="V7" i="11"/>
  <c r="AL7" i="11"/>
  <c r="G7" i="11"/>
  <c r="W7" i="11"/>
  <c r="AM7" i="11"/>
  <c r="H7" i="11"/>
  <c r="X7" i="11"/>
  <c r="AN7" i="11"/>
  <c r="C7" i="11"/>
  <c r="I7" i="11"/>
  <c r="Y7" i="11"/>
  <c r="AO7" i="11"/>
  <c r="K7" i="11"/>
  <c r="AA7" i="11"/>
  <c r="AQ7" i="11"/>
  <c r="L7" i="11"/>
  <c r="AB7" i="11"/>
  <c r="M7" i="11"/>
  <c r="AC7" i="11"/>
  <c r="J7" i="11"/>
  <c r="N7" i="11"/>
  <c r="Z7" i="11"/>
  <c r="AD7" i="11"/>
  <c r="AP7" i="11"/>
  <c r="G16" i="11"/>
  <c r="W16" i="11"/>
  <c r="AM16" i="11"/>
  <c r="H16" i="11"/>
  <c r="X16" i="11"/>
  <c r="AN16" i="11"/>
  <c r="I16" i="11"/>
  <c r="Y16" i="11"/>
  <c r="AO16" i="11"/>
  <c r="C16" i="11"/>
  <c r="J16" i="11"/>
  <c r="Z16" i="11"/>
  <c r="AP16" i="11"/>
  <c r="K16" i="11"/>
  <c r="AA16" i="11"/>
  <c r="AQ16" i="11"/>
  <c r="L16" i="11"/>
  <c r="AB16" i="11"/>
  <c r="M16" i="11"/>
  <c r="AC16" i="11"/>
  <c r="N16" i="11"/>
  <c r="AD16" i="11"/>
  <c r="O16" i="11"/>
  <c r="AE16" i="11"/>
  <c r="P16" i="11"/>
  <c r="AF16" i="11"/>
  <c r="Q16" i="11"/>
  <c r="AG16" i="11"/>
  <c r="S16" i="11"/>
  <c r="AI16" i="11"/>
  <c r="D16" i="11"/>
  <c r="T16" i="11"/>
  <c r="AJ16" i="11"/>
  <c r="E16" i="11"/>
  <c r="U16" i="11"/>
  <c r="AK16" i="11"/>
  <c r="AL16" i="11"/>
  <c r="F16" i="11"/>
  <c r="R16" i="11"/>
  <c r="V16" i="11"/>
  <c r="AH16" i="11"/>
  <c r="G8" i="11"/>
  <c r="W8" i="11"/>
  <c r="AM8" i="11"/>
  <c r="H8" i="11"/>
  <c r="X8" i="11"/>
  <c r="AN8" i="11"/>
  <c r="I8" i="11"/>
  <c r="Y8" i="11"/>
  <c r="AO8" i="11"/>
  <c r="J8" i="11"/>
  <c r="Z8" i="11"/>
  <c r="AP8" i="11"/>
  <c r="K8" i="11"/>
  <c r="AA8" i="11"/>
  <c r="AQ8" i="11"/>
  <c r="L8" i="11"/>
  <c r="AB8" i="11"/>
  <c r="M8" i="11"/>
  <c r="AC8" i="11"/>
  <c r="N8" i="11"/>
  <c r="AD8" i="11"/>
  <c r="O8" i="11"/>
  <c r="AE8" i="11"/>
  <c r="P8" i="11"/>
  <c r="AF8" i="11"/>
  <c r="Q8" i="11"/>
  <c r="AG8" i="11"/>
  <c r="C8" i="11"/>
  <c r="S8" i="11"/>
  <c r="AI8" i="11"/>
  <c r="D8" i="11"/>
  <c r="T8" i="11"/>
  <c r="AJ8" i="11"/>
  <c r="E8" i="11"/>
  <c r="U8" i="11"/>
  <c r="AK8" i="11"/>
  <c r="AH8" i="11"/>
  <c r="AL8" i="11"/>
  <c r="V8" i="11"/>
  <c r="F8" i="11"/>
  <c r="R8" i="11"/>
  <c r="D6" i="12"/>
  <c r="T6" i="12"/>
  <c r="AJ6" i="12"/>
  <c r="E6" i="12"/>
  <c r="U6" i="12"/>
  <c r="AK6" i="12"/>
  <c r="F6" i="12"/>
  <c r="V6" i="12"/>
  <c r="AL6" i="12"/>
  <c r="G6" i="12"/>
  <c r="W6" i="12"/>
  <c r="AM6" i="12"/>
  <c r="H6" i="12"/>
  <c r="X6" i="12"/>
  <c r="AN6" i="12"/>
  <c r="I6" i="12"/>
  <c r="Y6" i="12"/>
  <c r="AO6" i="12"/>
  <c r="J6" i="12"/>
  <c r="Z6" i="12"/>
  <c r="AP6" i="12"/>
  <c r="K6" i="12"/>
  <c r="AA6" i="12"/>
  <c r="AQ6" i="12"/>
  <c r="L6" i="12"/>
  <c r="AB6" i="12"/>
  <c r="M6" i="12"/>
  <c r="AC6" i="12"/>
  <c r="N6" i="12"/>
  <c r="AD6" i="12"/>
  <c r="O6" i="12"/>
  <c r="AE6" i="12"/>
  <c r="C6" i="12"/>
  <c r="P6" i="12"/>
  <c r="AF6" i="12"/>
  <c r="Q6" i="12"/>
  <c r="AG6" i="12"/>
  <c r="R6" i="12"/>
  <c r="AH6" i="12"/>
  <c r="AI6" i="12"/>
  <c r="S6" i="12"/>
  <c r="L7" i="12"/>
  <c r="AB7" i="12"/>
  <c r="M7" i="12"/>
  <c r="AC7" i="12"/>
  <c r="N7" i="12"/>
  <c r="AD7" i="12"/>
  <c r="O7" i="12"/>
  <c r="AE7" i="12"/>
  <c r="P7" i="12"/>
  <c r="AF7" i="12"/>
  <c r="Q7" i="12"/>
  <c r="AG7" i="12"/>
  <c r="R7" i="12"/>
  <c r="AH7" i="12"/>
  <c r="S7" i="12"/>
  <c r="AI7" i="12"/>
  <c r="D7" i="12"/>
  <c r="T7" i="12"/>
  <c r="AJ7" i="12"/>
  <c r="E7" i="12"/>
  <c r="U7" i="12"/>
  <c r="AK7" i="12"/>
  <c r="F7" i="12"/>
  <c r="V7" i="12"/>
  <c r="AL7" i="12"/>
  <c r="G7" i="12"/>
  <c r="W7" i="12"/>
  <c r="AM7" i="12"/>
  <c r="H7" i="12"/>
  <c r="X7" i="12"/>
  <c r="AN7" i="12"/>
  <c r="C7" i="12"/>
  <c r="I7" i="12"/>
  <c r="Y7" i="12"/>
  <c r="AO7" i="12"/>
  <c r="J7" i="12"/>
  <c r="Z7" i="12"/>
  <c r="AP7" i="12"/>
  <c r="K7" i="12"/>
  <c r="AA7" i="12"/>
  <c r="AQ7" i="12"/>
  <c r="G6" i="11"/>
  <c r="W6" i="11"/>
  <c r="AM6" i="11"/>
  <c r="H6" i="11"/>
  <c r="X6" i="11"/>
  <c r="AN6" i="11"/>
  <c r="I6" i="11"/>
  <c r="Y6" i="11"/>
  <c r="AO6" i="11"/>
  <c r="J6" i="11"/>
  <c r="Z6" i="11"/>
  <c r="AP6" i="11"/>
  <c r="K6" i="11"/>
  <c r="AA6" i="11"/>
  <c r="AQ6" i="11"/>
  <c r="L6" i="11"/>
  <c r="AB6" i="11"/>
  <c r="M6" i="11"/>
  <c r="AC6" i="11"/>
  <c r="N6" i="11"/>
  <c r="AD6" i="11"/>
  <c r="O6" i="11"/>
  <c r="AE6" i="11"/>
  <c r="C6" i="11"/>
  <c r="P6" i="11"/>
  <c r="AF6" i="11"/>
  <c r="Q6" i="11"/>
  <c r="AG6" i="11"/>
  <c r="R6" i="11"/>
  <c r="AH6" i="11"/>
  <c r="S6" i="11"/>
  <c r="AI6" i="11"/>
  <c r="D6" i="11"/>
  <c r="T6" i="11"/>
  <c r="AJ6" i="11"/>
  <c r="E6" i="11"/>
  <c r="U6" i="11"/>
  <c r="AK6" i="11"/>
  <c r="F6" i="11"/>
  <c r="V6" i="11"/>
  <c r="AL6" i="11"/>
  <c r="D8" i="12"/>
  <c r="T8" i="12"/>
  <c r="AJ8" i="12"/>
  <c r="E8" i="12"/>
  <c r="U8" i="12"/>
  <c r="AK8" i="12"/>
  <c r="F8" i="12"/>
  <c r="V8" i="12"/>
  <c r="AL8" i="12"/>
  <c r="G8" i="12"/>
  <c r="W8" i="12"/>
  <c r="AM8" i="12"/>
  <c r="H8" i="12"/>
  <c r="X8" i="12"/>
  <c r="AN8" i="12"/>
  <c r="I8" i="12"/>
  <c r="Y8" i="12"/>
  <c r="AO8" i="12"/>
  <c r="J8" i="12"/>
  <c r="Z8" i="12"/>
  <c r="AP8" i="12"/>
  <c r="K8" i="12"/>
  <c r="AA8" i="12"/>
  <c r="AQ8" i="12"/>
  <c r="L8" i="12"/>
  <c r="AB8" i="12"/>
  <c r="M8" i="12"/>
  <c r="AC8" i="12"/>
  <c r="N8" i="12"/>
  <c r="AD8" i="12"/>
  <c r="O8" i="12"/>
  <c r="AE8" i="12"/>
  <c r="P8" i="12"/>
  <c r="AF8" i="12"/>
  <c r="Q8" i="12"/>
  <c r="AG8" i="12"/>
  <c r="C8" i="12"/>
  <c r="R8" i="12"/>
  <c r="AH8" i="12"/>
  <c r="S8" i="12"/>
  <c r="AI8" i="12"/>
  <c r="D16" i="12"/>
  <c r="T16" i="12"/>
  <c r="AJ16" i="12"/>
  <c r="E16" i="12"/>
  <c r="U16" i="12"/>
  <c r="AK16" i="12"/>
  <c r="F16" i="12"/>
  <c r="V16" i="12"/>
  <c r="AL16" i="12"/>
  <c r="G16" i="12"/>
  <c r="W16" i="12"/>
  <c r="AM16" i="12"/>
  <c r="H16" i="12"/>
  <c r="X16" i="12"/>
  <c r="AN16" i="12"/>
  <c r="I16" i="12"/>
  <c r="Y16" i="12"/>
  <c r="AO16" i="12"/>
  <c r="C16" i="12"/>
  <c r="J16" i="12"/>
  <c r="Z16" i="12"/>
  <c r="AP16" i="12"/>
  <c r="K16" i="12"/>
  <c r="AA16" i="12"/>
  <c r="AQ16" i="12"/>
  <c r="L16" i="12"/>
  <c r="AB16" i="12"/>
  <c r="M16" i="12"/>
  <c r="AC16" i="12"/>
  <c r="N16" i="12"/>
  <c r="AD16" i="12"/>
  <c r="O16" i="12"/>
  <c r="AE16" i="12"/>
  <c r="P16" i="12"/>
  <c r="AF16" i="12"/>
  <c r="Q16" i="12"/>
  <c r="AG16" i="12"/>
  <c r="R16" i="12"/>
  <c r="AH16" i="12"/>
  <c r="S16" i="12"/>
  <c r="AI16" i="12"/>
  <c r="AL41" i="18"/>
  <c r="AK41" i="18"/>
  <c r="AJ41" i="18"/>
  <c r="AI41" i="18"/>
  <c r="AH41" i="18"/>
  <c r="AG41" i="18"/>
  <c r="AF41" i="18"/>
  <c r="AE41" i="18"/>
  <c r="AD41" i="18"/>
  <c r="AB41" i="18"/>
  <c r="AA41" i="18"/>
  <c r="Z41" i="18"/>
  <c r="Y41" i="18"/>
  <c r="X41" i="18"/>
  <c r="W41" i="18"/>
  <c r="V41" i="18"/>
  <c r="U41" i="18"/>
  <c r="T41" i="18"/>
  <c r="S41" i="18"/>
  <c r="R41" i="18"/>
  <c r="C13" i="21" s="1" a="1"/>
  <c r="Q41" i="18"/>
  <c r="P41" i="18"/>
  <c r="C12" i="21" s="1"/>
  <c r="M41" i="18"/>
  <c r="L41" i="18"/>
  <c r="K41" i="18"/>
  <c r="J41" i="18"/>
  <c r="I41" i="18"/>
  <c r="H41" i="18"/>
  <c r="G41" i="18"/>
  <c r="F41" i="18"/>
  <c r="E41" i="18"/>
  <c r="D41" i="18"/>
  <c r="B22" i="11"/>
  <c r="B21" i="11"/>
  <c r="C2" i="21" l="1" a="1"/>
  <c r="C13" i="21"/>
  <c r="E18" i="21"/>
  <c r="E17" i="21"/>
  <c r="I18" i="21"/>
  <c r="I17" i="21"/>
  <c r="I16" i="21"/>
  <c r="E20" i="21"/>
  <c r="I15" i="21"/>
  <c r="P8" i="21" s="1"/>
  <c r="I20" i="21"/>
  <c r="E16" i="21"/>
  <c r="O5" i="21" s="1"/>
  <c r="I21" i="21"/>
  <c r="I14" i="21"/>
  <c r="P7" i="21" s="1"/>
  <c r="I19" i="21"/>
  <c r="E15" i="21"/>
  <c r="O8" i="21" s="1"/>
  <c r="E14" i="21"/>
  <c r="O7" i="21" s="1"/>
  <c r="E21" i="21"/>
  <c r="E19" i="21"/>
  <c r="C23" i="21" a="1"/>
  <c r="I12" i="21"/>
  <c r="P5" i="21" s="1"/>
  <c r="E12" i="21"/>
  <c r="Q8" i="21" l="1"/>
  <c r="Q5" i="21"/>
  <c r="Q7" i="21"/>
  <c r="R8" i="21"/>
  <c r="D8" i="22" s="1"/>
  <c r="B12" i="22" s="1"/>
  <c r="B8" i="10" s="1"/>
  <c r="B14" i="11"/>
  <c r="B11" i="11"/>
  <c r="R5" i="21"/>
  <c r="D7" i="22" s="1"/>
  <c r="B11" i="22" s="1"/>
  <c r="B5" i="10" s="1"/>
  <c r="C23" i="21"/>
  <c r="E27" i="21"/>
  <c r="I30" i="21"/>
  <c r="P12" i="21" s="1"/>
  <c r="I27" i="21"/>
  <c r="I26" i="21"/>
  <c r="E26" i="21"/>
  <c r="I25" i="21"/>
  <c r="P10" i="21" s="1"/>
  <c r="I31" i="21"/>
  <c r="P13" i="21" s="1"/>
  <c r="E25" i="21"/>
  <c r="I24" i="21"/>
  <c r="E31" i="21"/>
  <c r="O13" i="21" s="1"/>
  <c r="E30" i="21"/>
  <c r="O12" i="21" s="1"/>
  <c r="E24" i="21"/>
  <c r="O10" i="21" s="1"/>
  <c r="E28" i="21"/>
  <c r="I29" i="21"/>
  <c r="P11" i="21" s="1"/>
  <c r="E29" i="21"/>
  <c r="O11" i="21" s="1"/>
  <c r="I28" i="21"/>
  <c r="I13" i="21"/>
  <c r="P6" i="21" s="1"/>
  <c r="E13" i="21"/>
  <c r="O6" i="21" s="1"/>
  <c r="C2" i="21"/>
  <c r="E11" i="21"/>
  <c r="I3" i="21"/>
  <c r="I11" i="21"/>
  <c r="P4" i="21" s="1"/>
  <c r="E10" i="21"/>
  <c r="I10" i="21"/>
  <c r="I9" i="21"/>
  <c r="E4" i="21"/>
  <c r="I8" i="21"/>
  <c r="E9" i="21"/>
  <c r="E7" i="21"/>
  <c r="E5" i="21"/>
  <c r="E6" i="21"/>
  <c r="E8" i="21"/>
  <c r="I7" i="21"/>
  <c r="I6" i="21"/>
  <c r="I5" i="21"/>
  <c r="E3" i="21"/>
  <c r="I4" i="21"/>
  <c r="P3" i="21" s="1"/>
  <c r="B11" i="12" l="1"/>
  <c r="AD5" i="10" s="1"/>
  <c r="B14" i="12"/>
  <c r="S8" i="10" s="1"/>
  <c r="Q6" i="21"/>
  <c r="B18" i="11" s="1"/>
  <c r="J5" i="10"/>
  <c r="Z5" i="10"/>
  <c r="AP5" i="10"/>
  <c r="K5" i="10"/>
  <c r="AA5" i="10"/>
  <c r="AQ5" i="10"/>
  <c r="L5" i="10"/>
  <c r="AB5" i="10"/>
  <c r="Y5" i="10"/>
  <c r="M5" i="10"/>
  <c r="AC5" i="10"/>
  <c r="N5" i="10"/>
  <c r="P5" i="10"/>
  <c r="Q5" i="10"/>
  <c r="AG5" i="10"/>
  <c r="AO5" i="10"/>
  <c r="R5" i="10"/>
  <c r="AH5" i="10"/>
  <c r="S5" i="10"/>
  <c r="AI5" i="10"/>
  <c r="D5" i="10"/>
  <c r="T5" i="10"/>
  <c r="AJ5" i="10"/>
  <c r="E5" i="10"/>
  <c r="U5" i="10"/>
  <c r="AK5" i="10"/>
  <c r="C5" i="10"/>
  <c r="F5" i="10"/>
  <c r="V5" i="10"/>
  <c r="AL5" i="10"/>
  <c r="G5" i="10"/>
  <c r="W5" i="10"/>
  <c r="AM5" i="10"/>
  <c r="H5" i="10"/>
  <c r="X5" i="10"/>
  <c r="AN5" i="10"/>
  <c r="R8" i="10"/>
  <c r="AH8" i="10"/>
  <c r="F8" i="10"/>
  <c r="AG8" i="10"/>
  <c r="Y8" i="10"/>
  <c r="J8" i="10"/>
  <c r="Z8" i="10"/>
  <c r="K8" i="10"/>
  <c r="AA8" i="10"/>
  <c r="L8" i="10"/>
  <c r="P8" i="10"/>
  <c r="AF8" i="10"/>
  <c r="I2" i="21"/>
  <c r="P2" i="21" s="1"/>
  <c r="E2" i="21"/>
  <c r="O2" i="21" s="1"/>
  <c r="I23" i="21"/>
  <c r="P9" i="21" s="1"/>
  <c r="E23" i="21"/>
  <c r="O9" i="21" s="1"/>
  <c r="Q11" i="21"/>
  <c r="R11" i="21" s="1"/>
  <c r="Q10" i="21"/>
  <c r="AE11" i="12"/>
  <c r="V11" i="12"/>
  <c r="AQ11" i="12"/>
  <c r="G11" i="12"/>
  <c r="AM11" i="12"/>
  <c r="AH11" i="12"/>
  <c r="AO11" i="12"/>
  <c r="Z11" i="12"/>
  <c r="P11" i="12"/>
  <c r="AL11" i="12"/>
  <c r="X11" i="12"/>
  <c r="I11" i="12"/>
  <c r="T11" i="12"/>
  <c r="AK11" i="12"/>
  <c r="AF11" i="12"/>
  <c r="W11" i="12"/>
  <c r="AG11" i="12"/>
  <c r="H11" i="12"/>
  <c r="AI11" i="12"/>
  <c r="AB11" i="12"/>
  <c r="Y11" i="12"/>
  <c r="C11" i="12"/>
  <c r="AD11" i="12"/>
  <c r="S11" i="12"/>
  <c r="AN11" i="12"/>
  <c r="L11" i="12"/>
  <c r="D11" i="12"/>
  <c r="AC11" i="12"/>
  <c r="E11" i="12"/>
  <c r="M11" i="12"/>
  <c r="AJ11" i="12"/>
  <c r="J11" i="12"/>
  <c r="K11" i="12"/>
  <c r="N11" i="12"/>
  <c r="U11" i="12"/>
  <c r="AP11" i="12"/>
  <c r="O11" i="12"/>
  <c r="F11" i="12"/>
  <c r="AA11" i="12"/>
  <c r="Q11" i="12"/>
  <c r="R11" i="12"/>
  <c r="O4" i="21"/>
  <c r="Q4" i="21" s="1"/>
  <c r="Q12" i="21"/>
  <c r="R12" i="21" s="1"/>
  <c r="R11" i="11"/>
  <c r="H11" i="11"/>
  <c r="AD11" i="11"/>
  <c r="X11" i="11"/>
  <c r="N11" i="11"/>
  <c r="Y11" i="11"/>
  <c r="AQ11" i="11"/>
  <c r="AK11" i="11"/>
  <c r="O11" i="11"/>
  <c r="P11" i="11"/>
  <c r="G11" i="11"/>
  <c r="AC11" i="11"/>
  <c r="AH11" i="11"/>
  <c r="AI11" i="11"/>
  <c r="I11" i="11"/>
  <c r="T11" i="11"/>
  <c r="AJ11" i="11"/>
  <c r="F11" i="11"/>
  <c r="Q11" i="11"/>
  <c r="AP11" i="11"/>
  <c r="AN11" i="11"/>
  <c r="AO11" i="11"/>
  <c r="U11" i="11"/>
  <c r="L11" i="11"/>
  <c r="M11" i="11"/>
  <c r="K11" i="11"/>
  <c r="E11" i="11"/>
  <c r="AA11" i="11"/>
  <c r="AB11" i="11"/>
  <c r="AL11" i="11"/>
  <c r="AE11" i="11"/>
  <c r="V11" i="11"/>
  <c r="C11" i="11"/>
  <c r="W11" i="11"/>
  <c r="AF11" i="11"/>
  <c r="AG11" i="11"/>
  <c r="AM11" i="11"/>
  <c r="J11" i="11"/>
  <c r="S11" i="11"/>
  <c r="Z11" i="11"/>
  <c r="D11" i="11"/>
  <c r="Q13" i="21"/>
  <c r="AA14" i="11"/>
  <c r="D14" i="11"/>
  <c r="AQ14" i="11"/>
  <c r="T14" i="11"/>
  <c r="G14" i="11"/>
  <c r="L14" i="11"/>
  <c r="AJ14" i="11"/>
  <c r="W14" i="11"/>
  <c r="AB14" i="11"/>
  <c r="E14" i="11"/>
  <c r="AM14" i="11"/>
  <c r="M14" i="11"/>
  <c r="U14" i="11"/>
  <c r="Q14" i="11"/>
  <c r="AP14" i="11"/>
  <c r="C14" i="11"/>
  <c r="AC14" i="11"/>
  <c r="AK14" i="11"/>
  <c r="H14" i="11"/>
  <c r="N14" i="11"/>
  <c r="F14" i="11"/>
  <c r="X14" i="11"/>
  <c r="AD14" i="11"/>
  <c r="R14" i="11"/>
  <c r="S14" i="11"/>
  <c r="AN14" i="11"/>
  <c r="O14" i="11"/>
  <c r="V14" i="11"/>
  <c r="P14" i="11"/>
  <c r="AO14" i="11"/>
  <c r="AF14" i="11"/>
  <c r="I14" i="11"/>
  <c r="AE14" i="11"/>
  <c r="AH14" i="11"/>
  <c r="J14" i="11"/>
  <c r="Y14" i="11"/>
  <c r="AL14" i="11"/>
  <c r="Z14" i="11"/>
  <c r="AG14" i="11"/>
  <c r="K14" i="11"/>
  <c r="AI14" i="11"/>
  <c r="O3" i="21"/>
  <c r="Q3" i="21" s="1"/>
  <c r="AE14" i="12"/>
  <c r="T14" i="12"/>
  <c r="P14" i="12"/>
  <c r="AJ14" i="12"/>
  <c r="AO14" i="12"/>
  <c r="J14" i="12"/>
  <c r="Z14" i="12"/>
  <c r="AG14" i="12"/>
  <c r="AK14" i="12"/>
  <c r="R14" i="12"/>
  <c r="X14" i="12"/>
  <c r="F14" i="12"/>
  <c r="AH14" i="12"/>
  <c r="AC14" i="12"/>
  <c r="AD14" i="12"/>
  <c r="S14" i="12"/>
  <c r="AQ14" i="12"/>
  <c r="AI14" i="12"/>
  <c r="AM14" i="12"/>
  <c r="L14" i="12"/>
  <c r="C14" i="12"/>
  <c r="W14" i="12"/>
  <c r="H14" i="12"/>
  <c r="N14" i="12"/>
  <c r="AN14" i="12"/>
  <c r="R7" i="21"/>
  <c r="D6" i="22" s="1"/>
  <c r="B10" i="22" s="1"/>
  <c r="B4" i="10" s="1"/>
  <c r="B10" i="11"/>
  <c r="AJ11" i="10"/>
  <c r="AK11" i="10" s="1"/>
  <c r="AL11" i="10" s="1"/>
  <c r="AM11" i="10" s="1"/>
  <c r="AN11" i="10" s="1"/>
  <c r="AO11" i="10" s="1"/>
  <c r="AP11" i="10" s="1"/>
  <c r="AQ11" i="10" s="1"/>
  <c r="AJ10" i="10"/>
  <c r="AK10" i="10" s="1"/>
  <c r="AL10" i="10" s="1"/>
  <c r="AM10" i="10" s="1"/>
  <c r="AN10" i="10" s="1"/>
  <c r="AO10" i="10" s="1"/>
  <c r="AP10" i="10" s="1"/>
  <c r="AQ10" i="10" s="1"/>
  <c r="AJ9" i="10"/>
  <c r="AK9" i="10" s="1"/>
  <c r="AL9" i="10" s="1"/>
  <c r="AM9" i="10" s="1"/>
  <c r="AN9" i="10" s="1"/>
  <c r="AO9" i="10" s="1"/>
  <c r="AP9" i="10" s="1"/>
  <c r="AQ9" i="10" s="1"/>
  <c r="AJ3" i="10"/>
  <c r="AK3" i="10" s="1"/>
  <c r="AL3" i="10" s="1"/>
  <c r="AM3" i="10" s="1"/>
  <c r="AN3" i="10" s="1"/>
  <c r="AO3" i="10" s="1"/>
  <c r="AP3" i="10" s="1"/>
  <c r="AQ3" i="10" s="1"/>
  <c r="AJ2" i="10"/>
  <c r="AK2" i="10" s="1"/>
  <c r="AL2" i="10" s="1"/>
  <c r="AM2" i="10" s="1"/>
  <c r="AN2" i="10" s="1"/>
  <c r="AO2" i="10" s="1"/>
  <c r="AP2" i="10" s="1"/>
  <c r="AQ2" i="10" s="1"/>
  <c r="B22" i="12"/>
  <c r="R6" i="21" l="1"/>
  <c r="B18" i="12" s="1"/>
  <c r="AB14" i="12"/>
  <c r="K14" i="12"/>
  <c r="Y14" i="12"/>
  <c r="I14" i="12"/>
  <c r="G14" i="12"/>
  <c r="AP14" i="12"/>
  <c r="D14" i="12"/>
  <c r="AL14" i="12"/>
  <c r="U14" i="12"/>
  <c r="M14" i="12"/>
  <c r="Q14" i="12"/>
  <c r="AA14" i="12"/>
  <c r="E14" i="12"/>
  <c r="O14" i="12"/>
  <c r="V14" i="12"/>
  <c r="AF14" i="12"/>
  <c r="O8" i="10"/>
  <c r="C8" i="10"/>
  <c r="AB8" i="10"/>
  <c r="AQ8" i="10"/>
  <c r="AF5" i="10"/>
  <c r="I5" i="10"/>
  <c r="AE5" i="10"/>
  <c r="AP8" i="10"/>
  <c r="I8" i="10"/>
  <c r="AO8" i="10"/>
  <c r="AM8" i="10"/>
  <c r="AE8" i="10"/>
  <c r="AN8" i="10"/>
  <c r="AD8" i="10"/>
  <c r="W8" i="10"/>
  <c r="M8" i="10"/>
  <c r="G8" i="10"/>
  <c r="O5" i="10"/>
  <c r="AL8" i="10"/>
  <c r="V8" i="10"/>
  <c r="AK8" i="10"/>
  <c r="E8" i="10"/>
  <c r="Q8" i="10"/>
  <c r="U8" i="10"/>
  <c r="T8" i="10"/>
  <c r="D8" i="10"/>
  <c r="AJ8" i="10"/>
  <c r="N8" i="10"/>
  <c r="X8" i="10"/>
  <c r="AI8" i="10"/>
  <c r="AC8" i="10"/>
  <c r="H8" i="10"/>
  <c r="B10" i="12"/>
  <c r="AJ4" i="10" s="1"/>
  <c r="Q9" i="21"/>
  <c r="B19" i="11" s="1"/>
  <c r="Q2" i="21"/>
  <c r="B3" i="11" s="1"/>
  <c r="B9" i="11"/>
  <c r="R13" i="21"/>
  <c r="B9" i="12" s="1"/>
  <c r="B20" i="11"/>
  <c r="R10" i="21"/>
  <c r="B20" i="12" s="1"/>
  <c r="AM18" i="12"/>
  <c r="M18" i="12"/>
  <c r="H18" i="12"/>
  <c r="AC18" i="12"/>
  <c r="X18" i="12"/>
  <c r="N18" i="12"/>
  <c r="AN18" i="12"/>
  <c r="AD18" i="12"/>
  <c r="I18" i="12"/>
  <c r="O18" i="12"/>
  <c r="D18" i="12"/>
  <c r="Y18" i="12"/>
  <c r="AE18" i="12"/>
  <c r="T18" i="12"/>
  <c r="AO18" i="12"/>
  <c r="P18" i="12"/>
  <c r="AJ18" i="12"/>
  <c r="J18" i="12"/>
  <c r="AF18" i="12"/>
  <c r="E18" i="12"/>
  <c r="Z18" i="12"/>
  <c r="Q18" i="12"/>
  <c r="U18" i="12"/>
  <c r="AP18" i="12"/>
  <c r="AG18" i="12"/>
  <c r="AK18" i="12"/>
  <c r="K18" i="12"/>
  <c r="R18" i="12"/>
  <c r="F18" i="12"/>
  <c r="AA18" i="12"/>
  <c r="AH18" i="12"/>
  <c r="V18" i="12"/>
  <c r="AQ18" i="12"/>
  <c r="S18" i="12"/>
  <c r="AL18" i="12"/>
  <c r="C18" i="12"/>
  <c r="AI18" i="12"/>
  <c r="G18" i="12"/>
  <c r="L18" i="12"/>
  <c r="W18" i="12"/>
  <c r="AB18" i="12"/>
  <c r="AN18" i="11"/>
  <c r="AD18" i="11"/>
  <c r="R18" i="11"/>
  <c r="I18" i="11"/>
  <c r="O18" i="11"/>
  <c r="V18" i="11"/>
  <c r="Y18" i="11"/>
  <c r="AE18" i="11"/>
  <c r="AH18" i="11"/>
  <c r="AO18" i="11"/>
  <c r="P18" i="11"/>
  <c r="AL18" i="11"/>
  <c r="J18" i="11"/>
  <c r="AF18" i="11"/>
  <c r="Z18" i="11"/>
  <c r="Q18" i="11"/>
  <c r="AK18" i="11"/>
  <c r="AP18" i="11"/>
  <c r="AG18" i="11"/>
  <c r="K18" i="11"/>
  <c r="S18" i="11"/>
  <c r="AB18" i="11"/>
  <c r="AC18" i="11"/>
  <c r="AA18" i="11"/>
  <c r="AI18" i="11"/>
  <c r="AQ18" i="11"/>
  <c r="D18" i="11"/>
  <c r="C18" i="11"/>
  <c r="T18" i="11"/>
  <c r="G18" i="11"/>
  <c r="L18" i="11"/>
  <c r="AJ18" i="11"/>
  <c r="W18" i="11"/>
  <c r="E18" i="11"/>
  <c r="H18" i="11"/>
  <c r="AM18" i="11"/>
  <c r="M18" i="11"/>
  <c r="U18" i="11"/>
  <c r="X18" i="11"/>
  <c r="N18" i="11"/>
  <c r="F18" i="11"/>
  <c r="B4" i="11"/>
  <c r="R4" i="21"/>
  <c r="B4" i="12" s="1"/>
  <c r="B17" i="11"/>
  <c r="R3" i="21"/>
  <c r="B17" i="12" s="1"/>
  <c r="G10" i="11"/>
  <c r="AB10" i="11"/>
  <c r="E10" i="11"/>
  <c r="W10" i="11"/>
  <c r="M10" i="11"/>
  <c r="U10" i="11"/>
  <c r="T10" i="11"/>
  <c r="AM10" i="11"/>
  <c r="AC10" i="11"/>
  <c r="AK10" i="11"/>
  <c r="H10" i="11"/>
  <c r="N10" i="11"/>
  <c r="F10" i="11"/>
  <c r="X10" i="11"/>
  <c r="AD10" i="11"/>
  <c r="R10" i="11"/>
  <c r="AN10" i="11"/>
  <c r="O10" i="11"/>
  <c r="V10" i="11"/>
  <c r="I10" i="11"/>
  <c r="AE10" i="11"/>
  <c r="C10" i="11"/>
  <c r="Y10" i="11"/>
  <c r="P10" i="11"/>
  <c r="AH10" i="11"/>
  <c r="AQ10" i="11"/>
  <c r="AO10" i="11"/>
  <c r="AF10" i="11"/>
  <c r="AL10" i="11"/>
  <c r="J10" i="11"/>
  <c r="Q10" i="11"/>
  <c r="Z10" i="11"/>
  <c r="AG10" i="11"/>
  <c r="AP10" i="11"/>
  <c r="S10" i="11"/>
  <c r="AI10" i="11"/>
  <c r="K10" i="11"/>
  <c r="AA10" i="11"/>
  <c r="D10" i="11"/>
  <c r="L10" i="11"/>
  <c r="AJ10" i="11"/>
  <c r="B21" i="12"/>
  <c r="R9" i="21" l="1"/>
  <c r="B19" i="12" s="1"/>
  <c r="D10" i="12"/>
  <c r="AH10" i="12"/>
  <c r="N10" i="12"/>
  <c r="Q10" i="12"/>
  <c r="W10" i="12"/>
  <c r="E10" i="12"/>
  <c r="AC10" i="12"/>
  <c r="AL10" i="12"/>
  <c r="AF10" i="12"/>
  <c r="M10" i="12"/>
  <c r="T10" i="12"/>
  <c r="AJ10" i="12"/>
  <c r="V10" i="12"/>
  <c r="AO10" i="12"/>
  <c r="C10" i="12"/>
  <c r="S10" i="12"/>
  <c r="AA10" i="12"/>
  <c r="P10" i="12"/>
  <c r="AB10" i="12"/>
  <c r="AI10" i="12"/>
  <c r="AM10" i="12"/>
  <c r="F10" i="12"/>
  <c r="Y10" i="12"/>
  <c r="G10" i="12"/>
  <c r="K10" i="12"/>
  <c r="I10" i="12"/>
  <c r="R10" i="12"/>
  <c r="AQ10" i="12"/>
  <c r="AK10" i="12"/>
  <c r="AN10" i="12"/>
  <c r="U10" i="12"/>
  <c r="AG10" i="12"/>
  <c r="AD10" i="12"/>
  <c r="AE10" i="12"/>
  <c r="O10" i="12"/>
  <c r="AP10" i="12"/>
  <c r="Z10" i="12"/>
  <c r="X10" i="12"/>
  <c r="AE4" i="10"/>
  <c r="O4" i="10"/>
  <c r="L10" i="12"/>
  <c r="J10" i="12"/>
  <c r="H10" i="12"/>
  <c r="AD4" i="10"/>
  <c r="L4" i="10"/>
  <c r="T4" i="10"/>
  <c r="D4" i="10"/>
  <c r="S4" i="10"/>
  <c r="AQ4" i="10"/>
  <c r="AA4" i="10"/>
  <c r="AO4" i="10"/>
  <c r="Y4" i="10"/>
  <c r="AN4" i="10"/>
  <c r="G4" i="10"/>
  <c r="AL4" i="10"/>
  <c r="V4" i="10"/>
  <c r="C4" i="10"/>
  <c r="I4" i="10"/>
  <c r="AI4" i="10"/>
  <c r="N4" i="10"/>
  <c r="X4" i="10"/>
  <c r="AG4" i="10"/>
  <c r="AC4" i="10"/>
  <c r="H4" i="10"/>
  <c r="AH4" i="10"/>
  <c r="M4" i="10"/>
  <c r="AM4" i="10"/>
  <c r="R4" i="10"/>
  <c r="AB4" i="10"/>
  <c r="W4" i="10"/>
  <c r="K4" i="10"/>
  <c r="F4" i="10"/>
  <c r="Q4" i="10"/>
  <c r="AK4" i="10"/>
  <c r="AP4" i="10"/>
  <c r="U4" i="10"/>
  <c r="AF4" i="10"/>
  <c r="Z4" i="10"/>
  <c r="E4" i="10"/>
  <c r="P4" i="10"/>
  <c r="J4" i="10"/>
  <c r="R2" i="21"/>
  <c r="B3" i="12" s="1"/>
  <c r="J3" i="12" s="1"/>
  <c r="R17" i="12"/>
  <c r="AM17" i="12"/>
  <c r="K17" i="12"/>
  <c r="AH17" i="12"/>
  <c r="H17" i="12"/>
  <c r="AP17" i="12"/>
  <c r="V17" i="12"/>
  <c r="C17" i="12"/>
  <c r="X17" i="12"/>
  <c r="S17" i="12"/>
  <c r="AN17" i="12"/>
  <c r="L17" i="12"/>
  <c r="AI17" i="12"/>
  <c r="I17" i="12"/>
  <c r="E17" i="12"/>
  <c r="AB17" i="12"/>
  <c r="D17" i="12"/>
  <c r="Y17" i="12"/>
  <c r="Z17" i="12"/>
  <c r="P17" i="12"/>
  <c r="M17" i="12"/>
  <c r="T17" i="12"/>
  <c r="AO17" i="12"/>
  <c r="AC17" i="12"/>
  <c r="AJ17" i="12"/>
  <c r="J17" i="12"/>
  <c r="U17" i="12"/>
  <c r="AK17" i="12"/>
  <c r="G17" i="12"/>
  <c r="N17" i="12"/>
  <c r="AD17" i="12"/>
  <c r="O17" i="12"/>
  <c r="AE17" i="12"/>
  <c r="F17" i="12"/>
  <c r="AA17" i="12"/>
  <c r="AQ17" i="12"/>
  <c r="Q17" i="12"/>
  <c r="AF17" i="12"/>
  <c r="AL17" i="12"/>
  <c r="AG17" i="12"/>
  <c r="W17" i="12"/>
  <c r="P3" i="11"/>
  <c r="V3" i="11"/>
  <c r="AQ3" i="11"/>
  <c r="AF3" i="11"/>
  <c r="AL3" i="11"/>
  <c r="L3" i="11"/>
  <c r="Q3" i="11"/>
  <c r="G3" i="11"/>
  <c r="AB3" i="11"/>
  <c r="AG3" i="11"/>
  <c r="W3" i="11"/>
  <c r="M3" i="11"/>
  <c r="R3" i="11"/>
  <c r="AM3" i="11"/>
  <c r="AC3" i="11"/>
  <c r="AH3" i="11"/>
  <c r="H3" i="11"/>
  <c r="N3" i="11"/>
  <c r="S3" i="11"/>
  <c r="X3" i="11"/>
  <c r="AD3" i="11"/>
  <c r="AI3" i="11"/>
  <c r="AN3" i="11"/>
  <c r="D3" i="11"/>
  <c r="I3" i="11"/>
  <c r="T3" i="11"/>
  <c r="Y3" i="11"/>
  <c r="AJ3" i="11"/>
  <c r="AO3" i="11"/>
  <c r="C3" i="11"/>
  <c r="J3" i="11"/>
  <c r="E3" i="11"/>
  <c r="Z3" i="11"/>
  <c r="U3" i="11"/>
  <c r="AP3" i="11"/>
  <c r="O3" i="11"/>
  <c r="AK3" i="11"/>
  <c r="K3" i="11"/>
  <c r="AE3" i="11"/>
  <c r="F3" i="11"/>
  <c r="AA3" i="11"/>
  <c r="W4" i="12"/>
  <c r="M4" i="12"/>
  <c r="AM4" i="12"/>
  <c r="AC4" i="12"/>
  <c r="H4" i="12"/>
  <c r="C4" i="12"/>
  <c r="N4" i="12"/>
  <c r="X4" i="12"/>
  <c r="AN4" i="12"/>
  <c r="AD4" i="12"/>
  <c r="I4" i="12"/>
  <c r="O4" i="12"/>
  <c r="L4" i="12"/>
  <c r="D4" i="12"/>
  <c r="Y4" i="12"/>
  <c r="AE4" i="12"/>
  <c r="T4" i="12"/>
  <c r="AO4" i="12"/>
  <c r="P4" i="12"/>
  <c r="K4" i="12"/>
  <c r="AH4" i="12"/>
  <c r="AJ4" i="12"/>
  <c r="J4" i="12"/>
  <c r="AF4" i="12"/>
  <c r="AP4" i="12"/>
  <c r="E4" i="12"/>
  <c r="Z4" i="12"/>
  <c r="Q4" i="12"/>
  <c r="R4" i="12"/>
  <c r="AA4" i="12"/>
  <c r="U4" i="12"/>
  <c r="AG4" i="12"/>
  <c r="AK4" i="12"/>
  <c r="F4" i="12"/>
  <c r="AL4" i="12"/>
  <c r="AI4" i="12"/>
  <c r="V4" i="12"/>
  <c r="AQ4" i="12"/>
  <c r="S4" i="12"/>
  <c r="G4" i="12"/>
  <c r="AB4" i="12"/>
  <c r="M19" i="12"/>
  <c r="AJ19" i="12"/>
  <c r="AO19" i="12"/>
  <c r="O19" i="12"/>
  <c r="AC19" i="12"/>
  <c r="C19" i="12"/>
  <c r="J19" i="12"/>
  <c r="AF19" i="12"/>
  <c r="N19" i="12"/>
  <c r="E19" i="12"/>
  <c r="Z19" i="12"/>
  <c r="AK19" i="12"/>
  <c r="K19" i="12"/>
  <c r="AQ19" i="12"/>
  <c r="AD19" i="12"/>
  <c r="U19" i="12"/>
  <c r="AP19" i="12"/>
  <c r="Y19" i="12"/>
  <c r="T19" i="12"/>
  <c r="AE19" i="12"/>
  <c r="F19" i="12"/>
  <c r="AA19" i="12"/>
  <c r="P19" i="12"/>
  <c r="V19" i="12"/>
  <c r="AL19" i="12"/>
  <c r="AB19" i="12"/>
  <c r="Q19" i="12"/>
  <c r="G19" i="12"/>
  <c r="AG19" i="12"/>
  <c r="W19" i="12"/>
  <c r="R19" i="12"/>
  <c r="AM19" i="12"/>
  <c r="D19" i="12"/>
  <c r="I19" i="12"/>
  <c r="AH19" i="12"/>
  <c r="H19" i="12"/>
  <c r="L19" i="12"/>
  <c r="S19" i="12"/>
  <c r="X19" i="12"/>
  <c r="AI19" i="12"/>
  <c r="AN19" i="12"/>
  <c r="AI17" i="11"/>
  <c r="I17" i="11"/>
  <c r="L17" i="11"/>
  <c r="X17" i="11"/>
  <c r="D17" i="11"/>
  <c r="Y17" i="11"/>
  <c r="AA17" i="11"/>
  <c r="V17" i="11"/>
  <c r="AL17" i="11"/>
  <c r="G17" i="11"/>
  <c r="T17" i="11"/>
  <c r="AO17" i="11"/>
  <c r="AJ17" i="11"/>
  <c r="E17" i="11"/>
  <c r="AC17" i="11"/>
  <c r="Q17" i="11"/>
  <c r="U17" i="11"/>
  <c r="AM17" i="11"/>
  <c r="O17" i="11"/>
  <c r="AP17" i="11"/>
  <c r="AE17" i="11"/>
  <c r="F17" i="11"/>
  <c r="AB17" i="11"/>
  <c r="P17" i="11"/>
  <c r="M17" i="11"/>
  <c r="AF17" i="11"/>
  <c r="J17" i="11"/>
  <c r="R17" i="11"/>
  <c r="AG17" i="11"/>
  <c r="W17" i="11"/>
  <c r="N17" i="11"/>
  <c r="Z17" i="11"/>
  <c r="C17" i="11"/>
  <c r="AH17" i="11"/>
  <c r="H17" i="11"/>
  <c r="AD17" i="11"/>
  <c r="S17" i="11"/>
  <c r="AN17" i="11"/>
  <c r="K17" i="11"/>
  <c r="AQ17" i="11"/>
  <c r="AK17" i="11"/>
  <c r="L4" i="11"/>
  <c r="AI4" i="11"/>
  <c r="G4" i="11"/>
  <c r="AB4" i="11"/>
  <c r="D4" i="11"/>
  <c r="W4" i="11"/>
  <c r="M4" i="11"/>
  <c r="T4" i="11"/>
  <c r="AM4" i="11"/>
  <c r="AC4" i="11"/>
  <c r="AJ4" i="11"/>
  <c r="AG4" i="11"/>
  <c r="H4" i="11"/>
  <c r="C4" i="11"/>
  <c r="E4" i="11"/>
  <c r="AA4" i="11"/>
  <c r="X4" i="11"/>
  <c r="N4" i="11"/>
  <c r="U4" i="11"/>
  <c r="AN4" i="11"/>
  <c r="AD4" i="11"/>
  <c r="AK4" i="11"/>
  <c r="I4" i="11"/>
  <c r="O4" i="11"/>
  <c r="F4" i="11"/>
  <c r="AP4" i="11"/>
  <c r="Y4" i="11"/>
  <c r="AE4" i="11"/>
  <c r="V4" i="11"/>
  <c r="Q4" i="11"/>
  <c r="AO4" i="11"/>
  <c r="P4" i="11"/>
  <c r="AL4" i="11"/>
  <c r="J4" i="11"/>
  <c r="Z4" i="11"/>
  <c r="AF4" i="11"/>
  <c r="AH4" i="11"/>
  <c r="K4" i="11"/>
  <c r="R4" i="11"/>
  <c r="AQ4" i="11"/>
  <c r="S4" i="11"/>
  <c r="AI19" i="11"/>
  <c r="AN19" i="11"/>
  <c r="D19" i="11"/>
  <c r="I19" i="11"/>
  <c r="L19" i="11"/>
  <c r="O19" i="11"/>
  <c r="T19" i="11"/>
  <c r="Y19" i="11"/>
  <c r="C19" i="11"/>
  <c r="K19" i="11"/>
  <c r="AJ19" i="11"/>
  <c r="AO19" i="11"/>
  <c r="AB19" i="11"/>
  <c r="E19" i="11"/>
  <c r="AA19" i="11"/>
  <c r="AP19" i="11"/>
  <c r="U19" i="11"/>
  <c r="AK19" i="11"/>
  <c r="AD19" i="11"/>
  <c r="H19" i="11"/>
  <c r="S19" i="11"/>
  <c r="AE19" i="11"/>
  <c r="F19" i="11"/>
  <c r="M19" i="11"/>
  <c r="P19" i="11"/>
  <c r="V19" i="11"/>
  <c r="AC19" i="11"/>
  <c r="AF19" i="11"/>
  <c r="AL19" i="11"/>
  <c r="AQ19" i="11"/>
  <c r="AH19" i="11"/>
  <c r="Q19" i="11"/>
  <c r="G19" i="11"/>
  <c r="J19" i="11"/>
  <c r="X19" i="11"/>
  <c r="AG19" i="11"/>
  <c r="W19" i="11"/>
  <c r="N19" i="11"/>
  <c r="R19" i="11"/>
  <c r="AM19" i="11"/>
  <c r="Z19" i="11"/>
  <c r="AN20" i="12"/>
  <c r="AD20" i="12"/>
  <c r="I20" i="12"/>
  <c r="O20" i="12"/>
  <c r="D20" i="12"/>
  <c r="Y20" i="12"/>
  <c r="AE20" i="12"/>
  <c r="T20" i="12"/>
  <c r="AO20" i="12"/>
  <c r="P20" i="12"/>
  <c r="AJ20" i="12"/>
  <c r="J20" i="12"/>
  <c r="AF20" i="12"/>
  <c r="E20" i="12"/>
  <c r="Z20" i="12"/>
  <c r="Q20" i="12"/>
  <c r="U20" i="12"/>
  <c r="AP20" i="12"/>
  <c r="AG20" i="12"/>
  <c r="C20" i="12"/>
  <c r="AK20" i="12"/>
  <c r="K20" i="12"/>
  <c r="R20" i="12"/>
  <c r="AL20" i="12"/>
  <c r="L20" i="12"/>
  <c r="AI20" i="12"/>
  <c r="W20" i="12"/>
  <c r="F20" i="12"/>
  <c r="AA20" i="12"/>
  <c r="AH20" i="12"/>
  <c r="G20" i="12"/>
  <c r="V20" i="12"/>
  <c r="AQ20" i="12"/>
  <c r="S20" i="12"/>
  <c r="AB20" i="12"/>
  <c r="M20" i="12"/>
  <c r="H20" i="12"/>
  <c r="AM20" i="12"/>
  <c r="AC20" i="12"/>
  <c r="X20" i="12"/>
  <c r="N20" i="12"/>
  <c r="AN20" i="11"/>
  <c r="AD20" i="11"/>
  <c r="V20" i="11"/>
  <c r="O20" i="11"/>
  <c r="AH20" i="11"/>
  <c r="AE20" i="11"/>
  <c r="AI20" i="11"/>
  <c r="I20" i="11"/>
  <c r="Y20" i="11"/>
  <c r="AO20" i="11"/>
  <c r="P20" i="11"/>
  <c r="AL20" i="11"/>
  <c r="J20" i="11"/>
  <c r="AF20" i="11"/>
  <c r="Z20" i="11"/>
  <c r="Q20" i="11"/>
  <c r="AK20" i="11"/>
  <c r="AP20" i="11"/>
  <c r="AG20" i="11"/>
  <c r="W20" i="11"/>
  <c r="C20" i="11"/>
  <c r="K20" i="11"/>
  <c r="D20" i="11"/>
  <c r="L20" i="11"/>
  <c r="G20" i="11"/>
  <c r="H20" i="11"/>
  <c r="AA20" i="11"/>
  <c r="T20" i="11"/>
  <c r="AB20" i="11"/>
  <c r="AQ20" i="11"/>
  <c r="AJ20" i="11"/>
  <c r="E20" i="11"/>
  <c r="M20" i="11"/>
  <c r="U20" i="11"/>
  <c r="AM20" i="11"/>
  <c r="AC20" i="11"/>
  <c r="F20" i="11"/>
  <c r="R20" i="11"/>
  <c r="X20" i="11"/>
  <c r="N20" i="11"/>
  <c r="S20" i="11"/>
  <c r="AC9" i="12"/>
  <c r="E9" i="12"/>
  <c r="Z9" i="12"/>
  <c r="R9" i="12"/>
  <c r="AI9" i="12"/>
  <c r="N9" i="12"/>
  <c r="U9" i="12"/>
  <c r="AP9" i="12"/>
  <c r="AG9" i="12"/>
  <c r="H9" i="12"/>
  <c r="AH9" i="12"/>
  <c r="AB9" i="12"/>
  <c r="AD9" i="12"/>
  <c r="AK9" i="12"/>
  <c r="C9" i="12"/>
  <c r="O9" i="12"/>
  <c r="F9" i="12"/>
  <c r="K9" i="12"/>
  <c r="AE9" i="12"/>
  <c r="V9" i="12"/>
  <c r="AA9" i="12"/>
  <c r="P9" i="12"/>
  <c r="AL9" i="12"/>
  <c r="AQ9" i="12"/>
  <c r="I9" i="12"/>
  <c r="T9" i="12"/>
  <c r="AF9" i="12"/>
  <c r="G9" i="12"/>
  <c r="Q9" i="12"/>
  <c r="W9" i="12"/>
  <c r="X9" i="12"/>
  <c r="S9" i="12"/>
  <c r="AN9" i="12"/>
  <c r="AO9" i="12"/>
  <c r="L9" i="12"/>
  <c r="D9" i="12"/>
  <c r="Y9" i="12"/>
  <c r="M9" i="12"/>
  <c r="AJ9" i="12"/>
  <c r="J9" i="12"/>
  <c r="AM9" i="12"/>
  <c r="AE9" i="11"/>
  <c r="V9" i="11"/>
  <c r="M9" i="11"/>
  <c r="W9" i="11"/>
  <c r="AD9" i="11"/>
  <c r="I9" i="11"/>
  <c r="D9" i="11"/>
  <c r="AO9" i="11"/>
  <c r="P9" i="11"/>
  <c r="AL9" i="11"/>
  <c r="AC9" i="11"/>
  <c r="N9" i="11"/>
  <c r="Z9" i="11"/>
  <c r="AH9" i="11"/>
  <c r="X9" i="11"/>
  <c r="AP9" i="11"/>
  <c r="AA9" i="11"/>
  <c r="AF9" i="11"/>
  <c r="G9" i="11"/>
  <c r="J9" i="11"/>
  <c r="Q9" i="11"/>
  <c r="AM9" i="11"/>
  <c r="Y9" i="11"/>
  <c r="T9" i="11"/>
  <c r="AK9" i="11"/>
  <c r="S9" i="11"/>
  <c r="AN9" i="11"/>
  <c r="C9" i="11"/>
  <c r="E9" i="11"/>
  <c r="L9" i="11"/>
  <c r="AJ9" i="11"/>
  <c r="K9" i="11"/>
  <c r="U9" i="11"/>
  <c r="AQ9" i="11"/>
  <c r="O9" i="11"/>
  <c r="F9" i="11"/>
  <c r="AB9" i="11"/>
  <c r="AG9" i="11"/>
  <c r="R9" i="11"/>
  <c r="H9" i="11"/>
  <c r="AI9" i="11"/>
  <c r="AB3" i="12" l="1"/>
  <c r="AM3" i="12"/>
  <c r="L3" i="12"/>
  <c r="C3" i="12"/>
  <c r="F3" i="12"/>
  <c r="H3" i="12"/>
  <c r="N3" i="12"/>
  <c r="G3" i="12"/>
  <c r="AL3" i="12"/>
  <c r="AN3" i="12"/>
  <c r="Q3" i="12"/>
  <c r="AF3" i="12"/>
  <c r="AI3" i="12"/>
  <c r="AH3" i="12"/>
  <c r="W3" i="12"/>
  <c r="V3" i="12"/>
  <c r="R3" i="12"/>
  <c r="AJ3" i="12"/>
  <c r="AG3" i="12"/>
  <c r="AP3" i="12"/>
  <c r="AA3" i="12"/>
  <c r="AE3" i="12"/>
  <c r="AC3" i="12"/>
  <c r="K3" i="12"/>
  <c r="AO3" i="12"/>
  <c r="AK3" i="12"/>
  <c r="M3" i="12"/>
  <c r="AD3" i="12"/>
  <c r="AQ3" i="12"/>
  <c r="I3" i="12"/>
  <c r="U3" i="12"/>
  <c r="O3" i="12"/>
  <c r="T3" i="12"/>
  <c r="Y3" i="12"/>
  <c r="P3" i="12"/>
  <c r="D3" i="12"/>
  <c r="X3" i="12"/>
  <c r="Z3" i="12"/>
  <c r="S3" i="12"/>
  <c r="E3" i="12"/>
  <c r="B5" i="11"/>
  <c r="B5" i="12"/>
  <c r="B15" i="12" l="1"/>
  <c r="L15" i="12" l="1"/>
  <c r="AB15" i="12"/>
  <c r="M15" i="12"/>
  <c r="AC15" i="12"/>
  <c r="N15" i="12"/>
  <c r="AD15" i="12"/>
  <c r="O15" i="12"/>
  <c r="AE15" i="12"/>
  <c r="P15" i="12"/>
  <c r="AF15" i="12"/>
  <c r="C15" i="12"/>
  <c r="Q15" i="12"/>
  <c r="AG15" i="12"/>
  <c r="R15" i="12"/>
  <c r="AH15" i="12"/>
  <c r="S15" i="12"/>
  <c r="AI15" i="12"/>
  <c r="D15" i="12"/>
  <c r="T15" i="12"/>
  <c r="AJ15" i="12"/>
  <c r="E15" i="12"/>
  <c r="U15" i="12"/>
  <c r="AK15" i="12"/>
  <c r="F15" i="12"/>
  <c r="V15" i="12"/>
  <c r="AL15" i="12"/>
  <c r="G15" i="12"/>
  <c r="W15" i="12"/>
  <c r="AM15" i="12"/>
  <c r="H15" i="12"/>
  <c r="X15" i="12"/>
  <c r="AN15" i="12"/>
  <c r="I15" i="12"/>
  <c r="Y15" i="12"/>
  <c r="AO15" i="12"/>
  <c r="J15" i="12"/>
  <c r="Z15" i="12"/>
  <c r="AP15" i="12"/>
  <c r="K15" i="12"/>
  <c r="AA15" i="12"/>
  <c r="AQ15"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Wang</author>
    <author>ywu</author>
    <author>Jeongwoo Han</author>
    <author>jhan</author>
    <author>A Elgowainy</author>
  </authors>
  <commentList>
    <comment ref="B4" authorId="0" shapeId="0" xr:uid="{00000000-0006-0000-0200-000001000000}">
      <text>
        <r>
          <rPr>
            <sz val="8"/>
            <color indexed="81"/>
            <rFont val="Tahoma"/>
            <family val="2"/>
          </rPr>
          <t>GREET's calculations use LHVs. If one decides to use HHVs, the HHV cell values in this sheet can be pasted into the cells in this column. However, combustion emission factors in the EF sheet need to be changed, according to the differences between LHV and HHV for each fuel.</t>
        </r>
      </text>
    </comment>
    <comment ref="H4" authorId="0" shapeId="0" xr:uid="{00000000-0006-0000-0200-000002000000}">
      <text>
        <r>
          <rPr>
            <sz val="8"/>
            <color indexed="81"/>
            <rFont val="Tahoma"/>
            <family val="2"/>
          </rPr>
          <t xml:space="preserve">Values in this column are calculated from those in the left column. Values here are used for calculations in other sheets. Values in the left column are inputted in ppm for high transparency.
</t>
        </r>
      </text>
    </comment>
    <comment ref="G15" authorId="0" shapeId="0" xr:uid="{00000000-0006-0000-0200-000003000000}">
      <text>
        <r>
          <rPr>
            <sz val="8"/>
            <color indexed="81"/>
            <rFont val="Arial"/>
            <family val="2"/>
          </rPr>
          <t>Value here is from a TS look-up table. User should not change the value here.</t>
        </r>
        <r>
          <rPr>
            <sz val="9"/>
            <color indexed="81"/>
            <rFont val="Tahoma"/>
            <family val="2"/>
          </rPr>
          <t xml:space="preserve">
</t>
        </r>
      </text>
    </comment>
    <comment ref="G20" authorId="0" shapeId="0" xr:uid="{00000000-0006-0000-0200-000004000000}">
      <text>
        <r>
          <rPr>
            <sz val="8"/>
            <color indexed="81"/>
            <rFont val="Arial"/>
            <family val="2"/>
          </rPr>
          <t>Value here is from a TS look-up table. User should not change the value here.</t>
        </r>
        <r>
          <rPr>
            <sz val="9"/>
            <color indexed="81"/>
            <rFont val="Tahoma"/>
            <family val="2"/>
          </rPr>
          <t xml:space="preserve">
</t>
        </r>
      </text>
    </comment>
    <comment ref="G21" authorId="0" shapeId="0" xr:uid="{00000000-0006-0000-0200-000005000000}">
      <text>
        <r>
          <rPr>
            <sz val="8"/>
            <color indexed="81"/>
            <rFont val="Arial"/>
            <family val="2"/>
          </rPr>
          <t>Value here is from a TS look-up table. User should not change the value here.</t>
        </r>
        <r>
          <rPr>
            <sz val="9"/>
            <color indexed="81"/>
            <rFont val="Tahoma"/>
            <family val="2"/>
          </rPr>
          <t xml:space="preserve">
</t>
        </r>
      </text>
    </comment>
    <comment ref="G22" authorId="0" shapeId="0" xr:uid="{00000000-0006-0000-0200-000006000000}">
      <text>
        <r>
          <rPr>
            <sz val="8"/>
            <color indexed="81"/>
            <rFont val="Arial"/>
            <family val="2"/>
          </rPr>
          <t>Value here is from a TS look-up table. User should not change the value here.
Beginning June 1, 2007, non-road diesel is required to have maxium of 500 ppm S; and beginning June 1, 2012, the S content is reduced to 15 ppm.
Sources: Final regulatory analysis: control of emissions from non-road diesel engines. US EPA, EPA420-R-04-007, 2004.</t>
        </r>
        <r>
          <rPr>
            <sz val="9"/>
            <color indexed="81"/>
            <rFont val="Tahoma"/>
            <family val="2"/>
          </rPr>
          <t xml:space="preserve">
</t>
        </r>
      </text>
    </comment>
    <comment ref="G29" authorId="1" shapeId="0" xr:uid="{00000000-0006-0000-0200-000007000000}">
      <text>
        <r>
          <rPr>
            <sz val="8"/>
            <color indexed="81"/>
            <rFont val="Tahoma"/>
            <family val="2"/>
          </rPr>
          <t>From a report prepaed by ENVIRON International Corporation (Los Angeles, CA, 2004) for the Port Authority of Long Beach Ports).</t>
        </r>
        <r>
          <rPr>
            <sz val="8"/>
            <color indexed="81"/>
            <rFont val="Tahoma"/>
            <family val="2"/>
          </rPr>
          <t xml:space="preserve">
</t>
        </r>
      </text>
    </comment>
    <comment ref="A43" authorId="2" shapeId="0" xr:uid="{00000000-0006-0000-0200-000008000000}">
      <text>
        <r>
          <rPr>
            <sz val="9"/>
            <color indexed="81"/>
            <rFont val="Tahoma"/>
            <family val="2"/>
          </rPr>
          <t>For algae-based renewable diesel only</t>
        </r>
      </text>
    </comment>
    <comment ref="A63" authorId="3" shapeId="0" xr:uid="{00000000-0006-0000-0200-000009000000}">
      <text>
        <r>
          <rPr>
            <sz val="9"/>
            <color indexed="81"/>
            <rFont val="Tahoma"/>
            <family val="2"/>
          </rPr>
          <t xml:space="preserve">Elgowainy, A., Han, J., Cai, H., Wang, M., Forman, G. S., and DiVita, V. B. (2014) Energy Efficiency and Greenhouse Gas Emission Intensity of Petroleum Products at U.S. Refineries. Environ. Sci. Technol. 48, 7612–7624.
</t>
        </r>
      </text>
    </comment>
    <comment ref="B65" authorId="4" shapeId="0" xr:uid="{00000000-0006-0000-0200-00000A000000}">
      <text>
        <r>
          <rPr>
            <b/>
            <sz val="10"/>
            <color indexed="81"/>
            <rFont val="Tahoma"/>
            <family val="2"/>
          </rPr>
          <t>Btu per (short ton, as received)</t>
        </r>
        <r>
          <rPr>
            <sz val="10"/>
            <color indexed="81"/>
            <rFont val="Tahoma"/>
            <family val="2"/>
          </rPr>
          <t xml:space="preserve">
</t>
        </r>
      </text>
    </comment>
    <comment ref="A66" authorId="0" shapeId="0" xr:uid="{00000000-0006-0000-0200-00000B000000}">
      <text>
        <r>
          <rPr>
            <sz val="8"/>
            <color indexed="81"/>
            <rFont val="Tahoma"/>
            <family val="2"/>
          </rPr>
          <t xml:space="preserve">As feedstock for coal-based H2 and FTD production pathways.
</t>
        </r>
      </text>
    </comment>
    <comment ref="B66" authorId="4" shapeId="0" xr:uid="{00000000-0006-0000-0200-00000C000000}">
      <text>
        <r>
          <rPr>
            <b/>
            <sz val="10"/>
            <color indexed="81"/>
            <rFont val="Tahoma"/>
            <family val="2"/>
          </rPr>
          <t>Btu per (short ton, as received)
Moisture Content: 4.5% wt.</t>
        </r>
        <r>
          <rPr>
            <sz val="10"/>
            <color indexed="81"/>
            <rFont val="Tahoma"/>
            <family val="2"/>
          </rPr>
          <t xml:space="preserve">
</t>
        </r>
      </text>
    </comment>
    <comment ref="D66" authorId="3" shapeId="0" xr:uid="{00000000-0006-0000-0200-00000D000000}">
      <text>
        <r>
          <rPr>
            <sz val="9"/>
            <color indexed="81"/>
            <rFont val="Tahoma"/>
            <family val="2"/>
          </rPr>
          <t>Based on EIA-423</t>
        </r>
      </text>
    </comment>
    <comment ref="F66" authorId="3" shapeId="0" xr:uid="{00000000-0006-0000-0200-00000E000000}">
      <text>
        <r>
          <rPr>
            <sz val="9"/>
            <color indexed="81"/>
            <rFont val="Tahoma"/>
            <family val="2"/>
          </rPr>
          <t>Calculated from the USGS database (2006)</t>
        </r>
      </text>
    </comment>
    <comment ref="G66" authorId="3" shapeId="0" xr:uid="{00000000-0006-0000-0200-00000F000000}">
      <text>
        <r>
          <rPr>
            <sz val="9"/>
            <color indexed="81"/>
            <rFont val="Tahoma"/>
            <family val="2"/>
          </rPr>
          <t>Based on EIA-423</t>
        </r>
      </text>
    </comment>
    <comment ref="I66" authorId="3" shapeId="0" xr:uid="{00000000-0006-0000-0200-000010000000}">
      <text>
        <r>
          <rPr>
            <sz val="9"/>
            <color indexed="81"/>
            <rFont val="Tahoma"/>
            <family val="2"/>
          </rPr>
          <t>Calculated from the USGS database (2006)</t>
        </r>
      </text>
    </comment>
    <comment ref="B67" authorId="4" shapeId="0" xr:uid="{00000000-0006-0000-0200-000011000000}">
      <text>
        <r>
          <rPr>
            <b/>
            <sz val="10"/>
            <color indexed="81"/>
            <rFont val="Tahoma"/>
            <family val="2"/>
          </rPr>
          <t>Btu per (short ton, as received)</t>
        </r>
        <r>
          <rPr>
            <sz val="10"/>
            <color indexed="81"/>
            <rFont val="Tahoma"/>
            <family val="2"/>
          </rPr>
          <t xml:space="preserve">
</t>
        </r>
        <r>
          <rPr>
            <b/>
            <sz val="10"/>
            <color indexed="81"/>
            <rFont val="Tahoma"/>
            <family val="2"/>
          </rPr>
          <t>Moisture Content: 22.4% wt.</t>
        </r>
      </text>
    </comment>
    <comment ref="D67" authorId="3" shapeId="0" xr:uid="{00000000-0006-0000-0200-000012000000}">
      <text>
        <r>
          <rPr>
            <sz val="9"/>
            <color indexed="81"/>
            <rFont val="Tahoma"/>
            <family val="2"/>
          </rPr>
          <t>Based on EIA-423</t>
        </r>
      </text>
    </comment>
    <comment ref="F67" authorId="3" shapeId="0" xr:uid="{00000000-0006-0000-0200-000013000000}">
      <text>
        <r>
          <rPr>
            <sz val="9"/>
            <color indexed="81"/>
            <rFont val="Tahoma"/>
            <family val="2"/>
          </rPr>
          <t>Calculated from the USGS database (2006)</t>
        </r>
      </text>
    </comment>
    <comment ref="G67" authorId="3" shapeId="0" xr:uid="{00000000-0006-0000-0200-000014000000}">
      <text>
        <r>
          <rPr>
            <sz val="9"/>
            <color indexed="81"/>
            <rFont val="Tahoma"/>
            <family val="2"/>
          </rPr>
          <t>Based on EIA-423</t>
        </r>
      </text>
    </comment>
    <comment ref="I67" authorId="3" shapeId="0" xr:uid="{00000000-0006-0000-0200-000015000000}">
      <text>
        <r>
          <rPr>
            <sz val="9"/>
            <color indexed="81"/>
            <rFont val="Tahoma"/>
            <family val="2"/>
          </rPr>
          <t>Calculated from the USGS database (2006)</t>
        </r>
      </text>
    </comment>
    <comment ref="B68" authorId="4" shapeId="0" xr:uid="{00000000-0006-0000-0200-000016000000}">
      <text>
        <r>
          <rPr>
            <b/>
            <sz val="10"/>
            <color indexed="81"/>
            <rFont val="Tahoma"/>
            <family val="2"/>
          </rPr>
          <t>Btu per (short ton, as received)</t>
        </r>
        <r>
          <rPr>
            <sz val="10"/>
            <color indexed="81"/>
            <rFont val="Tahoma"/>
            <family val="2"/>
          </rPr>
          <t xml:space="preserve">
</t>
        </r>
        <r>
          <rPr>
            <b/>
            <sz val="10"/>
            <color indexed="81"/>
            <rFont val="Tahoma"/>
            <family val="2"/>
          </rPr>
          <t>Moisture Content: 31.9% wt.</t>
        </r>
      </text>
    </comment>
    <comment ref="D68" authorId="3" shapeId="0" xr:uid="{00000000-0006-0000-0200-000017000000}">
      <text>
        <r>
          <rPr>
            <sz val="9"/>
            <color indexed="81"/>
            <rFont val="Tahoma"/>
            <family val="2"/>
          </rPr>
          <t>Based on EIA-423</t>
        </r>
      </text>
    </comment>
    <comment ref="F68" authorId="3" shapeId="0" xr:uid="{00000000-0006-0000-0200-000018000000}">
      <text>
        <r>
          <rPr>
            <sz val="9"/>
            <color indexed="81"/>
            <rFont val="Tahoma"/>
            <family val="2"/>
          </rPr>
          <t>Calculated from the USGS database (2006)</t>
        </r>
      </text>
    </comment>
    <comment ref="G68" authorId="3" shapeId="0" xr:uid="{00000000-0006-0000-0200-000019000000}">
      <text>
        <r>
          <rPr>
            <sz val="9"/>
            <color indexed="81"/>
            <rFont val="Tahoma"/>
            <family val="2"/>
          </rPr>
          <t>Based on EIA-423</t>
        </r>
      </text>
    </comment>
    <comment ref="I68" authorId="3" shapeId="0" xr:uid="{00000000-0006-0000-0200-00001A000000}">
      <text>
        <r>
          <rPr>
            <sz val="9"/>
            <color indexed="81"/>
            <rFont val="Tahoma"/>
            <family val="2"/>
          </rPr>
          <t>Calculated from the USGS database (2006)</t>
        </r>
      </text>
    </comment>
    <comment ref="B69" authorId="4" shapeId="0" xr:uid="{00000000-0006-0000-0200-00001B000000}">
      <text>
        <r>
          <rPr>
            <b/>
            <sz val="10"/>
            <color indexed="81"/>
            <rFont val="Tahoma"/>
            <family val="2"/>
          </rPr>
          <t>Btu per (short ton, as received)</t>
        </r>
        <r>
          <rPr>
            <sz val="10"/>
            <color indexed="81"/>
            <rFont val="Tahoma"/>
            <family val="2"/>
          </rPr>
          <t xml:space="preserve">
</t>
        </r>
      </text>
    </comment>
    <comment ref="D69" authorId="3" shapeId="0" xr:uid="{00000000-0006-0000-0200-00001C000000}">
      <text>
        <r>
          <rPr>
            <sz val="9"/>
            <color indexed="81"/>
            <rFont val="Tahoma"/>
            <family val="2"/>
          </rPr>
          <t>Assumed to be the same as bituminous coal</t>
        </r>
      </text>
    </comment>
    <comment ref="F69" authorId="3" shapeId="0" xr:uid="{00000000-0006-0000-0200-00001D000000}">
      <text>
        <r>
          <rPr>
            <sz val="9"/>
            <color indexed="81"/>
            <rFont val="Tahoma"/>
            <family val="2"/>
          </rPr>
          <t>Based on EIA-423</t>
        </r>
      </text>
    </comment>
    <comment ref="G69" authorId="3" shapeId="0" xr:uid="{00000000-0006-0000-0200-00001E000000}">
      <text>
        <r>
          <rPr>
            <sz val="9"/>
            <color indexed="81"/>
            <rFont val="Tahoma"/>
            <family val="2"/>
          </rPr>
          <t>Based on EIA-423</t>
        </r>
      </text>
    </comment>
    <comment ref="I69" authorId="3" shapeId="0" xr:uid="{00000000-0006-0000-0200-00001F000000}">
      <text>
        <r>
          <rPr>
            <sz val="9"/>
            <color indexed="81"/>
            <rFont val="Tahoma"/>
            <family val="2"/>
          </rPr>
          <t>Assumed to be the same as bituminous coal</t>
        </r>
      </text>
    </comment>
    <comment ref="B70" authorId="4" shapeId="0" xr:uid="{00000000-0006-0000-0200-000020000000}">
      <text>
        <r>
          <rPr>
            <b/>
            <sz val="10"/>
            <color indexed="81"/>
            <rFont val="Tahoma"/>
            <family val="2"/>
          </rPr>
          <t>Btu per (short ton, as received)</t>
        </r>
        <r>
          <rPr>
            <sz val="10"/>
            <color indexed="81"/>
            <rFont val="Tahoma"/>
            <family val="2"/>
          </rPr>
          <t xml:space="preserve">
</t>
        </r>
      </text>
    </comment>
    <comment ref="D70" authorId="3" shapeId="0" xr:uid="{00000000-0006-0000-0200-000021000000}">
      <text>
        <r>
          <rPr>
            <sz val="9"/>
            <color indexed="81"/>
            <rFont val="Tahoma"/>
            <family val="2"/>
          </rPr>
          <t>Based on EIA-423</t>
        </r>
      </text>
    </comment>
    <comment ref="F70" authorId="3" shapeId="0" xr:uid="{00000000-0006-0000-0200-000022000000}">
      <text>
        <r>
          <rPr>
            <sz val="9"/>
            <color indexed="81"/>
            <rFont val="Tahoma"/>
            <family val="2"/>
          </rPr>
          <t>Based on EIA-423</t>
        </r>
      </text>
    </comment>
    <comment ref="G70" authorId="3" shapeId="0" xr:uid="{00000000-0006-0000-0200-000023000000}">
      <text>
        <r>
          <rPr>
            <sz val="9"/>
            <color indexed="81"/>
            <rFont val="Tahoma"/>
            <family val="2"/>
          </rPr>
          <t>Assumed to be the same as lignite coal</t>
        </r>
      </text>
    </comment>
    <comment ref="I70" authorId="3" shapeId="0" xr:uid="{00000000-0006-0000-0200-000024000000}">
      <text>
        <r>
          <rPr>
            <sz val="9"/>
            <color indexed="81"/>
            <rFont val="Tahoma"/>
            <family val="2"/>
          </rPr>
          <t>Assumed to be the same as lignite coal</t>
        </r>
      </text>
    </comment>
    <comment ref="B71" authorId="4" shapeId="0" xr:uid="{00000000-0006-0000-0200-000025000000}">
      <text>
        <r>
          <rPr>
            <b/>
            <sz val="10"/>
            <color indexed="81"/>
            <rFont val="Tahoma"/>
            <family val="2"/>
          </rPr>
          <t>Btu per (short ton, as received)</t>
        </r>
        <r>
          <rPr>
            <sz val="10"/>
            <color indexed="81"/>
            <rFont val="Tahoma"/>
            <family val="2"/>
          </rPr>
          <t xml:space="preserve">
</t>
        </r>
      </text>
    </comment>
    <comment ref="D71" authorId="3" shapeId="0" xr:uid="{00000000-0006-0000-0200-000026000000}">
      <text>
        <r>
          <rPr>
            <sz val="9"/>
            <color indexed="81"/>
            <rFont val="Tahoma"/>
            <family val="2"/>
          </rPr>
          <t>Based on EIA-423</t>
        </r>
      </text>
    </comment>
    <comment ref="F71" authorId="3" shapeId="0" xr:uid="{00000000-0006-0000-0200-000027000000}">
      <text>
        <r>
          <rPr>
            <sz val="9"/>
            <color indexed="81"/>
            <rFont val="Tahoma"/>
            <family val="2"/>
          </rPr>
          <t xml:space="preserve">Elgowainy, A., Han, J., Cai, H., Wang, M., Forman, G. S., and DiVita, V. B. (2014) Energy Efficiency and Greenhouse Gas Emission Intensity of Petroleum Products at U.S. Refineries. Environ. Sci. Technol. 48, 7612–7624.
</t>
        </r>
      </text>
    </comment>
    <comment ref="G71" authorId="3" shapeId="0" xr:uid="{00000000-0006-0000-0200-000028000000}">
      <text>
        <r>
          <rPr>
            <sz val="9"/>
            <color indexed="81"/>
            <rFont val="Tahoma"/>
            <family val="2"/>
          </rPr>
          <t>Based on EIA-423</t>
        </r>
      </text>
    </comment>
    <comment ref="I71" authorId="3" shapeId="0" xr:uid="{00000000-0006-0000-0200-000029000000}">
      <text>
        <r>
          <rPr>
            <sz val="9"/>
            <color indexed="81"/>
            <rFont val="Tahoma"/>
            <family val="2"/>
          </rPr>
          <t>Based on the ratio in the previous GREET</t>
        </r>
      </text>
    </comment>
    <comment ref="B72" authorId="4" shapeId="0" xr:uid="{00000000-0006-0000-0200-00002A000000}">
      <text>
        <r>
          <rPr>
            <b/>
            <sz val="10"/>
            <color indexed="81"/>
            <rFont val="Tahoma"/>
            <family val="2"/>
          </rPr>
          <t>Btu per (short ton, as received)</t>
        </r>
        <r>
          <rPr>
            <sz val="10"/>
            <color indexed="81"/>
            <rFont val="Tahoma"/>
            <family val="2"/>
          </rPr>
          <t xml:space="preserve">
</t>
        </r>
      </text>
    </comment>
    <comment ref="D72" authorId="3" shapeId="0" xr:uid="{00000000-0006-0000-0200-00002B000000}">
      <text>
        <r>
          <rPr>
            <sz val="9"/>
            <color indexed="81"/>
            <rFont val="Tahoma"/>
            <family val="2"/>
          </rPr>
          <t>Based on EIA-423</t>
        </r>
      </text>
    </comment>
    <comment ref="F72" authorId="3" shapeId="0" xr:uid="{00000000-0006-0000-0200-00002C000000}">
      <text>
        <r>
          <rPr>
            <sz val="9"/>
            <color indexed="81"/>
            <rFont val="Tahoma"/>
            <family val="2"/>
          </rPr>
          <t>Based on EIA-423</t>
        </r>
      </text>
    </comment>
    <comment ref="G72" authorId="3" shapeId="0" xr:uid="{00000000-0006-0000-0200-00002D000000}">
      <text>
        <r>
          <rPr>
            <sz val="9"/>
            <color indexed="81"/>
            <rFont val="Tahoma"/>
            <family val="2"/>
          </rPr>
          <t>Assumed to be the same as pet coke</t>
        </r>
      </text>
    </comment>
    <comment ref="I72" authorId="3" shapeId="0" xr:uid="{00000000-0006-0000-0200-00002E000000}">
      <text>
        <r>
          <rPr>
            <sz val="9"/>
            <color indexed="81"/>
            <rFont val="Tahoma"/>
            <family val="2"/>
          </rPr>
          <t>Assumed to be the same as pet coke</t>
        </r>
      </text>
    </comment>
    <comment ref="B73" authorId="4" shapeId="0" xr:uid="{00000000-0006-0000-0200-00002F000000}">
      <text>
        <r>
          <rPr>
            <b/>
            <sz val="10"/>
            <color indexed="81"/>
            <rFont val="Tahoma"/>
            <family val="2"/>
          </rPr>
          <t>Btu per (short ton, as received)</t>
        </r>
        <r>
          <rPr>
            <sz val="10"/>
            <color indexed="81"/>
            <rFont val="Tahoma"/>
            <family val="2"/>
          </rPr>
          <t xml:space="preserve">
</t>
        </r>
      </text>
    </comment>
    <comment ref="B74" authorId="4" shapeId="0" xr:uid="{00000000-0006-0000-0200-000030000000}">
      <text>
        <r>
          <rPr>
            <b/>
            <sz val="10"/>
            <color indexed="81"/>
            <rFont val="Tahoma"/>
            <family val="2"/>
          </rPr>
          <t>Btu per (short ton, dry matter)</t>
        </r>
        <r>
          <rPr>
            <sz val="10"/>
            <color indexed="81"/>
            <rFont val="Tahoma"/>
            <family val="2"/>
          </rPr>
          <t xml:space="preserve">
</t>
        </r>
      </text>
    </comment>
    <comment ref="B76" authorId="4" shapeId="0" xr:uid="{00000000-0006-0000-0200-000031000000}">
      <text>
        <r>
          <rPr>
            <b/>
            <sz val="10"/>
            <color indexed="81"/>
            <rFont val="Tahoma"/>
            <family val="2"/>
          </rPr>
          <t>Btu per (short ton, dry matter)</t>
        </r>
        <r>
          <rPr>
            <sz val="10"/>
            <color indexed="81"/>
            <rFont val="Tahoma"/>
            <family val="2"/>
          </rPr>
          <t xml:space="preserve">
</t>
        </r>
      </text>
    </comment>
    <comment ref="B77" authorId="4" shapeId="0" xr:uid="{00000000-0006-0000-0200-000032000000}">
      <text>
        <r>
          <rPr>
            <b/>
            <sz val="10"/>
            <color indexed="81"/>
            <rFont val="Tahoma"/>
            <family val="2"/>
          </rPr>
          <t>Btu per (short ton, dry matter)</t>
        </r>
        <r>
          <rPr>
            <sz val="10"/>
            <color indexed="81"/>
            <rFont val="Tahoma"/>
            <family val="2"/>
          </rPr>
          <t xml:space="preserve">
</t>
        </r>
      </text>
    </comment>
    <comment ref="B78" authorId="4" shapeId="0" xr:uid="{00000000-0006-0000-0200-000033000000}">
      <text>
        <r>
          <rPr>
            <b/>
            <sz val="10"/>
            <color indexed="81"/>
            <rFont val="Tahoma"/>
            <family val="2"/>
          </rPr>
          <t>Btu per (short ton, dry matter)</t>
        </r>
        <r>
          <rPr>
            <sz val="10"/>
            <color indexed="81"/>
            <rFont val="Tahoma"/>
            <family val="2"/>
          </rPr>
          <t xml:space="preserve">
</t>
        </r>
      </text>
    </comment>
    <comment ref="B79" authorId="4" shapeId="0" xr:uid="{00000000-0006-0000-0200-000034000000}">
      <text>
        <r>
          <rPr>
            <b/>
            <sz val="10"/>
            <color indexed="81"/>
            <rFont val="Tahoma"/>
            <family val="2"/>
          </rPr>
          <t>Btu per (short ton, dry matter)</t>
        </r>
        <r>
          <rPr>
            <sz val="10"/>
            <color indexed="81"/>
            <rFont val="Tahoma"/>
            <family val="2"/>
          </rPr>
          <t xml:space="preserve">
</t>
        </r>
      </text>
    </comment>
    <comment ref="B80" authorId="4" shapeId="0" xr:uid="{00000000-0006-0000-0200-000035000000}">
      <text>
        <r>
          <rPr>
            <b/>
            <sz val="10"/>
            <color indexed="81"/>
            <rFont val="Tahoma"/>
            <family val="2"/>
          </rPr>
          <t>Btu per (short ton, dry matter)</t>
        </r>
        <r>
          <rPr>
            <sz val="10"/>
            <color indexed="81"/>
            <rFont val="Tahoma"/>
            <family val="2"/>
          </rPr>
          <t xml:space="preserve">
</t>
        </r>
      </text>
    </comment>
    <comment ref="B81" authorId="4" shapeId="0" xr:uid="{00000000-0006-0000-0200-000036000000}">
      <text>
        <r>
          <rPr>
            <b/>
            <sz val="10"/>
            <color indexed="81"/>
            <rFont val="Tahoma"/>
            <family val="2"/>
          </rPr>
          <t>Btu per (short ton, dry matter)</t>
        </r>
        <r>
          <rPr>
            <sz val="10"/>
            <color indexed="81"/>
            <rFont val="Tahoma"/>
            <family val="2"/>
          </rPr>
          <t xml:space="preserve">
</t>
        </r>
      </text>
    </comment>
    <comment ref="B82" authorId="4" shapeId="0" xr:uid="{00000000-0006-0000-0200-000037000000}">
      <text>
        <r>
          <rPr>
            <b/>
            <sz val="10"/>
            <color indexed="81"/>
            <rFont val="Tahoma"/>
            <family val="2"/>
          </rPr>
          <t>Btu per (short ton, dry matter)</t>
        </r>
        <r>
          <rPr>
            <sz val="10"/>
            <color indexed="81"/>
            <rFont val="Tahoma"/>
            <family val="2"/>
          </rPr>
          <t xml:space="preserve">
</t>
        </r>
      </text>
    </comment>
    <comment ref="B83" authorId="4" shapeId="0" xr:uid="{00000000-0006-0000-0200-000038000000}">
      <text>
        <r>
          <rPr>
            <b/>
            <sz val="10"/>
            <color indexed="81"/>
            <rFont val="Tahoma"/>
            <family val="2"/>
          </rPr>
          <t>Btu per (short ton, as received)</t>
        </r>
        <r>
          <rPr>
            <sz val="10"/>
            <color indexed="81"/>
            <rFont val="Tahoma"/>
            <family val="2"/>
          </rPr>
          <t xml:space="preserve">
</t>
        </r>
      </text>
    </comment>
    <comment ref="B84" authorId="4" shapeId="0" xr:uid="{00000000-0006-0000-0200-000039000000}">
      <text>
        <r>
          <rPr>
            <b/>
            <sz val="10"/>
            <color indexed="81"/>
            <rFont val="Tahoma"/>
            <family val="2"/>
          </rPr>
          <t>Btu per (short ton, as received)</t>
        </r>
        <r>
          <rPr>
            <sz val="10"/>
            <color indexed="81"/>
            <rFont val="Tahoma"/>
            <family val="2"/>
          </rPr>
          <t xml:space="preserve">
</t>
        </r>
      </text>
    </comment>
    <comment ref="B85" authorId="4" shapeId="0" xr:uid="{00000000-0006-0000-0200-00003A000000}">
      <text>
        <r>
          <rPr>
            <b/>
            <sz val="10"/>
            <color indexed="81"/>
            <rFont val="Tahoma"/>
            <family val="2"/>
          </rPr>
          <t>Btu per (short ton, as received)</t>
        </r>
        <r>
          <rPr>
            <sz val="10"/>
            <color indexed="81"/>
            <rFont val="Tahoma"/>
            <family val="2"/>
          </rPr>
          <t xml:space="preserve">
</t>
        </r>
      </text>
    </comment>
    <comment ref="B86" authorId="4" shapeId="0" xr:uid="{00000000-0006-0000-0200-00003B000000}">
      <text>
        <r>
          <rPr>
            <b/>
            <sz val="10"/>
            <color indexed="81"/>
            <rFont val="Tahoma"/>
            <family val="2"/>
          </rPr>
          <t>Btu per (short ton, as received)</t>
        </r>
        <r>
          <rPr>
            <sz val="10"/>
            <color indexed="81"/>
            <rFont val="Tahoma"/>
            <family val="2"/>
          </rPr>
          <t xml:space="preserve">
</t>
        </r>
      </text>
    </comment>
    <comment ref="B87" authorId="4" shapeId="0" xr:uid="{00000000-0006-0000-0200-00003C000000}">
      <text>
        <r>
          <rPr>
            <b/>
            <sz val="10"/>
            <color indexed="81"/>
            <rFont val="Tahoma"/>
            <family val="2"/>
          </rPr>
          <t>Btu per (short ton, dry matter)</t>
        </r>
        <r>
          <rPr>
            <sz val="10"/>
            <color indexed="81"/>
            <rFont val="Tahoma"/>
            <family val="2"/>
          </rPr>
          <t xml:space="preserve">
</t>
        </r>
      </text>
    </comment>
    <comment ref="B88" authorId="4" shapeId="0" xr:uid="{00000000-0006-0000-0200-00003D000000}">
      <text>
        <r>
          <rPr>
            <b/>
            <sz val="10"/>
            <color indexed="81"/>
            <rFont val="Tahoma"/>
            <family val="2"/>
          </rPr>
          <t>Btu per (short ton, dry matter)</t>
        </r>
        <r>
          <rPr>
            <sz val="10"/>
            <color indexed="81"/>
            <rFont val="Tahoma"/>
            <family val="2"/>
          </rPr>
          <t xml:space="preserve">
</t>
        </r>
      </text>
    </comment>
    <comment ref="A90" authorId="0" shapeId="0" xr:uid="{00000000-0006-0000-0200-00003E000000}">
      <text>
        <r>
          <rPr>
            <sz val="8"/>
            <color indexed="81"/>
            <rFont val="Tahoma"/>
            <family val="2"/>
          </rPr>
          <t>Different global warming potential values can be inputted here and GREET then takes the new values for calculations automatically.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<sst xmlns="http://schemas.openxmlformats.org/spreadsheetml/2006/main" count="1763" uniqueCount="957">
  <si>
    <t>(from physical units to million Btu)</t>
  </si>
  <si>
    <t>- -</t>
  </si>
  <si>
    <t/>
  </si>
  <si>
    <t xml:space="preserve">  Asphalt and Road Oil</t>
  </si>
  <si>
    <t xml:space="preserve">  Aviation Gasoline</t>
  </si>
  <si>
    <t xml:space="preserve">  Biodiesel</t>
  </si>
  <si>
    <t xml:space="preserve">  Distillate Fuel Oil</t>
  </si>
  <si>
    <t xml:space="preserve">    Residential</t>
  </si>
  <si>
    <t xml:space="preserve">    Commercial</t>
  </si>
  <si>
    <t xml:space="preserve">    Transportation</t>
  </si>
  <si>
    <t xml:space="preserve">    Industrial</t>
  </si>
  <si>
    <t xml:space="preserve">    Electric Power</t>
  </si>
  <si>
    <t xml:space="preserve">      Total Distillate</t>
  </si>
  <si>
    <t xml:space="preserve">  Distillate Fuel Oil - Low Sulfur Diesel</t>
  </si>
  <si>
    <t xml:space="preserve">  Distillate Fuel Oil - Ultra Low Sulfur Diesel</t>
  </si>
  <si>
    <t xml:space="preserve">  E85</t>
  </si>
  <si>
    <t xml:space="preserve">  Jet Fuel - Kerosene</t>
  </si>
  <si>
    <t xml:space="preserve">  Lubricants</t>
  </si>
  <si>
    <t xml:space="preserve">  Motor Gasoline Average</t>
  </si>
  <si>
    <t xml:space="preserve">     Reformulated Motor Gasoline</t>
  </si>
  <si>
    <t xml:space="preserve">  Natural Gasoline</t>
  </si>
  <si>
    <t xml:space="preserve">  Other Petroleum</t>
  </si>
  <si>
    <t xml:space="preserve">  Petrochemical Feedstocks</t>
  </si>
  <si>
    <t xml:space="preserve">  Petroleum Coke</t>
  </si>
  <si>
    <t xml:space="preserve">  Residual Fuel</t>
  </si>
  <si>
    <t xml:space="preserve">  Still Gas</t>
  </si>
  <si>
    <t xml:space="preserve">  Unfinished Oils</t>
  </si>
  <si>
    <t xml:space="preserve">  Total Petroleum Consumption</t>
  </si>
  <si>
    <t xml:space="preserve">  Petroleum Product Imports</t>
  </si>
  <si>
    <t xml:space="preserve">  Petroleum Product Exports</t>
  </si>
  <si>
    <t xml:space="preserve">  Natural Gas Plant Liquids</t>
  </si>
  <si>
    <t>Natural Gas (thousand Btu per cubic foot)</t>
  </si>
  <si>
    <t xml:space="preserve">  Consumption</t>
  </si>
  <si>
    <t xml:space="preserve">    End-use Sector</t>
  </si>
  <si>
    <t xml:space="preserve">  Production</t>
  </si>
  <si>
    <t xml:space="preserve">  Imports</t>
  </si>
  <si>
    <t xml:space="preserve">  Exports</t>
  </si>
  <si>
    <t xml:space="preserve">  Compressed/Liquefied Natural Gas</t>
  </si>
  <si>
    <t>Coal (million Btu per short ton)</t>
  </si>
  <si>
    <t xml:space="preserve">    East of the Mississippi</t>
  </si>
  <si>
    <t xml:space="preserve">    West of the Mississippi</t>
  </si>
  <si>
    <t xml:space="preserve">    Coking</t>
  </si>
  <si>
    <t xml:space="preserve">  Coal to Liquids</t>
  </si>
  <si>
    <t xml:space="preserve">  Waste Coal</t>
  </si>
  <si>
    <t xml:space="preserve">   - - = Not applicable.</t>
  </si>
  <si>
    <t>Source:</t>
  </si>
  <si>
    <t>Energy Information Administration</t>
  </si>
  <si>
    <t>Petroleum and Other Liquids</t>
  </si>
  <si>
    <t>(million Btu per barrel)</t>
  </si>
  <si>
    <t xml:space="preserve">  Crude Oil</t>
  </si>
  <si>
    <t xml:space="preserve">    Production</t>
  </si>
  <si>
    <t xml:space="preserve">    Imports</t>
  </si>
  <si>
    <t xml:space="preserve">    Exports</t>
  </si>
  <si>
    <t xml:space="preserve">    Electric Power Sector 2/</t>
  </si>
  <si>
    <t xml:space="preserve">    Commercial and Institutional</t>
  </si>
  <si>
    <t xml:space="preserve">    Industrial 3/</t>
  </si>
  <si>
    <t xml:space="preserve">    Electric Power 2/</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</si>
  <si>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</si>
  <si>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</si>
  <si>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</si>
  <si>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Electricity (Btu per kilowatthour)</t>
  </si>
  <si>
    <t>CNV000:da_Electricity</t>
  </si>
  <si>
    <t>CNV000:ca_WasteCoal</t>
  </si>
  <si>
    <t>CNV000:ca_CoaltoLiquids</t>
  </si>
  <si>
    <t>CNV000:ca_Exports</t>
  </si>
  <si>
    <t>CNV000:ca_Imports</t>
  </si>
  <si>
    <t>CNV000:ca_ElectricPower</t>
  </si>
  <si>
    <t>CNV000:ca_Coking</t>
  </si>
  <si>
    <t>CNV000:ca_Industrial</t>
  </si>
  <si>
    <t>CNV000:ca_Residentialan</t>
  </si>
  <si>
    <t>CNV000:ca_Consumption</t>
  </si>
  <si>
    <t>CNV000:ca_WestoftheMiss</t>
  </si>
  <si>
    <t>CNV000:ca_EastoftheMiss</t>
  </si>
  <si>
    <t>CNV000:ca_Production</t>
  </si>
  <si>
    <t>CNV000:ba_CompressedNat</t>
  </si>
  <si>
    <t>CNV000:ba_Exports</t>
  </si>
  <si>
    <t>CNV000:ba_Imports</t>
  </si>
  <si>
    <t>CNV000:ba_Production</t>
  </si>
  <si>
    <t>CNV000:ba_Nonutility</t>
  </si>
  <si>
    <t>CNV000:ba_Utility</t>
  </si>
  <si>
    <t>CNV000:ba_Consumption</t>
  </si>
  <si>
    <t>CNV000:aa_NaturalGasPla</t>
  </si>
  <si>
    <t>CNV000:aa_CrudeOilExpor</t>
  </si>
  <si>
    <t>CNV000:aa_CrudeOilImpor</t>
  </si>
  <si>
    <t>CNV000:aa_CrudeOilProdu</t>
  </si>
  <si>
    <t>CNV000:aa_Exports</t>
  </si>
  <si>
    <t>CNV000:aa_Imports</t>
  </si>
  <si>
    <t>CNV000:aa_TotalPetroleu</t>
  </si>
  <si>
    <t>CNV000:aa_UnfinishOilIm</t>
  </si>
  <si>
    <t>CNV000:aa_StillGas</t>
  </si>
  <si>
    <t>CNV000:aa_ResidualFuel</t>
  </si>
  <si>
    <t>CNV000:aa_PetroleumCoke</t>
  </si>
  <si>
    <t>CNV000:aa_PetrochemFeed</t>
  </si>
  <si>
    <t>CNV000:aa_OtherPetroleu</t>
  </si>
  <si>
    <t>CNV000:aa_PentanesPlus</t>
  </si>
  <si>
    <t>CNV000:aa_ReforMotorGas</t>
  </si>
  <si>
    <t>CNV000:aa_TradMotorGas</t>
  </si>
  <si>
    <t>CNV000:aa_MotorGasoline</t>
  </si>
  <si>
    <t>CNV000:aa_Lubricants</t>
  </si>
  <si>
    <t>CNV000:aa_JetFuel-Keros</t>
  </si>
  <si>
    <t>CNV000:aa_E85</t>
  </si>
  <si>
    <t xml:space="preserve">  Ethanol including denaturant</t>
  </si>
  <si>
    <t>CNV000:aa_Ethanol</t>
  </si>
  <si>
    <t>CNV000:aa_DistUltraLow</t>
  </si>
  <si>
    <t>CNV000:aa_DistLowSulf</t>
  </si>
  <si>
    <t>CNV000:aa_TotalDistilla</t>
  </si>
  <si>
    <t>CNV000:aa_ElectricPower</t>
  </si>
  <si>
    <t>CNV000:aa_Industrial</t>
  </si>
  <si>
    <t>CNV000:aa_Transportatio</t>
  </si>
  <si>
    <t>CNV000:aa_Commercial</t>
  </si>
  <si>
    <t>CNV000:aa_Residential</t>
  </si>
  <si>
    <t>CNV000:aa_Distillate</t>
  </si>
  <si>
    <t>CNV000:ea_Biodiesel</t>
  </si>
  <si>
    <t>CNV000:aa_AviationGasol</t>
  </si>
  <si>
    <t>CNV000:aa_AsphaltandRoa</t>
  </si>
  <si>
    <t>73. Conversion Factors</t>
  </si>
  <si>
    <t>CNV000</t>
  </si>
  <si>
    <t>Release Date</t>
  </si>
  <si>
    <t>Datekey</t>
  </si>
  <si>
    <t>Reference case</t>
  </si>
  <si>
    <t>Scenario</t>
  </si>
  <si>
    <t>Report</t>
  </si>
  <si>
    <t>Table 73</t>
  </si>
  <si>
    <t>Specifications of Fuels, Global Warming Potentials of Greenhouse Gases, and Carbon and Sulfur Ratios of Pollutants</t>
  </si>
  <si>
    <t>1) Specifications of Fuels</t>
  </si>
  <si>
    <t>Fuel</t>
  </si>
  <si>
    <t>Heating Value</t>
  </si>
  <si>
    <t>Density</t>
  </si>
  <si>
    <t>C ratio</t>
  </si>
  <si>
    <t>S ratio</t>
  </si>
  <si>
    <t>LHV</t>
  </si>
  <si>
    <t>HHV</t>
  </si>
  <si>
    <t>(% by wt)</t>
  </si>
  <si>
    <t>(ppm by wt)</t>
  </si>
  <si>
    <t>Actual ratio by wt</t>
  </si>
  <si>
    <t>LHV/HHV</t>
  </si>
  <si>
    <t>Use LHV or HHV in calculations?</t>
  </si>
  <si>
    <t>1 -- LHV; 2 -- HHV</t>
  </si>
  <si>
    <t>Liquid Fuels:</t>
  </si>
  <si>
    <t>Btu/gal</t>
  </si>
  <si>
    <t>grams/gal</t>
  </si>
  <si>
    <t>Crude oil</t>
  </si>
  <si>
    <t>Synthetic crude oil (SCO)</t>
  </si>
  <si>
    <t>Bitumen</t>
  </si>
  <si>
    <t>Dilbit (After Recovery)</t>
  </si>
  <si>
    <t>Dilbit (Before Recovery)</t>
  </si>
  <si>
    <t>Diluent</t>
  </si>
  <si>
    <t>Shale Oil (Bakken)</t>
  </si>
  <si>
    <t>Shale Oil (Eagle Ford)</t>
  </si>
  <si>
    <t>Gasoline blendstock</t>
  </si>
  <si>
    <t>Gasoline</t>
  </si>
  <si>
    <t>CA gasoline</t>
  </si>
  <si>
    <t>High Octane Fuel (E25)</t>
  </si>
  <si>
    <t>High Octane Fuel (E40)</t>
  </si>
  <si>
    <t>Diesel for non-road engines</t>
  </si>
  <si>
    <t>Low-sulfur diesel</t>
  </si>
  <si>
    <t>Petroleum naphtha</t>
  </si>
  <si>
    <t>Conventional Jet Fuel</t>
  </si>
  <si>
    <t>ULS Jet Fuel</t>
  </si>
  <si>
    <t>NG-based FT naphtha</t>
  </si>
  <si>
    <t>Residual oil</t>
  </si>
  <si>
    <t>Bunker fuel for ocean tanker</t>
  </si>
  <si>
    <t>Methanol</t>
  </si>
  <si>
    <t>Ethanol</t>
  </si>
  <si>
    <t>Butanol</t>
  </si>
  <si>
    <t>Acetone</t>
  </si>
  <si>
    <t>E-Diesel Additives</t>
  </si>
  <si>
    <t>Liquefied petroleum gas (LPG)</t>
  </si>
  <si>
    <t>Liquefied natural gas (LNG)</t>
  </si>
  <si>
    <t>Dimethyl ether (DME)</t>
  </si>
  <si>
    <t>Dimethoxy methane (DMM)</t>
  </si>
  <si>
    <t>Methyl ester (biodiesel, BD)</t>
  </si>
  <si>
    <t>Fischer-Tropsch diesel (FTD)</t>
  </si>
  <si>
    <t>Renewable Diesel I (SuperCetane)</t>
  </si>
  <si>
    <t>Renewable Diesel II (UOP-HDO)</t>
  </si>
  <si>
    <t>Renewable Diesel III (PNNL-HTL)</t>
  </si>
  <si>
    <t>Renewable Gasoline</t>
  </si>
  <si>
    <t>Renewable Gasoline (IDL)</t>
  </si>
  <si>
    <t xml:space="preserve">SPK (FT Jet Fuel/HRJ) </t>
  </si>
  <si>
    <t>Liquid hydrogen</t>
  </si>
  <si>
    <t>Methyl tertiary butyl ether (MTBE)</t>
  </si>
  <si>
    <t>Ethyl tertiary butyl ether (ETBE)</t>
  </si>
  <si>
    <t>Tertiary amyl methyl ether (TAME)</t>
  </si>
  <si>
    <t>Butane</t>
  </si>
  <si>
    <t>Isobutane</t>
  </si>
  <si>
    <t>Isobutylene</t>
  </si>
  <si>
    <t>Propane</t>
  </si>
  <si>
    <t>Natural gas liquids</t>
  </si>
  <si>
    <t>n-Hexane</t>
  </si>
  <si>
    <t>Still gas (in refineries)</t>
  </si>
  <si>
    <t>Gaseous Fuels (at 32F and 1atm):</t>
  </si>
  <si>
    <t>Btu/ft3</t>
  </si>
  <si>
    <t>gms/ft3</t>
  </si>
  <si>
    <t>Natural gas</t>
  </si>
  <si>
    <t>Pure Methane</t>
  </si>
  <si>
    <t>Gaseous hydrogen</t>
  </si>
  <si>
    <t>Carbon Dioxide</t>
  </si>
  <si>
    <t>Solid Fuels:</t>
  </si>
  <si>
    <t>Btu/ton</t>
  </si>
  <si>
    <t>Coal Mix for Electricity Generation</t>
  </si>
  <si>
    <t>Bituminous coal</t>
  </si>
  <si>
    <t>Subbituminous coal</t>
  </si>
  <si>
    <t>Lignite coal</t>
  </si>
  <si>
    <t>Synthetic coal</t>
  </si>
  <si>
    <t>Waste coal</t>
  </si>
  <si>
    <t>Pet Coke</t>
  </si>
  <si>
    <t>Tire Derived Fuel</t>
  </si>
  <si>
    <t>Coking coal</t>
  </si>
  <si>
    <t>Willow</t>
  </si>
  <si>
    <t>Poplar</t>
  </si>
  <si>
    <t>Switchgrass</t>
  </si>
  <si>
    <t>Miscanthus</t>
  </si>
  <si>
    <t>Corn stover</t>
  </si>
  <si>
    <t>Forest residue</t>
  </si>
  <si>
    <t>Yard trimming waste</t>
  </si>
  <si>
    <t>Sugarcane straw</t>
  </si>
  <si>
    <t>Sugarcane bagasse</t>
  </si>
  <si>
    <t>Bio-char</t>
  </si>
  <si>
    <t>Grain sorghum bagasse</t>
  </si>
  <si>
    <t>Sweet sorghum bagasse</t>
  </si>
  <si>
    <t>Forage sorghum bagasse</t>
  </si>
  <si>
    <t>Municipal solid waste (defined by EISA)</t>
  </si>
  <si>
    <t>Convertible municipal solid waste</t>
  </si>
  <si>
    <t>2) Global Warming Potentials of Greenhouse Gases: relative to CO2</t>
  </si>
  <si>
    <t>Metrics for Carbon Dioxide, Methane, Nitrous Oxide</t>
  </si>
  <si>
    <t>AR Edition/Type</t>
  </si>
  <si>
    <t>AR5/GWP</t>
  </si>
  <si>
    <t>AR5/GTP</t>
  </si>
  <si>
    <t>AR4/GWP</t>
  </si>
  <si>
    <t>AR3/GWP</t>
  </si>
  <si>
    <t>AR2/GWP</t>
  </si>
  <si>
    <t>AR1/GWP</t>
  </si>
  <si>
    <t>Time Horizon (YR)</t>
  </si>
  <si>
    <t>CO2</t>
  </si>
  <si>
    <t>CH4</t>
  </si>
  <si>
    <t>N2O</t>
  </si>
  <si>
    <t>Metrics for Near Term Climate Forcers</t>
  </si>
  <si>
    <t>Type</t>
  </si>
  <si>
    <t>None</t>
  </si>
  <si>
    <t>GWP</t>
  </si>
  <si>
    <t>GTP</t>
  </si>
  <si>
    <t>VOC</t>
  </si>
  <si>
    <t>CO</t>
  </si>
  <si>
    <t>NOx</t>
  </si>
  <si>
    <t>BC</t>
  </si>
  <si>
    <t>OC</t>
  </si>
  <si>
    <t>3) Carbon and Sulfur Ratios of Pollutants</t>
  </si>
  <si>
    <t>Carbon ratio of VOC</t>
  </si>
  <si>
    <t>Carbon ratio of CO</t>
  </si>
  <si>
    <t>Carbon ratio of CH4</t>
  </si>
  <si>
    <t>Carbon ratio of CO2</t>
  </si>
  <si>
    <t>Sulfur ratio of SO2</t>
  </si>
  <si>
    <t>4) Regulated Sulfur Content in Gasoline Blendstock and Conventional Diesel over Time</t>
  </si>
  <si>
    <t>5-year period</t>
  </si>
  <si>
    <t>Sulfur Content in Gasoline Blendstock (ppm)</t>
  </si>
  <si>
    <t>Relative Change (to yr 2010)</t>
  </si>
  <si>
    <t>Sulfur Content in Conventional Diesel (ppm)</t>
  </si>
  <si>
    <t>Sulfur Content in California Diesel (ppm)</t>
  </si>
  <si>
    <t>Sulfur Content in non-Road Diesel (ppm)</t>
  </si>
  <si>
    <t>Sulfur Content in Residual Oil (ppm)</t>
  </si>
  <si>
    <t>Sulfur Content in Marine Disttillate (ppm)</t>
  </si>
  <si>
    <t>5) Unit Conversion</t>
  </si>
  <si>
    <t>Mass</t>
  </si>
  <si>
    <t>1 g</t>
  </si>
  <si>
    <t>1 kg</t>
  </si>
  <si>
    <t>1 metric tonne</t>
  </si>
  <si>
    <t>1 lb</t>
  </si>
  <si>
    <t>1 short ton</t>
  </si>
  <si>
    <t>g</t>
  </si>
  <si>
    <t>kg</t>
  </si>
  <si>
    <t>metric tonne</t>
  </si>
  <si>
    <t>lb</t>
  </si>
  <si>
    <t>short ton</t>
  </si>
  <si>
    <t>Volume</t>
  </si>
  <si>
    <t>1 m3</t>
  </si>
  <si>
    <t>1 ml</t>
  </si>
  <si>
    <t>1 L</t>
  </si>
  <si>
    <t>1 gal</t>
  </si>
  <si>
    <t>1 ft3</t>
  </si>
  <si>
    <t>m3</t>
  </si>
  <si>
    <t>ml</t>
  </si>
  <si>
    <t>L</t>
  </si>
  <si>
    <t>gal</t>
  </si>
  <si>
    <t>ft3</t>
  </si>
  <si>
    <t>Energy</t>
  </si>
  <si>
    <t>1 J</t>
  </si>
  <si>
    <t>1kJ</t>
  </si>
  <si>
    <t>1 MJ</t>
  </si>
  <si>
    <t>1Wh</t>
  </si>
  <si>
    <t>1 kWh</t>
  </si>
  <si>
    <t>1 BTU</t>
  </si>
  <si>
    <t>1 mmBTU</t>
  </si>
  <si>
    <t>1 hph</t>
  </si>
  <si>
    <t>J</t>
  </si>
  <si>
    <t>kJ</t>
  </si>
  <si>
    <t>MJ</t>
  </si>
  <si>
    <t>Wh</t>
  </si>
  <si>
    <t>kWh</t>
  </si>
  <si>
    <t>BTU</t>
  </si>
  <si>
    <t>mmBTU</t>
  </si>
  <si>
    <t>hph</t>
  </si>
  <si>
    <t>Calculation: LHV</t>
  </si>
  <si>
    <t>U.S. conventional diesel</t>
  </si>
  <si>
    <t>Argonne National Laboratory</t>
  </si>
  <si>
    <t>Tab "Fuel_Specs"</t>
  </si>
  <si>
    <t>https://greet.es.anl.gov/</t>
  </si>
  <si>
    <t>Electricity</t>
  </si>
  <si>
    <t>Natural Gas</t>
  </si>
  <si>
    <t>Biofuel Gasoline</t>
  </si>
  <si>
    <t>Biofuel Diesel</t>
  </si>
  <si>
    <t>gallons per U.S. barrel</t>
  </si>
  <si>
    <t>BCF Vehicle Fuel Economy Unit Conversion Factors</t>
  </si>
  <si>
    <t>Relevant Conversion Factors</t>
  </si>
  <si>
    <t>Petroleum Gasoline (fuel economy units)</t>
  </si>
  <si>
    <t>Petroleum Diesel (fuel economy units)</t>
  </si>
  <si>
    <t>Jet Fuel (fuel economy units)</t>
  </si>
  <si>
    <t>BCF BTU per Small Fuel Output Unit</t>
  </si>
  <si>
    <t>BCF BTU per Large Fuel Output Unit</t>
  </si>
  <si>
    <t>hard coal</t>
  </si>
  <si>
    <t>natural gas</t>
  </si>
  <si>
    <t>biomass</t>
  </si>
  <si>
    <t>petroleum gasoline</t>
  </si>
  <si>
    <t>petroleum diesel</t>
  </si>
  <si>
    <t>biofuel gasoline</t>
  </si>
  <si>
    <t>biofuel diesel</t>
  </si>
  <si>
    <t>lignite</t>
  </si>
  <si>
    <t>Large Fuel Output Units</t>
  </si>
  <si>
    <t>millions of short tons</t>
  </si>
  <si>
    <t>trillion cubic feet</t>
  </si>
  <si>
    <t>Fuel Economy Output Unit</t>
  </si>
  <si>
    <t>miles per gallon</t>
  </si>
  <si>
    <t>Small Fuel Output Units</t>
  </si>
  <si>
    <t>short tons</t>
  </si>
  <si>
    <t>thousand cubic feet</t>
  </si>
  <si>
    <t>BTU/MWh (pure unit conversion, not a heat rate)</t>
  </si>
  <si>
    <t>nuclear (not used)</t>
  </si>
  <si>
    <t>hydro (not used)</t>
  </si>
  <si>
    <t>wind (not used)</t>
  </si>
  <si>
    <t>solar (not used)</t>
  </si>
  <si>
    <t>geothermal (not used)</t>
  </si>
  <si>
    <t>hard coal, natural gas, petroleum fuels, liquid biofuels</t>
  </si>
  <si>
    <t>electricity (not used)</t>
  </si>
  <si>
    <t>heat (not used)</t>
  </si>
  <si>
    <t>gallons</t>
  </si>
  <si>
    <t>electricity, district heat</t>
  </si>
  <si>
    <t>TWh</t>
  </si>
  <si>
    <t>MWh</t>
  </si>
  <si>
    <t>electricity</t>
  </si>
  <si>
    <t>heat</t>
  </si>
  <si>
    <t>nuclear fuel (uranium oxide)</t>
  </si>
  <si>
    <t>million BTU</t>
  </si>
  <si>
    <t>nuclear fuel</t>
  </si>
  <si>
    <t>trillion BTU</t>
  </si>
  <si>
    <t>large output unit not used for these fuels</t>
  </si>
  <si>
    <t>large output unit not used for this fuel</t>
  </si>
  <si>
    <t>The Energy Import Export Output Unit is used to compare all import energy flows on the same graph and to</t>
  </si>
  <si>
    <t>compare all export energy flows on the same graph, so it should be smaller than web-app/BpTPEU, but like BpTPEU,</t>
  </si>
  <si>
    <t>it should be a common unit that works for all energy types.</t>
  </si>
  <si>
    <t>Energy Import Export Output Unit</t>
  </si>
  <si>
    <t>BCF BTU per Energy Import Export Output Unit</t>
  </si>
  <si>
    <t>hydrogen</t>
  </si>
  <si>
    <t>crude oil</t>
  </si>
  <si>
    <t>heavy fuel oil</t>
  </si>
  <si>
    <t>LPG propane or butane</t>
  </si>
  <si>
    <t>municipal solid waste</t>
  </si>
  <si>
    <t>jet fuel or kerosene</t>
  </si>
  <si>
    <t>Projections:  EIA, AEO2019 National Energy Modeling System run ref2019.d111618a.</t>
  </si>
  <si>
    <t>2018:  EIA, Short-Term Energy Outlook, October 2018 and EIA, AEO2019 National Energy Modeling System run ref2019.d111618a.</t>
  </si>
  <si>
    <t xml:space="preserve">   Sources:  2017 based on:  U.S. Energy Information Administration (EIA), Monthly Energy Review, September 2018.</t>
  </si>
  <si>
    <t xml:space="preserve">   Note:  Data for 2017 are model results and may differ from official EIA data reports.</t>
  </si>
  <si>
    <t xml:space="preserve">     Reformulated before Blending</t>
  </si>
  <si>
    <t>CNV000:convert_rbob</t>
  </si>
  <si>
    <t xml:space="preserve">     Conventional before Blending</t>
  </si>
  <si>
    <t>CNV000:convert_cbob</t>
  </si>
  <si>
    <t xml:space="preserve">     Conventional Motor Gasoline</t>
  </si>
  <si>
    <t>2018-</t>
  </si>
  <si>
    <t xml:space="preserve"> January 2019</t>
  </si>
  <si>
    <t>d111618a</t>
  </si>
  <si>
    <t>ref2019</t>
  </si>
  <si>
    <t>Annual Energy Outlook 2019</t>
  </si>
  <si>
    <t>ref2019.d111618a</t>
  </si>
  <si>
    <t>petroleum gasoline, petroleum diesel, biofuel gasoline, biofuel diesel, jet fuel or kerosene, crude oil, heavy fuel oil</t>
  </si>
  <si>
    <t>crude oil, heavy fuel oil</t>
  </si>
  <si>
    <t>LPG/propane/butane</t>
  </si>
  <si>
    <t>million gallons</t>
  </si>
  <si>
    <t>petroleum gasoline, petroleum diesel, biofuel gasoline, biofuel diesel, jet fuel or kerosene, LPG/propane/butane</t>
  </si>
  <si>
    <t>hard coal, lignite, biomass, municipal solid waste</t>
  </si>
  <si>
    <t>thousand metric tons</t>
  </si>
  <si>
    <t>The Fuel Economy Output Unit is used to help compare fuel economy of different technologies of the same vehicle</t>
  </si>
  <si>
    <t>type (e.g. electric vs. gasoline LDVs).  They will use a common unit, such as miles per gallon, even though electric</t>
  </si>
  <si>
    <t>LDVs do not use liquid fuel.  The only fuel types that need data for Fuel Economy Output Unit are the "reference"</t>
  </si>
  <si>
    <t>fuel types that are used as the basis for comparing all of the vehicles of a given type, across technologies.</t>
  </si>
  <si>
    <t>(for other vehicle types).</t>
  </si>
  <si>
    <t>This could be: petroleum gasoline (for LDVs and motorbikes), jet fuel (for aircraft), and petroleum diesel</t>
  </si>
  <si>
    <t>heavy or residual fuel oil</t>
  </si>
  <si>
    <t>Lignite, Biomass, LPG, municipal solid waste, hydrogen</t>
  </si>
  <si>
    <t>Energy Import Export Output Unit (BTU/energy output unit)</t>
  </si>
  <si>
    <t>Conversion Factor (output fuel economy unit/(miles/BTU))</t>
  </si>
  <si>
    <t>BTU/large fuel output unit</t>
  </si>
  <si>
    <t>BTU/small fuel output unit</t>
  </si>
  <si>
    <t>CA diesel</t>
  </si>
  <si>
    <t>Low Octane Gasoline-Like Fuel (LOF)</t>
  </si>
  <si>
    <t>Renewable Gasoline (Ex Situ CFP)</t>
  </si>
  <si>
    <t>Catalyst Coke</t>
  </si>
  <si>
    <t>Clean Pine</t>
  </si>
  <si>
    <t>Asphalt</t>
  </si>
  <si>
    <t>Lubricants</t>
  </si>
  <si>
    <t>Length</t>
  </si>
  <si>
    <t>mm</t>
  </si>
  <si>
    <t>m</t>
  </si>
  <si>
    <t>km</t>
  </si>
  <si>
    <t>ft</t>
  </si>
  <si>
    <t>mi</t>
  </si>
  <si>
    <t>GREET1 2019</t>
  </si>
  <si>
    <t>Barrels of oil has been used across petroleum fuels to provide a more standardized unit, instead of converting from</t>
  </si>
  <si>
    <t>BTU to barrel of each equivalent fuel.</t>
  </si>
  <si>
    <t>million barrels of oil</t>
  </si>
  <si>
    <t>barrels of oil</t>
  </si>
  <si>
    <t>http://www.eia.gov/forecasts/aeo/supplement/excel/suptab_73.xlsx</t>
    <phoneticPr fontId="38" type="noConversion"/>
  </si>
  <si>
    <t>万吨</t>
    <phoneticPr fontId="38" type="noConversion"/>
  </si>
  <si>
    <t>亿立方米</t>
    <phoneticPr fontId="38" type="noConversion"/>
  </si>
  <si>
    <t>万吨标煤</t>
    <phoneticPr fontId="38" type="noConversion"/>
  </si>
  <si>
    <t>能源名称</t>
  </si>
  <si>
    <t>柴油</t>
  </si>
  <si>
    <t>万吨</t>
  </si>
  <si>
    <t>电力</t>
  </si>
  <si>
    <t>亿千瓦时</t>
  </si>
  <si>
    <t>高炉煤气</t>
  </si>
  <si>
    <t>亿立方米</t>
  </si>
  <si>
    <t>焦炉煤气</t>
  </si>
  <si>
    <t>焦炭</t>
  </si>
  <si>
    <t>炼厂干气</t>
  </si>
  <si>
    <t>煤矸石</t>
  </si>
  <si>
    <t>煤合计</t>
  </si>
  <si>
    <t>煤油</t>
  </si>
  <si>
    <t>其他焦化产品</t>
  </si>
  <si>
    <t>其他煤气</t>
  </si>
  <si>
    <t>其他能源</t>
  </si>
  <si>
    <t>万吨标准煤</t>
  </si>
  <si>
    <t>其他石油制品</t>
  </si>
  <si>
    <t>其他洗煤</t>
  </si>
  <si>
    <t>汽油</t>
  </si>
  <si>
    <t>燃料油</t>
  </si>
  <si>
    <t>热力</t>
  </si>
  <si>
    <t>万百万千焦</t>
  </si>
  <si>
    <t>溶剂油</t>
  </si>
  <si>
    <t>润滑油</t>
  </si>
  <si>
    <t>石蜡</t>
  </si>
  <si>
    <t>石脑油</t>
  </si>
  <si>
    <t>石油焦</t>
  </si>
  <si>
    <t>石油沥青</t>
  </si>
  <si>
    <t>天然气</t>
  </si>
  <si>
    <t>洗精煤</t>
  </si>
  <si>
    <t>型煤</t>
  </si>
  <si>
    <t>液化石油气</t>
  </si>
  <si>
    <t>液化天然气</t>
  </si>
  <si>
    <t>油品合计</t>
  </si>
  <si>
    <t>原煤</t>
  </si>
  <si>
    <t>原油</t>
  </si>
  <si>
    <t>转炉煤气</t>
  </si>
  <si>
    <t>Crude Oil</t>
  </si>
  <si>
    <t>城市生活垃圾</t>
  </si>
  <si>
    <t>亿千瓦小时</t>
  </si>
  <si>
    <t>Blast Furnance Gas</t>
  </si>
  <si>
    <t>Coke Oven Gas</t>
  </si>
  <si>
    <t>Coke</t>
  </si>
  <si>
    <t>coal</t>
  </si>
  <si>
    <t>Refinery Gas</t>
  </si>
  <si>
    <t>Kerosene</t>
  </si>
  <si>
    <t>Briquettes</t>
  </si>
  <si>
    <t>Other Coking Products</t>
  </si>
  <si>
    <t>Other Gas</t>
  </si>
  <si>
    <t>Other Petroleum Products</t>
  </si>
  <si>
    <t>Other Washed Coal</t>
  </si>
  <si>
    <t>Fuel Oil</t>
  </si>
  <si>
    <t>Heat</t>
  </si>
  <si>
    <t>White Spirit</t>
  </si>
  <si>
    <t>Lubricant</t>
  </si>
  <si>
    <t>生物质</t>
  </si>
  <si>
    <t>生物质柴油</t>
  </si>
  <si>
    <t>生物质汽油</t>
  </si>
  <si>
    <t>Paraffin Waxes</t>
  </si>
  <si>
    <t>Naphtha</t>
  </si>
  <si>
    <t>Petroleum Coke</t>
  </si>
  <si>
    <t>Bitumen Asphalt</t>
  </si>
  <si>
    <t>Cleaned Coal</t>
  </si>
  <si>
    <t>Liquefied Petroleum Gas</t>
  </si>
  <si>
    <t>Liquefied Natural Gas</t>
  </si>
  <si>
    <t>Raw Coal</t>
  </si>
  <si>
    <t>项 目</t>
  </si>
  <si>
    <t>Item</t>
  </si>
  <si>
    <r>
      <t>煤合计_x000D_
(万吨)_x000D_
Coal Total_x000D_
(10</t>
    </r>
    <r>
      <rPr>
        <vertAlign val="superscript"/>
        <sz val="10"/>
        <rFont val="宋体"/>
        <family val="3"/>
        <charset val="134"/>
      </rPr>
      <t>4</t>
    </r>
    <r>
      <rPr>
        <sz val="10"/>
        <rFont val="宋体"/>
        <family val="3"/>
        <charset val="134"/>
      </rPr>
      <t xml:space="preserve"> tons)</t>
    </r>
  </si>
  <si>
    <r>
      <t>原煤_x000D_
(万吨)_x000D_
Raw Coal_x000D_
(10</t>
    </r>
    <r>
      <rPr>
        <vertAlign val="superscript"/>
        <sz val="10"/>
        <rFont val="宋体"/>
        <family val="3"/>
        <charset val="134"/>
      </rPr>
      <t>4</t>
    </r>
    <r>
      <rPr>
        <sz val="10"/>
        <rFont val="宋体"/>
        <family val="3"/>
        <charset val="134"/>
      </rPr>
      <t xml:space="preserve"> tons)</t>
    </r>
  </si>
  <si>
    <r>
      <t>洗精煤_x000D_
(万吨)_x000D_
Cleaned_x000D_
Coal_x000D_
(10</t>
    </r>
    <r>
      <rPr>
        <vertAlign val="superscript"/>
        <sz val="10"/>
        <rFont val="宋体"/>
        <family val="3"/>
        <charset val="134"/>
      </rPr>
      <t>4</t>
    </r>
    <r>
      <rPr>
        <sz val="10"/>
        <rFont val="宋体"/>
        <family val="3"/>
        <charset val="134"/>
      </rPr>
      <t xml:space="preserve"> tons)</t>
    </r>
  </si>
  <si>
    <r>
      <t>其他洗煤_x000D_
(万吨)_x000D_
Other_x000D_
Washed_x000D_
Coal_x000D_
(10</t>
    </r>
    <r>
      <rPr>
        <vertAlign val="superscript"/>
        <sz val="10"/>
        <rFont val="宋体"/>
        <family val="3"/>
        <charset val="134"/>
      </rPr>
      <t>4</t>
    </r>
    <r>
      <rPr>
        <sz val="10"/>
        <rFont val="宋体"/>
        <family val="3"/>
        <charset val="134"/>
      </rPr>
      <t xml:space="preserve"> tons)</t>
    </r>
  </si>
  <si>
    <r>
      <t>煤矸石_x000D_
(万吨)_x000D_
Gangue_x000D_
(10</t>
    </r>
    <r>
      <rPr>
        <vertAlign val="superscript"/>
        <sz val="10"/>
        <rFont val="宋体"/>
        <family val="3"/>
        <charset val="134"/>
      </rPr>
      <t>4</t>
    </r>
    <r>
      <rPr>
        <sz val="10"/>
        <rFont val="宋体"/>
        <family val="3"/>
        <charset val="134"/>
      </rPr>
      <t xml:space="preserve"> tons)</t>
    </r>
  </si>
  <si>
    <r>
      <t>焦炭_x000D_
(万吨)_x000D_
Coke_x000D_
(10</t>
    </r>
    <r>
      <rPr>
        <vertAlign val="superscript"/>
        <sz val="10"/>
        <rFont val="宋体"/>
        <family val="3"/>
        <charset val="134"/>
      </rPr>
      <t>4</t>
    </r>
    <r>
      <rPr>
        <sz val="10"/>
        <rFont val="宋体"/>
        <family val="3"/>
        <charset val="134"/>
      </rPr>
      <t xml:space="preserve"> tons)</t>
    </r>
  </si>
  <si>
    <r>
      <t>焦炉煤气_x000D_
(亿立方米)_x000D_
Coke Oven_x000D_
Gas_x000D_
(10</t>
    </r>
    <r>
      <rPr>
        <vertAlign val="superscript"/>
        <sz val="10"/>
        <rFont val="宋体"/>
        <family val="3"/>
        <charset val="134"/>
      </rPr>
      <t>8</t>
    </r>
    <r>
      <rPr>
        <sz val="10"/>
        <rFont val="宋体"/>
        <family val="3"/>
        <charset val="134"/>
      </rPr>
      <t xml:space="preserve"> cu.m)</t>
    </r>
  </si>
  <si>
    <r>
      <t>高炉煤气_x000D_
(亿立方米)_x000D_
Blast Furnace_x000D_
Gas_x000D_
(10</t>
    </r>
    <r>
      <rPr>
        <vertAlign val="superscript"/>
        <sz val="10"/>
        <rFont val="宋体"/>
        <family val="3"/>
        <charset val="134"/>
      </rPr>
      <t>8</t>
    </r>
    <r>
      <rPr>
        <sz val="10"/>
        <rFont val="宋体"/>
        <family val="3"/>
        <charset val="134"/>
      </rPr>
      <t xml:space="preserve"> cu.m)</t>
    </r>
  </si>
  <si>
    <r>
      <t>转炉煤气_x000D_
(亿立方米)_x000D_
Converter_x000D_
Gas_x000D_
(10</t>
    </r>
    <r>
      <rPr>
        <vertAlign val="superscript"/>
        <sz val="10"/>
        <rFont val="宋体"/>
        <family val="3"/>
        <charset val="134"/>
      </rPr>
      <t>8</t>
    </r>
    <r>
      <rPr>
        <sz val="10"/>
        <rFont val="宋体"/>
        <family val="3"/>
        <charset val="134"/>
      </rPr>
      <t xml:space="preserve"> cu.m)</t>
    </r>
  </si>
  <si>
    <r>
      <t>其他煤气_x000D_
(亿立方米)_x000D_
Other Gas_x000D_
(10</t>
    </r>
    <r>
      <rPr>
        <vertAlign val="superscript"/>
        <sz val="10"/>
        <rFont val="宋体"/>
        <family val="3"/>
        <charset val="134"/>
      </rPr>
      <t>8</t>
    </r>
    <r>
      <rPr>
        <sz val="10"/>
        <rFont val="宋体"/>
        <family val="3"/>
        <charset val="134"/>
      </rPr>
      <t xml:space="preserve"> cu.m)</t>
    </r>
  </si>
  <si>
    <t>一.可供本地区消费的能源量</t>
  </si>
  <si>
    <t>Total Primary Energy Supply</t>
  </si>
  <si>
    <t xml:space="preserve">  1.一次能源生产量</t>
  </si>
  <si>
    <t xml:space="preserve">  Indigenous Production</t>
  </si>
  <si>
    <t xml:space="preserve">    水电</t>
  </si>
  <si>
    <t xml:space="preserve">    Hydro Power</t>
  </si>
  <si>
    <t xml:space="preserve">    核电</t>
  </si>
  <si>
    <t xml:space="preserve">    Nuclear Power</t>
  </si>
  <si>
    <t xml:space="preserve">    风电</t>
  </si>
  <si>
    <t xml:space="preserve">    Wind Power</t>
  </si>
  <si>
    <t xml:space="preserve">  2.进口量</t>
  </si>
  <si>
    <t xml:space="preserve">  Import</t>
  </si>
  <si>
    <t xml:space="preserve">  4.出口量(-)</t>
  </si>
  <si>
    <t xml:space="preserve">  6.库存增(-)、减(+)量</t>
  </si>
  <si>
    <t xml:space="preserve">  Stock Change</t>
  </si>
  <si>
    <t>二.加工转换投入(-)产出(+)量</t>
  </si>
  <si>
    <t xml:space="preserve">  1.火力发电</t>
  </si>
  <si>
    <t xml:space="preserve">  Thermal Power</t>
  </si>
  <si>
    <t xml:space="preserve">  2.供热</t>
  </si>
  <si>
    <t xml:space="preserve">  Heating Supply</t>
  </si>
  <si>
    <t xml:space="preserve">  Coal Washing</t>
  </si>
  <si>
    <t xml:space="preserve">  4.炼焦</t>
  </si>
  <si>
    <t xml:space="preserve">  Coking</t>
  </si>
  <si>
    <t xml:space="preserve">  5.炼油及煤制油</t>
  </si>
  <si>
    <t xml:space="preserve">    #油品再投入量(-)</t>
  </si>
  <si>
    <t xml:space="preserve">  6.制气</t>
  </si>
  <si>
    <t xml:space="preserve">  Gas Works</t>
  </si>
  <si>
    <t xml:space="preserve">    #焦炭再投入量(-)</t>
  </si>
  <si>
    <t xml:space="preserve">  7.天然气液化</t>
  </si>
  <si>
    <t xml:space="preserve">  Natural Gas Liquefaction</t>
  </si>
  <si>
    <t xml:space="preserve">  8.煤制品加工</t>
  </si>
  <si>
    <t xml:space="preserve">  Briquettes</t>
  </si>
  <si>
    <t xml:space="preserve">  9.回收能</t>
  </si>
  <si>
    <t>三.损失量</t>
  </si>
  <si>
    <t>Loss</t>
  </si>
  <si>
    <t>四.终端消费量</t>
  </si>
  <si>
    <t>Total Final Consumption</t>
  </si>
  <si>
    <t xml:space="preserve">  1.农、林、牧、渔业</t>
  </si>
  <si>
    <t xml:space="preserve">  Agriculture,Forestry,Animal Husbandry and Fishery</t>
  </si>
  <si>
    <t xml:space="preserve">  2.工业</t>
  </si>
  <si>
    <t xml:space="preserve">  Industry</t>
  </si>
  <si>
    <t xml:space="preserve">    #用作原料、材料</t>
  </si>
  <si>
    <t xml:space="preserve">    Non-Energy Use</t>
  </si>
  <si>
    <t xml:space="preserve">  3.建筑业</t>
  </si>
  <si>
    <t xml:space="preserve">  Construction</t>
  </si>
  <si>
    <t xml:space="preserve">  4.交通运输、仓储和邮政业</t>
  </si>
  <si>
    <t xml:space="preserve">  Transport,Storage and Post</t>
  </si>
  <si>
    <t xml:space="preserve">  6.其他</t>
  </si>
  <si>
    <t xml:space="preserve">  Others</t>
  </si>
  <si>
    <t xml:space="preserve">    城镇</t>
  </si>
  <si>
    <t xml:space="preserve">    Urban</t>
  </si>
  <si>
    <t xml:space="preserve">    乡村</t>
  </si>
  <si>
    <t xml:space="preserve">    Rural</t>
  </si>
  <si>
    <t>五.平衡差额</t>
  </si>
  <si>
    <t>Statistical Difference</t>
  </si>
  <si>
    <t>六.消费量合计</t>
  </si>
  <si>
    <t>Total Energy Consumption</t>
  </si>
  <si>
    <t>5-1 续表1</t>
  </si>
  <si>
    <r>
      <t>其他焦化产品_x000D_
(万吨)_x000D_
Other_x000D_
Coking_x000D_
Products_x000D_
(10</t>
    </r>
    <r>
      <rPr>
        <vertAlign val="superscript"/>
        <sz val="10"/>
        <rFont val="宋体"/>
        <family val="3"/>
        <charset val="134"/>
      </rPr>
      <t>4</t>
    </r>
    <r>
      <rPr>
        <sz val="10"/>
        <rFont val="宋体"/>
        <family val="3"/>
        <charset val="134"/>
      </rPr>
      <t xml:space="preserve"> tons)</t>
    </r>
  </si>
  <si>
    <r>
      <t>油品合计_x000D_
(万吨)_x000D_
Petroleum_x000D_
Products_x000D_
Total_x000D_
(10</t>
    </r>
    <r>
      <rPr>
        <vertAlign val="superscript"/>
        <sz val="10"/>
        <rFont val="宋体"/>
        <family val="3"/>
        <charset val="134"/>
      </rPr>
      <t>4</t>
    </r>
    <r>
      <rPr>
        <sz val="10"/>
        <rFont val="宋体"/>
        <family val="3"/>
        <charset val="134"/>
      </rPr>
      <t xml:space="preserve"> tons)</t>
    </r>
  </si>
  <si>
    <r>
      <t>原油_x000D_
(万吨)_x000D_
Crude Oil_x000D_
(10</t>
    </r>
    <r>
      <rPr>
        <vertAlign val="superscript"/>
        <sz val="10"/>
        <rFont val="宋体"/>
        <family val="3"/>
        <charset val="134"/>
      </rPr>
      <t>4</t>
    </r>
    <r>
      <rPr>
        <sz val="10"/>
        <rFont val="宋体"/>
        <family val="3"/>
        <charset val="134"/>
      </rPr>
      <t xml:space="preserve"> tons)</t>
    </r>
  </si>
  <si>
    <r>
      <t>汽油_x000D_
(万吨)_x000D_
Gasoline_x000D_
(10</t>
    </r>
    <r>
      <rPr>
        <vertAlign val="superscript"/>
        <sz val="10"/>
        <rFont val="宋体"/>
        <family val="3"/>
        <charset val="134"/>
      </rPr>
      <t>4</t>
    </r>
    <r>
      <rPr>
        <sz val="10"/>
        <rFont val="宋体"/>
        <family val="3"/>
        <charset val="134"/>
      </rPr>
      <t xml:space="preserve"> tons)</t>
    </r>
  </si>
  <si>
    <r>
      <t>煤油_x000D_
(万吨)_x000D_
Kerosene_x000D_
(10</t>
    </r>
    <r>
      <rPr>
        <vertAlign val="superscript"/>
        <sz val="10"/>
        <rFont val="宋体"/>
        <family val="3"/>
        <charset val="134"/>
      </rPr>
      <t>4</t>
    </r>
    <r>
      <rPr>
        <sz val="10"/>
        <rFont val="宋体"/>
        <family val="3"/>
        <charset val="134"/>
      </rPr>
      <t xml:space="preserve"> tons)</t>
    </r>
  </si>
  <si>
    <r>
      <t>柴油_x000D_
(万吨)_x000D_
Diesel Oil_x000D_
(10</t>
    </r>
    <r>
      <rPr>
        <vertAlign val="superscript"/>
        <sz val="10"/>
        <rFont val="宋体"/>
        <family val="3"/>
        <charset val="134"/>
      </rPr>
      <t>4</t>
    </r>
    <r>
      <rPr>
        <sz val="10"/>
        <rFont val="宋体"/>
        <family val="3"/>
        <charset val="134"/>
      </rPr>
      <t xml:space="preserve"> tons)</t>
    </r>
  </si>
  <si>
    <r>
      <t>燃料油_x000D_
(万吨)_x000D_
Fuel Oil_x000D_
(10</t>
    </r>
    <r>
      <rPr>
        <vertAlign val="superscript"/>
        <sz val="10"/>
        <rFont val="宋体"/>
        <family val="3"/>
        <charset val="134"/>
      </rPr>
      <t>4</t>
    </r>
    <r>
      <rPr>
        <sz val="10"/>
        <rFont val="宋体"/>
        <family val="3"/>
        <charset val="134"/>
      </rPr>
      <t xml:space="preserve"> tons)</t>
    </r>
  </si>
  <si>
    <r>
      <t>石脑油_x000D_
(万吨)_x000D_
Naphtha_x000D_
(10</t>
    </r>
    <r>
      <rPr>
        <vertAlign val="superscript"/>
        <sz val="10"/>
        <rFont val="宋体"/>
        <family val="3"/>
        <charset val="134"/>
      </rPr>
      <t>4</t>
    </r>
    <r>
      <rPr>
        <sz val="10"/>
        <rFont val="宋体"/>
        <family val="3"/>
        <charset val="134"/>
      </rPr>
      <t xml:space="preserve"> tons)</t>
    </r>
  </si>
  <si>
    <r>
      <t>润滑油_x000D_
(万吨)_x000D_
Lubricants_x000D_
(10</t>
    </r>
    <r>
      <rPr>
        <vertAlign val="superscript"/>
        <sz val="10"/>
        <rFont val="宋体"/>
        <family val="3"/>
        <charset val="134"/>
      </rPr>
      <t>4</t>
    </r>
    <r>
      <rPr>
        <sz val="10"/>
        <rFont val="宋体"/>
        <family val="3"/>
        <charset val="134"/>
      </rPr>
      <t xml:space="preserve"> tons)</t>
    </r>
  </si>
  <si>
    <r>
      <t>石蜡_x000D_
(万吨)_x000D_
Paraffin_x000D_
Waxes_x000D_
(10</t>
    </r>
    <r>
      <rPr>
        <vertAlign val="superscript"/>
        <sz val="10"/>
        <rFont val="宋体"/>
        <family val="3"/>
        <charset val="134"/>
      </rPr>
      <t>4</t>
    </r>
    <r>
      <rPr>
        <sz val="10"/>
        <rFont val="宋体"/>
        <family val="3"/>
        <charset val="134"/>
      </rPr>
      <t xml:space="preserve"> tons)</t>
    </r>
  </si>
  <si>
    <r>
      <t>溶剂油_x000D_
(万吨)_x000D_
White Spirit_x000D_
(10</t>
    </r>
    <r>
      <rPr>
        <vertAlign val="superscript"/>
        <sz val="10"/>
        <rFont val="宋体"/>
        <family val="3"/>
        <charset val="134"/>
      </rPr>
      <t>4</t>
    </r>
    <r>
      <rPr>
        <sz val="10"/>
        <rFont val="宋体"/>
        <family val="3"/>
        <charset val="134"/>
      </rPr>
      <t xml:space="preserve"> tons)</t>
    </r>
  </si>
  <si>
    <t>5-1续表2</t>
  </si>
  <si>
    <r>
      <t>石油沥青_x000D_
(万吨)_x000D_
Bitumen_x000D_
Asphalt_x000D_
(10</t>
    </r>
    <r>
      <rPr>
        <vertAlign val="superscript"/>
        <sz val="10"/>
        <rFont val="宋体"/>
        <family val="3"/>
        <charset val="134"/>
      </rPr>
      <t>4</t>
    </r>
    <r>
      <rPr>
        <sz val="10"/>
        <rFont val="宋体"/>
        <family val="3"/>
        <charset val="134"/>
      </rPr>
      <t xml:space="preserve"> tons)</t>
    </r>
  </si>
  <si>
    <r>
      <t>石油焦_x000D_
(万吨)_x000D_
Petroleum_x000D_
Coke_x000D_
(10</t>
    </r>
    <r>
      <rPr>
        <vertAlign val="superscript"/>
        <sz val="10"/>
        <rFont val="宋体"/>
        <family val="3"/>
        <charset val="134"/>
      </rPr>
      <t>4</t>
    </r>
    <r>
      <rPr>
        <sz val="10"/>
        <rFont val="宋体"/>
        <family val="3"/>
        <charset val="134"/>
      </rPr>
      <t xml:space="preserve"> tons)</t>
    </r>
  </si>
  <si>
    <r>
      <t>电力_x000D_
(亿千瓦小时)_x000D_
Electricity_x000D_
(10</t>
    </r>
    <r>
      <rPr>
        <vertAlign val="superscript"/>
        <sz val="10"/>
        <rFont val="宋体"/>
        <family val="3"/>
        <charset val="134"/>
      </rPr>
      <t>8</t>
    </r>
    <r>
      <rPr>
        <sz val="10"/>
        <rFont val="宋体"/>
        <family val="3"/>
        <charset val="134"/>
      </rPr>
      <t xml:space="preserve"> kW·h)</t>
    </r>
  </si>
  <si>
    <t>coal</t>
    <phoneticPr fontId="38" type="noConversion"/>
  </si>
  <si>
    <t>5-1 全国能源平衡表(实物量)-2019</t>
  </si>
  <si>
    <t>Energy Balance of China (Physical Quantity)-2019</t>
  </si>
  <si>
    <r>
      <t>煤制品_x000D_
(万吨)_x000D_
Briquettes_x000D_
(10</t>
    </r>
    <r>
      <rPr>
        <vertAlign val="superscript"/>
        <sz val="10"/>
        <rFont val="宋体"/>
        <family val="3"/>
        <charset val="134"/>
      </rPr>
      <t>4</t>
    </r>
    <r>
      <rPr>
        <sz val="10"/>
        <rFont val="宋体"/>
        <family val="3"/>
        <charset val="134"/>
      </rPr>
      <t xml:space="preserve"> tons)</t>
    </r>
  </si>
  <si>
    <t xml:space="preserve">  3.境内飞机和轮船在境外的加油量</t>
  </si>
  <si>
    <t xml:space="preserve">  Domestic Airplanes&amp;Ships Refueling Abroad</t>
  </si>
  <si>
    <t xml:space="preserve">  Export (-)</t>
  </si>
  <si>
    <t xml:space="preserve">  5.境外飞机和轮船在境内的加油量(-)</t>
  </si>
  <si>
    <t xml:space="preserve">  Oversea Airplanes&amp;Ships Refueling Domestically (-)</t>
  </si>
  <si>
    <t>Input(-) &amp; Output(+) of Transformation</t>
  </si>
  <si>
    <t xml:space="preserve">  3.煤炭洗选</t>
  </si>
  <si>
    <t xml:space="preserve">  Petroleum Refining and Coal-to-liquids</t>
  </si>
  <si>
    <t xml:space="preserve">    Petroleum Products Input (-)</t>
  </si>
  <si>
    <t xml:space="preserve">    Coke Input (-)</t>
  </si>
  <si>
    <t xml:space="preserve">  Recovery of Energy</t>
  </si>
  <si>
    <t xml:space="preserve">  5.批发和零售业、住宿和餐饮业</t>
  </si>
  <si>
    <t xml:space="preserve">  Wholesale and Retail Trades,Hotels and Catering Services</t>
  </si>
  <si>
    <t xml:space="preserve">  7.居民生活</t>
  </si>
  <si>
    <t xml:space="preserve">  Residential</t>
  </si>
  <si>
    <t>-5,07</t>
  </si>
  <si>
    <r>
      <t>液化石油气_x000D_
(万吨)_x000D_
Liquefied_x000D_
Petroleum Gas_x000D_
(10</t>
    </r>
    <r>
      <rPr>
        <vertAlign val="superscript"/>
        <sz val="10"/>
        <rFont val="宋体"/>
        <family val="3"/>
        <charset val="134"/>
      </rPr>
      <t>4</t>
    </r>
    <r>
      <rPr>
        <sz val="10"/>
        <rFont val="宋体"/>
        <family val="3"/>
        <charset val="134"/>
      </rPr>
      <t xml:space="preserve"> tons)</t>
    </r>
  </si>
  <si>
    <r>
      <t>炼厂干气_x000D_
(万吨)_x000D_
Refinery_x000D_
Gas_x000D_
(10</t>
    </r>
    <r>
      <rPr>
        <vertAlign val="superscript"/>
        <sz val="10"/>
        <rFont val="宋体"/>
        <family val="3"/>
        <charset val="134"/>
      </rPr>
      <t>4</t>
    </r>
    <r>
      <rPr>
        <sz val="10"/>
        <rFont val="宋体"/>
        <family val="3"/>
        <charset val="134"/>
      </rPr>
      <t xml:space="preserve"> tons)</t>
    </r>
  </si>
  <si>
    <r>
      <t>其他石油制品_x000D_
(万吨)_x000D_
Other_x000D_
Petroleum_x000D_
Products_x000D_
(10</t>
    </r>
    <r>
      <rPr>
        <vertAlign val="superscript"/>
        <sz val="10"/>
        <rFont val="宋体"/>
        <family val="3"/>
        <charset val="134"/>
      </rPr>
      <t>4</t>
    </r>
    <r>
      <rPr>
        <sz val="10"/>
        <rFont val="宋体"/>
        <family val="3"/>
        <charset val="134"/>
      </rPr>
      <t xml:space="preserve"> tons)</t>
    </r>
  </si>
  <si>
    <r>
      <t>天然气_x000D_
(亿立方米)_x000D_
Natural Gas_x000D_
(10</t>
    </r>
    <r>
      <rPr>
        <vertAlign val="superscript"/>
        <sz val="10"/>
        <rFont val="宋体"/>
        <family val="3"/>
        <charset val="134"/>
      </rPr>
      <t>8</t>
    </r>
    <r>
      <rPr>
        <sz val="10"/>
        <rFont val="宋体"/>
        <family val="3"/>
        <charset val="134"/>
      </rPr>
      <t xml:space="preserve"> cu.m)</t>
    </r>
  </si>
  <si>
    <r>
      <t>液化天然气_x000D_
(万吨)_x000D_
Liquefied_x000D_
Natural Gas_x000D_
(10</t>
    </r>
    <r>
      <rPr>
        <vertAlign val="superscript"/>
        <sz val="10"/>
        <rFont val="宋体"/>
        <family val="3"/>
        <charset val="134"/>
      </rPr>
      <t>4</t>
    </r>
    <r>
      <rPr>
        <sz val="10"/>
        <rFont val="宋体"/>
        <family val="3"/>
        <charset val="134"/>
      </rPr>
      <t xml:space="preserve"> tons)</t>
    </r>
  </si>
  <si>
    <r>
      <t>热力_x000D_
(万百万千焦)_x000D_
Heat_x000D_
(10</t>
    </r>
    <r>
      <rPr>
        <vertAlign val="superscript"/>
        <sz val="10"/>
        <rFont val="宋体"/>
        <family val="3"/>
        <charset val="134"/>
      </rPr>
      <t>10</t>
    </r>
    <r>
      <rPr>
        <sz val="10"/>
        <rFont val="宋体"/>
        <family val="3"/>
        <charset val="134"/>
      </rPr>
      <t xml:space="preserve"> kJ)</t>
    </r>
  </si>
  <si>
    <r>
      <t>其他能源_x000D_
(万吨标准煤)_x000D_
Other_x000D_
Energy_x000D_
(10</t>
    </r>
    <r>
      <rPr>
        <vertAlign val="superscript"/>
        <sz val="10"/>
        <rFont val="宋体"/>
        <family val="3"/>
        <charset val="134"/>
      </rPr>
      <t>4</t>
    </r>
    <r>
      <rPr>
        <sz val="10"/>
        <rFont val="宋体"/>
        <family val="3"/>
        <charset val="134"/>
      </rPr>
      <t xml:space="preserve"> tce)</t>
    </r>
  </si>
  <si>
    <t xml:space="preserve">  5.炼油及煤制油-</t>
  </si>
  <si>
    <t>吨</t>
    <phoneticPr fontId="38" type="noConversion"/>
  </si>
  <si>
    <t>KM/L</t>
    <phoneticPr fontId="38" type="noConversion"/>
  </si>
  <si>
    <t>CN Provincial EPS - En</t>
    <phoneticPr fontId="38" type="noConversion"/>
  </si>
  <si>
    <t>US EPS</t>
    <phoneticPr fontId="38" type="noConversion"/>
  </si>
  <si>
    <t>CN Provincial EPS - 中文</t>
    <phoneticPr fontId="38" type="noConversion"/>
  </si>
  <si>
    <t>100 million cubic meter</t>
    <phoneticPr fontId="38" type="noConversion"/>
  </si>
  <si>
    <t>10,000 tce</t>
    <phoneticPr fontId="38" type="noConversion"/>
  </si>
  <si>
    <t>十亿千瓦时</t>
    <phoneticPr fontId="38" type="noConversion"/>
  </si>
  <si>
    <t>TWh</t>
    <phoneticPr fontId="38" type="noConversion"/>
  </si>
  <si>
    <t>千克</t>
    <phoneticPr fontId="38" type="noConversion"/>
  </si>
  <si>
    <t>kg</t>
    <phoneticPr fontId="38" type="noConversion"/>
  </si>
  <si>
    <t>百万BTU</t>
    <phoneticPr fontId="38" type="noConversion"/>
  </si>
  <si>
    <t>万亿BTU</t>
    <phoneticPr fontId="38" type="noConversion"/>
  </si>
  <si>
    <t>MWh</t>
    <phoneticPr fontId="38" type="noConversion"/>
  </si>
  <si>
    <t>千千瓦时</t>
    <phoneticPr fontId="38" type="noConversion"/>
  </si>
  <si>
    <t>m3</t>
    <phoneticPr fontId="47" type="noConversion"/>
  </si>
  <si>
    <t>Biogas</t>
    <phoneticPr fontId="47" type="noConversion"/>
  </si>
  <si>
    <t>沼气</t>
    <phoneticPr fontId="47" type="noConversion"/>
  </si>
  <si>
    <t>Hydrogen</t>
    <phoneticPr fontId="47" type="noConversion"/>
  </si>
  <si>
    <r>
      <rPr>
        <sz val="10"/>
        <rFont val="宋体"/>
        <family val="1"/>
        <charset val="134"/>
      </rPr>
      <t>氢气（用作燃料，密度未0.082</t>
    </r>
    <r>
      <rPr>
        <sz val="10"/>
        <rFont val="Times New Roman"/>
        <family val="1"/>
      </rPr>
      <t>kg/m3)</t>
    </r>
    <phoneticPr fontId="47" type="noConversion"/>
  </si>
  <si>
    <t>kg</t>
    <phoneticPr fontId="47" type="noConversion"/>
  </si>
  <si>
    <t>Ethanol</t>
    <phoneticPr fontId="47" type="noConversion"/>
  </si>
  <si>
    <r>
      <rPr>
        <sz val="10"/>
        <rFont val="等线"/>
        <family val="1"/>
        <charset val="134"/>
      </rPr>
      <t>乙</t>
    </r>
    <r>
      <rPr>
        <sz val="10"/>
        <rFont val="SimSun"/>
        <charset val="134"/>
      </rPr>
      <t>醇</t>
    </r>
    <r>
      <rPr>
        <sz val="10"/>
        <rFont val="微软雅黑"/>
        <family val="2"/>
        <charset val="134"/>
      </rPr>
      <t>（</t>
    </r>
    <r>
      <rPr>
        <sz val="10"/>
        <rFont val="SimSun"/>
        <charset val="134"/>
      </rPr>
      <t>用作燃料</t>
    </r>
    <r>
      <rPr>
        <sz val="10"/>
        <rFont val="微软雅黑"/>
        <family val="2"/>
        <charset val="134"/>
      </rPr>
      <t>）</t>
    </r>
    <phoneticPr fontId="47" type="noConversion"/>
  </si>
  <si>
    <t>Methanol</t>
    <phoneticPr fontId="47" type="noConversion"/>
  </si>
  <si>
    <t>甲醇（用作燃料）</t>
  </si>
  <si>
    <t>Crude Benzene</t>
    <phoneticPr fontId="47" type="noConversion"/>
  </si>
  <si>
    <t>粗苯</t>
  </si>
  <si>
    <t>Water Gas</t>
    <phoneticPr fontId="47" type="noConversion"/>
  </si>
  <si>
    <t>水煤气</t>
  </si>
  <si>
    <t>压力气化煤气</t>
  </si>
  <si>
    <t>焦炭制气</t>
  </si>
  <si>
    <t>Catalytic Pyrolysis Process Gas</t>
    <phoneticPr fontId="47" type="noConversion"/>
  </si>
  <si>
    <t>重油热裂解煤气</t>
  </si>
  <si>
    <t>Heavy Oil Catalytic Cracking Gas</t>
    <phoneticPr fontId="47" type="noConversion"/>
  </si>
  <si>
    <t>重油催化裂解煤气</t>
  </si>
  <si>
    <t>发生炉煤气</t>
  </si>
  <si>
    <t>Blast Furnance Gas</t>
    <phoneticPr fontId="47" type="noConversion"/>
  </si>
  <si>
    <t>Coke Oven Gas</t>
    <phoneticPr fontId="47" type="noConversion"/>
  </si>
  <si>
    <t>Refinery Gas</t>
    <phoneticPr fontId="47" type="noConversion"/>
  </si>
  <si>
    <t>Liquefied Petroleum Gas</t>
    <phoneticPr fontId="47" type="noConversion"/>
  </si>
  <si>
    <t>Liquefied Natural Gas</t>
    <phoneticPr fontId="47" type="noConversion"/>
  </si>
  <si>
    <t>Natural Gas</t>
    <phoneticPr fontId="47" type="noConversion"/>
  </si>
  <si>
    <t>Diesel</t>
    <phoneticPr fontId="47" type="noConversion"/>
  </si>
  <si>
    <t>Kerosene</t>
    <phoneticPr fontId="47" type="noConversion"/>
  </si>
  <si>
    <t>Gasoline</t>
    <phoneticPr fontId="47" type="noConversion"/>
  </si>
  <si>
    <t>Fuel Oil</t>
    <phoneticPr fontId="47" type="noConversion"/>
  </si>
  <si>
    <t>Crude Oil</t>
    <phoneticPr fontId="47" type="noConversion"/>
  </si>
  <si>
    <t>Coal  Tar</t>
    <phoneticPr fontId="47" type="noConversion"/>
  </si>
  <si>
    <t>煤焦油</t>
  </si>
  <si>
    <t>Coke</t>
    <phoneticPr fontId="47" type="noConversion"/>
  </si>
  <si>
    <t>焦炭（干全焦）</t>
  </si>
  <si>
    <t>Gangue</t>
    <phoneticPr fontId="47" type="noConversion"/>
  </si>
  <si>
    <t>煤矸石（用作能源）</t>
  </si>
  <si>
    <t>Slime</t>
    <phoneticPr fontId="47" type="noConversion"/>
  </si>
  <si>
    <t>煤泥</t>
  </si>
  <si>
    <t>洗中煤</t>
  </si>
  <si>
    <t>Cleaned Coal</t>
    <phoneticPr fontId="47" type="noConversion"/>
  </si>
  <si>
    <t>Raw Coal</t>
    <phoneticPr fontId="47" type="noConversion"/>
  </si>
  <si>
    <t>折标煤系数</t>
    <phoneticPr fontId="47" type="noConversion"/>
  </si>
  <si>
    <r>
      <rPr>
        <sz val="10"/>
        <color rgb="FF000000"/>
        <rFont val="宋体"/>
        <family val="3"/>
        <charset val="134"/>
      </rPr>
      <t>低位发热量(</t>
    </r>
    <r>
      <rPr>
        <sz val="11"/>
        <color theme="1"/>
        <rFont val="宋体"/>
        <family val="2"/>
        <scheme val="minor"/>
      </rPr>
      <t>kcal)</t>
    </r>
    <phoneticPr fontId="47" type="noConversion"/>
  </si>
  <si>
    <r>
      <rPr>
        <sz val="10"/>
        <color rgb="FF000000"/>
        <rFont val="宋体"/>
        <family val="3"/>
        <charset val="134"/>
      </rPr>
      <t>低位发热量(</t>
    </r>
    <r>
      <rPr>
        <sz val="10"/>
        <color rgb="FF000000"/>
        <rFont val="Times New Roman"/>
        <family val="3"/>
      </rPr>
      <t>kj</t>
    </r>
    <r>
      <rPr>
        <sz val="10"/>
        <color rgb="FF000000"/>
        <rFont val="宋体"/>
        <family val="3"/>
        <charset val="134"/>
      </rPr>
      <t>)</t>
    </r>
    <phoneticPr fontId="47" type="noConversion"/>
  </si>
  <si>
    <t>单位</t>
    <phoneticPr fontId="47" type="noConversion"/>
  </si>
  <si>
    <t>Fuel Type</t>
    <phoneticPr fontId="47" type="noConversion"/>
  </si>
  <si>
    <t>燃料品种</t>
    <phoneticPr fontId="47" type="noConversion"/>
  </si>
  <si>
    <t xml:space="preserve">Appendix A Fuel Coal Equivalent Conversion Coefficient </t>
    <phoneticPr fontId="47" type="noConversion"/>
  </si>
  <si>
    <r>
      <rPr>
        <sz val="10"/>
        <color rgb="FF000000"/>
        <rFont val="宋体"/>
        <family val="1"/>
        <charset val="134"/>
      </rPr>
      <t>附录</t>
    </r>
    <r>
      <rPr>
        <sz val="10"/>
        <color rgb="FF000000"/>
        <rFont val="Times New Roman"/>
        <family val="1"/>
      </rPr>
      <t xml:space="preserve">A </t>
    </r>
    <r>
      <rPr>
        <sz val="10"/>
        <color rgb="FF000000"/>
        <rFont val="宋体"/>
        <family val="1"/>
        <charset val="134"/>
      </rPr>
      <t>各种能源折标准煤系数（参考值）</t>
    </r>
    <phoneticPr fontId="47" type="noConversion"/>
  </si>
  <si>
    <t>kJ</t>
    <phoneticPr fontId="47" type="noConversion"/>
  </si>
  <si>
    <t>8.2实际消耗的燃料能源应以其收到基低位发热量为计算依据折算为标准煤量。按照GB/T 3102.4国际蒸汽表卡换算，低位发热量等于29307.6千焦（kJ）[7000千卡(kcal)]的燃料，称为1千克标准煤(1kgce)</t>
    <phoneticPr fontId="47" type="noConversion"/>
  </si>
  <si>
    <t>8.1计算综合能耗时，各种能源应折算为标准煤</t>
    <phoneticPr fontId="47" type="noConversion"/>
  </si>
  <si>
    <r>
      <t xml:space="preserve">GB/T 2589-2020 </t>
    </r>
    <r>
      <rPr>
        <b/>
        <sz val="10"/>
        <color rgb="FF000000"/>
        <rFont val="等线"/>
        <family val="1"/>
        <charset val="134"/>
      </rPr>
      <t xml:space="preserve">综合能耗计算通则 </t>
    </r>
    <r>
      <rPr>
        <b/>
        <sz val="10"/>
        <color rgb="FF000000"/>
        <rFont val="Times New Roman"/>
        <family val="1"/>
      </rPr>
      <t>General Rules for Calculation of the Comprehensive Energy Consumption</t>
    </r>
    <phoneticPr fontId="47" type="noConversion"/>
  </si>
  <si>
    <t>=</t>
    <phoneticPr fontId="47" type="noConversion"/>
  </si>
  <si>
    <t>1kgce</t>
  </si>
  <si>
    <t>各种能源折标准煤参考系数</t>
  </si>
  <si>
    <t>Conversion Factors from Physical Units to Coal Equivalent</t>
  </si>
  <si>
    <t>平均低位发热量</t>
  </si>
  <si>
    <t>折标准煤系数</t>
  </si>
  <si>
    <t>Average Low Calorific Value</t>
  </si>
  <si>
    <t>Conversion Factor</t>
  </si>
  <si>
    <t>20 908千焦/(5 000千卡)/千克</t>
  </si>
  <si>
    <t>0.7143千克标准煤/千克</t>
  </si>
  <si>
    <t>20 908 kjoule/(5 000 kcal)/kg</t>
  </si>
  <si>
    <t>0.7143 kgce/kg</t>
  </si>
  <si>
    <t>26 344千焦/(6 300千卡)/千克</t>
  </si>
  <si>
    <t>0.9000千克标准煤/千克</t>
  </si>
  <si>
    <t>26 344 kjoule/(6 300 kcal) / kg</t>
  </si>
  <si>
    <t>0.9000 kgce/kg</t>
  </si>
  <si>
    <t xml:space="preserve">  洗中煤</t>
  </si>
  <si>
    <t>8 363千焦/(2 000千卡)/千克</t>
  </si>
  <si>
    <t>0.2857千克标准煤/千克</t>
  </si>
  <si>
    <t xml:space="preserve">  Middlings</t>
  </si>
  <si>
    <t>8 363 kjoule/(2 000 kcal)/kg</t>
  </si>
  <si>
    <t>0.2857 kgce/kg</t>
  </si>
  <si>
    <t xml:space="preserve">  煤泥</t>
  </si>
  <si>
    <t>8 363～12 545千焦/(2 000～3 000千卡)/千克</t>
  </si>
  <si>
    <t>0.2857～0.4286千克标准煤/千克</t>
  </si>
  <si>
    <t xml:space="preserve">  Slimes</t>
  </si>
  <si>
    <t>8 363～12 545 kjoule/(2 000～3 000kcal)/kg</t>
  </si>
  <si>
    <t>0.2857～0.4286 kgce/kg</t>
  </si>
  <si>
    <t>28 435千焦/(6 800千卡)/千克</t>
  </si>
  <si>
    <t>0.9714千克标准煤/千克</t>
  </si>
  <si>
    <t>28 435 kjoule/(6 800 kcal)/kg</t>
  </si>
  <si>
    <t>0.9714 kgce/kg</t>
  </si>
  <si>
    <t>41 816千焦/(10 000千卡)/千克</t>
  </si>
  <si>
    <t>1.4286千克标准煤/千克</t>
  </si>
  <si>
    <t>41 816 kjoule/(10 000 kcal)/kg</t>
  </si>
  <si>
    <t>1.4286 kgce / kg</t>
  </si>
  <si>
    <t>1.4286 kgce/kg</t>
  </si>
  <si>
    <t>43 070千焦/(10 300千卡)/千克</t>
  </si>
  <si>
    <t>1.4714千克标准煤/千克</t>
  </si>
  <si>
    <t>43 070 kjoule/(10 300 kcal)/kg</t>
  </si>
  <si>
    <t>1.4714 kgce/kg</t>
  </si>
  <si>
    <t>42 652千焦/(10 200千卡)/千克</t>
  </si>
  <si>
    <t>1.4571千克标准煤/千克</t>
  </si>
  <si>
    <t>Diesel</t>
  </si>
  <si>
    <t>42 652 kjoule/(10 200 kcal)/kg</t>
  </si>
  <si>
    <t>1.4571 kgce/kg</t>
  </si>
  <si>
    <t>50 179千焦/(12 000千卡)/千克</t>
  </si>
  <si>
    <t>1.7143千克标准煤/千克</t>
  </si>
  <si>
    <t>50 179 kjoule/(12 000 kcal)/kg</t>
  </si>
  <si>
    <t>1.7143 kgce/kg</t>
  </si>
  <si>
    <t>45 998千焦/(11 000千卡)/千克</t>
  </si>
  <si>
    <t>1.5714千克标准煤/千克</t>
  </si>
  <si>
    <t>45 998 kjoule/(11 000 kcal)/kg</t>
  </si>
  <si>
    <t>1.5714 kgce/kg</t>
  </si>
  <si>
    <t>32 238～38 931千焦/(7 700～9 310千卡)/立方米</t>
  </si>
  <si>
    <t>1.1000～1.3300千克标准煤/立方米</t>
  </si>
  <si>
    <t>32 238～38 931kjoule/(7 700～9 310 kcal)/ cu.m</t>
  </si>
  <si>
    <t>1.1000～1.3300 kgce/cu.m</t>
  </si>
  <si>
    <t>16 726～17 981千焦/(4 000～4 300千卡)/立方米</t>
  </si>
  <si>
    <t>0.5714～0.6143千克标准煤/立方米</t>
  </si>
  <si>
    <t>16 726～17 981kKjoule/(4 000～ 4 300kcal)/cu.m</t>
  </si>
  <si>
    <t>0.5714～0.6143 kgce/cu.m</t>
  </si>
  <si>
    <t>Other Coal Gas</t>
  </si>
  <si>
    <t xml:space="preserve">  发生炉煤气</t>
  </si>
  <si>
    <t>5 227千焦/(1 250千卡)/立方米</t>
  </si>
  <si>
    <t>0.1786千克标准煤/立方米</t>
  </si>
  <si>
    <t xml:space="preserve">  By Gas Furnace</t>
  </si>
  <si>
    <t>5 227 kjoule/(1 250 kcal)/ cu.m</t>
  </si>
  <si>
    <t>0.1786 kgce/cu.m</t>
  </si>
  <si>
    <t xml:space="preserve">  重油催化裂解煤气</t>
  </si>
  <si>
    <t>19 235千焦/(4 600千卡)/立方米</t>
  </si>
  <si>
    <t>0.6571千克标准煤/立方米</t>
  </si>
  <si>
    <t xml:space="preserve">  By Heavy Oil Catalytic Cracking</t>
  </si>
  <si>
    <t>19 235 kjoule/(4 600 kcal)/cu.m</t>
  </si>
  <si>
    <t>0.6571 kgce/ cu.m</t>
  </si>
  <si>
    <t xml:space="preserve">  重油热裂解煤气</t>
  </si>
  <si>
    <t>35 544千焦/(8 500千卡)/立方米</t>
  </si>
  <si>
    <t>1.2143千克标准煤/立方米</t>
  </si>
  <si>
    <t xml:space="preserve">  By Heavy Oil Thermal Cracking</t>
  </si>
  <si>
    <t>35 544 kjoule/(8 500 kcal) / cu.m1.2143 kgce/cu.m</t>
  </si>
  <si>
    <t xml:space="preserve">  焦炭制气</t>
  </si>
  <si>
    <t>16 308千焦/(3 900千卡)/立方米</t>
  </si>
  <si>
    <t>0.5571千克标准煤/立方米</t>
  </si>
  <si>
    <t xml:space="preserve">  Coke Gas</t>
  </si>
  <si>
    <t>16 308 kjoule/(3 900 kcal)/cu.m</t>
  </si>
  <si>
    <t>0.5571 kgce/cu.m</t>
  </si>
  <si>
    <t xml:space="preserve">  压力气化煤气</t>
  </si>
  <si>
    <t>15 054千焦/(3 600千卡)/立方米</t>
  </si>
  <si>
    <t>0.5143千克标准煤/立方米</t>
  </si>
  <si>
    <t xml:space="preserve">  By Pressure Gasification</t>
  </si>
  <si>
    <t>15 054 kjoule/(3 600 kcal)/cu.m</t>
  </si>
  <si>
    <t>0.5143 kgce/cu.m</t>
  </si>
  <si>
    <t>10 454千焦/(2 500千卡)/立方米</t>
  </si>
  <si>
    <t>0.3571千克标准煤/立方米</t>
  </si>
  <si>
    <t>Water Coal Gas</t>
  </si>
  <si>
    <t>10 454 kjoule/(2 500 kcal)/cu.m</t>
  </si>
  <si>
    <t>0.3571 kgce/cu.m</t>
  </si>
  <si>
    <t>33 453千焦/(8 000千卡)/千克</t>
  </si>
  <si>
    <t>1.1429千克标准煤/千克</t>
  </si>
  <si>
    <t>Coal Tar</t>
  </si>
  <si>
    <t>33 453 kjoule/(8 000 kcal)/kg</t>
  </si>
  <si>
    <t>1.1429 kgce/kg</t>
  </si>
  <si>
    <t>Benzene</t>
  </si>
  <si>
    <t>热力(当量)</t>
  </si>
  <si>
    <t>0.03412千克标准煤/百万焦耳</t>
  </si>
  <si>
    <t>Heat (in calorific value)</t>
  </si>
  <si>
    <t>0.03412 kgce/Mjoule</t>
  </si>
  <si>
    <t>(0.14286 kgce/1000 kcal)</t>
  </si>
  <si>
    <t>(0.14286千克标准煤/1000千卡)</t>
  </si>
  <si>
    <t>Electricity (in calorific value)</t>
  </si>
  <si>
    <t>3 600 kjoule/(860 kcal)/ kW-h</t>
  </si>
  <si>
    <t>0.1229 kgce/kW-h</t>
  </si>
  <si>
    <t>电力(当量)</t>
  </si>
  <si>
    <t>3 600千焦/(860千卡)/千瓦小时</t>
  </si>
  <si>
    <t>0.1229千克标准煤/千瓦小时</t>
  </si>
  <si>
    <t xml:space="preserve">  (in coal equivalent)</t>
  </si>
  <si>
    <t>calculated by average coal input for</t>
  </si>
  <si>
    <t xml:space="preserve">  (等价)</t>
  </si>
  <si>
    <t>按当年火电发电标准煤耗计算</t>
  </si>
  <si>
    <t>thermal power generation in the year</t>
  </si>
  <si>
    <t>生物质能</t>
  </si>
  <si>
    <t>Biomass Energy</t>
  </si>
  <si>
    <t xml:space="preserve">  人粪</t>
  </si>
  <si>
    <t>18 817千焦/(4 500千卡)/千克</t>
  </si>
  <si>
    <t>0.643千克标准煤/千克</t>
  </si>
  <si>
    <t xml:space="preserve">  Night Soil</t>
  </si>
  <si>
    <t>18 817 kjoule/(4 500 kcal)/kg</t>
  </si>
  <si>
    <t>0.643 kgce/kg</t>
  </si>
  <si>
    <t xml:space="preserve">  牛粪</t>
  </si>
  <si>
    <t>13 799千焦/(3 300千卡)/千克</t>
  </si>
  <si>
    <t>0.471千克标准煤/千克</t>
  </si>
  <si>
    <t xml:space="preserve">  Cow Dung</t>
  </si>
  <si>
    <t>13 799 kjoule/(3 300 kcal)/kg</t>
  </si>
  <si>
    <t>0.471 kgce/kg</t>
  </si>
  <si>
    <t xml:space="preserve">  猪粪</t>
  </si>
  <si>
    <t>12 545千焦/(3 000千卡)/千克</t>
  </si>
  <si>
    <t>0.429千克标准煤/千克</t>
  </si>
  <si>
    <t xml:space="preserve">  Pig Dung</t>
  </si>
  <si>
    <t>12 545 kjoule/(3 000 kcal)/kg</t>
  </si>
  <si>
    <t>0.429 kgce/kg</t>
  </si>
  <si>
    <t xml:space="preserve">  羊、驴、马、骡粪</t>
  </si>
  <si>
    <t>15 472千焦/(3 700千卡)/千克</t>
  </si>
  <si>
    <t>0.529千克标准煤/千克</t>
  </si>
  <si>
    <t xml:space="preserve">  Sheep/Donkey/Horse/Mule Dung</t>
  </si>
  <si>
    <t>15 472 kjoule/(3 700 kcal) / kg</t>
  </si>
  <si>
    <t>0.529 kgce/kg</t>
  </si>
  <si>
    <t xml:space="preserve">  鸡粪</t>
  </si>
  <si>
    <t xml:space="preserve">  Poultry Manure</t>
  </si>
  <si>
    <t xml:space="preserve">  大豆秆、棉花秆</t>
  </si>
  <si>
    <t>15 890千焦/(3 800千卡)/千克</t>
  </si>
  <si>
    <t>0.543千克标准煤/千克</t>
  </si>
  <si>
    <t xml:space="preserve">  Soybean Stalk,Cotton Stalk</t>
  </si>
  <si>
    <t>15 890 kjoule/(3 800 kcal)/kg</t>
  </si>
  <si>
    <t>0.543 kgce/kg</t>
  </si>
  <si>
    <t xml:space="preserve">  稻秆</t>
  </si>
  <si>
    <t xml:space="preserve">  Paddy Stalk</t>
  </si>
  <si>
    <t>12 545 kjoule/(3 000 kcal) / kg</t>
  </si>
  <si>
    <t xml:space="preserve">  麦秆</t>
  </si>
  <si>
    <t>14 635千焦/(3 500千卡)/千克</t>
  </si>
  <si>
    <t>0.500千克标准煤/千克</t>
  </si>
  <si>
    <t xml:space="preserve">  Wheat stalk</t>
  </si>
  <si>
    <t>14 635 kjoule/(3 500 kcal)/kg</t>
  </si>
  <si>
    <t>0.500 kgce/kg</t>
  </si>
  <si>
    <t xml:space="preserve">  玉米秆</t>
  </si>
  <si>
    <t xml:space="preserve">  Maize Stalk</t>
  </si>
  <si>
    <t>15 472 kjoule/(3 700 kcal)/kg</t>
  </si>
  <si>
    <t xml:space="preserve">  杂草</t>
  </si>
  <si>
    <t xml:space="preserve">  Fireweed</t>
  </si>
  <si>
    <t xml:space="preserve">  树叶</t>
  </si>
  <si>
    <t xml:space="preserve">  Leaves</t>
  </si>
  <si>
    <t xml:space="preserve">  薪柴</t>
  </si>
  <si>
    <t>16 726千焦/(4 000千卡)/千克</t>
  </si>
  <si>
    <t>0.571千克标准煤/千克</t>
  </si>
  <si>
    <t xml:space="preserve">  Firewood</t>
  </si>
  <si>
    <t>16 726 kjoule/(4 000 kcal)/kg</t>
  </si>
  <si>
    <t>0.571 kgce/kg</t>
  </si>
  <si>
    <t xml:space="preserve">  沼气</t>
  </si>
  <si>
    <t>20 908千焦/(5 000千卡)/立方米</t>
  </si>
  <si>
    <t>0.714千克标准煤/立方米</t>
  </si>
  <si>
    <t xml:space="preserve">  Biogas</t>
  </si>
  <si>
    <t>20 908 kjoule/(5 000 kcal) / cu.m</t>
  </si>
  <si>
    <t>0.714 kgce/cu.m</t>
  </si>
  <si>
    <t>Pressurized Gasified Coal Gas</t>
    <phoneticPr fontId="47" type="noConversion"/>
  </si>
  <si>
    <t>Coke Gas</t>
    <phoneticPr fontId="47" type="noConversion"/>
  </si>
  <si>
    <t>Furnance Producer Gas</t>
    <phoneticPr fontId="47" type="noConversion"/>
  </si>
  <si>
    <t>Middlings</t>
    <phoneticPr fontId="47" type="noConversion"/>
  </si>
  <si>
    <t xml:space="preserve"> TJ/单位</t>
    <phoneticPr fontId="38" type="noConversion"/>
  </si>
  <si>
    <t>万tce/单位</t>
  </si>
  <si>
    <t>BTU/单位</t>
  </si>
  <si>
    <t>平均低位发热量 Average Lower Heat Value</t>
    <phoneticPr fontId="38" type="noConversion"/>
  </si>
  <si>
    <t>实物量单位
Physical Unit</t>
    <phoneticPr fontId="38" type="noConversion"/>
  </si>
  <si>
    <t>能源名称
Fuel Type</t>
    <phoneticPr fontId="38" type="noConversion"/>
  </si>
  <si>
    <t>序号
Index</t>
    <phoneticPr fontId="38" type="noConversion"/>
  </si>
  <si>
    <t>燃料品种</t>
  </si>
  <si>
    <t>Building</t>
  </si>
  <si>
    <t>Industrial</t>
  </si>
  <si>
    <t>Transport</t>
  </si>
  <si>
    <t>NA</t>
  </si>
  <si>
    <t>煤制品</t>
  </si>
  <si>
    <t>氢能</t>
  </si>
  <si>
    <t>Hydrogen</t>
  </si>
  <si>
    <t>薪柴、秸秆</t>
  </si>
  <si>
    <t>jet fuel</t>
  </si>
  <si>
    <t>Gangue</t>
    <phoneticPr fontId="38" type="noConversion"/>
  </si>
  <si>
    <t>Coke Oven Gas</t>
    <phoneticPr fontId="38" type="noConversion"/>
  </si>
  <si>
    <t>Linz-Donawitz Converter Gas</t>
    <phoneticPr fontId="38" type="noConversion"/>
  </si>
  <si>
    <t>Electricity</t>
    <phoneticPr fontId="38" type="noConversion"/>
  </si>
  <si>
    <t>Hydrogen</t>
    <phoneticPr fontId="38" type="noConversion"/>
  </si>
  <si>
    <t>Other Energy</t>
    <phoneticPr fontId="38" type="noConversion"/>
  </si>
  <si>
    <t>Biomass</t>
    <phoneticPr fontId="38" type="noConversion"/>
  </si>
  <si>
    <t>Firewood &amp; Stalk</t>
    <phoneticPr fontId="38" type="noConversion"/>
  </si>
  <si>
    <t>Municipal Solid Waste</t>
    <phoneticPr fontId="38" type="noConversion"/>
  </si>
  <si>
    <t>Fuel Type</t>
    <phoneticPr fontId="38" type="noConversion"/>
  </si>
  <si>
    <t>EPS Overall</t>
    <phoneticPr fontId="38" type="noConversion"/>
  </si>
  <si>
    <t>lignite</t>
    <phoneticPr fontId="38" type="noConversion"/>
  </si>
  <si>
    <t>municipal solid waste</t>
    <phoneticPr fontId="38" type="noConversion"/>
  </si>
  <si>
    <t>Desired Large Fuel Output Unit</t>
    <phoneticPr fontId="38" type="noConversion"/>
  </si>
  <si>
    <t>Biomass Coefficient</t>
    <phoneticPr fontId="38" type="noConversion"/>
  </si>
  <si>
    <t>kg Natural Gas/Cubic Meter</t>
    <phoneticPr fontId="38" type="noConversion"/>
  </si>
  <si>
    <t>kJ/kWh</t>
    <phoneticPr fontId="38" type="noConversion"/>
  </si>
  <si>
    <t>EPS Fuel Type</t>
    <phoneticPr fontId="38" type="noConversion"/>
  </si>
  <si>
    <t>Physical Quantity Consumed in 2019</t>
    <phoneticPr fontId="38" type="noConversion"/>
  </si>
  <si>
    <t>BTU Energy per physical unit</t>
    <phoneticPr fontId="38" type="noConversion"/>
  </si>
  <si>
    <t>Physical Unit in Statistical Yearbook</t>
    <phoneticPr fontId="38" type="noConversion"/>
  </si>
  <si>
    <t>型煤</t>
    <phoneticPr fontId="38" type="noConversion"/>
  </si>
  <si>
    <t>natural gas</t>
    <phoneticPr fontId="38" type="noConversion"/>
  </si>
  <si>
    <t>total BTU Energy Consumed</t>
    <phoneticPr fontId="38" type="noConversion"/>
  </si>
  <si>
    <t>Desired Small Fuel Output Unit</t>
    <phoneticPr fontId="38" type="noConversion"/>
  </si>
  <si>
    <t>tonne</t>
    <phoneticPr fontId="38" type="noConversion"/>
  </si>
  <si>
    <t>10,000 tonnes</t>
  </si>
  <si>
    <t>10,000 tonnes</t>
    <phoneticPr fontId="38" type="noConversion"/>
  </si>
  <si>
    <t>万立方米</t>
    <phoneticPr fontId="38" type="noConversion"/>
  </si>
  <si>
    <t>10 thousand cubic meter</t>
    <phoneticPr fontId="38" type="noConversion"/>
  </si>
  <si>
    <t>13 thousand cubic meter</t>
  </si>
  <si>
    <t>Total BTU Consumed</t>
    <phoneticPr fontId="38" type="noConversion"/>
  </si>
  <si>
    <t>Total  Large Fuel Output Unit Consumed</t>
    <phoneticPr fontId="38" type="noConversion"/>
  </si>
  <si>
    <t>BpLFOU</t>
    <phoneticPr fontId="38" type="noConversion"/>
  </si>
  <si>
    <t>BpSFOU</t>
    <phoneticPr fontId="38" type="noConversion"/>
  </si>
  <si>
    <t xml:space="preserve">From BAU Fuel Prices and Taxes </t>
    <phoneticPr fontId="38" type="noConversion"/>
  </si>
  <si>
    <t>kg/L</t>
    <phoneticPr fontId="38" type="noConversion"/>
  </si>
  <si>
    <t>Heat Value of Biodiesel</t>
    <phoneticPr fontId="38" type="noConversion"/>
  </si>
  <si>
    <t>Density of Biodiesel</t>
    <phoneticPr fontId="38" type="noConversion"/>
  </si>
  <si>
    <t>MJ/L</t>
    <phoneticPr fontId="38" type="noConversion"/>
  </si>
  <si>
    <t>BTU/tonne</t>
    <phoneticPr fontId="38" type="noConversion"/>
  </si>
  <si>
    <t>BCF for Biodiesel</t>
    <phoneticPr fontId="38" type="noConversion"/>
  </si>
  <si>
    <t>kj/kgce</t>
    <phoneticPr fontId="38" type="noConversion"/>
  </si>
  <si>
    <t>liters/gallon</t>
    <phoneticPr fontId="38" type="noConversion"/>
  </si>
  <si>
    <t>km/mile</t>
    <phoneticPr fontId="38" type="noConversion"/>
  </si>
  <si>
    <t>Joules/BTU</t>
    <phoneticPr fontId="38" type="noConversion"/>
  </si>
  <si>
    <t>Chinese Fuel Heat Value</t>
    <phoneticPr fontId="38" type="noConversion"/>
  </si>
  <si>
    <t>China State Administration for Market Regulation</t>
    <phoneticPr fontId="38" type="noConversion"/>
  </si>
  <si>
    <t>国家市场监督管理总局</t>
    <phoneticPr fontId="38" type="noConversion"/>
  </si>
  <si>
    <t>GB/T 2589-2020 General Rules for Calculation of the Comprehensive Energy Consumption</t>
    <phoneticPr fontId="38" type="noConversion"/>
  </si>
  <si>
    <t>http://c.gb688.cn/bzgk/gb/showGb?type=online&amp;hcno=53D1440B68E6D50B8BA0CCAB619B6B3E</t>
  </si>
  <si>
    <t>Appendix A</t>
    <phoneticPr fontId="38" type="noConversion"/>
  </si>
  <si>
    <t>GB/T 2589-2020 综合能耗计算通则</t>
    <phoneticPr fontId="38" type="noConversion"/>
  </si>
  <si>
    <t>National Buearu of Statistics</t>
    <phoneticPr fontId="38" type="noConversion"/>
  </si>
  <si>
    <t>国家统计局</t>
    <phoneticPr fontId="38" type="noConversion"/>
  </si>
  <si>
    <t>China Energy Statistical Yearbook</t>
    <phoneticPr fontId="38" type="noConversion"/>
  </si>
  <si>
    <t>中国能源统计年鉴</t>
    <phoneticPr fontId="38" type="noConversion"/>
  </si>
  <si>
    <t>Page 96-101 Table 5.1； Page 355-356</t>
    <phoneticPr fontId="38" type="noConversion"/>
  </si>
  <si>
    <t>China Fuel Consumption and Additional Heat Values</t>
    <phoneticPr fontId="38" type="noConversion"/>
  </si>
  <si>
    <t>Total Consumption in Physical Units</t>
    <phoneticPr fontId="38" type="noConversion"/>
  </si>
  <si>
    <t>The most commonly used standardized energy unit used in China is standard coal equivalent (ce)</t>
    <phoneticPr fontId="38" type="noConversion"/>
  </si>
  <si>
    <t>Unit Conversion from US EPS of China Provincial EPS by Smart Trans</t>
    <phoneticPr fontId="38" type="noConversion"/>
  </si>
  <si>
    <t>China Energy Statistical Yearbook and National Standard GB/T 2589 defines the value of standard coal equivalent</t>
    <phoneticPr fontId="38" type="noConversion"/>
  </si>
  <si>
    <t>as well as the average low heat value of different fuels.</t>
    <phoneticPr fontId="38" type="noConversion"/>
  </si>
  <si>
    <t>As the Fuel Type used in the EPS model could match with multiple types of fuel listed in the China Energy</t>
    <phoneticPr fontId="38" type="noConversion"/>
  </si>
  <si>
    <t>Statistical Yearbook, we used the weighted average value of total consumption for each individual fuel types</t>
    <phoneticPr fontId="38" type="noConversion"/>
  </si>
  <si>
    <t>Density of Petroleum Gasoline</t>
    <phoneticPr fontId="38" type="noConversion"/>
  </si>
  <si>
    <t>Density of Petroleum Diesel</t>
    <phoneticPr fontId="38" type="noConversion"/>
  </si>
  <si>
    <t>Density of Kerosene</t>
    <phoneticPr fontId="38" type="noConversion"/>
  </si>
  <si>
    <r>
      <t xml:space="preserve">Note on Coal Gas: </t>
    </r>
    <r>
      <rPr>
        <sz val="11"/>
        <color theme="1"/>
        <rFont val="宋体"/>
        <family val="3"/>
        <charset val="134"/>
        <scheme val="minor"/>
      </rPr>
      <t xml:space="preserve">Coal Gas is a important component of China's energy consumption, but its heat content varies </t>
    </r>
    <phoneticPr fontId="38" type="noConversion"/>
  </si>
  <si>
    <t xml:space="preserve">greatly based on how its produced and its hard to align with a EPS Fuel. Although it could be treated as either </t>
    <phoneticPr fontId="38" type="noConversion"/>
  </si>
  <si>
    <t>LPG or Natural Gas, we decided not to take it into account in calculating the BCF</t>
    <phoneticPr fontId="38" type="noConversion"/>
  </si>
  <si>
    <t>Notes and Methodology</t>
    <phoneticPr fontId="38" type="noConversion"/>
  </si>
  <si>
    <t>Vehicle Fuel Economy Conversion Factor</t>
    <phoneticPr fontId="38" type="noConversion"/>
  </si>
  <si>
    <t>Output fuel economy unit</t>
    <phoneticPr fontId="38" type="noConversion"/>
  </si>
  <si>
    <t>EPS output unit</t>
    <phoneticPr fontId="38" type="noConversion"/>
  </si>
  <si>
    <t>miles/BTU</t>
    <phoneticPr fontId="38" type="noConversion"/>
  </si>
  <si>
    <t>Gasoline</t>
    <phoneticPr fontId="38" type="noConversion"/>
  </si>
  <si>
    <t>Diesel</t>
    <phoneticPr fontId="38" type="noConversion"/>
  </si>
  <si>
    <t>Jetfuel</t>
    <phoneticPr fontId="38" type="noConversion"/>
  </si>
  <si>
    <t>Fuel Density</t>
    <phoneticPr fontId="38" type="noConversion"/>
  </si>
  <si>
    <t>BTU/mile * km/L</t>
    <phoneticPr fontId="3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</si>
</sst>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
    <numFmt numFmtId="43" formatCode="_ * #,##0.00_ ;_ * \-#,##0.00_ ;_ * &quot;-&quot;??_ ;_ @_ "/>
    <numFmt numFmtId="176" formatCode="_(* #,##0.00_);_(* \(#,##0.00\);_(* &quot;-&quot;??_);_(@_)"/>
    <numFmt numFmtId="177" formatCode="0.0%"/>
    <numFmt numFmtId="178" formatCode="0.000E+00"/>
    <numFmt numFmtId="179" formatCode="#,##0.000"/>
    <numFmt numFmtId="180" formatCode="0.000"/>
    <numFmt numFmtId="181" formatCode="#,##0.000000"/>
    <numFmt numFmtId="182" formatCode="#,##0.0"/>
    <numFmt numFmtId="183" formatCode="0.000000"/>
    <numFmt numFmtId="184" formatCode="0.0"/>
    <numFmt numFmtId="185" formatCode="0.0000"/>
    <numFmt numFmtId="186" formatCode="#,##0.0000"/>
    <numFmt numFmtId="187" formatCode="#,##0.000000000"/>
    <numFmt numFmtId="188" formatCode="#,##0.0000000000"/>
    <numFmt numFmtId="189" formatCode="#,##0.0000000"/>
    <numFmt numFmtId="190" formatCode="0.0000_ "/>
    <numFmt numFmtId="191" formatCode="0_ "/>
    <numFmt numFmtId="192" formatCode="0_);[Red]\(0\)"/>
    <numFmt numFmtId="193" formatCode="0.000_ "/>
  </numFmts>
  <fonts count="68">
    <font>
      <sz val="11"/>
      <color theme="1"/>
      <name val="宋体"/>
      <family val="2"/>
      <scheme val="minor"/>
    </font>
    <font>
      <sz val="11"/>
      <color theme="1"/>
      <name val="宋体"/>
      <family val="2"/>
      <scheme val="minor"/>
    </font>
    <font>
      <b/>
      <sz val="18"/>
      <color theme="3"/>
      <name val="宋体"/>
      <family val="2"/>
      <scheme val="major"/>
    </font>
    <font>
      <b/>
      <sz val="15"/>
      <color theme="3"/>
      <name val="宋体"/>
      <family val="2"/>
      <scheme val="minor"/>
    </font>
    <font>
      <b/>
      <sz val="13"/>
      <color theme="3"/>
      <name val="宋体"/>
      <family val="2"/>
      <scheme val="minor"/>
    </font>
    <font>
      <b/>
      <sz val="11"/>
      <color theme="3"/>
      <name val="宋体"/>
      <family val="2"/>
      <scheme val="minor"/>
    </font>
    <font>
      <sz val="11"/>
      <color rgb="FF006100"/>
      <name val="宋体"/>
      <family val="2"/>
      <scheme val="minor"/>
    </font>
    <font>
      <sz val="11"/>
      <color rgb="FF9C0006"/>
      <name val="宋体"/>
      <family val="2"/>
      <scheme val="minor"/>
    </font>
    <font>
      <sz val="11"/>
      <color rgb="FF9C6500"/>
      <name val="宋体"/>
      <family val="2"/>
      <scheme val="minor"/>
    </font>
    <font>
      <sz val="11"/>
      <color rgb="FF3F3F76"/>
      <name val="宋体"/>
      <family val="2"/>
      <scheme val="minor"/>
    </font>
    <font>
      <b/>
      <sz val="11"/>
      <color rgb="FF3F3F3F"/>
      <name val="宋体"/>
      <family val="2"/>
      <scheme val="minor"/>
    </font>
    <font>
      <b/>
      <sz val="11"/>
      <color rgb="FFFA7D00"/>
      <name val="宋体"/>
      <family val="2"/>
      <scheme val="minor"/>
    </font>
    <font>
      <sz val="11"/>
      <color rgb="FFFA7D00"/>
      <name val="宋体"/>
      <family val="2"/>
      <scheme val="minor"/>
    </font>
    <font>
      <b/>
      <sz val="11"/>
      <color theme="0"/>
      <name val="宋体"/>
      <family val="2"/>
      <scheme val="minor"/>
    </font>
    <font>
      <sz val="11"/>
      <color rgb="FFFF0000"/>
      <name val="宋体"/>
      <family val="2"/>
      <scheme val="minor"/>
    </font>
    <font>
      <i/>
      <sz val="11"/>
      <color rgb="FF7F7F7F"/>
      <name val="宋体"/>
      <family val="2"/>
      <scheme val="minor"/>
    </font>
    <font>
      <b/>
      <sz val="11"/>
      <color theme="1"/>
      <name val="宋体"/>
      <family val="2"/>
      <scheme val="minor"/>
    </font>
    <font>
      <sz val="11"/>
      <color theme="0"/>
      <name val="宋体"/>
      <family val="2"/>
      <scheme val="minor"/>
    </font>
    <font>
      <b/>
      <sz val="9"/>
      <color theme="1"/>
      <name val="宋体"/>
      <family val="2"/>
      <scheme val="minor"/>
    </font>
    <font>
      <sz val="9"/>
      <color theme="1"/>
      <name val="宋体"/>
      <family val="2"/>
      <scheme val="minor"/>
    </font>
    <font>
      <u/>
      <sz val="10"/>
      <color theme="4"/>
      <name val="宋体"/>
      <family val="2"/>
      <scheme val="minor"/>
    </font>
    <font>
      <u/>
      <sz val="11"/>
      <color theme="6"/>
      <name val="Calibri"/>
      <family val="2"/>
    </font>
    <font>
      <b/>
      <sz val="12"/>
      <color theme="4"/>
      <name val="宋体"/>
      <family val="2"/>
      <scheme val="minor"/>
    </font>
    <font>
      <b/>
      <sz val="12"/>
      <color indexed="30"/>
      <name val="Calibri"/>
      <family val="2"/>
    </font>
    <font>
      <sz val="9"/>
      <color indexed="8"/>
      <name val="Calibri"/>
      <family val="2"/>
    </font>
    <font>
      <b/>
      <sz val="9"/>
      <color indexed="8"/>
      <name val="Calibri"/>
      <family val="2"/>
    </font>
    <font>
      <sz val="9"/>
      <name val="Calibri"/>
      <family val="2"/>
    </font>
    <font>
      <sz val="8"/>
      <name val="Arial"/>
      <family val="2"/>
    </font>
    <font>
      <sz val="10"/>
      <color indexed="8"/>
      <name val="Arial"/>
      <family val="2"/>
    </font>
    <font>
      <b/>
      <sz val="12"/>
      <name val="Arial"/>
      <family val="2"/>
    </font>
    <font>
      <b/>
      <sz val="11"/>
      <name val="Arial"/>
      <family val="2"/>
    </font>
    <font>
      <b/>
      <sz val="10"/>
      <name val="Arial"/>
      <family val="2"/>
    </font>
    <font>
      <sz val="10"/>
      <name val="Arial"/>
      <family val="2"/>
    </font>
    <font>
      <sz val="8"/>
      <color indexed="81"/>
      <name val="Tahoma"/>
      <family val="2"/>
    </font>
    <font>
      <sz val="8"/>
      <color indexed="81"/>
      <name val="Arial"/>
      <family val="2"/>
    </font>
    <font>
      <sz val="9"/>
      <color indexed="81"/>
      <name val="Tahoma"/>
      <family val="2"/>
    </font>
    <font>
      <b/>
      <sz val="10"/>
      <color indexed="81"/>
      <name val="Tahoma"/>
      <family val="2"/>
    </font>
    <font>
      <sz val="10"/>
      <color indexed="81"/>
      <name val="Tahoma"/>
      <family val="2"/>
    </font>
    <font>
      <sz val="9"/>
      <name val="宋体"/>
      <family val="3"/>
      <charset val="134"/>
      <scheme val="minor"/>
    </font>
    <font>
      <sz val="11"/>
      <color theme="1"/>
      <name val="宋体"/>
      <family val="3"/>
      <charset val="134"/>
      <scheme val="minor"/>
    </font>
    <font>
      <sz val="11"/>
      <color rgb="FF000000"/>
      <name val="Calibri"/>
      <family val="2"/>
    </font>
    <font>
      <b/>
      <sz val="11"/>
      <color rgb="FFFFFFFF"/>
      <name val="Calibri"/>
      <family val="2"/>
    </font>
    <font>
      <sz val="10"/>
      <name val="宋体"/>
      <family val="3"/>
      <charset val="134"/>
    </font>
    <font>
      <vertAlign val="superscript"/>
      <sz val="10"/>
      <name val="宋体"/>
      <family val="3"/>
      <charset val="134"/>
    </font>
    <font>
      <b/>
      <sz val="10"/>
      <name val="宋体"/>
      <family val="3"/>
      <charset val="134"/>
    </font>
    <font>
      <sz val="11"/>
      <color theme="1"/>
      <name val="宋体"/>
      <family val="2"/>
      <charset val="134"/>
      <scheme val="minor"/>
    </font>
    <font>
      <sz val="10"/>
      <color rgb="FF000000"/>
      <name val="Times New Roman"/>
      <family val="1"/>
    </font>
    <font>
      <sz val="9"/>
      <name val="宋体"/>
      <family val="3"/>
      <charset val="134"/>
    </font>
    <font>
      <sz val="10"/>
      <name val="宋体"/>
      <family val="1"/>
      <charset val="134"/>
    </font>
    <font>
      <sz val="10"/>
      <name val="Times New Roman"/>
      <family val="1"/>
      <charset val="134"/>
    </font>
    <font>
      <sz val="10"/>
      <name val="Times New Roman"/>
      <family val="1"/>
    </font>
    <font>
      <sz val="10"/>
      <name val="等线"/>
      <family val="1"/>
      <charset val="134"/>
    </font>
    <font>
      <sz val="10"/>
      <name val="SimSun"/>
      <charset val="134"/>
    </font>
    <font>
      <sz val="10"/>
      <name val="微软雅黑"/>
      <family val="2"/>
      <charset val="134"/>
    </font>
    <font>
      <sz val="10"/>
      <color rgb="FF000000"/>
      <name val="宋体"/>
      <family val="3"/>
      <charset val="134"/>
    </font>
    <font>
      <sz val="10"/>
      <color rgb="FF000000"/>
      <name val="Times New Roman"/>
      <family val="3"/>
      <charset val="134"/>
    </font>
    <font>
      <sz val="10"/>
      <color rgb="FF000000"/>
      <name val="Times New Roman"/>
      <family val="3"/>
    </font>
    <font>
      <sz val="10"/>
      <color rgb="FF000000"/>
      <name val="宋体"/>
      <family val="1"/>
      <charset val="134"/>
    </font>
    <font>
      <sz val="10"/>
      <color rgb="FF000000"/>
      <name val="Times New Roman"/>
      <family val="1"/>
      <charset val="134"/>
    </font>
    <font>
      <b/>
      <sz val="10"/>
      <color rgb="FF000000"/>
      <name val="Times New Roman"/>
      <family val="1"/>
    </font>
    <font>
      <b/>
      <sz val="10"/>
      <color rgb="FF000000"/>
      <name val="等线"/>
      <family val="1"/>
      <charset val="134"/>
    </font>
    <font>
      <sz val="10"/>
      <color rgb="FFFF0000"/>
      <name val="Times New Roman"/>
      <family val="1"/>
    </font>
    <font>
      <b/>
      <sz val="11"/>
      <color rgb="FFFFFFFF"/>
      <name val="宋体"/>
      <family val="3"/>
      <charset val="134"/>
    </font>
    <font>
      <sz val="11"/>
      <color rgb="FF000000"/>
      <name val="等线"/>
      <family val="3"/>
      <charset val="134"/>
    </font>
    <font>
      <b/>
      <sz val="11"/>
      <color rgb="FFFF0000"/>
      <name val="Calibri"/>
      <family val="2"/>
    </font>
    <font>
      <sz val="11"/>
      <color rgb="FFFF0000"/>
      <name val="宋体"/>
      <family val="3"/>
      <charset val="134"/>
      <scheme val="minor"/>
    </font>
    <font>
      <b/>
      <sz val="11"/>
      <color theme="1"/>
      <name val="宋体"/>
      <family val="3"/>
      <charset val="134"/>
      <scheme val="minor"/>
    </font>
    <font>
      <sz val="10"/>
      <color rgb="FFFF0000"/>
      <name val="宋体"/>
      <family val="3"/>
      <charset val="134"/>
    </font>
  </fonts>
  <fills count="6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9"/>
        <bgColor indexed="64"/>
      </patternFill>
    </fill>
    <fill>
      <patternFill patternType="solid">
        <fgColor rgb="FF00FF00"/>
        <bgColor indexed="9"/>
      </patternFill>
    </fill>
    <fill>
      <patternFill patternType="solid">
        <fgColor indexed="13"/>
        <bgColor indexed="64"/>
      </patternFill>
    </fill>
    <fill>
      <patternFill patternType="solid">
        <fgColor rgb="FFFFFF00"/>
        <bgColor indexed="9"/>
      </patternFill>
    </fill>
    <fill>
      <patternFill patternType="solid">
        <fgColor theme="1" tint="0.34998626667073579"/>
        <bgColor indexed="64"/>
      </patternFill>
    </fill>
    <fill>
      <patternFill patternType="solid">
        <fgColor rgb="FFFFFF00"/>
        <bgColor indexed="64"/>
      </patternFill>
    </fill>
    <fill>
      <patternFill patternType="solid">
        <fgColor indexed="13"/>
        <bgColor indexed="9"/>
      </patternFill>
    </fill>
    <fill>
      <patternFill patternType="solid">
        <fgColor rgb="FF00FF00"/>
        <bgColor indexed="64"/>
      </patternFill>
    </fill>
    <fill>
      <patternFill patternType="solid">
        <fgColor rgb="FFFF8080"/>
        <bgColor indexed="64"/>
      </patternFill>
    </fill>
    <fill>
      <patternFill patternType="solid">
        <fgColor theme="0" tint="-0.249977111117893"/>
        <bgColor indexed="64"/>
      </patternFill>
    </fill>
    <fill>
      <patternFill patternType="solid">
        <fgColor theme="3" tint="0.59999389629810485"/>
        <bgColor indexed="64"/>
      </patternFill>
    </fill>
    <fill>
      <patternFill patternType="solid">
        <fgColor theme="2" tint="-0.499984740745262"/>
        <bgColor indexed="64"/>
      </patternFill>
    </fill>
    <fill>
      <patternFill patternType="solid">
        <fgColor rgb="FFED7D31"/>
        <bgColor indexed="64"/>
      </patternFill>
    </fill>
    <fill>
      <patternFill patternType="solid">
        <fgColor theme="6" tint="0.79998168889431442"/>
        <bgColor indexed="64"/>
      </patternFill>
    </fill>
    <fill>
      <patternFill patternType="solid">
        <fgColor rgb="FF525252"/>
        <bgColor indexed="64"/>
      </patternFill>
    </fill>
    <fill>
      <patternFill patternType="solid">
        <fgColor rgb="FFBFBFBF"/>
        <bgColor indexed="64"/>
      </patternFill>
    </fill>
    <fill>
      <patternFill patternType="solid">
        <fgColor rgb="FFF2F2F2"/>
        <bgColor indexed="64"/>
      </patternFill>
    </fill>
    <fill>
      <patternFill patternType="solid">
        <fgColor rgb="FFD9D9D9"/>
        <bgColor indexed="64"/>
      </patternFill>
    </fill>
    <fill>
      <patternFill patternType="solid">
        <fgColor rgb="FF00B0F0"/>
        <bgColor indexed="64"/>
      </patternFill>
    </fill>
    <fill>
      <patternFill patternType="solid">
        <fgColor rgb="FFFCE4D6"/>
        <bgColor indexed="64"/>
      </patternFill>
    </fill>
    <fill>
      <patternFill patternType="solid">
        <fgColor rgb="FFF4B084"/>
        <bgColor indexed="64"/>
      </patternFill>
    </fill>
    <fill>
      <patternFill patternType="solid">
        <fgColor rgb="FFA9D08E"/>
        <bgColor indexed="64"/>
      </patternFill>
    </fill>
    <fill>
      <patternFill patternType="solid">
        <fgColor rgb="FFE2EFDA"/>
        <bgColor indexed="64"/>
      </patternFill>
    </fill>
    <fill>
      <patternFill patternType="solid">
        <fgColor rgb="FFC6E0B4"/>
        <bgColor indexed="64"/>
      </patternFill>
    </fill>
    <fill>
      <patternFill patternType="solid">
        <fgColor rgb="FF5B9BD5"/>
        <bgColor indexed="64"/>
      </patternFill>
    </fill>
    <fill>
      <patternFill patternType="solid">
        <fgColor rgb="FFD9E1F2"/>
        <bgColor indexed="64"/>
      </patternFill>
    </fill>
    <fill>
      <patternFill patternType="solid">
        <fgColor rgb="FFB4C6E7"/>
        <bgColor indexed="64"/>
      </patternFill>
    </fill>
    <fill>
      <patternFill patternType="solid">
        <fgColor rgb="FFC00000"/>
        <bgColor indexed="64"/>
      </patternFill>
    </fill>
    <fill>
      <patternFill patternType="solid">
        <fgColor rgb="FFFFCCCC"/>
        <bgColor indexed="64"/>
      </patternFill>
    </fill>
    <fill>
      <patternFill patternType="solid">
        <fgColor rgb="FFFFE699"/>
        <bgColor indexed="64"/>
      </patternFill>
    </fill>
    <fill>
      <patternFill patternType="solid">
        <fgColor rgb="FFFFF2CC"/>
        <bgColor indexed="64"/>
      </patternFill>
    </fill>
  </fills>
  <borders count="4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theme="0" tint="-0.24994659260841701"/>
      </bottom>
      <diagonal/>
    </border>
    <border>
      <left/>
      <right/>
      <top style="medium">
        <color theme="4"/>
      </top>
      <bottom/>
      <diagonal/>
    </border>
    <border>
      <left/>
      <right/>
      <top/>
      <bottom style="thin">
        <color theme="0" tint="-0.249977111117893"/>
      </bottom>
      <diagonal/>
    </border>
    <border>
      <left/>
      <right/>
      <top style="thin">
        <color theme="4"/>
      </top>
      <bottom style="dashed">
        <color theme="0" tint="-0.24994659260841701"/>
      </bottom>
      <diagonal/>
    </border>
    <border>
      <left/>
      <right/>
      <top style="thin">
        <color theme="4"/>
      </top>
      <bottom style="thin">
        <color theme="0" tint="-0.24994659260841701"/>
      </bottom>
      <diagonal/>
    </border>
    <border>
      <left style="thick">
        <color theme="0"/>
      </left>
      <right style="thick">
        <color theme="0"/>
      </right>
      <top/>
      <bottom style="thin">
        <color theme="0" tint="-0.24994659260841701"/>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style="thin">
        <color auto="1"/>
      </left>
      <right/>
      <top style="thin">
        <color auto="1"/>
      </top>
      <bottom/>
      <diagonal/>
    </border>
    <border>
      <left/>
      <right/>
      <top style="thin">
        <color indexed="64"/>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style="thin">
        <color auto="1"/>
      </top>
      <bottom style="thin">
        <color indexed="64"/>
      </bottom>
      <diagonal/>
    </border>
    <border>
      <left/>
      <right/>
      <top style="thin">
        <color auto="1"/>
      </top>
      <bottom style="thin">
        <color indexed="64"/>
      </bottom>
      <diagonal/>
    </border>
    <border>
      <left/>
      <right style="thin">
        <color auto="1"/>
      </right>
      <top style="thin">
        <color auto="1"/>
      </top>
      <bottom style="thin">
        <color indexed="64"/>
      </bottom>
      <diagonal/>
    </border>
    <border>
      <left style="thin">
        <color auto="1"/>
      </left>
      <right style="thin">
        <color auto="1"/>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indexed="64"/>
      </right>
      <top style="thin">
        <color indexed="64"/>
      </top>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right/>
      <top style="dashDot">
        <color indexed="64"/>
      </top>
      <bottom/>
      <diagonal/>
    </border>
    <border>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thick">
        <color rgb="FFFFFFFF"/>
      </bottom>
      <diagonal/>
    </border>
  </borders>
  <cellStyleXfs count="69">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1" applyNumberFormat="0" applyProtection="0">
      <alignment wrapText="1"/>
    </xf>
    <xf numFmtId="0" fontId="19" fillId="0" borderId="0" applyNumberFormat="0" applyFill="0" applyBorder="0" applyAlignment="0" applyProtection="0"/>
    <xf numFmtId="0" fontId="19" fillId="0" borderId="13" applyNumberFormat="0" applyFont="0" applyFill="0" applyProtection="0">
      <alignment wrapText="1"/>
    </xf>
    <xf numFmtId="0" fontId="19" fillId="0" borderId="11" applyNumberFormat="0" applyProtection="0">
      <alignment vertical="top" wrapText="1"/>
    </xf>
    <xf numFmtId="0" fontId="18" fillId="0" borderId="12" applyNumberFormat="0" applyProtection="0">
      <alignment wrapText="1"/>
    </xf>
    <xf numFmtId="0" fontId="20" fillId="0" borderId="0" applyNumberFormat="0" applyFill="0" applyBorder="0" applyAlignment="0" applyProtection="0">
      <alignment vertical="top"/>
      <protection locked="0"/>
    </xf>
    <xf numFmtId="0" fontId="19" fillId="0" borderId="10" applyNumberFormat="0" applyFont="0" applyProtection="0">
      <alignment wrapText="1"/>
    </xf>
    <xf numFmtId="0" fontId="18" fillId="0" borderId="14" applyNumberFormat="0" applyFill="0" applyProtection="0">
      <alignment wrapText="1"/>
    </xf>
    <xf numFmtId="0" fontId="22" fillId="0" borderId="0" applyNumberFormat="0" applyProtection="0">
      <alignment horizontal="left"/>
    </xf>
    <xf numFmtId="0" fontId="18" fillId="0" borderId="15" applyNumberFormat="0" applyProtection="0">
      <alignment horizontal="left" wrapText="1"/>
    </xf>
    <xf numFmtId="0" fontId="19" fillId="0" borderId="0" applyNumberFormat="0" applyProtection="0">
      <alignment vertical="top" wrapText="1"/>
    </xf>
    <xf numFmtId="0" fontId="21" fillId="0" borderId="0" applyNumberFormat="0" applyFill="0" applyBorder="0" applyAlignment="0" applyProtection="0">
      <alignment vertical="top"/>
      <protection locked="0"/>
    </xf>
    <xf numFmtId="0" fontId="24" fillId="0" borderId="0"/>
    <xf numFmtId="0" fontId="24" fillId="0" borderId="19" applyNumberFormat="0" applyProtection="0">
      <alignment wrapText="1"/>
    </xf>
    <xf numFmtId="0" fontId="25" fillId="0" borderId="17" applyNumberFormat="0" applyProtection="0">
      <alignment wrapText="1"/>
    </xf>
    <xf numFmtId="0" fontId="24" fillId="0" borderId="18" applyNumberFormat="0" applyFont="0" applyProtection="0">
      <alignment wrapText="1"/>
    </xf>
    <xf numFmtId="0" fontId="25" fillId="0" borderId="16" applyNumberFormat="0" applyProtection="0">
      <alignment wrapText="1"/>
    </xf>
    <xf numFmtId="0" fontId="24" fillId="0" borderId="0" applyNumberFormat="0" applyFill="0" applyBorder="0" applyAlignment="0" applyProtection="0"/>
    <xf numFmtId="0" fontId="23" fillId="0" borderId="0" applyNumberFormat="0" applyProtection="0">
      <alignment horizontal="left"/>
    </xf>
    <xf numFmtId="176" fontId="1" fillId="0" borderId="0" applyFont="0" applyFill="0" applyBorder="0" applyAlignment="0" applyProtection="0"/>
    <xf numFmtId="9" fontId="1" fillId="0" borderId="0" applyFont="0" applyFill="0" applyBorder="0" applyAlignment="0" applyProtection="0"/>
    <xf numFmtId="0" fontId="39" fillId="0" borderId="0"/>
    <xf numFmtId="0" fontId="45" fillId="0" borderId="0">
      <alignment vertical="center"/>
    </xf>
    <xf numFmtId="43" fontId="45" fillId="0" borderId="0" applyFont="0" applyFill="0" applyBorder="0" applyAlignment="0" applyProtection="0"/>
    <xf numFmtId="9" fontId="45" fillId="0" borderId="0" applyFont="0" applyFill="0" applyBorder="0" applyAlignment="0" applyProtection="0"/>
    <xf numFmtId="0" fontId="46" fillId="0" borderId="0"/>
    <xf numFmtId="0" fontId="32" fillId="0" borderId="0">
      <alignment vertical="center"/>
    </xf>
  </cellStyleXfs>
  <cellXfs count="314">
    <xf numFmtId="0" fontId="0" fillId="0" borderId="0" xfId="0"/>
    <xf numFmtId="0" fontId="16" fillId="0" borderId="0" xfId="0" applyFont="1"/>
    <xf numFmtId="0" fontId="0" fillId="0" borderId="0" xfId="0" applyAlignment="1">
      <alignment horizontal="left"/>
    </xf>
    <xf numFmtId="178" fontId="0" fillId="0" borderId="0" xfId="0" applyNumberFormat="1"/>
    <xf numFmtId="0" fontId="24" fillId="0" borderId="0" xfId="54"/>
    <xf numFmtId="0" fontId="26" fillId="0" borderId="0" xfId="54" applyFont="1"/>
    <xf numFmtId="0" fontId="27" fillId="0" borderId="0" xfId="54" applyFont="1"/>
    <xf numFmtId="177" fontId="0" fillId="0" borderId="18" xfId="57" applyNumberFormat="1" applyFont="1" applyAlignment="1">
      <alignment horizontal="right" wrapText="1"/>
    </xf>
    <xf numFmtId="4" fontId="0" fillId="0" borderId="18" xfId="57" applyNumberFormat="1" applyFont="1" applyAlignment="1">
      <alignment horizontal="right" wrapText="1"/>
    </xf>
    <xf numFmtId="0" fontId="0" fillId="0" borderId="18" xfId="57" applyFont="1">
      <alignment wrapText="1"/>
    </xf>
    <xf numFmtId="0" fontId="25" fillId="0" borderId="17" xfId="56">
      <alignment wrapText="1"/>
    </xf>
    <xf numFmtId="179" fontId="0" fillId="0" borderId="18" xfId="57" applyNumberFormat="1" applyFont="1" applyAlignment="1">
      <alignment horizontal="right" wrapText="1"/>
    </xf>
    <xf numFmtId="0" fontId="24" fillId="0" borderId="17" xfId="56" applyFont="1">
      <alignment wrapText="1"/>
    </xf>
    <xf numFmtId="0" fontId="25" fillId="0" borderId="16" xfId="58">
      <alignment wrapText="1"/>
    </xf>
    <xf numFmtId="0" fontId="24" fillId="0" borderId="0" xfId="54" applyAlignment="1">
      <alignment horizontal="left"/>
    </xf>
    <xf numFmtId="0" fontId="24" fillId="0" borderId="0" xfId="59"/>
    <xf numFmtId="0" fontId="23" fillId="0" borderId="0" xfId="60">
      <alignment horizontal="left"/>
    </xf>
    <xf numFmtId="0" fontId="28" fillId="0" borderId="0" xfId="54" applyFont="1"/>
    <xf numFmtId="0" fontId="29" fillId="0" borderId="0" xfId="0" applyFont="1"/>
    <xf numFmtId="0" fontId="30" fillId="0" borderId="0" xfId="0" applyFont="1"/>
    <xf numFmtId="0" fontId="31" fillId="0" borderId="20" xfId="0" applyFont="1" applyBorder="1" applyAlignment="1">
      <alignment horizontal="left"/>
    </xf>
    <xf numFmtId="0" fontId="31" fillId="0" borderId="20" xfId="0" applyFont="1" applyBorder="1" applyAlignment="1">
      <alignment horizontal="centerContinuous"/>
    </xf>
    <xf numFmtId="0" fontId="31" fillId="0" borderId="21" xfId="0" applyFont="1" applyBorder="1" applyAlignment="1">
      <alignment horizontal="centerContinuous"/>
    </xf>
    <xf numFmtId="0" fontId="31" fillId="0" borderId="21" xfId="0" applyFont="1" applyBorder="1" applyAlignment="1">
      <alignment horizontal="right"/>
    </xf>
    <xf numFmtId="180" fontId="31" fillId="0" borderId="22" xfId="0" applyNumberFormat="1" applyFont="1" applyBorder="1" applyAlignment="1">
      <alignment horizontal="right"/>
    </xf>
    <xf numFmtId="0" fontId="31" fillId="0" borderId="23" xfId="0" applyFont="1" applyBorder="1" applyAlignment="1">
      <alignment horizontal="right"/>
    </xf>
    <xf numFmtId="0" fontId="31" fillId="0" borderId="23" xfId="0" applyFont="1" applyBorder="1" applyAlignment="1">
      <alignment horizontal="right" wrapText="1"/>
    </xf>
    <xf numFmtId="0" fontId="31" fillId="0" borderId="0" xfId="0" applyFont="1" applyAlignment="1">
      <alignment horizontal="right"/>
    </xf>
    <xf numFmtId="0" fontId="31" fillId="0" borderId="0" xfId="0" applyFont="1" applyAlignment="1">
      <alignment horizontal="right" wrapText="1"/>
    </xf>
    <xf numFmtId="180" fontId="31" fillId="0" borderId="24" xfId="0" applyNumberFormat="1" applyFont="1" applyBorder="1" applyAlignment="1">
      <alignment horizontal="right" wrapText="1"/>
    </xf>
    <xf numFmtId="0" fontId="31" fillId="0" borderId="23" xfId="0" applyFont="1" applyBorder="1"/>
    <xf numFmtId="0" fontId="31" fillId="33" borderId="23" xfId="0" applyFont="1" applyFill="1" applyBorder="1"/>
    <xf numFmtId="0" fontId="32" fillId="0" borderId="0" xfId="0" applyFont="1"/>
    <xf numFmtId="0" fontId="31" fillId="0" borderId="0" xfId="0" applyFont="1"/>
    <xf numFmtId="180" fontId="31" fillId="0" borderId="24" xfId="0" applyNumberFormat="1" applyFont="1" applyBorder="1"/>
    <xf numFmtId="0" fontId="31" fillId="0" borderId="25" xfId="0" applyFont="1" applyBorder="1"/>
    <xf numFmtId="0" fontId="31" fillId="0" borderId="25" xfId="0" applyFont="1" applyBorder="1" applyAlignment="1">
      <alignment horizontal="right"/>
    </xf>
    <xf numFmtId="0" fontId="31" fillId="0" borderId="26" xfId="0" applyFont="1" applyBorder="1" applyAlignment="1">
      <alignment horizontal="right"/>
    </xf>
    <xf numFmtId="0" fontId="31" fillId="0" borderId="26" xfId="0" applyFont="1" applyBorder="1"/>
    <xf numFmtId="180" fontId="31" fillId="0" borderId="27" xfId="0" applyNumberFormat="1" applyFont="1" applyBorder="1"/>
    <xf numFmtId="0" fontId="0" fillId="0" borderId="23" xfId="0" applyBorder="1"/>
    <xf numFmtId="3" fontId="32" fillId="0" borderId="23" xfId="61" applyNumberFormat="1" applyFont="1" applyFill="1" applyBorder="1" applyAlignment="1"/>
    <xf numFmtId="3" fontId="32" fillId="34" borderId="0" xfId="61" applyNumberFormat="1" applyFont="1" applyFill="1" applyBorder="1" applyAlignment="1"/>
    <xf numFmtId="177" fontId="32" fillId="34" borderId="0" xfId="62" applyNumberFormat="1" applyFont="1" applyFill="1" applyBorder="1" applyAlignment="1"/>
    <xf numFmtId="3" fontId="32" fillId="35" borderId="0" xfId="61" applyNumberFormat="1" applyFont="1" applyFill="1" applyBorder="1" applyAlignment="1"/>
    <xf numFmtId="181" fontId="32" fillId="0" borderId="0" xfId="61" applyNumberFormat="1" applyFont="1" applyFill="1" applyBorder="1" applyAlignment="1"/>
    <xf numFmtId="180" fontId="32" fillId="0" borderId="24" xfId="61" applyNumberFormat="1" applyFont="1" applyFill="1" applyBorder="1" applyAlignment="1"/>
    <xf numFmtId="3" fontId="32" fillId="36" borderId="0" xfId="61" applyNumberFormat="1" applyFont="1" applyFill="1" applyBorder="1" applyAlignment="1"/>
    <xf numFmtId="177" fontId="32" fillId="36" borderId="0" xfId="62" applyNumberFormat="1" applyFont="1" applyFill="1" applyBorder="1" applyAlignment="1"/>
    <xf numFmtId="3" fontId="32" fillId="0" borderId="0" xfId="61" applyNumberFormat="1" applyFont="1" applyFill="1" applyBorder="1" applyAlignment="1"/>
    <xf numFmtId="177" fontId="32" fillId="0" borderId="0" xfId="62" applyNumberFormat="1" applyFont="1" applyFill="1" applyBorder="1" applyAlignment="1"/>
    <xf numFmtId="180" fontId="32" fillId="0" borderId="0" xfId="61" applyNumberFormat="1" applyFont="1" applyFill="1" applyBorder="1" applyAlignment="1"/>
    <xf numFmtId="3" fontId="0" fillId="0" borderId="0" xfId="0" applyNumberFormat="1"/>
    <xf numFmtId="3" fontId="32" fillId="0" borderId="0" xfId="0" applyNumberFormat="1" applyFont="1" applyAlignment="1">
      <alignment vertical="top"/>
    </xf>
    <xf numFmtId="0" fontId="0" fillId="37" borderId="0" xfId="0" applyFill="1"/>
    <xf numFmtId="177" fontId="0" fillId="0" borderId="0" xfId="0" applyNumberFormat="1"/>
    <xf numFmtId="2" fontId="0" fillId="0" borderId="0" xfId="0" applyNumberFormat="1"/>
    <xf numFmtId="1" fontId="32" fillId="0" borderId="0" xfId="62" applyNumberFormat="1" applyFont="1" applyFill="1" applyBorder="1" applyAlignment="1"/>
    <xf numFmtId="0" fontId="32" fillId="0" borderId="23" xfId="0" applyFont="1" applyBorder="1"/>
    <xf numFmtId="177" fontId="32" fillId="0" borderId="0" xfId="61" applyNumberFormat="1" applyFont="1" applyFill="1" applyBorder="1" applyAlignment="1"/>
    <xf numFmtId="3" fontId="32" fillId="38" borderId="0" xfId="61" applyNumberFormat="1" applyFont="1" applyFill="1" applyBorder="1" applyAlignment="1"/>
    <xf numFmtId="177" fontId="32" fillId="35" borderId="0" xfId="62" applyNumberFormat="1" applyFont="1" applyFill="1" applyBorder="1" applyAlignment="1"/>
    <xf numFmtId="3" fontId="0" fillId="38" borderId="0" xfId="0" applyNumberFormat="1" applyFill="1"/>
    <xf numFmtId="177" fontId="0" fillId="38" borderId="0" xfId="0" applyNumberFormat="1" applyFill="1"/>
    <xf numFmtId="177" fontId="32" fillId="38" borderId="0" xfId="62" applyNumberFormat="1" applyFont="1" applyFill="1" applyBorder="1" applyAlignment="1"/>
    <xf numFmtId="3" fontId="32" fillId="0" borderId="0" xfId="62" applyNumberFormat="1" applyFont="1" applyFill="1" applyBorder="1" applyAlignment="1"/>
    <xf numFmtId="3" fontId="32" fillId="0" borderId="0" xfId="61" applyNumberFormat="1" applyFont="1" applyBorder="1" applyAlignment="1"/>
    <xf numFmtId="177" fontId="32" fillId="0" borderId="0" xfId="62" applyNumberFormat="1" applyFont="1" applyBorder="1" applyAlignment="1"/>
    <xf numFmtId="3" fontId="31" fillId="0" borderId="25" xfId="61" applyNumberFormat="1" applyFont="1" applyFill="1" applyBorder="1" applyAlignment="1">
      <alignment horizontal="right"/>
    </xf>
    <xf numFmtId="3" fontId="31" fillId="0" borderId="26" xfId="61" applyNumberFormat="1" applyFont="1" applyFill="1" applyBorder="1" applyAlignment="1">
      <alignment horizontal="right"/>
    </xf>
    <xf numFmtId="177" fontId="31" fillId="0" borderId="26" xfId="62" applyNumberFormat="1" applyFont="1" applyFill="1" applyBorder="1" applyAlignment="1"/>
    <xf numFmtId="3" fontId="31" fillId="0" borderId="26" xfId="61" applyNumberFormat="1" applyFont="1" applyBorder="1" applyAlignment="1"/>
    <xf numFmtId="181" fontId="31" fillId="0" borderId="26" xfId="61" applyNumberFormat="1" applyFont="1" applyFill="1" applyBorder="1" applyAlignment="1"/>
    <xf numFmtId="180" fontId="31" fillId="0" borderId="27" xfId="61" applyNumberFormat="1" applyFont="1" applyFill="1" applyBorder="1" applyAlignment="1"/>
    <xf numFmtId="182" fontId="32" fillId="34" borderId="0" xfId="61" applyNumberFormat="1" applyFont="1" applyFill="1" applyBorder="1" applyAlignment="1"/>
    <xf numFmtId="3" fontId="32" fillId="39" borderId="0" xfId="61" applyNumberFormat="1" applyFont="1" applyFill="1" applyBorder="1" applyAlignment="1"/>
    <xf numFmtId="182" fontId="32" fillId="39" borderId="0" xfId="61" applyNumberFormat="1" applyFont="1" applyFill="1" applyBorder="1" applyAlignment="1"/>
    <xf numFmtId="182" fontId="32" fillId="38" borderId="0" xfId="61" applyNumberFormat="1" applyFont="1" applyFill="1" applyBorder="1" applyAlignment="1"/>
    <xf numFmtId="182" fontId="32" fillId="36" borderId="0" xfId="61" applyNumberFormat="1" applyFont="1" applyFill="1" applyBorder="1" applyAlignment="1"/>
    <xf numFmtId="3" fontId="31" fillId="0" borderId="26" xfId="61" applyNumberFormat="1" applyFont="1" applyBorder="1" applyAlignment="1">
      <alignment horizontal="right"/>
    </xf>
    <xf numFmtId="180" fontId="32" fillId="38" borderId="24" xfId="61" applyNumberFormat="1" applyFont="1" applyFill="1" applyBorder="1" applyAlignment="1"/>
    <xf numFmtId="10" fontId="0" fillId="0" borderId="0" xfId="0" applyNumberFormat="1"/>
    <xf numFmtId="3" fontId="32" fillId="40" borderId="0" xfId="61" applyNumberFormat="1" applyFont="1" applyFill="1" applyBorder="1" applyAlignment="1"/>
    <xf numFmtId="0" fontId="32" fillId="0" borderId="0" xfId="62" applyNumberFormat="1" applyFont="1" applyBorder="1" applyAlignment="1"/>
    <xf numFmtId="183" fontId="32" fillId="0" borderId="0" xfId="61" applyNumberFormat="1" applyFont="1" applyFill="1" applyBorder="1" applyAlignment="1"/>
    <xf numFmtId="177" fontId="32" fillId="35" borderId="0" xfId="0" applyNumberFormat="1" applyFont="1" applyFill="1"/>
    <xf numFmtId="181" fontId="0" fillId="0" borderId="0" xfId="0" applyNumberFormat="1"/>
    <xf numFmtId="180" fontId="0" fillId="0" borderId="24" xfId="0" applyNumberFormat="1" applyBorder="1"/>
    <xf numFmtId="0" fontId="32" fillId="0" borderId="28" xfId="0" applyFont="1" applyBorder="1"/>
    <xf numFmtId="177" fontId="32" fillId="38" borderId="0" xfId="0" applyNumberFormat="1" applyFont="1" applyFill="1"/>
    <xf numFmtId="177" fontId="32" fillId="0" borderId="0" xfId="0" applyNumberFormat="1" applyFont="1"/>
    <xf numFmtId="0" fontId="0" fillId="0" borderId="28" xfId="0" applyBorder="1"/>
    <xf numFmtId="0" fontId="0" fillId="0" borderId="29" xfId="0" applyBorder="1"/>
    <xf numFmtId="3" fontId="32" fillId="0" borderId="30" xfId="61" applyNumberFormat="1" applyFont="1" applyFill="1" applyBorder="1" applyAlignment="1"/>
    <xf numFmtId="3" fontId="32" fillId="38" borderId="30" xfId="61" applyNumberFormat="1" applyFont="1" applyFill="1" applyBorder="1" applyAlignment="1"/>
    <xf numFmtId="177" fontId="32" fillId="38" borderId="30" xfId="0" applyNumberFormat="1" applyFont="1" applyFill="1" applyBorder="1"/>
    <xf numFmtId="181" fontId="0" fillId="0" borderId="30" xfId="0" applyNumberFormat="1" applyBorder="1"/>
    <xf numFmtId="180" fontId="0" fillId="0" borderId="31" xfId="0" applyNumberFormat="1" applyBorder="1"/>
    <xf numFmtId="3" fontId="0" fillId="0" borderId="0" xfId="61" applyNumberFormat="1" applyFont="1" applyFill="1" applyBorder="1" applyAlignment="1"/>
    <xf numFmtId="0" fontId="0" fillId="0" borderId="0" xfId="61" applyNumberFormat="1" applyFont="1" applyFill="1" applyBorder="1" applyAlignment="1"/>
    <xf numFmtId="177" fontId="0" fillId="0" borderId="0" xfId="62" applyNumberFormat="1" applyFont="1" applyFill="1" applyBorder="1" applyAlignment="1"/>
    <xf numFmtId="180" fontId="0" fillId="0" borderId="0" xfId="0" applyNumberFormat="1"/>
    <xf numFmtId="0" fontId="32" fillId="0" borderId="0" xfId="61" applyNumberFormat="1" applyFont="1" applyBorder="1" applyAlignment="1"/>
    <xf numFmtId="0" fontId="0" fillId="0" borderId="20" xfId="0" applyBorder="1" applyAlignment="1">
      <alignment horizontal="right"/>
    </xf>
    <xf numFmtId="0" fontId="32" fillId="41" borderId="32" xfId="61" applyNumberFormat="1" applyFont="1" applyFill="1" applyBorder="1" applyAlignment="1">
      <alignment horizontal="right"/>
    </xf>
    <xf numFmtId="0" fontId="0" fillId="0" borderId="21" xfId="61" applyNumberFormat="1" applyFont="1" applyBorder="1" applyAlignment="1">
      <alignment horizontal="right"/>
    </xf>
    <xf numFmtId="0" fontId="0" fillId="0" borderId="21" xfId="61" applyNumberFormat="1" applyFont="1" applyFill="1" applyBorder="1" applyAlignment="1">
      <alignment horizontal="right"/>
    </xf>
    <xf numFmtId="0" fontId="0" fillId="0" borderId="22" xfId="61" applyNumberFormat="1" applyFont="1" applyFill="1" applyBorder="1" applyAlignment="1">
      <alignment horizontal="right"/>
    </xf>
    <xf numFmtId="0" fontId="0" fillId="0" borderId="33" xfId="0" applyBorder="1" applyAlignment="1">
      <alignment horizontal="right"/>
    </xf>
    <xf numFmtId="0" fontId="32" fillId="41" borderId="29" xfId="61" applyNumberFormat="1" applyFont="1" applyFill="1" applyBorder="1" applyAlignment="1">
      <alignment horizontal="right"/>
    </xf>
    <xf numFmtId="0" fontId="32" fillId="0" borderId="30" xfId="61" applyNumberFormat="1" applyFont="1" applyBorder="1" applyAlignment="1">
      <alignment horizontal="right"/>
    </xf>
    <xf numFmtId="0" fontId="32" fillId="0" borderId="31" xfId="61" applyNumberFormat="1" applyFont="1" applyBorder="1" applyAlignment="1">
      <alignment horizontal="right"/>
    </xf>
    <xf numFmtId="0" fontId="0" fillId="0" borderId="23" xfId="0" applyBorder="1" applyAlignment="1">
      <alignment horizontal="right"/>
    </xf>
    <xf numFmtId="3" fontId="0" fillId="0" borderId="28" xfId="0" applyNumberFormat="1" applyBorder="1"/>
    <xf numFmtId="0" fontId="0" fillId="0" borderId="24" xfId="0" applyBorder="1"/>
    <xf numFmtId="3" fontId="0" fillId="0" borderId="29" xfId="0" applyNumberFormat="1" applyBorder="1"/>
    <xf numFmtId="0" fontId="0" fillId="0" borderId="30" xfId="0" applyBorder="1"/>
    <xf numFmtId="0" fontId="0" fillId="0" borderId="31" xfId="0" applyBorder="1"/>
    <xf numFmtId="0" fontId="0" fillId="0" borderId="0" xfId="0" applyAlignment="1">
      <alignment horizontal="right"/>
    </xf>
    <xf numFmtId="0" fontId="0" fillId="0" borderId="20" xfId="0" applyBorder="1" applyAlignment="1">
      <alignment horizontal="left"/>
    </xf>
    <xf numFmtId="3" fontId="0" fillId="41" borderId="32" xfId="0" applyNumberFormat="1" applyFill="1" applyBorder="1" applyAlignment="1">
      <alignment horizontal="right"/>
    </xf>
    <xf numFmtId="0" fontId="0" fillId="0" borderId="21" xfId="0" applyBorder="1" applyAlignment="1">
      <alignment horizontal="right"/>
    </xf>
    <xf numFmtId="0" fontId="0" fillId="0" borderId="22" xfId="0" applyBorder="1" applyAlignment="1">
      <alignment horizontal="right"/>
    </xf>
    <xf numFmtId="0" fontId="0" fillId="0" borderId="30" xfId="0" applyBorder="1" applyAlignment="1">
      <alignment horizontal="right"/>
    </xf>
    <xf numFmtId="0" fontId="0" fillId="0" borderId="31" xfId="0" applyBorder="1" applyAlignment="1">
      <alignment horizontal="right"/>
    </xf>
    <xf numFmtId="0" fontId="0" fillId="40" borderId="0" xfId="0" applyFill="1"/>
    <xf numFmtId="0" fontId="0" fillId="40" borderId="24" xfId="0" applyFill="1" applyBorder="1"/>
    <xf numFmtId="2" fontId="0" fillId="0" borderId="22" xfId="0" applyNumberFormat="1" applyBorder="1"/>
    <xf numFmtId="2" fontId="0" fillId="0" borderId="24" xfId="0" applyNumberFormat="1" applyBorder="1"/>
    <xf numFmtId="2" fontId="0" fillId="0" borderId="31" xfId="0" applyNumberFormat="1" applyBorder="1"/>
    <xf numFmtId="0" fontId="0" fillId="35" borderId="0" xfId="0" applyFill="1" applyAlignment="1">
      <alignment horizontal="center"/>
    </xf>
    <xf numFmtId="184" fontId="0" fillId="35" borderId="0" xfId="0" applyNumberFormat="1" applyFill="1" applyAlignment="1">
      <alignment horizontal="center"/>
    </xf>
    <xf numFmtId="182" fontId="0" fillId="35" borderId="0" xfId="0" applyNumberFormat="1" applyFill="1" applyAlignment="1">
      <alignment horizontal="center"/>
    </xf>
    <xf numFmtId="0" fontId="0" fillId="0" borderId="0" xfId="0" applyAlignment="1">
      <alignment horizontal="center"/>
    </xf>
    <xf numFmtId="184" fontId="0" fillId="0" borderId="0" xfId="0" applyNumberFormat="1" applyAlignment="1">
      <alignment horizontal="center"/>
    </xf>
    <xf numFmtId="182" fontId="0" fillId="0" borderId="0" xfId="0" applyNumberFormat="1" applyAlignment="1">
      <alignment horizontal="center"/>
    </xf>
    <xf numFmtId="0" fontId="31" fillId="0" borderId="25" xfId="0" applyFont="1" applyBorder="1" applyAlignment="1">
      <alignment horizontal="right" wrapText="1"/>
    </xf>
    <xf numFmtId="0" fontId="31" fillId="0" borderId="26" xfId="0" applyFont="1" applyBorder="1" applyAlignment="1">
      <alignment horizontal="center" wrapText="1"/>
    </xf>
    <xf numFmtId="0" fontId="31" fillId="0" borderId="27" xfId="0" applyFont="1" applyBorder="1" applyAlignment="1">
      <alignment horizontal="right" wrapText="1"/>
    </xf>
    <xf numFmtId="0" fontId="31" fillId="0" borderId="26" xfId="0" applyFont="1" applyBorder="1" applyAlignment="1">
      <alignment horizontal="right" wrapText="1"/>
    </xf>
    <xf numFmtId="0" fontId="0" fillId="0" borderId="20" xfId="0" applyBorder="1" applyAlignment="1">
      <alignment horizontal="center"/>
    </xf>
    <xf numFmtId="182" fontId="0" fillId="0" borderId="21" xfId="0" applyNumberFormat="1" applyBorder="1" applyAlignment="1">
      <alignment horizontal="center"/>
    </xf>
    <xf numFmtId="177" fontId="0" fillId="0" borderId="22" xfId="0" applyNumberFormat="1" applyBorder="1" applyAlignment="1">
      <alignment horizontal="center"/>
    </xf>
    <xf numFmtId="0" fontId="0" fillId="0" borderId="23" xfId="0" applyBorder="1" applyAlignment="1">
      <alignment horizontal="center"/>
    </xf>
    <xf numFmtId="177" fontId="0" fillId="0" borderId="24" xfId="0" applyNumberFormat="1" applyBorder="1" applyAlignment="1">
      <alignment horizontal="center"/>
    </xf>
    <xf numFmtId="0" fontId="31" fillId="0" borderId="23" xfId="0" applyFont="1" applyBorder="1" applyAlignment="1">
      <alignment horizontal="center"/>
    </xf>
    <xf numFmtId="182" fontId="31" fillId="0" borderId="0" xfId="0" applyNumberFormat="1" applyFont="1" applyAlignment="1">
      <alignment horizontal="center"/>
    </xf>
    <xf numFmtId="177" fontId="31" fillId="0" borderId="24" xfId="0" applyNumberFormat="1" applyFont="1" applyBorder="1" applyAlignment="1">
      <alignment horizontal="center"/>
    </xf>
    <xf numFmtId="0" fontId="0" fillId="0" borderId="33" xfId="0" applyBorder="1" applyAlignment="1">
      <alignment horizontal="center"/>
    </xf>
    <xf numFmtId="182" fontId="0" fillId="0" borderId="30" xfId="0" applyNumberFormat="1" applyBorder="1" applyAlignment="1">
      <alignment horizontal="center"/>
    </xf>
    <xf numFmtId="177" fontId="0" fillId="0" borderId="31" xfId="0" applyNumberFormat="1" applyBorder="1" applyAlignment="1">
      <alignment horizontal="center"/>
    </xf>
    <xf numFmtId="0" fontId="31" fillId="0" borderId="34" xfId="0" applyFont="1"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3" fontId="0" fillId="0" borderId="0" xfId="0" applyNumberFormat="1" applyAlignment="1">
      <alignment horizontal="center"/>
    </xf>
    <xf numFmtId="179" fontId="0" fillId="0" borderId="0" xfId="0" applyNumberFormat="1" applyAlignment="1">
      <alignment horizontal="center"/>
    </xf>
    <xf numFmtId="3" fontId="0" fillId="0" borderId="24" xfId="0" applyNumberFormat="1" applyBorder="1" applyAlignment="1">
      <alignment horizontal="center"/>
    </xf>
    <xf numFmtId="181" fontId="0" fillId="0" borderId="0" xfId="0" applyNumberFormat="1" applyAlignment="1">
      <alignment horizontal="center"/>
    </xf>
    <xf numFmtId="179" fontId="0" fillId="0" borderId="24" xfId="0" applyNumberFormat="1" applyBorder="1" applyAlignment="1">
      <alignment horizontal="center"/>
    </xf>
    <xf numFmtId="0" fontId="0" fillId="0" borderId="29" xfId="0" applyBorder="1" applyAlignment="1">
      <alignment horizontal="center"/>
    </xf>
    <xf numFmtId="181" fontId="0" fillId="0" borderId="30" xfId="0" applyNumberFormat="1" applyBorder="1" applyAlignment="1">
      <alignment horizontal="center"/>
    </xf>
    <xf numFmtId="179" fontId="0" fillId="0" borderId="30" xfId="0" applyNumberFormat="1" applyBorder="1" applyAlignment="1">
      <alignment horizontal="center"/>
    </xf>
    <xf numFmtId="3" fontId="0" fillId="0" borderId="31" xfId="0" applyNumberFormat="1" applyBorder="1" applyAlignment="1">
      <alignment horizontal="center"/>
    </xf>
    <xf numFmtId="183" fontId="0" fillId="0" borderId="0" xfId="0" applyNumberFormat="1" applyAlignment="1">
      <alignment horizontal="center"/>
    </xf>
    <xf numFmtId="180" fontId="0" fillId="0" borderId="0" xfId="0" applyNumberFormat="1" applyAlignment="1">
      <alignment horizontal="center"/>
    </xf>
    <xf numFmtId="185" fontId="0" fillId="0" borderId="0" xfId="0" applyNumberFormat="1" applyAlignment="1">
      <alignment horizontal="center"/>
    </xf>
    <xf numFmtId="185" fontId="0" fillId="0" borderId="24" xfId="0" applyNumberFormat="1" applyBorder="1" applyAlignment="1">
      <alignment horizontal="center"/>
    </xf>
    <xf numFmtId="186" fontId="0" fillId="0" borderId="0" xfId="0" applyNumberFormat="1" applyAlignment="1">
      <alignment horizontal="center"/>
    </xf>
    <xf numFmtId="187" fontId="0" fillId="0" borderId="0" xfId="0" applyNumberFormat="1" applyAlignment="1">
      <alignment horizontal="center"/>
    </xf>
    <xf numFmtId="188" fontId="0" fillId="0" borderId="0" xfId="0" applyNumberFormat="1" applyAlignment="1">
      <alignment horizontal="center"/>
    </xf>
    <xf numFmtId="189" fontId="0" fillId="0" borderId="0" xfId="0" applyNumberFormat="1" applyAlignment="1">
      <alignment horizontal="center"/>
    </xf>
    <xf numFmtId="0" fontId="16" fillId="42" borderId="0" xfId="0" applyFont="1" applyFill="1"/>
    <xf numFmtId="0" fontId="16" fillId="43" borderId="0" xfId="0" applyFont="1" applyFill="1"/>
    <xf numFmtId="0" fontId="0" fillId="43" borderId="0" xfId="0" applyFill="1"/>
    <xf numFmtId="0" fontId="0" fillId="0" borderId="0" xfId="0" applyAlignment="1">
      <alignment wrapText="1"/>
    </xf>
    <xf numFmtId="0" fontId="0" fillId="42" borderId="0" xfId="0" applyFill="1"/>
    <xf numFmtId="0" fontId="0" fillId="38" borderId="0" xfId="0" applyFill="1"/>
    <xf numFmtId="177" fontId="25" fillId="0" borderId="17" xfId="56" applyNumberFormat="1" applyAlignment="1">
      <alignment horizontal="right" wrapText="1"/>
    </xf>
    <xf numFmtId="3" fontId="25" fillId="0" borderId="17" xfId="56" applyNumberFormat="1" applyAlignment="1">
      <alignment horizontal="right" wrapText="1"/>
    </xf>
    <xf numFmtId="0" fontId="20" fillId="0" borderId="0" xfId="47" applyAlignment="1" applyProtection="1"/>
    <xf numFmtId="0" fontId="39" fillId="0" borderId="0" xfId="63"/>
    <xf numFmtId="0" fontId="39" fillId="0" borderId="34" xfId="63" applyBorder="1" applyAlignment="1">
      <alignment vertical="center"/>
    </xf>
    <xf numFmtId="0" fontId="0" fillId="44" borderId="0" xfId="0" applyFill="1"/>
    <xf numFmtId="49" fontId="42" fillId="0" borderId="0" xfId="0" applyNumberFormat="1" applyFont="1" applyAlignment="1">
      <alignment vertical="center"/>
    </xf>
    <xf numFmtId="0" fontId="42" fillId="0" borderId="0" xfId="0" applyFont="1" applyAlignment="1">
      <alignment vertical="center"/>
    </xf>
    <xf numFmtId="0" fontId="0" fillId="0" borderId="0" xfId="0" applyAlignment="1">
      <alignment vertical="center"/>
    </xf>
    <xf numFmtId="49" fontId="42" fillId="0" borderId="30" xfId="0" applyNumberFormat="1" applyFont="1" applyBorder="1" applyAlignment="1">
      <alignment vertical="center"/>
    </xf>
    <xf numFmtId="0" fontId="42" fillId="0" borderId="30" xfId="0" applyFont="1" applyBorder="1" applyAlignment="1">
      <alignment vertical="center"/>
    </xf>
    <xf numFmtId="49" fontId="42" fillId="0" borderId="26" xfId="0" applyNumberFormat="1" applyFont="1" applyBorder="1" applyAlignment="1">
      <alignment horizontal="center" vertical="center"/>
    </xf>
    <xf numFmtId="49" fontId="42" fillId="0" borderId="27" xfId="0" applyNumberFormat="1" applyFont="1" applyBorder="1" applyAlignment="1">
      <alignment horizontal="center" vertical="center"/>
    </xf>
    <xf numFmtId="49" fontId="42" fillId="0" borderId="34" xfId="0" applyNumberFormat="1" applyFont="1" applyBorder="1" applyAlignment="1">
      <alignment horizontal="center" vertical="center" wrapText="1"/>
    </xf>
    <xf numFmtId="49" fontId="42" fillId="0" borderId="25" xfId="0" applyNumberFormat="1" applyFont="1" applyBorder="1" applyAlignment="1">
      <alignment horizontal="center" vertical="center" wrapText="1"/>
    </xf>
    <xf numFmtId="49" fontId="44" fillId="0" borderId="21" xfId="0" applyNumberFormat="1" applyFont="1" applyBorder="1" applyAlignment="1">
      <alignment vertical="center"/>
    </xf>
    <xf numFmtId="49" fontId="44" fillId="0" borderId="22" xfId="0" applyNumberFormat="1" applyFont="1" applyBorder="1" applyAlignment="1">
      <alignment vertical="center"/>
    </xf>
    <xf numFmtId="49" fontId="42" fillId="0" borderId="21" xfId="0" applyNumberFormat="1" applyFont="1" applyBorder="1" applyAlignment="1">
      <alignment horizontal="right" vertical="center"/>
    </xf>
    <xf numFmtId="49" fontId="42" fillId="0" borderId="24" xfId="0" applyNumberFormat="1" applyFont="1" applyBorder="1" applyAlignment="1">
      <alignment vertical="center"/>
    </xf>
    <xf numFmtId="49" fontId="42" fillId="0" borderId="0" xfId="0" applyNumberFormat="1" applyFont="1" applyAlignment="1">
      <alignment horizontal="right" vertical="center"/>
    </xf>
    <xf numFmtId="49" fontId="44" fillId="0" borderId="0" xfId="0" applyNumberFormat="1" applyFont="1" applyAlignment="1">
      <alignment vertical="center"/>
    </xf>
    <xf numFmtId="49" fontId="44" fillId="0" borderId="24" xfId="0" applyNumberFormat="1" applyFont="1" applyBorder="1" applyAlignment="1">
      <alignment vertical="center"/>
    </xf>
    <xf numFmtId="49" fontId="44" fillId="0" borderId="30" xfId="0" applyNumberFormat="1" applyFont="1" applyBorder="1" applyAlignment="1">
      <alignment vertical="center"/>
    </xf>
    <xf numFmtId="49" fontId="44" fillId="0" borderId="31" xfId="0" applyNumberFormat="1" applyFont="1" applyBorder="1" applyAlignment="1">
      <alignment vertical="center"/>
    </xf>
    <xf numFmtId="0" fontId="0" fillId="0" borderId="38" xfId="0" applyBorder="1" applyAlignment="1">
      <alignment vertical="center"/>
    </xf>
    <xf numFmtId="0" fontId="42" fillId="0" borderId="21" xfId="0" applyFont="1" applyBorder="1" applyAlignment="1">
      <alignment horizontal="right" vertical="center"/>
    </xf>
    <xf numFmtId="0" fontId="42" fillId="0" borderId="0" xfId="0" applyFont="1" applyAlignment="1">
      <alignment horizontal="right" vertical="center"/>
    </xf>
    <xf numFmtId="0" fontId="42" fillId="0" borderId="33" xfId="0" applyFont="1" applyBorder="1" applyAlignment="1">
      <alignment horizontal="right" vertical="center"/>
    </xf>
    <xf numFmtId="0" fontId="42" fillId="0" borderId="30" xfId="0" applyFont="1" applyBorder="1" applyAlignment="1">
      <alignment horizontal="right" vertical="center"/>
    </xf>
    <xf numFmtId="49" fontId="42" fillId="0" borderId="0" xfId="0" applyNumberFormat="1" applyFont="1" applyAlignment="1">
      <alignment horizontal="center" vertical="center" wrapText="1"/>
    </xf>
    <xf numFmtId="49" fontId="42" fillId="0" borderId="20" xfId="0" applyNumberFormat="1" applyFont="1" applyBorder="1" applyAlignment="1">
      <alignment horizontal="right" vertical="center"/>
    </xf>
    <xf numFmtId="49" fontId="42" fillId="0" borderId="23" xfId="0" applyNumberFormat="1" applyFont="1" applyBorder="1" applyAlignment="1">
      <alignment horizontal="right" vertical="center"/>
    </xf>
    <xf numFmtId="0" fontId="42" fillId="0" borderId="20" xfId="0" applyFont="1" applyBorder="1" applyAlignment="1">
      <alignment horizontal="right" vertical="center"/>
    </xf>
    <xf numFmtId="0" fontId="42" fillId="0" borderId="23" xfId="0" applyFont="1" applyBorder="1" applyAlignment="1">
      <alignment horizontal="right" vertical="center"/>
    </xf>
    <xf numFmtId="49" fontId="42" fillId="46" borderId="0" xfId="0" applyNumberFormat="1" applyFont="1" applyFill="1" applyAlignment="1">
      <alignment vertical="center"/>
    </xf>
    <xf numFmtId="49" fontId="42" fillId="46" borderId="24" xfId="0" applyNumberFormat="1" applyFont="1" applyFill="1" applyBorder="1" applyAlignment="1">
      <alignment vertical="center"/>
    </xf>
    <xf numFmtId="0" fontId="42" fillId="46" borderId="23" xfId="0" applyFont="1" applyFill="1" applyBorder="1" applyAlignment="1">
      <alignment horizontal="right" vertical="center"/>
    </xf>
    <xf numFmtId="0" fontId="42" fillId="46" borderId="0" xfId="0" applyFont="1" applyFill="1" applyAlignment="1">
      <alignment horizontal="right" vertical="center"/>
    </xf>
    <xf numFmtId="49" fontId="42" fillId="46" borderId="0" xfId="0" applyNumberFormat="1" applyFont="1" applyFill="1" applyAlignment="1">
      <alignment horizontal="right" vertical="center"/>
    </xf>
    <xf numFmtId="49" fontId="42" fillId="46" borderId="23" xfId="0" applyNumberFormat="1" applyFont="1" applyFill="1" applyBorder="1" applyAlignment="1">
      <alignment horizontal="right" vertical="center"/>
    </xf>
    <xf numFmtId="0" fontId="0" fillId="46" borderId="0" xfId="0" applyFill="1" applyAlignment="1">
      <alignment vertical="center"/>
    </xf>
    <xf numFmtId="0" fontId="46" fillId="0" borderId="0" xfId="67" applyAlignment="1">
      <alignment horizontal="left" vertical="top"/>
    </xf>
    <xf numFmtId="190" fontId="46" fillId="0" borderId="0" xfId="67" applyNumberFormat="1" applyAlignment="1">
      <alignment horizontal="left" vertical="top"/>
    </xf>
    <xf numFmtId="190" fontId="46" fillId="0" borderId="34" xfId="67" applyNumberFormat="1" applyBorder="1" applyAlignment="1">
      <alignment horizontal="left" vertical="top"/>
    </xf>
    <xf numFmtId="0" fontId="46" fillId="0" borderId="34" xfId="67" applyBorder="1" applyAlignment="1">
      <alignment horizontal="left" vertical="top"/>
    </xf>
    <xf numFmtId="0" fontId="48" fillId="0" borderId="34" xfId="68" applyFont="1" applyBorder="1" applyAlignment="1">
      <alignment horizontal="left" vertical="center"/>
    </xf>
    <xf numFmtId="0" fontId="49" fillId="0" borderId="34" xfId="68" applyFont="1" applyBorder="1" applyAlignment="1">
      <alignment horizontal="left" vertical="center"/>
    </xf>
    <xf numFmtId="0" fontId="50" fillId="0" borderId="34" xfId="68" applyFont="1" applyBorder="1" applyAlignment="1">
      <alignment horizontal="left" vertical="center"/>
    </xf>
    <xf numFmtId="0" fontId="50" fillId="0" borderId="34" xfId="68" applyFont="1" applyBorder="1" applyAlignment="1">
      <alignment horizontal="left"/>
    </xf>
    <xf numFmtId="0" fontId="46" fillId="0" borderId="0" xfId="67"/>
    <xf numFmtId="0" fontId="54" fillId="0" borderId="34" xfId="67" applyFont="1" applyBorder="1" applyAlignment="1">
      <alignment horizontal="left" vertical="top"/>
    </xf>
    <xf numFmtId="0" fontId="57" fillId="0" borderId="34" xfId="67" applyFont="1" applyBorder="1" applyAlignment="1">
      <alignment horizontal="left" vertical="top"/>
    </xf>
    <xf numFmtId="0" fontId="58" fillId="0" borderId="0" xfId="67" applyFont="1" applyAlignment="1">
      <alignment horizontal="left" vertical="top"/>
    </xf>
    <xf numFmtId="0" fontId="54" fillId="0" borderId="0" xfId="67" applyFont="1" applyAlignment="1">
      <alignment horizontal="left" vertical="top"/>
    </xf>
    <xf numFmtId="0" fontId="59" fillId="0" borderId="0" xfId="67" applyFont="1" applyAlignment="1">
      <alignment horizontal="left" vertical="top"/>
    </xf>
    <xf numFmtId="0" fontId="61" fillId="0" borderId="0" xfId="67" applyFont="1" applyAlignment="1">
      <alignment horizontal="center" vertical="top"/>
    </xf>
    <xf numFmtId="49" fontId="42" fillId="0" borderId="34" xfId="0" applyNumberFormat="1" applyFont="1" applyBorder="1" applyAlignment="1">
      <alignment horizontal="center" vertical="center"/>
    </xf>
    <xf numFmtId="49" fontId="42" fillId="0" borderId="25" xfId="0" applyNumberFormat="1" applyFont="1" applyBorder="1" applyAlignment="1">
      <alignment horizontal="center" vertical="center"/>
    </xf>
    <xf numFmtId="49" fontId="42" fillId="0" borderId="22" xfId="0" applyNumberFormat="1" applyFont="1" applyBorder="1" applyAlignment="1">
      <alignment vertical="center"/>
    </xf>
    <xf numFmtId="49" fontId="42" fillId="0" borderId="32" xfId="0" applyNumberFormat="1" applyFont="1" applyBorder="1" applyAlignment="1">
      <alignment vertical="center"/>
    </xf>
    <xf numFmtId="49" fontId="42" fillId="0" borderId="20" xfId="0" applyNumberFormat="1" applyFont="1" applyBorder="1" applyAlignment="1">
      <alignment vertical="center"/>
    </xf>
    <xf numFmtId="49" fontId="42" fillId="0" borderId="28" xfId="0" applyNumberFormat="1" applyFont="1" applyBorder="1" applyAlignment="1">
      <alignment vertical="center"/>
    </xf>
    <xf numFmtId="49" fontId="42" fillId="0" borderId="23" xfId="0" applyNumberFormat="1" applyFont="1" applyBorder="1" applyAlignment="1">
      <alignment vertical="center"/>
    </xf>
    <xf numFmtId="49" fontId="42" fillId="0" borderId="31" xfId="0" applyNumberFormat="1" applyFont="1" applyBorder="1" applyAlignment="1">
      <alignment vertical="center"/>
    </xf>
    <xf numFmtId="49" fontId="42" fillId="0" borderId="29" xfId="0" applyNumberFormat="1" applyFont="1" applyBorder="1" applyAlignment="1">
      <alignment vertical="center"/>
    </xf>
    <xf numFmtId="49" fontId="42" fillId="0" borderId="33" xfId="0" applyNumberFormat="1" applyFont="1" applyBorder="1" applyAlignment="1">
      <alignment vertical="center"/>
    </xf>
    <xf numFmtId="191" fontId="39" fillId="0" borderId="34" xfId="63" applyNumberFormat="1" applyBorder="1" applyAlignment="1">
      <alignment vertical="center"/>
    </xf>
    <xf numFmtId="190" fontId="39" fillId="0" borderId="34" xfId="63" applyNumberFormat="1" applyBorder="1" applyAlignment="1">
      <alignment vertical="center"/>
    </xf>
    <xf numFmtId="0" fontId="39" fillId="43" borderId="34" xfId="63" applyFill="1" applyBorder="1" applyAlignment="1">
      <alignment horizontal="center" vertical="center" wrapText="1"/>
    </xf>
    <xf numFmtId="178" fontId="39" fillId="0" borderId="34" xfId="63" applyNumberFormat="1" applyBorder="1" applyAlignment="1">
      <alignment vertical="center"/>
    </xf>
    <xf numFmtId="0" fontId="39" fillId="0" borderId="34" xfId="63" applyBorder="1"/>
    <xf numFmtId="0" fontId="62" fillId="47" borderId="39" xfId="0" applyFont="1" applyFill="1" applyBorder="1" applyAlignment="1">
      <alignment horizontal="center" vertical="center" wrapText="1" readingOrder="1"/>
    </xf>
    <xf numFmtId="0" fontId="41" fillId="47" borderId="35" xfId="0" applyFont="1" applyFill="1" applyBorder="1" applyAlignment="1">
      <alignment horizontal="center" vertical="center" wrapText="1" readingOrder="1"/>
    </xf>
    <xf numFmtId="0" fontId="63" fillId="48" borderId="36" xfId="0" applyFont="1" applyFill="1" applyBorder="1" applyAlignment="1">
      <alignment horizontal="center" vertical="center" wrapText="1" readingOrder="1"/>
    </xf>
    <xf numFmtId="0" fontId="40" fillId="49" borderId="40" xfId="0" applyFont="1" applyFill="1" applyBorder="1" applyAlignment="1">
      <alignment horizontal="left" wrapText="1" readingOrder="1"/>
    </xf>
    <xf numFmtId="0" fontId="41" fillId="47" borderId="40" xfId="0" applyFont="1" applyFill="1" applyBorder="1" applyAlignment="1">
      <alignment horizontal="center" wrapText="1" readingOrder="1"/>
    </xf>
    <xf numFmtId="0" fontId="63" fillId="48" borderId="37" xfId="0" applyFont="1" applyFill="1" applyBorder="1" applyAlignment="1">
      <alignment horizontal="center" vertical="center" wrapText="1" readingOrder="1"/>
    </xf>
    <xf numFmtId="0" fontId="40" fillId="50" borderId="40" xfId="0" applyFont="1" applyFill="1" applyBorder="1" applyAlignment="1">
      <alignment horizontal="left" wrapText="1" readingOrder="1"/>
    </xf>
    <xf numFmtId="0" fontId="64" fillId="50" borderId="40" xfId="0" applyFont="1" applyFill="1" applyBorder="1" applyAlignment="1">
      <alignment horizontal="left" wrapText="1" readingOrder="1"/>
    </xf>
    <xf numFmtId="0" fontId="64" fillId="49" borderId="40" xfId="0" applyFont="1" applyFill="1" applyBorder="1" applyAlignment="1">
      <alignment horizontal="left" wrapText="1" readingOrder="1"/>
    </xf>
    <xf numFmtId="0" fontId="63" fillId="51" borderId="37" xfId="0" applyFont="1" applyFill="1" applyBorder="1" applyAlignment="1">
      <alignment horizontal="center" wrapText="1" readingOrder="1"/>
    </xf>
    <xf numFmtId="0" fontId="40" fillId="51" borderId="40" xfId="0" applyFont="1" applyFill="1" applyBorder="1" applyAlignment="1">
      <alignment horizontal="left" wrapText="1" readingOrder="1"/>
    </xf>
    <xf numFmtId="0" fontId="63" fillId="45" borderId="37" xfId="0" applyFont="1" applyFill="1" applyBorder="1" applyAlignment="1">
      <alignment horizontal="center" vertical="center" wrapText="1" readingOrder="1"/>
    </xf>
    <xf numFmtId="0" fontId="40" fillId="52" borderId="40" xfId="0" applyFont="1" applyFill="1" applyBorder="1" applyAlignment="1">
      <alignment horizontal="left" wrapText="1" readingOrder="1"/>
    </xf>
    <xf numFmtId="0" fontId="40" fillId="53" borderId="40" xfId="0" applyFont="1" applyFill="1" applyBorder="1" applyAlignment="1">
      <alignment horizontal="left" wrapText="1" readingOrder="1"/>
    </xf>
    <xf numFmtId="0" fontId="40" fillId="53" borderId="36" xfId="0" applyFont="1" applyFill="1" applyBorder="1" applyAlignment="1">
      <alignment horizontal="left" wrapText="1" readingOrder="1"/>
    </xf>
    <xf numFmtId="0" fontId="41" fillId="47" borderId="36" xfId="0" applyFont="1" applyFill="1" applyBorder="1" applyAlignment="1">
      <alignment horizontal="center" wrapText="1" readingOrder="1"/>
    </xf>
    <xf numFmtId="0" fontId="63" fillId="54" borderId="37" xfId="0" applyFont="1" applyFill="1" applyBorder="1" applyAlignment="1">
      <alignment horizontal="center" vertical="center" wrapText="1" readingOrder="1"/>
    </xf>
    <xf numFmtId="0" fontId="40" fillId="55" borderId="40" xfId="0" applyFont="1" applyFill="1" applyBorder="1" applyAlignment="1">
      <alignment horizontal="left" wrapText="1" readingOrder="1"/>
    </xf>
    <xf numFmtId="0" fontId="40" fillId="56" borderId="40" xfId="0" applyFont="1" applyFill="1" applyBorder="1" applyAlignment="1">
      <alignment horizontal="left" wrapText="1" readingOrder="1"/>
    </xf>
    <xf numFmtId="0" fontId="64" fillId="56" borderId="40" xfId="0" applyFont="1" applyFill="1" applyBorder="1" applyAlignment="1">
      <alignment horizontal="left" wrapText="1" readingOrder="1"/>
    </xf>
    <xf numFmtId="0" fontId="64" fillId="55" borderId="40" xfId="0" applyFont="1" applyFill="1" applyBorder="1" applyAlignment="1">
      <alignment horizontal="left" wrapText="1" readingOrder="1"/>
    </xf>
    <xf numFmtId="0" fontId="63" fillId="57" borderId="37" xfId="0" applyFont="1" applyFill="1" applyBorder="1" applyAlignment="1">
      <alignment horizontal="center" vertical="center" wrapText="1" readingOrder="1"/>
    </xf>
    <xf numFmtId="0" fontId="40" fillId="58" borderId="40" xfId="0" applyFont="1" applyFill="1" applyBorder="1" applyAlignment="1">
      <alignment horizontal="left" wrapText="1" readingOrder="1"/>
    </xf>
    <xf numFmtId="0" fontId="40" fillId="59" borderId="40" xfId="0" applyFont="1" applyFill="1" applyBorder="1" applyAlignment="1">
      <alignment horizontal="left" wrapText="1" readingOrder="1"/>
    </xf>
    <xf numFmtId="0" fontId="63" fillId="60" borderId="37" xfId="0" applyFont="1" applyFill="1" applyBorder="1" applyAlignment="1">
      <alignment horizontal="center" vertical="center" wrapText="1" readingOrder="1"/>
    </xf>
    <xf numFmtId="0" fontId="40" fillId="61" borderId="40" xfId="0" applyFont="1" applyFill="1" applyBorder="1" applyAlignment="1">
      <alignment horizontal="left" wrapText="1" readingOrder="1"/>
    </xf>
    <xf numFmtId="0" fontId="63" fillId="62" borderId="37" xfId="0" applyFont="1" applyFill="1" applyBorder="1" applyAlignment="1">
      <alignment horizontal="center" vertical="center" wrapText="1" readingOrder="1"/>
    </xf>
    <xf numFmtId="0" fontId="40" fillId="63" borderId="36" xfId="0" applyFont="1" applyFill="1" applyBorder="1" applyAlignment="1">
      <alignment horizontal="left" wrapText="1" readingOrder="1"/>
    </xf>
    <xf numFmtId="178" fontId="0" fillId="0" borderId="0" xfId="0" applyNumberFormat="1" applyAlignment="1">
      <alignment vertical="center"/>
    </xf>
    <xf numFmtId="192" fontId="42" fillId="0" borderId="0" xfId="0" applyNumberFormat="1" applyFont="1" applyAlignment="1">
      <alignment horizontal="right" vertical="center"/>
    </xf>
    <xf numFmtId="192" fontId="0" fillId="0" borderId="0" xfId="0" applyNumberFormat="1" applyAlignment="1">
      <alignment vertical="center"/>
    </xf>
    <xf numFmtId="0" fontId="14" fillId="0" borderId="0" xfId="0" applyFont="1"/>
    <xf numFmtId="0" fontId="65" fillId="0" borderId="0" xfId="0" applyFont="1"/>
    <xf numFmtId="192" fontId="0" fillId="0" borderId="0" xfId="0" applyNumberFormat="1"/>
    <xf numFmtId="192" fontId="65" fillId="0" borderId="0" xfId="0" applyNumberFormat="1" applyFont="1"/>
    <xf numFmtId="192" fontId="14" fillId="0" borderId="0" xfId="0" applyNumberFormat="1" applyFont="1"/>
    <xf numFmtId="49" fontId="42" fillId="0" borderId="0" xfId="0" applyNumberFormat="1" applyFont="1" applyAlignment="1">
      <alignment horizontal="right" vertical="center" wrapText="1"/>
    </xf>
    <xf numFmtId="0" fontId="42" fillId="0" borderId="0" xfId="0" applyFont="1" applyAlignment="1">
      <alignment horizontal="center" vertical="center" wrapText="1"/>
    </xf>
    <xf numFmtId="0" fontId="0" fillId="0" borderId="0" xfId="0" applyAlignment="1">
      <alignment horizontal="center" vertical="center" wrapText="1"/>
    </xf>
    <xf numFmtId="11" fontId="0" fillId="0" borderId="0" xfId="0" applyNumberFormat="1"/>
    <xf numFmtId="191" fontId="0" fillId="0" borderId="0" xfId="0" applyNumberFormat="1"/>
    <xf numFmtId="0" fontId="66" fillId="0" borderId="0" xfId="0" applyFont="1"/>
    <xf numFmtId="0" fontId="16" fillId="42" borderId="0" xfId="0" applyFont="1" applyFill="1" applyAlignment="1">
      <alignment horizontal="left"/>
    </xf>
    <xf numFmtId="0" fontId="0" fillId="38" borderId="18" xfId="57" applyFont="1" applyFill="1">
      <alignment wrapText="1"/>
    </xf>
    <xf numFmtId="49" fontId="67" fillId="0" borderId="34" xfId="0" applyNumberFormat="1" applyFont="1" applyBorder="1" applyAlignment="1">
      <alignment horizontal="center" vertical="center" wrapText="1"/>
    </xf>
    <xf numFmtId="0" fontId="65" fillId="0" borderId="0" xfId="0" applyFont="1" applyAlignment="1">
      <alignment vertical="center"/>
    </xf>
    <xf numFmtId="192" fontId="67" fillId="0" borderId="0" xfId="0" applyNumberFormat="1" applyFont="1" applyAlignment="1">
      <alignment horizontal="right" vertical="center"/>
    </xf>
    <xf numFmtId="178" fontId="65" fillId="0" borderId="0" xfId="0" applyNumberFormat="1" applyFont="1" applyAlignment="1">
      <alignment vertical="center"/>
    </xf>
    <xf numFmtId="49" fontId="67" fillId="0" borderId="25" xfId="0" applyNumberFormat="1" applyFont="1" applyBorder="1" applyAlignment="1">
      <alignment horizontal="center" vertical="center" wrapText="1"/>
    </xf>
    <xf numFmtId="193" fontId="0" fillId="0" borderId="0" xfId="0" applyNumberFormat="1"/>
    <xf numFmtId="0" fontId="0" fillId="0" borderId="34" xfId="0" applyBorder="1"/>
    <xf numFmtId="11" fontId="0" fillId="0" borderId="34" xfId="0" applyNumberFormat="1" applyBorder="1"/>
    <xf numFmtId="0" fontId="55" fillId="0" borderId="25" xfId="67" applyFont="1" applyBorder="1" applyAlignment="1">
      <alignment horizontal="center" vertical="top"/>
    </xf>
    <xf numFmtId="0" fontId="55" fillId="0" borderId="27" xfId="67" applyFont="1" applyBorder="1" applyAlignment="1">
      <alignment horizontal="center" vertical="top"/>
    </xf>
    <xf numFmtId="0" fontId="54" fillId="0" borderId="25" xfId="67" applyFont="1" applyBorder="1" applyAlignment="1">
      <alignment horizontal="center" vertical="top"/>
    </xf>
    <xf numFmtId="0" fontId="54" fillId="0" borderId="27" xfId="67" applyFont="1" applyBorder="1" applyAlignment="1">
      <alignment horizontal="center" vertical="top"/>
    </xf>
    <xf numFmtId="0" fontId="39" fillId="43" borderId="25" xfId="63" applyFill="1" applyBorder="1" applyAlignment="1">
      <alignment horizontal="center" vertical="center" wrapText="1"/>
    </xf>
    <xf numFmtId="0" fontId="39" fillId="43" borderId="26" xfId="63" applyFill="1" applyBorder="1" applyAlignment="1">
      <alignment horizontal="center" vertical="center" wrapText="1"/>
    </xf>
    <xf numFmtId="0" fontId="39" fillId="43" borderId="27" xfId="63" applyFill="1" applyBorder="1" applyAlignment="1">
      <alignment horizontal="center" vertical="center" wrapText="1"/>
    </xf>
    <xf numFmtId="0" fontId="39" fillId="43" borderId="32" xfId="63" applyFill="1" applyBorder="1" applyAlignment="1">
      <alignment horizontal="center" vertical="center" wrapText="1"/>
    </xf>
    <xf numFmtId="0" fontId="39" fillId="43" borderId="29" xfId="63" applyFill="1" applyBorder="1" applyAlignment="1">
      <alignment horizontal="center" vertical="center" wrapText="1"/>
    </xf>
    <xf numFmtId="49" fontId="44" fillId="0" borderId="0" xfId="0" applyNumberFormat="1" applyFont="1" applyAlignment="1">
      <alignment horizontal="center" vertical="center"/>
    </xf>
    <xf numFmtId="0" fontId="24" fillId="0" borderId="19" xfId="55">
      <alignment wrapText="1"/>
    </xf>
    <xf numFmtId="0" fontId="0" fillId="0" borderId="0" xfId="0" applyAlignment="1">
      <alignment horizontal="center" vertical="center" wrapText="1"/>
    </xf>
    <xf numFmtId="0" fontId="0" fillId="0" borderId="34" xfId="0" applyBorder="1" applyAlignment="1">
      <alignment horizontal="center"/>
    </xf>
  </cellXfs>
  <cellStyles count="69">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Body: normal cell" xfId="48" xr:uid="{00000000-0005-0000-0000-000019000000}"/>
    <cellStyle name="Body: normal cell 2" xfId="57" xr:uid="{00000000-0005-0000-0000-00001A000000}"/>
    <cellStyle name="Font: Calibri, 9pt regular" xfId="43" xr:uid="{00000000-0005-0000-0000-000020000000}"/>
    <cellStyle name="Font: Calibri, 9pt regular 2" xfId="59" xr:uid="{00000000-0005-0000-0000-000021000000}"/>
    <cellStyle name="Footnotes: all except top row" xfId="52" xr:uid="{00000000-0005-0000-0000-000022000000}"/>
    <cellStyle name="Footnotes: top row" xfId="45" xr:uid="{00000000-0005-0000-0000-000023000000}"/>
    <cellStyle name="Footnotes: top row 2" xfId="55" xr:uid="{00000000-0005-0000-0000-000024000000}"/>
    <cellStyle name="Header: bottom row" xfId="42" xr:uid="{00000000-0005-0000-0000-000026000000}"/>
    <cellStyle name="Header: bottom row 2" xfId="58" xr:uid="{00000000-0005-0000-0000-000027000000}"/>
    <cellStyle name="Header: top rows" xfId="51" xr:uid="{00000000-0005-0000-0000-000028000000}"/>
    <cellStyle name="Normal 2" xfId="54" xr:uid="{00000000-0005-0000-0000-000032000000}"/>
    <cellStyle name="Parent row" xfId="46" xr:uid="{00000000-0005-0000-0000-000035000000}"/>
    <cellStyle name="Parent row 2" xfId="56" xr:uid="{00000000-0005-0000-0000-000036000000}"/>
    <cellStyle name="Section Break" xfId="44" xr:uid="{00000000-0005-0000-0000-000038000000}"/>
    <cellStyle name="Section Break: parent row" xfId="49" xr:uid="{00000000-0005-0000-0000-000039000000}"/>
    <cellStyle name="Table title" xfId="50" xr:uid="{00000000-0005-0000-0000-00003A000000}"/>
    <cellStyle name="Table title 2" xfId="60" xr:uid="{00000000-0005-0000-0000-00003B000000}"/>
    <cellStyle name="百分比" xfId="62" builtinId="5"/>
    <cellStyle name="百分比 2 3" xfId="66" xr:uid="{AA4FA357-9847-4A09-9B96-F0C3FB5D5F2B}"/>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常规 2" xfId="64" xr:uid="{7543DCDC-AC9E-4F0D-9B5D-983456B147EF}"/>
    <cellStyle name="常规 2 2" xfId="68" xr:uid="{272E1122-5671-45AD-B8EA-DB2BF6E88B5F}"/>
    <cellStyle name="常规 3" xfId="63" xr:uid="{794AF300-1786-4C92-BA87-5E165C880D9A}"/>
    <cellStyle name="常规 4" xfId="67" xr:uid="{333D45C6-44E4-4A8C-9E98-544EBA29A070}"/>
    <cellStyle name="超链接" xfId="47" builtinId="8" customBuiltin="1"/>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千位分隔" xfId="61" builtinId="3"/>
    <cellStyle name="千位分隔 2" xfId="65" xr:uid="{98686984-0B87-44A7-BE3D-9E90EDA34C0C}"/>
    <cellStyle name="适中" xfId="8" builtinId="28" customBuiltin="1"/>
    <cellStyle name="输出" xfId="10" builtinId="21" customBuiltin="1"/>
    <cellStyle name="输入" xfId="9" builtinId="20" customBuiltin="1"/>
    <cellStyle name="已访问的超链接" xfId="53" builtinId="9"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2">
    <dxf>
      <border>
        <left/>
        <right/>
        <top/>
        <bottom style="thick">
          <color theme="4"/>
        </bottom>
        <vertical/>
        <horizontal/>
      </border>
    </dxf>
    <dxf>
      <border>
        <left/>
        <right/>
        <top/>
        <bottom/>
        <vertical/>
        <horizontal style="dotted">
          <color theme="0" tint="-0.24994659260841701"/>
        </horizontal>
      </border>
    </dxf>
  </dxfs>
  <tableStyles count="1" defaultTableStyle="TableStyleMedium2" defaultPivotStyle="PivotStyleLight16">
    <tableStyle name="Table Style 1" pivot="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3</xdr:row>
      <xdr:rowOff>0</xdr:rowOff>
    </xdr:from>
    <xdr:ext cx="4676774" cy="1422153"/>
    <xdr:pic>
      <xdr:nvPicPr>
        <xdr:cNvPr id="2" name="图片 1">
          <a:extLst>
            <a:ext uri="{FF2B5EF4-FFF2-40B4-BE49-F238E27FC236}">
              <a16:creationId xmlns:a16="http://schemas.microsoft.com/office/drawing/2014/main" id="{A4100EE1-513B-4A4D-BFDC-2A7A9D97390C}"/>
            </a:ext>
          </a:extLst>
        </xdr:cNvPr>
        <xdr:cNvPicPr>
          <a:picLocks noChangeAspect="1"/>
        </xdr:cNvPicPr>
      </xdr:nvPicPr>
      <xdr:blipFill>
        <a:blip xmlns:r="http://schemas.openxmlformats.org/officeDocument/2006/relationships" r:embed="rId1"/>
        <a:stretch>
          <a:fillRect/>
        </a:stretch>
      </xdr:blipFill>
      <xdr:spPr>
        <a:xfrm>
          <a:off x="0" y="485775"/>
          <a:ext cx="4676774" cy="1422153"/>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roject/EPS/&#25490;&#25918;&#28165;&#21333;/&#20840;&#22269;&#36947;&#36335;&#20132;&#36890;&#30899;&#25490;&#25918;&#39044;&#27979;_202302_after%20-%20after%20-%20VECC%20-%20&#21103;&#2641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olivia\Documents\EPS_Models%20by%20Region\United%20States\Calibration\Calibratio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jeff-nonadmin/Dropbox%20(Energy%20Innovation)/EI-PlcyMdl/eps-1.5.0-us-wipE/InputData/web-app/BCF/BTU%20Conversion%20Factor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roject/EPS/&#25490;&#25918;&#28165;&#21333;/PEI_n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各车型2017销售总表"/>
      <sheetName val="客车电动趋势潜力"/>
      <sheetName val="总量"/>
      <sheetName val="人口"/>
      <sheetName val="油耗情景设置"/>
      <sheetName val="电动化率情景设置"/>
      <sheetName val="里程情景设置"/>
      <sheetName val="里程计算 "/>
      <sheetName val="模型说明"/>
      <sheetName val="VECC油耗"/>
      <sheetName val="重型专用货车"/>
      <sheetName val="Sheet5"/>
      <sheetName val="京津冀"/>
      <sheetName val="长三角城市群"/>
      <sheetName val="珠三角"/>
      <sheetName val="成渝"/>
      <sheetName val="汾渭"/>
      <sheetName val="分国标油耗数据"/>
      <sheetName val="参数输入VECC"/>
      <sheetName val="参数输入"/>
      <sheetName val="参数数据库"/>
      <sheetName val="碳排放计算"/>
      <sheetName val="污染物排放计算"/>
      <sheetName val="乘用车"/>
      <sheetName val="出租车"/>
      <sheetName val="公交车"/>
      <sheetName val="中型公交车"/>
      <sheetName val="大型公交车"/>
      <sheetName val="道路客车"/>
      <sheetName val="轻型货车"/>
      <sheetName val="中重型货车"/>
      <sheetName val="FE+EV+VKT-H"/>
      <sheetName val="碳排放"/>
      <sheetName val="碳排放 (2)"/>
      <sheetName val="中型货车"/>
      <sheetName val="重型货车"/>
      <sheetName val="各年销量 "/>
      <sheetName val="总保有量"/>
      <sheetName val="公交车天然气占比"/>
      <sheetName val="国家统计局数据"/>
      <sheetName val="2017年大中型公交车保有量及对应生产年"/>
      <sheetName val="碳排放对比"/>
      <sheetName val="油耗因子更新"/>
      <sheetName val="修改前后的保有量比较"/>
      <sheetName val="乘用车残存率可视化"/>
      <sheetName val="Sheet4"/>
      <sheetName val="行驶里程区间"/>
      <sheetName val="Sheet3"/>
      <sheetName val="Sheet6"/>
      <sheetName val="各年碳排放"/>
      <sheetName val="油耗 -BAU"/>
      <sheetName val="油耗 -情景一"/>
      <sheetName val="油耗 -情景二"/>
      <sheetName val="油耗 -情景三"/>
      <sheetName val="参考情景"/>
      <sheetName val="轿车保有量+销量"/>
      <sheetName val="(弃用)FE(L)"/>
      <sheetName val="(弃用)FE(M)"/>
      <sheetName val="(弃用)FE(H)"/>
      <sheetName val="(弃用)FE+EV(L)"/>
      <sheetName val="(弃用)FE+EV(M)"/>
      <sheetName val="(弃用)FE+EV(H)"/>
      <sheetName val="(弃用)fe+ev+pvkt(L)"/>
      <sheetName val="(弃用)fe+ev+pvkt(M)"/>
      <sheetName val="(弃用)fe+ev+pvkt(H)"/>
      <sheetName val="(弃用)fe+ev+vkt(L)"/>
      <sheetName val="(弃用)fe+ev+vkt(M)"/>
      <sheetName val="(弃用)fe+ev+vk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1. Transportation"/>
      <sheetName val="2. Electricity"/>
      <sheetName val="3. Industry Energy"/>
      <sheetName val="4. Buildings"/>
      <sheetName val="5. Industry Process"/>
      <sheetName val="6. Total"/>
      <sheetName val="7. Particulates"/>
      <sheetName val="7.1 NOX"/>
      <sheetName val="7.2 SOX"/>
      <sheetName val="7.3 PM25"/>
      <sheetName val="EPS"/>
      <sheetName val="NoSettings"/>
      <sheetName val="Vensim Variables"/>
      <sheetName val="EPA_GHG"/>
      <sheetName val="Table 3-1"/>
      <sheetName val="Table 3-7"/>
      <sheetName val="Table 3-9"/>
      <sheetName val="Table 3-10"/>
      <sheetName val="Table 3-11"/>
      <sheetName val="Table 3-12"/>
      <sheetName val="Table 3-13"/>
      <sheetName val="Table 3-14"/>
      <sheetName val="Table 3-15"/>
      <sheetName val="Table 4-1"/>
      <sheetName val="Table 5-1"/>
      <sheetName val="Table 6-1"/>
      <sheetName val="Table 7-1"/>
      <sheetName val="EIA"/>
      <sheetName val="Table 18"/>
      <sheetName val="Table 54"/>
      <sheetName val="Table 11.1"/>
      <sheetName val="Table 11.2"/>
      <sheetName val="Table 11.3"/>
      <sheetName val="Table 11.4"/>
      <sheetName val="Table 11.5"/>
      <sheetName val="Table 11.6"/>
      <sheetName val="Table 11.7"/>
      <sheetName val="National Emissions Inv"/>
      <sheetName val="EPA Data"/>
      <sheetName val="EPS_part"/>
      <sheetName val="Crosswalk Particulates"/>
      <sheetName val="EPA Data_by prim poll"/>
    </sheetNames>
    <sheetDataSet>
      <sheetData sheetId="0">
        <row r="19">
          <cell r="B19">
            <v>1.1023099999999999</v>
          </cell>
        </row>
        <row r="22">
          <cell r="B22">
            <v>1000000</v>
          </cell>
        </row>
        <row r="25">
          <cell r="B25">
            <v>1.1200000000000001</v>
          </cell>
        </row>
        <row r="26">
          <cell r="B26">
            <v>0.88926174496644295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EO Table 73"/>
      <sheetName val="GREET1 Fuel_Specs"/>
      <sheetName val="BCF-BpLFOU"/>
      <sheetName val="BCF-BpSFOU"/>
      <sheetName val="BCF-VFEUCF"/>
      <sheetName val="BCF-BpEIEOU"/>
    </sheetNames>
    <sheetDataSet>
      <sheetData sheetId="0">
        <row r="63">
          <cell r="A63">
            <v>42</v>
          </cell>
        </row>
      </sheetData>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Key to Data Locs"/>
      <sheetName val="GREET1 Results"/>
      <sheetName val="GREET1 EF"/>
      <sheetName val="GREET1 Electric"/>
      <sheetName val="GREET1 JetFuel_WTWa"/>
      <sheetName val="GREET1 Fuel_Specs"/>
      <sheetName val="EF Hub"/>
      <sheetName val="Fuel Heat Contents"/>
      <sheetName val="eGrid Plant"/>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assenger-Micro&amp;light gasoline"/>
      <sheetName val="Passenger-Micro&amp;light diesel"/>
      <sheetName val="Passenger-TAXI gasoline"/>
      <sheetName val="Passenger-TAXI diesel"/>
      <sheetName val="Passenger-中型客车（gasoline）"/>
      <sheetName val="Passenger-中型客车（diesel）"/>
      <sheetName val="Passenger-大型客车（gasoline）"/>
      <sheetName val="Passenger-大型客车（diesel）"/>
      <sheetName val="Passenger-bus（gasoline）"/>
      <sheetName val="Passenger-bus（diesel)"/>
      <sheetName val="Freight-Mini&amp;light（gasoline）"/>
      <sheetName val="Freight-Mini&amp;light（diesel)"/>
      <sheetName val="Freight-MID(gasoline)"/>
      <sheetName val="Freight-MID(diesel)"/>
      <sheetName val="Freight-heavy(gasoline）"/>
      <sheetName val="Freight-heavy(diesel)"/>
      <sheetName val="passenger-LDV"/>
      <sheetName val="passenger-HDV"/>
      <sheetName val="freight-LDV"/>
      <sheetName val="freight-HDV"/>
      <sheetName val="交通部分"/>
      <sheetName val="建筑-民用源"/>
      <sheetName val="建筑-生物质燃料"/>
      <sheetName val="热值"/>
      <sheetName val="EPS分类对照表"/>
      <sheetName val="电力-CO2"/>
      <sheetName val="电力-VOC&amp;CO"/>
      <sheetName val="电力-NOx"/>
      <sheetName val="电力-SO2"/>
      <sheetName val="电力-PM"/>
      <sheetName val="电力-BCOC"/>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89">
          <cell r="A89" t="b">
            <v>1</v>
          </cell>
        </row>
        <row r="203">
          <cell r="A203" t="b">
            <v>1</v>
          </cell>
        </row>
        <row r="214">
          <cell r="A214">
            <v>907185</v>
          </cell>
        </row>
        <row r="215">
          <cell r="A215">
            <v>1000000000000000</v>
          </cell>
        </row>
        <row r="216">
          <cell r="A216">
            <v>1000000000000</v>
          </cell>
        </row>
      </sheetData>
      <sheetData sheetId="1" refreshError="1"/>
      <sheetData sheetId="2" refreshError="1"/>
      <sheetData sheetId="3" refreshError="1"/>
      <sheetData sheetId="4" refreshError="1"/>
      <sheetData sheetId="5" refreshError="1"/>
      <sheetData sheetId="6" refreshError="1"/>
      <sheetData sheetId="7">
        <row r="20">
          <cell r="E20">
            <v>97.72</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ow r="18">
          <cell r="F18">
            <v>3.5930729262505267E-6</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eia.gov/forecasts/aeo/supplement/excel/suptab_73.xlsx"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8"/>
  <sheetViews>
    <sheetView tabSelected="1" topLeftCell="A59" workbookViewId="0">
      <selection activeCell="A93" sqref="A93"/>
    </sheetView>
  </sheetViews>
  <sheetFormatPr defaultRowHeight="13.5"/>
  <cols>
    <col min="1" max="1" width="37.375" customWidth="1"/>
    <col min="2" max="4" width="25.125" customWidth="1"/>
    <col min="5" max="5" width="55.5" customWidth="1"/>
    <col min="7" max="7" width="11.625" bestFit="1" customWidth="1"/>
  </cols>
  <sheetData>
    <row r="1" spans="1:5">
      <c r="A1" s="1" t="s">
        <v>316</v>
      </c>
    </row>
    <row r="2" spans="1:5">
      <c r="A2" s="1" t="s">
        <v>317</v>
      </c>
    </row>
    <row r="3" spans="1:5">
      <c r="A3" s="1" t="s">
        <v>311</v>
      </c>
    </row>
    <row r="4" spans="1:5">
      <c r="A4" s="1" t="s">
        <v>359</v>
      </c>
    </row>
    <row r="5" spans="1:5">
      <c r="A5" s="1"/>
    </row>
    <row r="6" spans="1:5">
      <c r="A6" t="s">
        <v>45</v>
      </c>
      <c r="B6" s="172" t="s">
        <v>340</v>
      </c>
      <c r="C6" s="176"/>
      <c r="E6" s="172" t="s">
        <v>921</v>
      </c>
    </row>
    <row r="7" spans="1:5">
      <c r="B7" t="s">
        <v>46</v>
      </c>
      <c r="E7" t="s">
        <v>922</v>
      </c>
    </row>
    <row r="8" spans="1:5">
      <c r="B8" s="2">
        <v>2019</v>
      </c>
      <c r="E8" t="s">
        <v>923</v>
      </c>
    </row>
    <row r="9" spans="1:5">
      <c r="B9" t="s">
        <v>379</v>
      </c>
      <c r="E9" s="2">
        <v>2021</v>
      </c>
    </row>
    <row r="10" spans="1:5">
      <c r="B10" s="180" t="s">
        <v>418</v>
      </c>
      <c r="E10" t="s">
        <v>924</v>
      </c>
    </row>
    <row r="11" spans="1:5">
      <c r="B11" t="s">
        <v>122</v>
      </c>
      <c r="E11" t="s">
        <v>927</v>
      </c>
    </row>
    <row r="12" spans="1:5">
      <c r="E12" t="s">
        <v>925</v>
      </c>
    </row>
    <row r="13" spans="1:5">
      <c r="B13" s="172" t="s">
        <v>395</v>
      </c>
      <c r="C13" s="176"/>
      <c r="E13" t="s">
        <v>926</v>
      </c>
    </row>
    <row r="14" spans="1:5">
      <c r="B14" t="s">
        <v>303</v>
      </c>
    </row>
    <row r="15" spans="1:5">
      <c r="B15" s="2">
        <v>2019</v>
      </c>
      <c r="E15" s="291" t="s">
        <v>933</v>
      </c>
    </row>
    <row r="16" spans="1:5">
      <c r="B16" t="s">
        <v>413</v>
      </c>
      <c r="E16" s="2" t="s">
        <v>928</v>
      </c>
    </row>
    <row r="17" spans="1:5">
      <c r="B17" t="s">
        <v>305</v>
      </c>
      <c r="E17" s="2" t="s">
        <v>929</v>
      </c>
    </row>
    <row r="18" spans="1:5">
      <c r="B18" t="s">
        <v>304</v>
      </c>
      <c r="E18" s="2">
        <v>2021</v>
      </c>
    </row>
    <row r="19" spans="1:5">
      <c r="E19" s="2" t="s">
        <v>930</v>
      </c>
    </row>
    <row r="20" spans="1:5">
      <c r="A20" s="1" t="s">
        <v>947</v>
      </c>
      <c r="E20" s="2" t="s">
        <v>931</v>
      </c>
    </row>
    <row r="21" spans="1:5">
      <c r="A21" t="s">
        <v>935</v>
      </c>
      <c r="E21" s="2" t="s">
        <v>932</v>
      </c>
    </row>
    <row r="22" spans="1:5">
      <c r="A22" t="s">
        <v>937</v>
      </c>
    </row>
    <row r="23" spans="1:5">
      <c r="A23" t="s">
        <v>938</v>
      </c>
    </row>
    <row r="24" spans="1:5">
      <c r="A24" t="s">
        <v>939</v>
      </c>
    </row>
    <row r="25" spans="1:5">
      <c r="A25" t="s">
        <v>940</v>
      </c>
    </row>
    <row r="27" spans="1:5">
      <c r="A27" s="290" t="s">
        <v>944</v>
      </c>
    </row>
    <row r="28" spans="1:5">
      <c r="A28" t="s">
        <v>945</v>
      </c>
    </row>
    <row r="29" spans="1:5">
      <c r="A29" t="s">
        <v>946</v>
      </c>
    </row>
    <row r="31" spans="1:5">
      <c r="A31" t="s">
        <v>388</v>
      </c>
    </row>
    <row r="32" spans="1:5">
      <c r="A32" t="s">
        <v>389</v>
      </c>
    </row>
    <row r="33" spans="1:5">
      <c r="A33" t="s">
        <v>390</v>
      </c>
    </row>
    <row r="34" spans="1:5">
      <c r="A34" t="s">
        <v>391</v>
      </c>
    </row>
    <row r="35" spans="1:5">
      <c r="A35" t="s">
        <v>393</v>
      </c>
    </row>
    <row r="36" spans="1:5">
      <c r="A36" t="s">
        <v>392</v>
      </c>
    </row>
    <row r="38" spans="1:5">
      <c r="A38" t="s">
        <v>355</v>
      </c>
    </row>
    <row r="39" spans="1:5">
      <c r="A39" t="s">
        <v>356</v>
      </c>
    </row>
    <row r="40" spans="1:5">
      <c r="A40" t="s">
        <v>357</v>
      </c>
    </row>
    <row r="42" spans="1:5">
      <c r="A42" t="s">
        <v>414</v>
      </c>
    </row>
    <row r="43" spans="1:5">
      <c r="A43" t="s">
        <v>415</v>
      </c>
    </row>
    <row r="45" spans="1:5">
      <c r="A45" s="1" t="s">
        <v>936</v>
      </c>
    </row>
    <row r="46" spans="1:5">
      <c r="A46" s="173" t="s">
        <v>326</v>
      </c>
      <c r="B46" s="174" t="s">
        <v>605</v>
      </c>
      <c r="C46" s="174" t="s">
        <v>604</v>
      </c>
      <c r="D46" s="174" t="s">
        <v>606</v>
      </c>
    </row>
    <row r="47" spans="1:5">
      <c r="A47" t="s">
        <v>344</v>
      </c>
      <c r="B47" t="s">
        <v>345</v>
      </c>
      <c r="C47" t="s">
        <v>610</v>
      </c>
      <c r="D47" t="s">
        <v>609</v>
      </c>
      <c r="E47" s="177" t="s">
        <v>353</v>
      </c>
    </row>
    <row r="48" spans="1:5" ht="27">
      <c r="A48" s="175" t="s">
        <v>386</v>
      </c>
      <c r="B48" t="s">
        <v>327</v>
      </c>
      <c r="C48" t="s">
        <v>902</v>
      </c>
      <c r="D48" t="s">
        <v>419</v>
      </c>
    </row>
    <row r="49" spans="1:5">
      <c r="A49" t="s">
        <v>319</v>
      </c>
      <c r="B49" t="s">
        <v>328</v>
      </c>
      <c r="C49" t="s">
        <v>607</v>
      </c>
      <c r="D49" t="s">
        <v>420</v>
      </c>
    </row>
    <row r="50" spans="1:5">
      <c r="A50" t="s">
        <v>360</v>
      </c>
      <c r="B50" t="s">
        <v>387</v>
      </c>
      <c r="C50" t="s">
        <v>902</v>
      </c>
      <c r="D50" t="s">
        <v>419</v>
      </c>
    </row>
    <row r="51" spans="1:5" ht="54">
      <c r="A51" s="175" t="s">
        <v>381</v>
      </c>
      <c r="B51" t="s">
        <v>416</v>
      </c>
      <c r="C51" t="s">
        <v>902</v>
      </c>
      <c r="D51" t="s">
        <v>419</v>
      </c>
    </row>
    <row r="52" spans="1:5">
      <c r="A52" s="175" t="s">
        <v>383</v>
      </c>
      <c r="B52" t="s">
        <v>384</v>
      </c>
      <c r="C52" t="s">
        <v>902</v>
      </c>
      <c r="D52" t="s">
        <v>419</v>
      </c>
    </row>
    <row r="53" spans="1:5">
      <c r="A53" s="175" t="s">
        <v>351</v>
      </c>
      <c r="B53" t="s">
        <v>352</v>
      </c>
      <c r="C53" t="s">
        <v>352</v>
      </c>
      <c r="D53" t="s">
        <v>614</v>
      </c>
      <c r="E53" s="177" t="s">
        <v>354</v>
      </c>
    </row>
    <row r="54" spans="1:5">
      <c r="A54" s="175"/>
    </row>
    <row r="55" spans="1:5">
      <c r="A55" s="173" t="s">
        <v>331</v>
      </c>
      <c r="B55" s="174"/>
      <c r="C55" s="174"/>
      <c r="D55" s="174"/>
    </row>
    <row r="56" spans="1:5">
      <c r="A56" t="s">
        <v>344</v>
      </c>
      <c r="B56" t="s">
        <v>346</v>
      </c>
      <c r="C56" t="s">
        <v>615</v>
      </c>
      <c r="D56" t="s">
        <v>616</v>
      </c>
    </row>
    <row r="57" spans="1:5" ht="27">
      <c r="A57" s="175" t="s">
        <v>386</v>
      </c>
      <c r="B57" t="s">
        <v>332</v>
      </c>
      <c r="C57" t="s">
        <v>900</v>
      </c>
      <c r="D57" t="s">
        <v>602</v>
      </c>
    </row>
    <row r="58" spans="1:5">
      <c r="A58" t="s">
        <v>319</v>
      </c>
      <c r="B58" t="s">
        <v>333</v>
      </c>
      <c r="C58" t="s">
        <v>904</v>
      </c>
      <c r="D58" t="s">
        <v>903</v>
      </c>
    </row>
    <row r="59" spans="1:5">
      <c r="A59" t="s">
        <v>360</v>
      </c>
      <c r="B59" t="s">
        <v>269</v>
      </c>
      <c r="C59" t="s">
        <v>612</v>
      </c>
      <c r="D59" t="s">
        <v>611</v>
      </c>
    </row>
    <row r="60" spans="1:5" ht="54">
      <c r="A60" s="175" t="s">
        <v>385</v>
      </c>
      <c r="B60" t="s">
        <v>343</v>
      </c>
      <c r="C60" t="s">
        <v>900</v>
      </c>
      <c r="D60" t="s">
        <v>602</v>
      </c>
    </row>
    <row r="61" spans="1:5">
      <c r="A61" s="175" t="s">
        <v>382</v>
      </c>
      <c r="B61" t="s">
        <v>417</v>
      </c>
      <c r="C61" t="s">
        <v>900</v>
      </c>
      <c r="D61" t="s">
        <v>602</v>
      </c>
    </row>
    <row r="62" spans="1:5">
      <c r="A62" s="175" t="s">
        <v>349</v>
      </c>
      <c r="B62" t="s">
        <v>350</v>
      </c>
      <c r="C62" t="s">
        <v>350</v>
      </c>
      <c r="D62" t="s">
        <v>613</v>
      </c>
    </row>
    <row r="64" spans="1:5">
      <c r="A64" s="173" t="s">
        <v>329</v>
      </c>
    </row>
    <row r="65" spans="1:4">
      <c r="A65" t="s">
        <v>330</v>
      </c>
      <c r="B65" t="str">
        <f>A65</f>
        <v>miles per gallon</v>
      </c>
      <c r="C65" t="s">
        <v>603</v>
      </c>
      <c r="D65" t="s">
        <v>603</v>
      </c>
    </row>
    <row r="67" spans="1:4">
      <c r="A67" s="173" t="s">
        <v>358</v>
      </c>
    </row>
    <row r="68" spans="1:4">
      <c r="A68" t="s">
        <v>352</v>
      </c>
      <c r="C68" t="s">
        <v>608</v>
      </c>
      <c r="D68" t="s">
        <v>421</v>
      </c>
    </row>
    <row r="71" spans="1:4">
      <c r="A71" s="172" t="s">
        <v>312</v>
      </c>
      <c r="B71" s="176"/>
    </row>
    <row r="72" spans="1:4">
      <c r="A72">
        <v>42</v>
      </c>
      <c r="B72" t="s">
        <v>310</v>
      </c>
    </row>
    <row r="73" spans="1:4">
      <c r="A73">
        <f>3.41242*10^6</f>
        <v>3412420</v>
      </c>
      <c r="B73" t="s">
        <v>334</v>
      </c>
    </row>
    <row r="74" spans="1:4">
      <c r="A74">
        <v>3600</v>
      </c>
      <c r="B74" t="s">
        <v>891</v>
      </c>
    </row>
    <row r="75" spans="1:4">
      <c r="A75">
        <v>1055.05585</v>
      </c>
      <c r="B75" t="s">
        <v>920</v>
      </c>
    </row>
    <row r="76" spans="1:4">
      <c r="A76">
        <v>0.71740000000000004</v>
      </c>
      <c r="B76" t="s">
        <v>890</v>
      </c>
    </row>
    <row r="77" spans="1:4">
      <c r="A77">
        <v>1.6093440000000001</v>
      </c>
      <c r="B77" t="s">
        <v>919</v>
      </c>
    </row>
    <row r="78" spans="1:4">
      <c r="A78">
        <v>3.7854117999999999</v>
      </c>
      <c r="B78" t="s">
        <v>918</v>
      </c>
    </row>
    <row r="79" spans="1:4">
      <c r="A79">
        <v>29307.599999999999</v>
      </c>
      <c r="B79" t="s">
        <v>917</v>
      </c>
    </row>
    <row r="81" spans="1:3">
      <c r="A81" s="290" t="s">
        <v>910</v>
      </c>
    </row>
    <row r="82" spans="1:3">
      <c r="A82" t="s">
        <v>913</v>
      </c>
      <c r="B82">
        <v>0.88</v>
      </c>
      <c r="C82" t="s">
        <v>911</v>
      </c>
    </row>
    <row r="83" spans="1:3">
      <c r="A83" t="s">
        <v>912</v>
      </c>
      <c r="B83">
        <v>35.1</v>
      </c>
      <c r="C83" t="s">
        <v>914</v>
      </c>
    </row>
    <row r="84" spans="1:3">
      <c r="A84" t="s">
        <v>916</v>
      </c>
      <c r="B84" s="289">
        <f>B83/B82*10^6/A75*10^3</f>
        <v>37804978.41546838</v>
      </c>
      <c r="C84" t="s">
        <v>915</v>
      </c>
    </row>
    <row r="86" spans="1:3">
      <c r="A86" t="s">
        <v>941</v>
      </c>
      <c r="B86">
        <v>0.76</v>
      </c>
      <c r="C86" t="s">
        <v>911</v>
      </c>
    </row>
    <row r="87" spans="1:3">
      <c r="A87" t="s">
        <v>942</v>
      </c>
      <c r="B87">
        <v>0.83</v>
      </c>
      <c r="C87" t="s">
        <v>911</v>
      </c>
    </row>
    <row r="88" spans="1:3">
      <c r="A88" t="s">
        <v>943</v>
      </c>
      <c r="B88">
        <v>0.78</v>
      </c>
      <c r="C88" t="s">
        <v>911</v>
      </c>
    </row>
  </sheetData>
  <phoneticPr fontId="38" type="noConversion"/>
  <hyperlinks>
    <hyperlink ref="B10" r:id="rId1" xr:uid="{2018A447-E7C4-4A72-A848-6BB7C514A46B}"/>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C45DC-C2BB-4FC4-BC94-77CFA25F530B}">
  <dimension ref="A1:T46"/>
  <sheetViews>
    <sheetView workbookViewId="0"/>
  </sheetViews>
  <sheetFormatPr defaultRowHeight="12.75"/>
  <cols>
    <col min="1" max="1" width="31.25" style="219" bestFit="1" customWidth="1"/>
    <col min="2" max="2" width="25.75" style="219" bestFit="1" customWidth="1"/>
    <col min="3" max="3" width="4.75" style="219" bestFit="1" customWidth="1"/>
    <col min="4" max="9" width="8.125" style="219" customWidth="1"/>
    <col min="10" max="16384" width="9" style="219"/>
  </cols>
  <sheetData>
    <row r="1" spans="1:20">
      <c r="A1" s="232" t="s">
        <v>671</v>
      </c>
    </row>
    <row r="2" spans="1:20">
      <c r="A2" s="231" t="s">
        <v>670</v>
      </c>
    </row>
    <row r="3" spans="1:20">
      <c r="A3" s="231" t="s">
        <v>669</v>
      </c>
    </row>
    <row r="4" spans="1:20">
      <c r="D4" s="233" t="s">
        <v>673</v>
      </c>
      <c r="E4" s="233" t="s">
        <v>672</v>
      </c>
      <c r="F4" s="233">
        <v>29307.599999999999</v>
      </c>
      <c r="G4" s="233" t="s">
        <v>668</v>
      </c>
    </row>
    <row r="14" spans="1:20">
      <c r="A14" s="230" t="s">
        <v>667</v>
      </c>
    </row>
    <row r="15" spans="1:20">
      <c r="A15" s="219" t="s">
        <v>666</v>
      </c>
    </row>
    <row r="16" spans="1:20" ht="13.5">
      <c r="A16" s="229" t="s">
        <v>665</v>
      </c>
      <c r="B16" s="222" t="s">
        <v>664</v>
      </c>
      <c r="C16" s="228" t="s">
        <v>663</v>
      </c>
      <c r="D16" s="301" t="s">
        <v>662</v>
      </c>
      <c r="E16" s="302"/>
      <c r="F16" s="301" t="s">
        <v>661</v>
      </c>
      <c r="G16" s="302"/>
      <c r="H16" s="303" t="s">
        <v>660</v>
      </c>
      <c r="I16" s="304"/>
      <c r="K16" s="227"/>
      <c r="L16" s="227"/>
      <c r="M16" s="227"/>
      <c r="N16" s="227"/>
      <c r="O16" s="227"/>
      <c r="P16" s="227"/>
      <c r="Q16" s="227"/>
      <c r="R16" s="227"/>
      <c r="S16" s="227"/>
      <c r="T16" s="227"/>
    </row>
    <row r="17" spans="1:9">
      <c r="A17" s="225" t="s">
        <v>457</v>
      </c>
      <c r="B17" s="225" t="s">
        <v>659</v>
      </c>
      <c r="C17" s="222" t="s">
        <v>622</v>
      </c>
      <c r="D17" s="222">
        <v>20934</v>
      </c>
      <c r="E17" s="222"/>
      <c r="F17" s="222">
        <v>5000</v>
      </c>
      <c r="G17" s="222"/>
      <c r="H17" s="221">
        <v>0.71430000000000005</v>
      </c>
      <c r="I17" s="221"/>
    </row>
    <row r="18" spans="1:9">
      <c r="A18" s="225" t="s">
        <v>452</v>
      </c>
      <c r="B18" s="225" t="s">
        <v>658</v>
      </c>
      <c r="C18" s="222" t="s">
        <v>622</v>
      </c>
      <c r="D18" s="222">
        <v>26377</v>
      </c>
      <c r="E18" s="222"/>
      <c r="F18" s="222">
        <v>6300</v>
      </c>
      <c r="G18" s="222"/>
      <c r="H18" s="221">
        <v>0.9</v>
      </c>
      <c r="I18" s="221"/>
    </row>
    <row r="19" spans="1:9">
      <c r="A19" s="225" t="s">
        <v>657</v>
      </c>
      <c r="B19" s="225" t="s">
        <v>857</v>
      </c>
      <c r="C19" s="222" t="s">
        <v>622</v>
      </c>
      <c r="D19" s="222">
        <v>8374</v>
      </c>
      <c r="E19" s="222"/>
      <c r="F19" s="222">
        <v>2000</v>
      </c>
      <c r="G19" s="222"/>
      <c r="H19" s="221">
        <v>0.28570000000000001</v>
      </c>
      <c r="I19" s="221"/>
    </row>
    <row r="20" spans="1:9">
      <c r="A20" s="225" t="s">
        <v>656</v>
      </c>
      <c r="B20" s="225" t="s">
        <v>655</v>
      </c>
      <c r="C20" s="222" t="s">
        <v>622</v>
      </c>
      <c r="D20" s="222">
        <v>8374</v>
      </c>
      <c r="E20" s="222">
        <v>12560</v>
      </c>
      <c r="F20" s="222">
        <v>2000</v>
      </c>
      <c r="G20" s="222">
        <v>3000</v>
      </c>
      <c r="H20" s="221">
        <v>0.28570000000000001</v>
      </c>
      <c r="I20" s="221">
        <v>0.42859999999999998</v>
      </c>
    </row>
    <row r="21" spans="1:9">
      <c r="A21" s="225" t="s">
        <v>654</v>
      </c>
      <c r="B21" s="225" t="s">
        <v>653</v>
      </c>
      <c r="C21" s="222" t="s">
        <v>622</v>
      </c>
      <c r="D21" s="222">
        <v>8374</v>
      </c>
      <c r="E21" s="222"/>
      <c r="F21" s="222">
        <v>2000</v>
      </c>
      <c r="G21" s="222"/>
      <c r="H21" s="221">
        <v>0.28570000000000001</v>
      </c>
      <c r="I21" s="221"/>
    </row>
    <row r="22" spans="1:9">
      <c r="A22" s="225" t="s">
        <v>652</v>
      </c>
      <c r="B22" s="225" t="s">
        <v>651</v>
      </c>
      <c r="C22" s="222" t="s">
        <v>622</v>
      </c>
      <c r="D22" s="222">
        <v>28470</v>
      </c>
      <c r="E22" s="222"/>
      <c r="F22" s="222">
        <v>6800</v>
      </c>
      <c r="G22" s="222"/>
      <c r="H22" s="221">
        <v>0.97140000000000004</v>
      </c>
      <c r="I22" s="221"/>
    </row>
    <row r="23" spans="1:9">
      <c r="A23" s="225" t="s">
        <v>650</v>
      </c>
      <c r="B23" s="225" t="s">
        <v>649</v>
      </c>
      <c r="C23" s="222" t="s">
        <v>622</v>
      </c>
      <c r="D23" s="222">
        <v>33494</v>
      </c>
      <c r="E23" s="222"/>
      <c r="F23" s="222">
        <v>8000</v>
      </c>
      <c r="G23" s="222"/>
      <c r="H23" s="221">
        <v>1.1429</v>
      </c>
      <c r="I23" s="221"/>
    </row>
    <row r="24" spans="1:9">
      <c r="A24" s="225" t="s">
        <v>458</v>
      </c>
      <c r="B24" s="225" t="s">
        <v>648</v>
      </c>
      <c r="C24" s="222" t="s">
        <v>622</v>
      </c>
      <c r="D24" s="222">
        <v>41868</v>
      </c>
      <c r="E24" s="222"/>
      <c r="F24" s="222">
        <v>10000</v>
      </c>
      <c r="G24" s="222"/>
      <c r="H24" s="221">
        <v>1.4286000000000001</v>
      </c>
      <c r="I24" s="221"/>
    </row>
    <row r="25" spans="1:9">
      <c r="A25" s="225" t="s">
        <v>442</v>
      </c>
      <c r="B25" s="225" t="s">
        <v>647</v>
      </c>
      <c r="C25" s="222" t="s">
        <v>622</v>
      </c>
      <c r="D25" s="222">
        <v>41868</v>
      </c>
      <c r="E25" s="222"/>
      <c r="F25" s="222">
        <v>10000</v>
      </c>
      <c r="G25" s="222"/>
      <c r="H25" s="221">
        <v>1.4286000000000001</v>
      </c>
      <c r="I25" s="221"/>
    </row>
    <row r="26" spans="1:9">
      <c r="A26" s="225" t="s">
        <v>441</v>
      </c>
      <c r="B26" s="225" t="s">
        <v>646</v>
      </c>
      <c r="C26" s="222" t="s">
        <v>622</v>
      </c>
      <c r="D26" s="222">
        <v>43124</v>
      </c>
      <c r="E26" s="222"/>
      <c r="F26" s="222">
        <v>10300</v>
      </c>
      <c r="G26" s="222"/>
      <c r="H26" s="221">
        <v>1.4714</v>
      </c>
      <c r="I26" s="221"/>
    </row>
    <row r="27" spans="1:9">
      <c r="A27" s="225" t="s">
        <v>434</v>
      </c>
      <c r="B27" s="225" t="s">
        <v>645</v>
      </c>
      <c r="C27" s="222" t="s">
        <v>622</v>
      </c>
      <c r="D27" s="222">
        <v>43124</v>
      </c>
      <c r="E27" s="222"/>
      <c r="F27" s="222">
        <v>10300</v>
      </c>
      <c r="G27" s="222"/>
      <c r="H27" s="221">
        <v>1.4714</v>
      </c>
      <c r="I27" s="221"/>
    </row>
    <row r="28" spans="1:9">
      <c r="A28" s="225" t="s">
        <v>423</v>
      </c>
      <c r="B28" s="225" t="s">
        <v>644</v>
      </c>
      <c r="C28" s="222" t="s">
        <v>622</v>
      </c>
      <c r="D28" s="222">
        <v>42705</v>
      </c>
      <c r="E28" s="222"/>
      <c r="F28" s="222">
        <v>10200</v>
      </c>
      <c r="G28" s="222"/>
      <c r="H28" s="221">
        <v>1.4571000000000001</v>
      </c>
      <c r="I28" s="221"/>
    </row>
    <row r="29" spans="1:9">
      <c r="A29" s="225" t="s">
        <v>451</v>
      </c>
      <c r="B29" s="225" t="s">
        <v>643</v>
      </c>
      <c r="C29" s="222" t="s">
        <v>617</v>
      </c>
      <c r="D29" s="222">
        <v>32238</v>
      </c>
      <c r="E29" s="222">
        <v>38979</v>
      </c>
      <c r="F29" s="222">
        <v>7700</v>
      </c>
      <c r="G29" s="222">
        <v>9310</v>
      </c>
      <c r="H29" s="221">
        <v>1.1000000000000001</v>
      </c>
      <c r="I29" s="221">
        <v>1.33</v>
      </c>
    </row>
    <row r="30" spans="1:9">
      <c r="A30" s="225" t="s">
        <v>455</v>
      </c>
      <c r="B30" s="225" t="s">
        <v>642</v>
      </c>
      <c r="C30" s="222" t="s">
        <v>622</v>
      </c>
      <c r="D30" s="222">
        <v>51498</v>
      </c>
      <c r="E30" s="222"/>
      <c r="F30" s="222">
        <v>12300</v>
      </c>
      <c r="G30" s="222"/>
      <c r="H30" s="221">
        <v>1.7572000000000001</v>
      </c>
      <c r="I30" s="221"/>
    </row>
    <row r="31" spans="1:9">
      <c r="A31" s="226" t="s">
        <v>454</v>
      </c>
      <c r="B31" s="226" t="s">
        <v>641</v>
      </c>
      <c r="C31" s="222" t="s">
        <v>622</v>
      </c>
      <c r="D31" s="222">
        <v>50242</v>
      </c>
      <c r="E31" s="222"/>
      <c r="F31" s="222">
        <v>12000</v>
      </c>
      <c r="G31" s="222"/>
      <c r="H31" s="221">
        <v>1.7142999999999999</v>
      </c>
      <c r="I31" s="221"/>
    </row>
    <row r="32" spans="1:9">
      <c r="A32" s="225" t="s">
        <v>431</v>
      </c>
      <c r="B32" s="225" t="s">
        <v>640</v>
      </c>
      <c r="C32" s="222" t="s">
        <v>622</v>
      </c>
      <c r="D32" s="222">
        <v>46055</v>
      </c>
      <c r="E32" s="222"/>
      <c r="F32" s="222">
        <v>11000</v>
      </c>
      <c r="G32" s="222"/>
      <c r="H32" s="221">
        <v>1.5713999999999999</v>
      </c>
      <c r="I32" s="221"/>
    </row>
    <row r="33" spans="1:9">
      <c r="A33" s="225" t="s">
        <v>429</v>
      </c>
      <c r="B33" s="225" t="s">
        <v>639</v>
      </c>
      <c r="C33" s="222" t="s">
        <v>617</v>
      </c>
      <c r="D33" s="222">
        <v>16747</v>
      </c>
      <c r="E33" s="222">
        <v>18003</v>
      </c>
      <c r="F33" s="222">
        <v>4000</v>
      </c>
      <c r="G33" s="222">
        <v>4300</v>
      </c>
      <c r="H33" s="221">
        <v>0.57140000000000002</v>
      </c>
      <c r="I33" s="221">
        <v>0.61429999999999996</v>
      </c>
    </row>
    <row r="34" spans="1:9">
      <c r="A34" s="225" t="s">
        <v>427</v>
      </c>
      <c r="B34" s="225" t="s">
        <v>638</v>
      </c>
      <c r="C34" s="222" t="s">
        <v>617</v>
      </c>
      <c r="D34" s="222">
        <v>3768</v>
      </c>
      <c r="E34" s="222"/>
      <c r="F34" s="222">
        <v>900</v>
      </c>
      <c r="G34" s="222"/>
      <c r="H34" s="221">
        <v>0.12859999999999999</v>
      </c>
      <c r="I34" s="221"/>
    </row>
    <row r="35" spans="1:9">
      <c r="A35" s="225" t="s">
        <v>637</v>
      </c>
      <c r="B35" s="225" t="s">
        <v>856</v>
      </c>
      <c r="C35" s="222" t="s">
        <v>617</v>
      </c>
      <c r="D35" s="222">
        <v>5234</v>
      </c>
      <c r="E35" s="222"/>
      <c r="F35" s="222">
        <v>1250</v>
      </c>
      <c r="G35" s="222"/>
      <c r="H35" s="221">
        <v>0.17860000000000001</v>
      </c>
      <c r="I35" s="221"/>
    </row>
    <row r="36" spans="1:9">
      <c r="A36" s="225" t="s">
        <v>636</v>
      </c>
      <c r="B36" s="225" t="s">
        <v>635</v>
      </c>
      <c r="C36" s="222" t="s">
        <v>617</v>
      </c>
      <c r="D36" s="222">
        <v>19259</v>
      </c>
      <c r="E36" s="222"/>
      <c r="F36" s="222">
        <v>4600</v>
      </c>
      <c r="G36" s="222"/>
      <c r="H36" s="221">
        <v>0.65710000000000002</v>
      </c>
      <c r="I36" s="221"/>
    </row>
    <row r="37" spans="1:9">
      <c r="A37" s="225" t="s">
        <v>634</v>
      </c>
      <c r="B37" s="225" t="s">
        <v>633</v>
      </c>
      <c r="C37" s="222" t="s">
        <v>279</v>
      </c>
      <c r="D37" s="222">
        <v>35588</v>
      </c>
      <c r="E37" s="222"/>
      <c r="F37" s="222">
        <v>8500</v>
      </c>
      <c r="G37" s="222"/>
      <c r="H37" s="221">
        <v>1.2142999999999999</v>
      </c>
      <c r="I37" s="221"/>
    </row>
    <row r="38" spans="1:9">
      <c r="A38" s="225" t="s">
        <v>632</v>
      </c>
      <c r="B38" s="225" t="s">
        <v>855</v>
      </c>
      <c r="C38" s="222" t="s">
        <v>279</v>
      </c>
      <c r="D38" s="222">
        <v>16329</v>
      </c>
      <c r="E38" s="222"/>
      <c r="F38" s="222">
        <v>3900</v>
      </c>
      <c r="G38" s="222"/>
      <c r="H38" s="221">
        <v>0.55710000000000004</v>
      </c>
      <c r="I38" s="221"/>
    </row>
    <row r="39" spans="1:9">
      <c r="A39" s="225" t="s">
        <v>631</v>
      </c>
      <c r="B39" s="225" t="s">
        <v>854</v>
      </c>
      <c r="C39" s="222" t="s">
        <v>279</v>
      </c>
      <c r="D39" s="222">
        <v>15072</v>
      </c>
      <c r="E39" s="222"/>
      <c r="F39" s="222">
        <v>3600</v>
      </c>
      <c r="G39" s="222"/>
      <c r="H39" s="221">
        <v>0.51429999999999998</v>
      </c>
      <c r="I39" s="221"/>
    </row>
    <row r="40" spans="1:9">
      <c r="A40" s="226" t="s">
        <v>630</v>
      </c>
      <c r="B40" s="226" t="s">
        <v>629</v>
      </c>
      <c r="C40" s="222" t="s">
        <v>279</v>
      </c>
      <c r="D40" s="222">
        <v>10467</v>
      </c>
      <c r="E40" s="222"/>
      <c r="F40" s="222">
        <v>2500</v>
      </c>
      <c r="G40" s="222"/>
      <c r="H40" s="221">
        <v>0.35709999999999997</v>
      </c>
      <c r="I40" s="221"/>
    </row>
    <row r="41" spans="1:9">
      <c r="A41" s="225" t="s">
        <v>628</v>
      </c>
      <c r="B41" s="225" t="s">
        <v>627</v>
      </c>
      <c r="C41" s="222" t="s">
        <v>622</v>
      </c>
      <c r="D41" s="222">
        <v>41868</v>
      </c>
      <c r="E41" s="222"/>
      <c r="F41" s="222">
        <v>10000</v>
      </c>
      <c r="G41" s="222"/>
      <c r="H41" s="221">
        <v>1.4286000000000001</v>
      </c>
      <c r="I41" s="221"/>
    </row>
    <row r="42" spans="1:9">
      <c r="A42" s="225" t="s">
        <v>626</v>
      </c>
      <c r="B42" s="224" t="s">
        <v>625</v>
      </c>
      <c r="C42" s="222" t="s">
        <v>622</v>
      </c>
      <c r="D42" s="222">
        <v>19913</v>
      </c>
      <c r="E42" s="222"/>
      <c r="F42" s="222">
        <v>4756</v>
      </c>
      <c r="G42" s="222"/>
      <c r="H42" s="221">
        <v>0.6794</v>
      </c>
      <c r="I42" s="221"/>
    </row>
    <row r="43" spans="1:9" ht="16.5">
      <c r="A43" s="224" t="s">
        <v>624</v>
      </c>
      <c r="B43" s="224" t="s">
        <v>623</v>
      </c>
      <c r="C43" s="222" t="s">
        <v>622</v>
      </c>
      <c r="D43" s="222">
        <v>26800</v>
      </c>
      <c r="E43" s="222"/>
      <c r="F43" s="222">
        <v>6401</v>
      </c>
      <c r="G43" s="222"/>
      <c r="H43" s="221">
        <v>0.91439999999999999</v>
      </c>
      <c r="I43" s="221"/>
    </row>
    <row r="44" spans="1:9">
      <c r="A44" s="224" t="s">
        <v>621</v>
      </c>
      <c r="B44" s="224" t="s">
        <v>620</v>
      </c>
      <c r="C44" s="222" t="s">
        <v>617</v>
      </c>
      <c r="D44" s="222">
        <v>9756</v>
      </c>
      <c r="E44" s="222"/>
      <c r="F44" s="222">
        <v>2330</v>
      </c>
      <c r="G44" s="222"/>
      <c r="H44" s="221">
        <v>0.33289999999999997</v>
      </c>
      <c r="I44" s="221"/>
    </row>
    <row r="45" spans="1:9">
      <c r="A45" s="223" t="s">
        <v>619</v>
      </c>
      <c r="B45" s="223" t="s">
        <v>618</v>
      </c>
      <c r="C45" s="222" t="s">
        <v>617</v>
      </c>
      <c r="D45" s="222">
        <v>20934</v>
      </c>
      <c r="E45" s="222">
        <v>24238</v>
      </c>
      <c r="F45" s="222">
        <v>5000</v>
      </c>
      <c r="G45" s="222">
        <v>8000</v>
      </c>
      <c r="H45" s="221">
        <v>0.71430000000000005</v>
      </c>
      <c r="I45" s="221">
        <v>0.8286</v>
      </c>
    </row>
    <row r="46" spans="1:9">
      <c r="H46" s="220" t="s">
        <v>2</v>
      </c>
      <c r="I46" s="220"/>
    </row>
  </sheetData>
  <mergeCells count="3">
    <mergeCell ref="D16:E16"/>
    <mergeCell ref="F16:G16"/>
    <mergeCell ref="H16:I16"/>
  </mergeCells>
  <phoneticPr fontId="38"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12CC4-15E1-4EF2-9A8A-B1AE10D0F580}">
  <dimension ref="A2:F48"/>
  <sheetViews>
    <sheetView workbookViewId="0">
      <selection activeCell="C31" sqref="C31"/>
    </sheetView>
  </sheetViews>
  <sheetFormatPr defaultRowHeight="13.5"/>
  <cols>
    <col min="1" max="1" width="16" style="186" customWidth="1"/>
    <col min="2" max="2" width="43" style="186" customWidth="1"/>
    <col min="3" max="3" width="30" style="186" customWidth="1"/>
    <col min="4" max="4" width="40" style="186" customWidth="1"/>
    <col min="5" max="5" width="57" style="186" customWidth="1"/>
    <col min="6" max="6" width="32" style="186" customWidth="1"/>
    <col min="7" max="256" width="9" style="186"/>
    <col min="257" max="257" width="16" style="186" customWidth="1"/>
    <col min="258" max="258" width="43" style="186" customWidth="1"/>
    <col min="259" max="259" width="30" style="186" customWidth="1"/>
    <col min="260" max="260" width="40" style="186" customWidth="1"/>
    <col min="261" max="261" width="57" style="186" customWidth="1"/>
    <col min="262" max="262" width="32" style="186" customWidth="1"/>
    <col min="263" max="512" width="9" style="186"/>
    <col min="513" max="513" width="16" style="186" customWidth="1"/>
    <col min="514" max="514" width="43" style="186" customWidth="1"/>
    <col min="515" max="515" width="30" style="186" customWidth="1"/>
    <col min="516" max="516" width="40" style="186" customWidth="1"/>
    <col min="517" max="517" width="57" style="186" customWidth="1"/>
    <col min="518" max="518" width="32" style="186" customWidth="1"/>
    <col min="519" max="768" width="9" style="186"/>
    <col min="769" max="769" width="16" style="186" customWidth="1"/>
    <col min="770" max="770" width="43" style="186" customWidth="1"/>
    <col min="771" max="771" width="30" style="186" customWidth="1"/>
    <col min="772" max="772" width="40" style="186" customWidth="1"/>
    <col min="773" max="773" width="57" style="186" customWidth="1"/>
    <col min="774" max="774" width="32" style="186" customWidth="1"/>
    <col min="775" max="1024" width="9" style="186"/>
    <col min="1025" max="1025" width="16" style="186" customWidth="1"/>
    <col min="1026" max="1026" width="43" style="186" customWidth="1"/>
    <col min="1027" max="1027" width="30" style="186" customWidth="1"/>
    <col min="1028" max="1028" width="40" style="186" customWidth="1"/>
    <col min="1029" max="1029" width="57" style="186" customWidth="1"/>
    <col min="1030" max="1030" width="32" style="186" customWidth="1"/>
    <col min="1031" max="1280" width="9" style="186"/>
    <col min="1281" max="1281" width="16" style="186" customWidth="1"/>
    <col min="1282" max="1282" width="43" style="186" customWidth="1"/>
    <col min="1283" max="1283" width="30" style="186" customWidth="1"/>
    <col min="1284" max="1284" width="40" style="186" customWidth="1"/>
    <col min="1285" max="1285" width="57" style="186" customWidth="1"/>
    <col min="1286" max="1286" width="32" style="186" customWidth="1"/>
    <col min="1287" max="1536" width="9" style="186"/>
    <col min="1537" max="1537" width="16" style="186" customWidth="1"/>
    <col min="1538" max="1538" width="43" style="186" customWidth="1"/>
    <col min="1539" max="1539" width="30" style="186" customWidth="1"/>
    <col min="1540" max="1540" width="40" style="186" customWidth="1"/>
    <col min="1541" max="1541" width="57" style="186" customWidth="1"/>
    <col min="1542" max="1542" width="32" style="186" customWidth="1"/>
    <col min="1543" max="1792" width="9" style="186"/>
    <col min="1793" max="1793" width="16" style="186" customWidth="1"/>
    <col min="1794" max="1794" width="43" style="186" customWidth="1"/>
    <col min="1795" max="1795" width="30" style="186" customWidth="1"/>
    <col min="1796" max="1796" width="40" style="186" customWidth="1"/>
    <col min="1797" max="1797" width="57" style="186" customWidth="1"/>
    <col min="1798" max="1798" width="32" style="186" customWidth="1"/>
    <col min="1799" max="2048" width="9" style="186"/>
    <col min="2049" max="2049" width="16" style="186" customWidth="1"/>
    <col min="2050" max="2050" width="43" style="186" customWidth="1"/>
    <col min="2051" max="2051" width="30" style="186" customWidth="1"/>
    <col min="2052" max="2052" width="40" style="186" customWidth="1"/>
    <col min="2053" max="2053" width="57" style="186" customWidth="1"/>
    <col min="2054" max="2054" width="32" style="186" customWidth="1"/>
    <col min="2055" max="2304" width="9" style="186"/>
    <col min="2305" max="2305" width="16" style="186" customWidth="1"/>
    <col min="2306" max="2306" width="43" style="186" customWidth="1"/>
    <col min="2307" max="2307" width="30" style="186" customWidth="1"/>
    <col min="2308" max="2308" width="40" style="186" customWidth="1"/>
    <col min="2309" max="2309" width="57" style="186" customWidth="1"/>
    <col min="2310" max="2310" width="32" style="186" customWidth="1"/>
    <col min="2311" max="2560" width="9" style="186"/>
    <col min="2561" max="2561" width="16" style="186" customWidth="1"/>
    <col min="2562" max="2562" width="43" style="186" customWidth="1"/>
    <col min="2563" max="2563" width="30" style="186" customWidth="1"/>
    <col min="2564" max="2564" width="40" style="186" customWidth="1"/>
    <col min="2565" max="2565" width="57" style="186" customWidth="1"/>
    <col min="2566" max="2566" width="32" style="186" customWidth="1"/>
    <col min="2567" max="2816" width="9" style="186"/>
    <col min="2817" max="2817" width="16" style="186" customWidth="1"/>
    <col min="2818" max="2818" width="43" style="186" customWidth="1"/>
    <col min="2819" max="2819" width="30" style="186" customWidth="1"/>
    <col min="2820" max="2820" width="40" style="186" customWidth="1"/>
    <col min="2821" max="2821" width="57" style="186" customWidth="1"/>
    <col min="2822" max="2822" width="32" style="186" customWidth="1"/>
    <col min="2823" max="3072" width="9" style="186"/>
    <col min="3073" max="3073" width="16" style="186" customWidth="1"/>
    <col min="3074" max="3074" width="43" style="186" customWidth="1"/>
    <col min="3075" max="3075" width="30" style="186" customWidth="1"/>
    <col min="3076" max="3076" width="40" style="186" customWidth="1"/>
    <col min="3077" max="3077" width="57" style="186" customWidth="1"/>
    <col min="3078" max="3078" width="32" style="186" customWidth="1"/>
    <col min="3079" max="3328" width="9" style="186"/>
    <col min="3329" max="3329" width="16" style="186" customWidth="1"/>
    <col min="3330" max="3330" width="43" style="186" customWidth="1"/>
    <col min="3331" max="3331" width="30" style="186" customWidth="1"/>
    <col min="3332" max="3332" width="40" style="186" customWidth="1"/>
    <col min="3333" max="3333" width="57" style="186" customWidth="1"/>
    <col min="3334" max="3334" width="32" style="186" customWidth="1"/>
    <col min="3335" max="3584" width="9" style="186"/>
    <col min="3585" max="3585" width="16" style="186" customWidth="1"/>
    <col min="3586" max="3586" width="43" style="186" customWidth="1"/>
    <col min="3587" max="3587" width="30" style="186" customWidth="1"/>
    <col min="3588" max="3588" width="40" style="186" customWidth="1"/>
    <col min="3589" max="3589" width="57" style="186" customWidth="1"/>
    <col min="3590" max="3590" width="32" style="186" customWidth="1"/>
    <col min="3591" max="3840" width="9" style="186"/>
    <col min="3841" max="3841" width="16" style="186" customWidth="1"/>
    <col min="3842" max="3842" width="43" style="186" customWidth="1"/>
    <col min="3843" max="3843" width="30" style="186" customWidth="1"/>
    <col min="3844" max="3844" width="40" style="186" customWidth="1"/>
    <col min="3845" max="3845" width="57" style="186" customWidth="1"/>
    <col min="3846" max="3846" width="32" style="186" customWidth="1"/>
    <col min="3847" max="4096" width="9" style="186"/>
    <col min="4097" max="4097" width="16" style="186" customWidth="1"/>
    <col min="4098" max="4098" width="43" style="186" customWidth="1"/>
    <col min="4099" max="4099" width="30" style="186" customWidth="1"/>
    <col min="4100" max="4100" width="40" style="186" customWidth="1"/>
    <col min="4101" max="4101" width="57" style="186" customWidth="1"/>
    <col min="4102" max="4102" width="32" style="186" customWidth="1"/>
    <col min="4103" max="4352" width="9" style="186"/>
    <col min="4353" max="4353" width="16" style="186" customWidth="1"/>
    <col min="4354" max="4354" width="43" style="186" customWidth="1"/>
    <col min="4355" max="4355" width="30" style="186" customWidth="1"/>
    <col min="4356" max="4356" width="40" style="186" customWidth="1"/>
    <col min="4357" max="4357" width="57" style="186" customWidth="1"/>
    <col min="4358" max="4358" width="32" style="186" customWidth="1"/>
    <col min="4359" max="4608" width="9" style="186"/>
    <col min="4609" max="4609" width="16" style="186" customWidth="1"/>
    <col min="4610" max="4610" width="43" style="186" customWidth="1"/>
    <col min="4611" max="4611" width="30" style="186" customWidth="1"/>
    <col min="4612" max="4612" width="40" style="186" customWidth="1"/>
    <col min="4613" max="4613" width="57" style="186" customWidth="1"/>
    <col min="4614" max="4614" width="32" style="186" customWidth="1"/>
    <col min="4615" max="4864" width="9" style="186"/>
    <col min="4865" max="4865" width="16" style="186" customWidth="1"/>
    <col min="4866" max="4866" width="43" style="186" customWidth="1"/>
    <col min="4867" max="4867" width="30" style="186" customWidth="1"/>
    <col min="4868" max="4868" width="40" style="186" customWidth="1"/>
    <col min="4869" max="4869" width="57" style="186" customWidth="1"/>
    <col min="4870" max="4870" width="32" style="186" customWidth="1"/>
    <col min="4871" max="5120" width="9" style="186"/>
    <col min="5121" max="5121" width="16" style="186" customWidth="1"/>
    <col min="5122" max="5122" width="43" style="186" customWidth="1"/>
    <col min="5123" max="5123" width="30" style="186" customWidth="1"/>
    <col min="5124" max="5124" width="40" style="186" customWidth="1"/>
    <col min="5125" max="5125" width="57" style="186" customWidth="1"/>
    <col min="5126" max="5126" width="32" style="186" customWidth="1"/>
    <col min="5127" max="5376" width="9" style="186"/>
    <col min="5377" max="5377" width="16" style="186" customWidth="1"/>
    <col min="5378" max="5378" width="43" style="186" customWidth="1"/>
    <col min="5379" max="5379" width="30" style="186" customWidth="1"/>
    <col min="5380" max="5380" width="40" style="186" customWidth="1"/>
    <col min="5381" max="5381" width="57" style="186" customWidth="1"/>
    <col min="5382" max="5382" width="32" style="186" customWidth="1"/>
    <col min="5383" max="5632" width="9" style="186"/>
    <col min="5633" max="5633" width="16" style="186" customWidth="1"/>
    <col min="5634" max="5634" width="43" style="186" customWidth="1"/>
    <col min="5635" max="5635" width="30" style="186" customWidth="1"/>
    <col min="5636" max="5636" width="40" style="186" customWidth="1"/>
    <col min="5637" max="5637" width="57" style="186" customWidth="1"/>
    <col min="5638" max="5638" width="32" style="186" customWidth="1"/>
    <col min="5639" max="5888" width="9" style="186"/>
    <col min="5889" max="5889" width="16" style="186" customWidth="1"/>
    <col min="5890" max="5890" width="43" style="186" customWidth="1"/>
    <col min="5891" max="5891" width="30" style="186" customWidth="1"/>
    <col min="5892" max="5892" width="40" style="186" customWidth="1"/>
    <col min="5893" max="5893" width="57" style="186" customWidth="1"/>
    <col min="5894" max="5894" width="32" style="186" customWidth="1"/>
    <col min="5895" max="6144" width="9" style="186"/>
    <col min="6145" max="6145" width="16" style="186" customWidth="1"/>
    <col min="6146" max="6146" width="43" style="186" customWidth="1"/>
    <col min="6147" max="6147" width="30" style="186" customWidth="1"/>
    <col min="6148" max="6148" width="40" style="186" customWidth="1"/>
    <col min="6149" max="6149" width="57" style="186" customWidth="1"/>
    <col min="6150" max="6150" width="32" style="186" customWidth="1"/>
    <col min="6151" max="6400" width="9" style="186"/>
    <col min="6401" max="6401" width="16" style="186" customWidth="1"/>
    <col min="6402" max="6402" width="43" style="186" customWidth="1"/>
    <col min="6403" max="6403" width="30" style="186" customWidth="1"/>
    <col min="6404" max="6404" width="40" style="186" customWidth="1"/>
    <col min="6405" max="6405" width="57" style="186" customWidth="1"/>
    <col min="6406" max="6406" width="32" style="186" customWidth="1"/>
    <col min="6407" max="6656" width="9" style="186"/>
    <col min="6657" max="6657" width="16" style="186" customWidth="1"/>
    <col min="6658" max="6658" width="43" style="186" customWidth="1"/>
    <col min="6659" max="6659" width="30" style="186" customWidth="1"/>
    <col min="6660" max="6660" width="40" style="186" customWidth="1"/>
    <col min="6661" max="6661" width="57" style="186" customWidth="1"/>
    <col min="6662" max="6662" width="32" style="186" customWidth="1"/>
    <col min="6663" max="6912" width="9" style="186"/>
    <col min="6913" max="6913" width="16" style="186" customWidth="1"/>
    <col min="6914" max="6914" width="43" style="186" customWidth="1"/>
    <col min="6915" max="6915" width="30" style="186" customWidth="1"/>
    <col min="6916" max="6916" width="40" style="186" customWidth="1"/>
    <col min="6917" max="6917" width="57" style="186" customWidth="1"/>
    <col min="6918" max="6918" width="32" style="186" customWidth="1"/>
    <col min="6919" max="7168" width="9" style="186"/>
    <col min="7169" max="7169" width="16" style="186" customWidth="1"/>
    <col min="7170" max="7170" width="43" style="186" customWidth="1"/>
    <col min="7171" max="7171" width="30" style="186" customWidth="1"/>
    <col min="7172" max="7172" width="40" style="186" customWidth="1"/>
    <col min="7173" max="7173" width="57" style="186" customWidth="1"/>
    <col min="7174" max="7174" width="32" style="186" customWidth="1"/>
    <col min="7175" max="7424" width="9" style="186"/>
    <col min="7425" max="7425" width="16" style="186" customWidth="1"/>
    <col min="7426" max="7426" width="43" style="186" customWidth="1"/>
    <col min="7427" max="7427" width="30" style="186" customWidth="1"/>
    <col min="7428" max="7428" width="40" style="186" customWidth="1"/>
    <col min="7429" max="7429" width="57" style="186" customWidth="1"/>
    <col min="7430" max="7430" width="32" style="186" customWidth="1"/>
    <col min="7431" max="7680" width="9" style="186"/>
    <col min="7681" max="7681" width="16" style="186" customWidth="1"/>
    <col min="7682" max="7682" width="43" style="186" customWidth="1"/>
    <col min="7683" max="7683" width="30" style="186" customWidth="1"/>
    <col min="7684" max="7684" width="40" style="186" customWidth="1"/>
    <col min="7685" max="7685" width="57" style="186" customWidth="1"/>
    <col min="7686" max="7686" width="32" style="186" customWidth="1"/>
    <col min="7687" max="7936" width="9" style="186"/>
    <col min="7937" max="7937" width="16" style="186" customWidth="1"/>
    <col min="7938" max="7938" width="43" style="186" customWidth="1"/>
    <col min="7939" max="7939" width="30" style="186" customWidth="1"/>
    <col min="7940" max="7940" width="40" style="186" customWidth="1"/>
    <col min="7941" max="7941" width="57" style="186" customWidth="1"/>
    <col min="7942" max="7942" width="32" style="186" customWidth="1"/>
    <col min="7943" max="8192" width="9" style="186"/>
    <col min="8193" max="8193" width="16" style="186" customWidth="1"/>
    <col min="8194" max="8194" width="43" style="186" customWidth="1"/>
    <col min="8195" max="8195" width="30" style="186" customWidth="1"/>
    <col min="8196" max="8196" width="40" style="186" customWidth="1"/>
    <col min="8197" max="8197" width="57" style="186" customWidth="1"/>
    <col min="8198" max="8198" width="32" style="186" customWidth="1"/>
    <col min="8199" max="8448" width="9" style="186"/>
    <col min="8449" max="8449" width="16" style="186" customWidth="1"/>
    <col min="8450" max="8450" width="43" style="186" customWidth="1"/>
    <col min="8451" max="8451" width="30" style="186" customWidth="1"/>
    <col min="8452" max="8452" width="40" style="186" customWidth="1"/>
    <col min="8453" max="8453" width="57" style="186" customWidth="1"/>
    <col min="8454" max="8454" width="32" style="186" customWidth="1"/>
    <col min="8455" max="8704" width="9" style="186"/>
    <col min="8705" max="8705" width="16" style="186" customWidth="1"/>
    <col min="8706" max="8706" width="43" style="186" customWidth="1"/>
    <col min="8707" max="8707" width="30" style="186" customWidth="1"/>
    <col min="8708" max="8708" width="40" style="186" customWidth="1"/>
    <col min="8709" max="8709" width="57" style="186" customWidth="1"/>
    <col min="8710" max="8710" width="32" style="186" customWidth="1"/>
    <col min="8711" max="8960" width="9" style="186"/>
    <col min="8961" max="8961" width="16" style="186" customWidth="1"/>
    <col min="8962" max="8962" width="43" style="186" customWidth="1"/>
    <col min="8963" max="8963" width="30" style="186" customWidth="1"/>
    <col min="8964" max="8964" width="40" style="186" customWidth="1"/>
    <col min="8965" max="8965" width="57" style="186" customWidth="1"/>
    <col min="8966" max="8966" width="32" style="186" customWidth="1"/>
    <col min="8967" max="9216" width="9" style="186"/>
    <col min="9217" max="9217" width="16" style="186" customWidth="1"/>
    <col min="9218" max="9218" width="43" style="186" customWidth="1"/>
    <col min="9219" max="9219" width="30" style="186" customWidth="1"/>
    <col min="9220" max="9220" width="40" style="186" customWidth="1"/>
    <col min="9221" max="9221" width="57" style="186" customWidth="1"/>
    <col min="9222" max="9222" width="32" style="186" customWidth="1"/>
    <col min="9223" max="9472" width="9" style="186"/>
    <col min="9473" max="9473" width="16" style="186" customWidth="1"/>
    <col min="9474" max="9474" width="43" style="186" customWidth="1"/>
    <col min="9475" max="9475" width="30" style="186" customWidth="1"/>
    <col min="9476" max="9476" width="40" style="186" customWidth="1"/>
    <col min="9477" max="9477" width="57" style="186" customWidth="1"/>
    <col min="9478" max="9478" width="32" style="186" customWidth="1"/>
    <col min="9479" max="9728" width="9" style="186"/>
    <col min="9729" max="9729" width="16" style="186" customWidth="1"/>
    <col min="9730" max="9730" width="43" style="186" customWidth="1"/>
    <col min="9731" max="9731" width="30" style="186" customWidth="1"/>
    <col min="9732" max="9732" width="40" style="186" customWidth="1"/>
    <col min="9733" max="9733" width="57" style="186" customWidth="1"/>
    <col min="9734" max="9734" width="32" style="186" customWidth="1"/>
    <col min="9735" max="9984" width="9" style="186"/>
    <col min="9985" max="9985" width="16" style="186" customWidth="1"/>
    <col min="9986" max="9986" width="43" style="186" customWidth="1"/>
    <col min="9987" max="9987" width="30" style="186" customWidth="1"/>
    <col min="9988" max="9988" width="40" style="186" customWidth="1"/>
    <col min="9989" max="9989" width="57" style="186" customWidth="1"/>
    <col min="9990" max="9990" width="32" style="186" customWidth="1"/>
    <col min="9991" max="10240" width="9" style="186"/>
    <col min="10241" max="10241" width="16" style="186" customWidth="1"/>
    <col min="10242" max="10242" width="43" style="186" customWidth="1"/>
    <col min="10243" max="10243" width="30" style="186" customWidth="1"/>
    <col min="10244" max="10244" width="40" style="186" customWidth="1"/>
    <col min="10245" max="10245" width="57" style="186" customWidth="1"/>
    <col min="10246" max="10246" width="32" style="186" customWidth="1"/>
    <col min="10247" max="10496" width="9" style="186"/>
    <col min="10497" max="10497" width="16" style="186" customWidth="1"/>
    <col min="10498" max="10498" width="43" style="186" customWidth="1"/>
    <col min="10499" max="10499" width="30" style="186" customWidth="1"/>
    <col min="10500" max="10500" width="40" style="186" customWidth="1"/>
    <col min="10501" max="10501" width="57" style="186" customWidth="1"/>
    <col min="10502" max="10502" width="32" style="186" customWidth="1"/>
    <col min="10503" max="10752" width="9" style="186"/>
    <col min="10753" max="10753" width="16" style="186" customWidth="1"/>
    <col min="10754" max="10754" width="43" style="186" customWidth="1"/>
    <col min="10755" max="10755" width="30" style="186" customWidth="1"/>
    <col min="10756" max="10756" width="40" style="186" customWidth="1"/>
    <col min="10757" max="10757" width="57" style="186" customWidth="1"/>
    <col min="10758" max="10758" width="32" style="186" customWidth="1"/>
    <col min="10759" max="11008" width="9" style="186"/>
    <col min="11009" max="11009" width="16" style="186" customWidth="1"/>
    <col min="11010" max="11010" width="43" style="186" customWidth="1"/>
    <col min="11011" max="11011" width="30" style="186" customWidth="1"/>
    <col min="11012" max="11012" width="40" style="186" customWidth="1"/>
    <col min="11013" max="11013" width="57" style="186" customWidth="1"/>
    <col min="11014" max="11014" width="32" style="186" customWidth="1"/>
    <col min="11015" max="11264" width="9" style="186"/>
    <col min="11265" max="11265" width="16" style="186" customWidth="1"/>
    <col min="11266" max="11266" width="43" style="186" customWidth="1"/>
    <col min="11267" max="11267" width="30" style="186" customWidth="1"/>
    <col min="11268" max="11268" width="40" style="186" customWidth="1"/>
    <col min="11269" max="11269" width="57" style="186" customWidth="1"/>
    <col min="11270" max="11270" width="32" style="186" customWidth="1"/>
    <col min="11271" max="11520" width="9" style="186"/>
    <col min="11521" max="11521" width="16" style="186" customWidth="1"/>
    <col min="11522" max="11522" width="43" style="186" customWidth="1"/>
    <col min="11523" max="11523" width="30" style="186" customWidth="1"/>
    <col min="11524" max="11524" width="40" style="186" customWidth="1"/>
    <col min="11525" max="11525" width="57" style="186" customWidth="1"/>
    <col min="11526" max="11526" width="32" style="186" customWidth="1"/>
    <col min="11527" max="11776" width="9" style="186"/>
    <col min="11777" max="11777" width="16" style="186" customWidth="1"/>
    <col min="11778" max="11778" width="43" style="186" customWidth="1"/>
    <col min="11779" max="11779" width="30" style="186" customWidth="1"/>
    <col min="11780" max="11780" width="40" style="186" customWidth="1"/>
    <col min="11781" max="11781" width="57" style="186" customWidth="1"/>
    <col min="11782" max="11782" width="32" style="186" customWidth="1"/>
    <col min="11783" max="12032" width="9" style="186"/>
    <col min="12033" max="12033" width="16" style="186" customWidth="1"/>
    <col min="12034" max="12034" width="43" style="186" customWidth="1"/>
    <col min="12035" max="12035" width="30" style="186" customWidth="1"/>
    <col min="12036" max="12036" width="40" style="186" customWidth="1"/>
    <col min="12037" max="12037" width="57" style="186" customWidth="1"/>
    <col min="12038" max="12038" width="32" style="186" customWidth="1"/>
    <col min="12039" max="12288" width="9" style="186"/>
    <col min="12289" max="12289" width="16" style="186" customWidth="1"/>
    <col min="12290" max="12290" width="43" style="186" customWidth="1"/>
    <col min="12291" max="12291" width="30" style="186" customWidth="1"/>
    <col min="12292" max="12292" width="40" style="186" customWidth="1"/>
    <col min="12293" max="12293" width="57" style="186" customWidth="1"/>
    <col min="12294" max="12294" width="32" style="186" customWidth="1"/>
    <col min="12295" max="12544" width="9" style="186"/>
    <col min="12545" max="12545" width="16" style="186" customWidth="1"/>
    <col min="12546" max="12546" width="43" style="186" customWidth="1"/>
    <col min="12547" max="12547" width="30" style="186" customWidth="1"/>
    <col min="12548" max="12548" width="40" style="186" customWidth="1"/>
    <col min="12549" max="12549" width="57" style="186" customWidth="1"/>
    <col min="12550" max="12550" width="32" style="186" customWidth="1"/>
    <col min="12551" max="12800" width="9" style="186"/>
    <col min="12801" max="12801" width="16" style="186" customWidth="1"/>
    <col min="12802" max="12802" width="43" style="186" customWidth="1"/>
    <col min="12803" max="12803" width="30" style="186" customWidth="1"/>
    <col min="12804" max="12804" width="40" style="186" customWidth="1"/>
    <col min="12805" max="12805" width="57" style="186" customWidth="1"/>
    <col min="12806" max="12806" width="32" style="186" customWidth="1"/>
    <col min="12807" max="13056" width="9" style="186"/>
    <col min="13057" max="13057" width="16" style="186" customWidth="1"/>
    <col min="13058" max="13058" width="43" style="186" customWidth="1"/>
    <col min="13059" max="13059" width="30" style="186" customWidth="1"/>
    <col min="13060" max="13060" width="40" style="186" customWidth="1"/>
    <col min="13061" max="13061" width="57" style="186" customWidth="1"/>
    <col min="13062" max="13062" width="32" style="186" customWidth="1"/>
    <col min="13063" max="13312" width="9" style="186"/>
    <col min="13313" max="13313" width="16" style="186" customWidth="1"/>
    <col min="13314" max="13314" width="43" style="186" customWidth="1"/>
    <col min="13315" max="13315" width="30" style="186" customWidth="1"/>
    <col min="13316" max="13316" width="40" style="186" customWidth="1"/>
    <col min="13317" max="13317" width="57" style="186" customWidth="1"/>
    <col min="13318" max="13318" width="32" style="186" customWidth="1"/>
    <col min="13319" max="13568" width="9" style="186"/>
    <col min="13569" max="13569" width="16" style="186" customWidth="1"/>
    <col min="13570" max="13570" width="43" style="186" customWidth="1"/>
    <col min="13571" max="13571" width="30" style="186" customWidth="1"/>
    <col min="13572" max="13572" width="40" style="186" customWidth="1"/>
    <col min="13573" max="13573" width="57" style="186" customWidth="1"/>
    <col min="13574" max="13574" width="32" style="186" customWidth="1"/>
    <col min="13575" max="13824" width="9" style="186"/>
    <col min="13825" max="13825" width="16" style="186" customWidth="1"/>
    <col min="13826" max="13826" width="43" style="186" customWidth="1"/>
    <col min="13827" max="13827" width="30" style="186" customWidth="1"/>
    <col min="13828" max="13828" width="40" style="186" customWidth="1"/>
    <col min="13829" max="13829" width="57" style="186" customWidth="1"/>
    <col min="13830" max="13830" width="32" style="186" customWidth="1"/>
    <col min="13831" max="14080" width="9" style="186"/>
    <col min="14081" max="14081" width="16" style="186" customWidth="1"/>
    <col min="14082" max="14082" width="43" style="186" customWidth="1"/>
    <col min="14083" max="14083" width="30" style="186" customWidth="1"/>
    <col min="14084" max="14084" width="40" style="186" customWidth="1"/>
    <col min="14085" max="14085" width="57" style="186" customWidth="1"/>
    <col min="14086" max="14086" width="32" style="186" customWidth="1"/>
    <col min="14087" max="14336" width="9" style="186"/>
    <col min="14337" max="14337" width="16" style="186" customWidth="1"/>
    <col min="14338" max="14338" width="43" style="186" customWidth="1"/>
    <col min="14339" max="14339" width="30" style="186" customWidth="1"/>
    <col min="14340" max="14340" width="40" style="186" customWidth="1"/>
    <col min="14341" max="14341" width="57" style="186" customWidth="1"/>
    <col min="14342" max="14342" width="32" style="186" customWidth="1"/>
    <col min="14343" max="14592" width="9" style="186"/>
    <col min="14593" max="14593" width="16" style="186" customWidth="1"/>
    <col min="14594" max="14594" width="43" style="186" customWidth="1"/>
    <col min="14595" max="14595" width="30" style="186" customWidth="1"/>
    <col min="14596" max="14596" width="40" style="186" customWidth="1"/>
    <col min="14597" max="14597" width="57" style="186" customWidth="1"/>
    <col min="14598" max="14598" width="32" style="186" customWidth="1"/>
    <col min="14599" max="14848" width="9" style="186"/>
    <col min="14849" max="14849" width="16" style="186" customWidth="1"/>
    <col min="14850" max="14850" width="43" style="186" customWidth="1"/>
    <col min="14851" max="14851" width="30" style="186" customWidth="1"/>
    <col min="14852" max="14852" width="40" style="186" customWidth="1"/>
    <col min="14853" max="14853" width="57" style="186" customWidth="1"/>
    <col min="14854" max="14854" width="32" style="186" customWidth="1"/>
    <col min="14855" max="15104" width="9" style="186"/>
    <col min="15105" max="15105" width="16" style="186" customWidth="1"/>
    <col min="15106" max="15106" width="43" style="186" customWidth="1"/>
    <col min="15107" max="15107" width="30" style="186" customWidth="1"/>
    <col min="15108" max="15108" width="40" style="186" customWidth="1"/>
    <col min="15109" max="15109" width="57" style="186" customWidth="1"/>
    <col min="15110" max="15110" width="32" style="186" customWidth="1"/>
    <col min="15111" max="15360" width="9" style="186"/>
    <col min="15361" max="15361" width="16" style="186" customWidth="1"/>
    <col min="15362" max="15362" width="43" style="186" customWidth="1"/>
    <col min="15363" max="15363" width="30" style="186" customWidth="1"/>
    <col min="15364" max="15364" width="40" style="186" customWidth="1"/>
    <col min="15365" max="15365" width="57" style="186" customWidth="1"/>
    <col min="15366" max="15366" width="32" style="186" customWidth="1"/>
    <col min="15367" max="15616" width="9" style="186"/>
    <col min="15617" max="15617" width="16" style="186" customWidth="1"/>
    <col min="15618" max="15618" width="43" style="186" customWidth="1"/>
    <col min="15619" max="15619" width="30" style="186" customWidth="1"/>
    <col min="15620" max="15620" width="40" style="186" customWidth="1"/>
    <col min="15621" max="15621" width="57" style="186" customWidth="1"/>
    <col min="15622" max="15622" width="32" style="186" customWidth="1"/>
    <col min="15623" max="15872" width="9" style="186"/>
    <col min="15873" max="15873" width="16" style="186" customWidth="1"/>
    <col min="15874" max="15874" width="43" style="186" customWidth="1"/>
    <col min="15875" max="15875" width="30" style="186" customWidth="1"/>
    <col min="15876" max="15876" width="40" style="186" customWidth="1"/>
    <col min="15877" max="15877" width="57" style="186" customWidth="1"/>
    <col min="15878" max="15878" width="32" style="186" customWidth="1"/>
    <col min="15879" max="16128" width="9" style="186"/>
    <col min="16129" max="16129" width="16" style="186" customWidth="1"/>
    <col min="16130" max="16130" width="43" style="186" customWidth="1"/>
    <col min="16131" max="16131" width="30" style="186" customWidth="1"/>
    <col min="16132" max="16132" width="40" style="186" customWidth="1"/>
    <col min="16133" max="16133" width="57" style="186" customWidth="1"/>
    <col min="16134" max="16134" width="32" style="186" customWidth="1"/>
    <col min="16135" max="16384" width="9" style="186"/>
  </cols>
  <sheetData>
    <row r="2" spans="1:6">
      <c r="A2" s="184" t="s">
        <v>674</v>
      </c>
      <c r="B2" s="185"/>
      <c r="C2" s="185"/>
      <c r="D2" s="185"/>
      <c r="E2" s="185"/>
      <c r="F2" s="185"/>
    </row>
    <row r="3" spans="1:6">
      <c r="A3" s="187" t="s">
        <v>675</v>
      </c>
      <c r="B3" s="188"/>
      <c r="C3" s="188"/>
      <c r="D3" s="188"/>
      <c r="E3" s="188"/>
      <c r="F3" s="188"/>
    </row>
    <row r="4" spans="1:6">
      <c r="A4" s="190" t="s">
        <v>422</v>
      </c>
      <c r="B4" s="234" t="s">
        <v>676</v>
      </c>
      <c r="C4" s="234" t="s">
        <v>677</v>
      </c>
      <c r="D4" s="234" t="s">
        <v>284</v>
      </c>
      <c r="E4" s="234" t="s">
        <v>678</v>
      </c>
      <c r="F4" s="235" t="s">
        <v>679</v>
      </c>
    </row>
    <row r="5" spans="1:6">
      <c r="A5" s="236" t="s">
        <v>457</v>
      </c>
      <c r="B5" s="237" t="s">
        <v>680</v>
      </c>
      <c r="C5" s="237" t="s">
        <v>681</v>
      </c>
      <c r="D5" s="237" t="s">
        <v>488</v>
      </c>
      <c r="E5" s="237" t="s">
        <v>682</v>
      </c>
      <c r="F5" s="238" t="s">
        <v>683</v>
      </c>
    </row>
    <row r="6" spans="1:6">
      <c r="A6" s="196" t="s">
        <v>452</v>
      </c>
      <c r="B6" s="239" t="s">
        <v>684</v>
      </c>
      <c r="C6" s="239" t="s">
        <v>685</v>
      </c>
      <c r="D6" s="239" t="s">
        <v>485</v>
      </c>
      <c r="E6" s="239" t="s">
        <v>686</v>
      </c>
      <c r="F6" s="240" t="s">
        <v>687</v>
      </c>
    </row>
    <row r="7" spans="1:6">
      <c r="A7" s="196" t="s">
        <v>440</v>
      </c>
      <c r="B7" s="239"/>
      <c r="C7" s="239"/>
      <c r="D7" s="239" t="s">
        <v>473</v>
      </c>
      <c r="E7" s="239"/>
      <c r="F7" s="240"/>
    </row>
    <row r="8" spans="1:6">
      <c r="A8" s="196" t="s">
        <v>688</v>
      </c>
      <c r="B8" s="239" t="s">
        <v>689</v>
      </c>
      <c r="C8" s="239" t="s">
        <v>690</v>
      </c>
      <c r="D8" s="239" t="s">
        <v>691</v>
      </c>
      <c r="E8" s="239" t="s">
        <v>692</v>
      </c>
      <c r="F8" s="240" t="s">
        <v>693</v>
      </c>
    </row>
    <row r="9" spans="1:6">
      <c r="A9" s="196" t="s">
        <v>694</v>
      </c>
      <c r="B9" s="239" t="s">
        <v>695</v>
      </c>
      <c r="C9" s="239" t="s">
        <v>696</v>
      </c>
      <c r="D9" s="239" t="s">
        <v>697</v>
      </c>
      <c r="E9" s="239" t="s">
        <v>698</v>
      </c>
      <c r="F9" s="240" t="s">
        <v>699</v>
      </c>
    </row>
    <row r="10" spans="1:6">
      <c r="A10" s="196" t="s">
        <v>430</v>
      </c>
      <c r="B10" s="239" t="s">
        <v>700</v>
      </c>
      <c r="C10" s="239" t="s">
        <v>701</v>
      </c>
      <c r="D10" s="239" t="s">
        <v>465</v>
      </c>
      <c r="E10" s="239" t="s">
        <v>702</v>
      </c>
      <c r="F10" s="240" t="s">
        <v>703</v>
      </c>
    </row>
    <row r="11" spans="1:6">
      <c r="A11" s="196" t="s">
        <v>458</v>
      </c>
      <c r="B11" s="239" t="s">
        <v>704</v>
      </c>
      <c r="C11" s="239" t="s">
        <v>705</v>
      </c>
      <c r="D11" s="239" t="s">
        <v>460</v>
      </c>
      <c r="E11" s="239" t="s">
        <v>706</v>
      </c>
      <c r="F11" s="240" t="s">
        <v>707</v>
      </c>
    </row>
    <row r="12" spans="1:6">
      <c r="A12" s="196" t="s">
        <v>442</v>
      </c>
      <c r="B12" s="239" t="s">
        <v>704</v>
      </c>
      <c r="C12" s="239" t="s">
        <v>705</v>
      </c>
      <c r="D12" s="239" t="s">
        <v>474</v>
      </c>
      <c r="E12" s="239" t="s">
        <v>706</v>
      </c>
      <c r="F12" s="240" t="s">
        <v>708</v>
      </c>
    </row>
    <row r="13" spans="1:6">
      <c r="A13" s="196" t="s">
        <v>441</v>
      </c>
      <c r="B13" s="239" t="s">
        <v>709</v>
      </c>
      <c r="C13" s="239" t="s">
        <v>710</v>
      </c>
      <c r="D13" s="239" t="s">
        <v>150</v>
      </c>
      <c r="E13" s="239" t="s">
        <v>711</v>
      </c>
      <c r="F13" s="240" t="s">
        <v>712</v>
      </c>
    </row>
    <row r="14" spans="1:6">
      <c r="A14" s="196" t="s">
        <v>434</v>
      </c>
      <c r="B14" s="239" t="s">
        <v>709</v>
      </c>
      <c r="C14" s="239" t="s">
        <v>710</v>
      </c>
      <c r="D14" s="239" t="s">
        <v>468</v>
      </c>
      <c r="E14" s="239" t="s">
        <v>711</v>
      </c>
      <c r="F14" s="240" t="s">
        <v>712</v>
      </c>
    </row>
    <row r="15" spans="1:6">
      <c r="A15" s="196" t="s">
        <v>423</v>
      </c>
      <c r="B15" s="239" t="s">
        <v>713</v>
      </c>
      <c r="C15" s="239" t="s">
        <v>714</v>
      </c>
      <c r="D15" s="239" t="s">
        <v>715</v>
      </c>
      <c r="E15" s="239" t="s">
        <v>716</v>
      </c>
      <c r="F15" s="240" t="s">
        <v>717</v>
      </c>
    </row>
    <row r="16" spans="1:6">
      <c r="A16" s="196" t="s">
        <v>454</v>
      </c>
      <c r="B16" s="239" t="s">
        <v>718</v>
      </c>
      <c r="C16" s="239" t="s">
        <v>719</v>
      </c>
      <c r="D16" s="239" t="s">
        <v>486</v>
      </c>
      <c r="E16" s="239" t="s">
        <v>720</v>
      </c>
      <c r="F16" s="240" t="s">
        <v>721</v>
      </c>
    </row>
    <row r="17" spans="1:6">
      <c r="A17" s="196" t="s">
        <v>431</v>
      </c>
      <c r="B17" s="239" t="s">
        <v>722</v>
      </c>
      <c r="C17" s="239" t="s">
        <v>723</v>
      </c>
      <c r="D17" s="239" t="s">
        <v>467</v>
      </c>
      <c r="E17" s="239" t="s">
        <v>724</v>
      </c>
      <c r="F17" s="240" t="s">
        <v>725</v>
      </c>
    </row>
    <row r="18" spans="1:6">
      <c r="A18" s="196" t="s">
        <v>451</v>
      </c>
      <c r="B18" s="239" t="s">
        <v>726</v>
      </c>
      <c r="C18" s="239" t="s">
        <v>727</v>
      </c>
      <c r="D18" s="239" t="s">
        <v>307</v>
      </c>
      <c r="E18" s="239" t="s">
        <v>728</v>
      </c>
      <c r="F18" s="240" t="s">
        <v>729</v>
      </c>
    </row>
    <row r="19" spans="1:6">
      <c r="A19" s="196" t="s">
        <v>429</v>
      </c>
      <c r="B19" s="239" t="s">
        <v>730</v>
      </c>
      <c r="C19" s="239" t="s">
        <v>731</v>
      </c>
      <c r="D19" s="239" t="s">
        <v>464</v>
      </c>
      <c r="E19" s="239" t="s">
        <v>732</v>
      </c>
      <c r="F19" s="240" t="s">
        <v>733</v>
      </c>
    </row>
    <row r="20" spans="1:6">
      <c r="A20" s="196" t="s">
        <v>436</v>
      </c>
      <c r="B20" s="239"/>
      <c r="C20" s="239"/>
      <c r="D20" s="239" t="s">
        <v>734</v>
      </c>
      <c r="E20" s="239"/>
      <c r="F20" s="240"/>
    </row>
    <row r="21" spans="1:6">
      <c r="A21" s="196" t="s">
        <v>735</v>
      </c>
      <c r="B21" s="239" t="s">
        <v>736</v>
      </c>
      <c r="C21" s="239" t="s">
        <v>737</v>
      </c>
      <c r="D21" s="239" t="s">
        <v>738</v>
      </c>
      <c r="E21" s="239" t="s">
        <v>739</v>
      </c>
      <c r="F21" s="240" t="s">
        <v>740</v>
      </c>
    </row>
    <row r="22" spans="1:6">
      <c r="A22" s="196" t="s">
        <v>741</v>
      </c>
      <c r="B22" s="239" t="s">
        <v>742</v>
      </c>
      <c r="C22" s="239" t="s">
        <v>743</v>
      </c>
      <c r="D22" s="239" t="s">
        <v>744</v>
      </c>
      <c r="E22" s="239" t="s">
        <v>745</v>
      </c>
      <c r="F22" s="240" t="s">
        <v>746</v>
      </c>
    </row>
    <row r="23" spans="1:6">
      <c r="A23" s="196" t="s">
        <v>747</v>
      </c>
      <c r="B23" s="239" t="s">
        <v>748</v>
      </c>
      <c r="C23" s="239" t="s">
        <v>749</v>
      </c>
      <c r="D23" s="239" t="s">
        <v>750</v>
      </c>
      <c r="E23" s="239" t="s">
        <v>751</v>
      </c>
      <c r="F23" s="240"/>
    </row>
    <row r="24" spans="1:6">
      <c r="A24" s="196" t="s">
        <v>752</v>
      </c>
      <c r="B24" s="239" t="s">
        <v>753</v>
      </c>
      <c r="C24" s="239" t="s">
        <v>754</v>
      </c>
      <c r="D24" s="239" t="s">
        <v>755</v>
      </c>
      <c r="E24" s="239" t="s">
        <v>756</v>
      </c>
      <c r="F24" s="240" t="s">
        <v>757</v>
      </c>
    </row>
    <row r="25" spans="1:6">
      <c r="A25" s="196" t="s">
        <v>758</v>
      </c>
      <c r="B25" s="239" t="s">
        <v>759</v>
      </c>
      <c r="C25" s="239" t="s">
        <v>760</v>
      </c>
      <c r="D25" s="239" t="s">
        <v>761</v>
      </c>
      <c r="E25" s="239" t="s">
        <v>762</v>
      </c>
      <c r="F25" s="240" t="s">
        <v>763</v>
      </c>
    </row>
    <row r="26" spans="1:6">
      <c r="A26" s="196" t="s">
        <v>630</v>
      </c>
      <c r="B26" s="239" t="s">
        <v>764</v>
      </c>
      <c r="C26" s="239" t="s">
        <v>765</v>
      </c>
      <c r="D26" s="239" t="s">
        <v>766</v>
      </c>
      <c r="E26" s="239" t="s">
        <v>767</v>
      </c>
      <c r="F26" s="240" t="s">
        <v>768</v>
      </c>
    </row>
    <row r="27" spans="1:6">
      <c r="A27" s="196" t="s">
        <v>650</v>
      </c>
      <c r="B27" s="239" t="s">
        <v>769</v>
      </c>
      <c r="C27" s="239" t="s">
        <v>770</v>
      </c>
      <c r="D27" s="239" t="s">
        <v>771</v>
      </c>
      <c r="E27" s="239" t="s">
        <v>772</v>
      </c>
      <c r="F27" s="240" t="s">
        <v>773</v>
      </c>
    </row>
    <row r="28" spans="1:6">
      <c r="A28" s="196" t="s">
        <v>628</v>
      </c>
      <c r="B28" s="239" t="s">
        <v>704</v>
      </c>
      <c r="C28" s="239" t="s">
        <v>705</v>
      </c>
      <c r="D28" s="239" t="s">
        <v>774</v>
      </c>
      <c r="E28" s="239" t="s">
        <v>706</v>
      </c>
      <c r="F28" s="240" t="s">
        <v>708</v>
      </c>
    </row>
    <row r="29" spans="1:6">
      <c r="A29" s="196" t="s">
        <v>775</v>
      </c>
      <c r="B29" s="239"/>
      <c r="C29" s="239" t="s">
        <v>776</v>
      </c>
      <c r="D29" s="239" t="s">
        <v>777</v>
      </c>
      <c r="E29" s="239" t="s">
        <v>778</v>
      </c>
      <c r="F29" s="240" t="s">
        <v>779</v>
      </c>
    </row>
    <row r="30" spans="1:6">
      <c r="A30" s="196"/>
      <c r="B30" s="239"/>
      <c r="C30" s="239" t="s">
        <v>780</v>
      </c>
      <c r="D30" s="239" t="s">
        <v>781</v>
      </c>
      <c r="E30" s="239" t="s">
        <v>782</v>
      </c>
      <c r="F30" s="240" t="s">
        <v>783</v>
      </c>
    </row>
    <row r="31" spans="1:6">
      <c r="A31" s="196" t="s">
        <v>784</v>
      </c>
      <c r="B31" s="239" t="s">
        <v>785</v>
      </c>
      <c r="C31" s="239" t="s">
        <v>786</v>
      </c>
      <c r="D31" s="239" t="s">
        <v>787</v>
      </c>
      <c r="E31" s="239" t="s">
        <v>788</v>
      </c>
      <c r="F31" s="240"/>
    </row>
    <row r="32" spans="1:6">
      <c r="A32" s="196" t="s">
        <v>789</v>
      </c>
      <c r="B32" s="239" t="s">
        <v>790</v>
      </c>
      <c r="C32" s="239"/>
      <c r="D32" s="239"/>
      <c r="E32" s="239" t="s">
        <v>791</v>
      </c>
      <c r="F32" s="240"/>
    </row>
    <row r="33" spans="1:6">
      <c r="A33" s="196" t="s">
        <v>792</v>
      </c>
      <c r="B33" s="239"/>
      <c r="C33" s="239"/>
      <c r="D33" s="239" t="s">
        <v>793</v>
      </c>
      <c r="E33" s="239"/>
      <c r="F33" s="240"/>
    </row>
    <row r="34" spans="1:6">
      <c r="A34" s="196" t="s">
        <v>794</v>
      </c>
      <c r="B34" s="239" t="s">
        <v>795</v>
      </c>
      <c r="C34" s="239" t="s">
        <v>796</v>
      </c>
      <c r="D34" s="239" t="s">
        <v>797</v>
      </c>
      <c r="E34" s="239" t="s">
        <v>798</v>
      </c>
      <c r="F34" s="240" t="s">
        <v>799</v>
      </c>
    </row>
    <row r="35" spans="1:6">
      <c r="A35" s="196" t="s">
        <v>800</v>
      </c>
      <c r="B35" s="239" t="s">
        <v>801</v>
      </c>
      <c r="C35" s="239" t="s">
        <v>802</v>
      </c>
      <c r="D35" s="239" t="s">
        <v>803</v>
      </c>
      <c r="E35" s="239" t="s">
        <v>804</v>
      </c>
      <c r="F35" s="240" t="s">
        <v>805</v>
      </c>
    </row>
    <row r="36" spans="1:6">
      <c r="A36" s="196" t="s">
        <v>806</v>
      </c>
      <c r="B36" s="239" t="s">
        <v>807</v>
      </c>
      <c r="C36" s="239" t="s">
        <v>808</v>
      </c>
      <c r="D36" s="239" t="s">
        <v>809</v>
      </c>
      <c r="E36" s="239" t="s">
        <v>810</v>
      </c>
      <c r="F36" s="240" t="s">
        <v>811</v>
      </c>
    </row>
    <row r="37" spans="1:6">
      <c r="A37" s="196" t="s">
        <v>812</v>
      </c>
      <c r="B37" s="239" t="s">
        <v>813</v>
      </c>
      <c r="C37" s="239" t="s">
        <v>814</v>
      </c>
      <c r="D37" s="239" t="s">
        <v>815</v>
      </c>
      <c r="E37" s="239" t="s">
        <v>816</v>
      </c>
      <c r="F37" s="240" t="s">
        <v>817</v>
      </c>
    </row>
    <row r="38" spans="1:6">
      <c r="A38" s="196" t="s">
        <v>818</v>
      </c>
      <c r="B38" s="239" t="s">
        <v>795</v>
      </c>
      <c r="C38" s="239" t="s">
        <v>796</v>
      </c>
      <c r="D38" s="239" t="s">
        <v>819</v>
      </c>
      <c r="E38" s="239" t="s">
        <v>798</v>
      </c>
      <c r="F38" s="240" t="s">
        <v>799</v>
      </c>
    </row>
    <row r="39" spans="1:6">
      <c r="A39" s="196" t="s">
        <v>820</v>
      </c>
      <c r="B39" s="239" t="s">
        <v>821</v>
      </c>
      <c r="C39" s="239" t="s">
        <v>822</v>
      </c>
      <c r="D39" s="239" t="s">
        <v>823</v>
      </c>
      <c r="E39" s="239" t="s">
        <v>824</v>
      </c>
      <c r="F39" s="240" t="s">
        <v>825</v>
      </c>
    </row>
    <row r="40" spans="1:6">
      <c r="A40" s="196" t="s">
        <v>826</v>
      </c>
      <c r="B40" s="239" t="s">
        <v>807</v>
      </c>
      <c r="C40" s="239" t="s">
        <v>808</v>
      </c>
      <c r="D40" s="239" t="s">
        <v>827</v>
      </c>
      <c r="E40" s="239" t="s">
        <v>828</v>
      </c>
      <c r="F40" s="240" t="s">
        <v>811</v>
      </c>
    </row>
    <row r="41" spans="1:6">
      <c r="A41" s="196" t="s">
        <v>829</v>
      </c>
      <c r="B41" s="239" t="s">
        <v>830</v>
      </c>
      <c r="C41" s="239" t="s">
        <v>831</v>
      </c>
      <c r="D41" s="239" t="s">
        <v>832</v>
      </c>
      <c r="E41" s="239" t="s">
        <v>833</v>
      </c>
      <c r="F41" s="240" t="s">
        <v>834</v>
      </c>
    </row>
    <row r="42" spans="1:6">
      <c r="A42" s="196" t="s">
        <v>835</v>
      </c>
      <c r="B42" s="239" t="s">
        <v>813</v>
      </c>
      <c r="C42" s="239" t="s">
        <v>814</v>
      </c>
      <c r="D42" s="239" t="s">
        <v>836</v>
      </c>
      <c r="E42" s="239" t="s">
        <v>837</v>
      </c>
      <c r="F42" s="240" t="s">
        <v>817</v>
      </c>
    </row>
    <row r="43" spans="1:6">
      <c r="A43" s="196" t="s">
        <v>838</v>
      </c>
      <c r="B43" s="239" t="s">
        <v>801</v>
      </c>
      <c r="C43" s="239" t="s">
        <v>802</v>
      </c>
      <c r="D43" s="239" t="s">
        <v>839</v>
      </c>
      <c r="E43" s="239" t="s">
        <v>804</v>
      </c>
      <c r="F43" s="240" t="s">
        <v>805</v>
      </c>
    </row>
    <row r="44" spans="1:6">
      <c r="A44" s="196" t="s">
        <v>840</v>
      </c>
      <c r="B44" s="239" t="s">
        <v>830</v>
      </c>
      <c r="C44" s="239" t="s">
        <v>831</v>
      </c>
      <c r="D44" s="239" t="s">
        <v>841</v>
      </c>
      <c r="E44" s="239" t="s">
        <v>833</v>
      </c>
      <c r="F44" s="240" t="s">
        <v>834</v>
      </c>
    </row>
    <row r="45" spans="1:6">
      <c r="A45" s="196" t="s">
        <v>842</v>
      </c>
      <c r="B45" s="239" t="s">
        <v>843</v>
      </c>
      <c r="C45" s="239" t="s">
        <v>844</v>
      </c>
      <c r="D45" s="239" t="s">
        <v>845</v>
      </c>
      <c r="E45" s="239" t="s">
        <v>846</v>
      </c>
      <c r="F45" s="240" t="s">
        <v>847</v>
      </c>
    </row>
    <row r="46" spans="1:6">
      <c r="A46" s="241" t="s">
        <v>848</v>
      </c>
      <c r="B46" s="242" t="s">
        <v>849</v>
      </c>
      <c r="C46" s="242" t="s">
        <v>850</v>
      </c>
      <c r="D46" s="242" t="s">
        <v>851</v>
      </c>
      <c r="E46" s="242" t="s">
        <v>852</v>
      </c>
      <c r="F46" s="243" t="s">
        <v>853</v>
      </c>
    </row>
    <row r="48" spans="1:6">
      <c r="A48" s="186" t="s">
        <v>889</v>
      </c>
      <c r="B48" s="186">
        <f>(0.543+0.429+0.5+0.529+0.571)/5</f>
        <v>0.51439999999999997</v>
      </c>
    </row>
  </sheetData>
  <phoneticPr fontId="3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BB008-9465-4BFF-99A1-97D351B5211F}">
  <dimension ref="A1:F34"/>
  <sheetViews>
    <sheetView workbookViewId="0">
      <selection sqref="A1:A2"/>
    </sheetView>
  </sheetViews>
  <sheetFormatPr defaultColWidth="9.25" defaultRowHeight="13.5"/>
  <cols>
    <col min="1" max="1" width="8.625" style="181" customWidth="1"/>
    <col min="2" max="2" width="18.625" style="181" customWidth="1"/>
    <col min="3" max="3" width="13.75" style="181" customWidth="1"/>
    <col min="4" max="6" width="12.375" style="181" customWidth="1"/>
    <col min="7" max="16384" width="9.25" style="181"/>
  </cols>
  <sheetData>
    <row r="1" spans="1:6" ht="27" customHeight="1">
      <c r="A1" s="308" t="s">
        <v>864</v>
      </c>
      <c r="B1" s="308" t="s">
        <v>863</v>
      </c>
      <c r="C1" s="308" t="s">
        <v>862</v>
      </c>
      <c r="D1" s="305" t="s">
        <v>861</v>
      </c>
      <c r="E1" s="306"/>
      <c r="F1" s="307"/>
    </row>
    <row r="2" spans="1:6">
      <c r="A2" s="309"/>
      <c r="B2" s="309"/>
      <c r="C2" s="309"/>
      <c r="D2" s="246" t="s">
        <v>858</v>
      </c>
      <c r="E2" s="246" t="s">
        <v>859</v>
      </c>
      <c r="F2" s="246" t="s">
        <v>860</v>
      </c>
    </row>
    <row r="3" spans="1:6">
      <c r="A3" s="248">
        <v>1</v>
      </c>
      <c r="B3" s="182" t="s">
        <v>433</v>
      </c>
      <c r="C3" s="182"/>
      <c r="D3" s="182"/>
      <c r="E3" s="182"/>
      <c r="F3" s="182"/>
    </row>
    <row r="4" spans="1:6">
      <c r="A4" s="248">
        <v>2</v>
      </c>
      <c r="B4" s="182" t="s">
        <v>457</v>
      </c>
      <c r="C4" s="182" t="s">
        <v>424</v>
      </c>
      <c r="D4" s="244">
        <v>209.08</v>
      </c>
      <c r="E4" s="245">
        <f>D4/293.07</f>
        <v>0.71341317773910673</v>
      </c>
      <c r="F4" s="247">
        <f>D4*10^12/About!$A$75</f>
        <v>198169604007.21915</v>
      </c>
    </row>
    <row r="5" spans="1:6">
      <c r="A5" s="248">
        <v>3</v>
      </c>
      <c r="B5" s="182" t="s">
        <v>452</v>
      </c>
      <c r="C5" s="182" t="s">
        <v>424</v>
      </c>
      <c r="D5" s="244">
        <v>263.44</v>
      </c>
      <c r="E5" s="245">
        <f t="shared" ref="E5:E34" si="0">D5/293.07</f>
        <v>0.89889787422800016</v>
      </c>
      <c r="F5" s="247">
        <f>D5*10^12/About!$A$75</f>
        <v>249692942795.39801</v>
      </c>
    </row>
    <row r="6" spans="1:6">
      <c r="A6" s="248">
        <v>4</v>
      </c>
      <c r="B6" s="182" t="s">
        <v>440</v>
      </c>
      <c r="C6" s="182" t="s">
        <v>424</v>
      </c>
      <c r="D6" s="244">
        <v>83.63</v>
      </c>
      <c r="E6" s="245">
        <f t="shared" si="0"/>
        <v>0.28535844678745692</v>
      </c>
      <c r="F6" s="247">
        <f>D6*10^12/About!$A$75</f>
        <v>79265945968.642319</v>
      </c>
    </row>
    <row r="7" spans="1:6">
      <c r="A7" s="248">
        <v>5</v>
      </c>
      <c r="B7" s="182" t="s">
        <v>453</v>
      </c>
      <c r="C7" s="182" t="s">
        <v>424</v>
      </c>
      <c r="D7" s="244">
        <v>154.72999999999999</v>
      </c>
      <c r="E7" s="245">
        <f t="shared" si="0"/>
        <v>0.52796260279114204</v>
      </c>
      <c r="F7" s="247">
        <f>D7*10^12/About!$A$75</f>
        <v>146655743390.26697</v>
      </c>
    </row>
    <row r="8" spans="1:6">
      <c r="A8" s="248">
        <v>6</v>
      </c>
      <c r="B8" s="182" t="s">
        <v>432</v>
      </c>
      <c r="C8" s="182" t="s">
        <v>424</v>
      </c>
      <c r="D8" s="244">
        <v>83.74</v>
      </c>
      <c r="E8" s="245">
        <f t="shared" si="0"/>
        <v>0.28573378373767361</v>
      </c>
      <c r="F8" s="247">
        <f>D8*10^12/About!$A$75</f>
        <v>79370205852.135696</v>
      </c>
    </row>
    <row r="9" spans="1:6">
      <c r="A9" s="248">
        <v>7</v>
      </c>
      <c r="B9" s="182" t="s">
        <v>430</v>
      </c>
      <c r="C9" s="182" t="s">
        <v>424</v>
      </c>
      <c r="D9" s="244">
        <v>284.35000000000002</v>
      </c>
      <c r="E9" s="245">
        <f t="shared" si="0"/>
        <v>0.97024601631009666</v>
      </c>
      <c r="F9" s="247">
        <f>D9*10^12/About!$A$75</f>
        <v>269511798830.36523</v>
      </c>
    </row>
    <row r="10" spans="1:6">
      <c r="A10" s="248">
        <v>8</v>
      </c>
      <c r="B10" s="182" t="s">
        <v>429</v>
      </c>
      <c r="C10" s="182" t="s">
        <v>428</v>
      </c>
      <c r="D10" s="244">
        <v>1735.35</v>
      </c>
      <c r="E10" s="245">
        <f t="shared" si="0"/>
        <v>5.9212816050772847</v>
      </c>
      <c r="F10" s="247">
        <f>D10*10^12/About!$A$75</f>
        <v>1644794443820.2017</v>
      </c>
    </row>
    <row r="11" spans="1:6">
      <c r="A11" s="248">
        <v>9</v>
      </c>
      <c r="B11" s="182" t="s">
        <v>427</v>
      </c>
      <c r="C11" s="182" t="s">
        <v>428</v>
      </c>
      <c r="D11" s="244">
        <v>376.3</v>
      </c>
      <c r="E11" s="245">
        <f t="shared" si="0"/>
        <v>1.2839935851503055</v>
      </c>
      <c r="F11" s="247">
        <f>D11*10^12/About!$A$75</f>
        <v>356663583259.59711</v>
      </c>
    </row>
    <row r="12" spans="1:6">
      <c r="A12" s="248">
        <v>10</v>
      </c>
      <c r="B12" s="182" t="s">
        <v>459</v>
      </c>
      <c r="C12" s="182" t="s">
        <v>428</v>
      </c>
      <c r="D12" s="244">
        <v>794.5</v>
      </c>
      <c r="E12" s="245">
        <f t="shared" si="0"/>
        <v>2.7109564267922339</v>
      </c>
      <c r="F12" s="247">
        <f>D12*10^12/About!$A$75</f>
        <v>753040703958.94214</v>
      </c>
    </row>
    <row r="13" spans="1:6">
      <c r="A13" s="248">
        <v>11</v>
      </c>
      <c r="B13" s="182" t="s">
        <v>436</v>
      </c>
      <c r="C13" s="182" t="s">
        <v>428</v>
      </c>
      <c r="D13" s="244">
        <v>522.70000000000005</v>
      </c>
      <c r="E13" s="245">
        <f t="shared" si="0"/>
        <v>1.783532944347767</v>
      </c>
      <c r="F13" s="247">
        <f>D13*10^12/About!$A$75</f>
        <v>495424010018.04791</v>
      </c>
    </row>
    <row r="14" spans="1:6">
      <c r="A14" s="248">
        <v>12</v>
      </c>
      <c r="B14" s="182" t="s">
        <v>435</v>
      </c>
      <c r="C14" s="182" t="s">
        <v>424</v>
      </c>
      <c r="D14" s="244">
        <v>334.53</v>
      </c>
      <c r="E14" s="245">
        <f t="shared" si="0"/>
        <v>1.1414679086907564</v>
      </c>
      <c r="F14" s="247">
        <f>D14*10^12/About!$A$75</f>
        <v>317073262045.79596</v>
      </c>
    </row>
    <row r="15" spans="1:6">
      <c r="A15" s="248">
        <v>13</v>
      </c>
      <c r="B15" s="182" t="s">
        <v>456</v>
      </c>
      <c r="C15" s="182"/>
      <c r="D15" s="244"/>
      <c r="E15" s="245"/>
      <c r="F15" s="247"/>
    </row>
    <row r="16" spans="1:6">
      <c r="A16" s="248">
        <v>14</v>
      </c>
      <c r="B16" s="182" t="s">
        <v>458</v>
      </c>
      <c r="C16" s="182" t="s">
        <v>424</v>
      </c>
      <c r="D16" s="244">
        <v>418.16</v>
      </c>
      <c r="E16" s="245">
        <f t="shared" si="0"/>
        <v>1.4268263554782135</v>
      </c>
      <c r="F16" s="247">
        <f>D16*10^12/About!$A$75</f>
        <v>396339208014.43829</v>
      </c>
    </row>
    <row r="17" spans="1:6">
      <c r="A17" s="248">
        <v>15</v>
      </c>
      <c r="B17" s="182" t="s">
        <v>441</v>
      </c>
      <c r="C17" s="182" t="s">
        <v>424</v>
      </c>
      <c r="D17" s="244">
        <v>430.7</v>
      </c>
      <c r="E17" s="245">
        <f t="shared" si="0"/>
        <v>1.4696147678029139</v>
      </c>
      <c r="F17" s="247">
        <f>D17*10^12/About!$A$75</f>
        <v>408224834732.68268</v>
      </c>
    </row>
    <row r="18" spans="1:6">
      <c r="A18" s="248">
        <v>16</v>
      </c>
      <c r="B18" s="182" t="s">
        <v>434</v>
      </c>
      <c r="C18" s="182" t="s">
        <v>424</v>
      </c>
      <c r="D18" s="244">
        <v>430.7</v>
      </c>
      <c r="E18" s="245">
        <f t="shared" si="0"/>
        <v>1.4696147678029139</v>
      </c>
      <c r="F18" s="247">
        <f>D18*10^12/About!$A$75</f>
        <v>408224834732.68268</v>
      </c>
    </row>
    <row r="19" spans="1:6">
      <c r="A19" s="248">
        <v>17</v>
      </c>
      <c r="B19" s="182" t="s">
        <v>423</v>
      </c>
      <c r="C19" s="182" t="s">
        <v>424</v>
      </c>
      <c r="D19" s="244">
        <v>426.52</v>
      </c>
      <c r="E19" s="245">
        <f t="shared" si="0"/>
        <v>1.4553519636946803</v>
      </c>
      <c r="F19" s="247">
        <f>D19*10^12/About!$A$75</f>
        <v>404262959159.93451</v>
      </c>
    </row>
    <row r="20" spans="1:6">
      <c r="A20" s="248">
        <v>18</v>
      </c>
      <c r="B20" s="182" t="s">
        <v>442</v>
      </c>
      <c r="C20" s="182" t="s">
        <v>424</v>
      </c>
      <c r="D20" s="244">
        <v>418.16</v>
      </c>
      <c r="E20" s="245">
        <f t="shared" si="0"/>
        <v>1.4268263554782135</v>
      </c>
      <c r="F20" s="247">
        <f>D20*10^12/About!$A$75</f>
        <v>396339208014.43829</v>
      </c>
    </row>
    <row r="21" spans="1:6">
      <c r="A21" s="248">
        <v>19</v>
      </c>
      <c r="B21" s="182" t="s">
        <v>448</v>
      </c>
      <c r="C21" s="182" t="s">
        <v>424</v>
      </c>
      <c r="D21" s="244">
        <v>439.07</v>
      </c>
      <c r="E21" s="245">
        <f t="shared" si="0"/>
        <v>1.4981744975603097</v>
      </c>
      <c r="F21" s="247">
        <f>D21*10^12/About!$A$75</f>
        <v>416158064049.40558</v>
      </c>
    </row>
    <row r="22" spans="1:6">
      <c r="A22" s="248">
        <v>20</v>
      </c>
      <c r="B22" s="182" t="s">
        <v>446</v>
      </c>
      <c r="C22" s="182" t="s">
        <v>424</v>
      </c>
      <c r="D22" s="244">
        <v>413.98</v>
      </c>
      <c r="E22" s="245">
        <f t="shared" si="0"/>
        <v>1.4125635513699799</v>
      </c>
      <c r="F22" s="247">
        <f>D22*10^12/About!$A$75</f>
        <v>392377332441.69019</v>
      </c>
    </row>
    <row r="23" spans="1:6">
      <c r="A23" s="248">
        <v>21</v>
      </c>
      <c r="B23" s="182" t="s">
        <v>447</v>
      </c>
      <c r="C23" s="182" t="s">
        <v>424</v>
      </c>
      <c r="D23" s="244">
        <v>399.25</v>
      </c>
      <c r="E23" s="245">
        <f t="shared" si="0"/>
        <v>1.3623025215818747</v>
      </c>
      <c r="F23" s="247">
        <f>D23*10^12/About!$A$75</f>
        <v>378415986224.80505</v>
      </c>
    </row>
    <row r="24" spans="1:6">
      <c r="A24" s="248">
        <v>22</v>
      </c>
      <c r="B24" s="182" t="s">
        <v>445</v>
      </c>
      <c r="C24" s="182" t="s">
        <v>424</v>
      </c>
      <c r="D24" s="244">
        <v>429.45</v>
      </c>
      <c r="E24" s="245">
        <f t="shared" si="0"/>
        <v>1.4653495751868155</v>
      </c>
      <c r="F24" s="247">
        <f>D24*10^12/About!$A$75</f>
        <v>407040063329.34888</v>
      </c>
    </row>
    <row r="25" spans="1:6">
      <c r="A25" s="248">
        <v>23</v>
      </c>
      <c r="B25" s="182" t="s">
        <v>450</v>
      </c>
      <c r="C25" s="182" t="s">
        <v>424</v>
      </c>
      <c r="D25" s="244">
        <v>389.31</v>
      </c>
      <c r="E25" s="245">
        <f t="shared" si="0"/>
        <v>1.3283857098986591</v>
      </c>
      <c r="F25" s="247">
        <f>D25*10^12/About!$A$75</f>
        <v>368994684025.495</v>
      </c>
    </row>
    <row r="26" spans="1:6">
      <c r="A26" s="248">
        <v>24</v>
      </c>
      <c r="B26" s="182" t="s">
        <v>449</v>
      </c>
      <c r="C26" s="182" t="s">
        <v>424</v>
      </c>
      <c r="D26" s="244">
        <v>319.47000000000003</v>
      </c>
      <c r="E26" s="245">
        <f t="shared" si="0"/>
        <v>1.0900808680520013</v>
      </c>
      <c r="F26" s="247">
        <f>D26*10^12/About!$A$75</f>
        <v>302799136178.43073</v>
      </c>
    </row>
    <row r="27" spans="1:6">
      <c r="A27" s="248">
        <v>25</v>
      </c>
      <c r="B27" s="182" t="s">
        <v>454</v>
      </c>
      <c r="C27" s="182" t="s">
        <v>424</v>
      </c>
      <c r="D27" s="244">
        <v>501.79</v>
      </c>
      <c r="E27" s="245">
        <f t="shared" si="0"/>
        <v>1.7121848022656705</v>
      </c>
      <c r="F27" s="247">
        <f>D27*10^12/About!$A$75</f>
        <v>475605153983.08063</v>
      </c>
    </row>
    <row r="28" spans="1:6">
      <c r="A28" s="248">
        <v>26</v>
      </c>
      <c r="B28" s="182" t="s">
        <v>431</v>
      </c>
      <c r="C28" s="182" t="s">
        <v>424</v>
      </c>
      <c r="D28" s="244">
        <v>459.98</v>
      </c>
      <c r="E28" s="245">
        <f t="shared" si="0"/>
        <v>1.5695226396424065</v>
      </c>
      <c r="F28" s="247">
        <f>D28*10^12/About!$A$75</f>
        <v>435976920084.3728</v>
      </c>
    </row>
    <row r="29" spans="1:6">
      <c r="A29" s="248">
        <v>27</v>
      </c>
      <c r="B29" s="182" t="s">
        <v>439</v>
      </c>
      <c r="C29" s="182" t="s">
        <v>424</v>
      </c>
      <c r="D29" s="244">
        <v>409.8</v>
      </c>
      <c r="E29" s="245">
        <f t="shared" si="0"/>
        <v>1.3983007472617464</v>
      </c>
      <c r="F29" s="247">
        <f>D29*10^12/About!$A$75</f>
        <v>388415456868.94208</v>
      </c>
    </row>
    <row r="30" spans="1:6">
      <c r="A30" s="248">
        <v>28</v>
      </c>
      <c r="B30" s="182" t="s">
        <v>451</v>
      </c>
      <c r="C30" s="182" t="s">
        <v>428</v>
      </c>
      <c r="D30" s="244">
        <v>3558.45</v>
      </c>
      <c r="E30" s="245">
        <f t="shared" si="0"/>
        <v>12.141979731804687</v>
      </c>
      <c r="F30" s="247">
        <f>D30*10^12/About!$A$75</f>
        <v>3372759840154.4336</v>
      </c>
    </row>
    <row r="31" spans="1:6">
      <c r="A31" s="248">
        <v>29</v>
      </c>
      <c r="B31" s="182" t="s">
        <v>455</v>
      </c>
      <c r="C31" s="182" t="s">
        <v>424</v>
      </c>
      <c r="D31" s="244">
        <v>514.34</v>
      </c>
      <c r="E31" s="245">
        <f t="shared" si="0"/>
        <v>1.7550073361312999</v>
      </c>
      <c r="F31" s="247">
        <f>D31*10^12/About!$A$75</f>
        <v>487500258872.5517</v>
      </c>
    </row>
    <row r="32" spans="1:6">
      <c r="A32" s="248">
        <v>30</v>
      </c>
      <c r="B32" s="182" t="s">
        <v>443</v>
      </c>
      <c r="C32" s="182" t="s">
        <v>444</v>
      </c>
      <c r="D32" s="244">
        <v>10</v>
      </c>
      <c r="E32" s="245">
        <f t="shared" si="0"/>
        <v>3.4121540928788344E-2</v>
      </c>
      <c r="F32" s="247">
        <f>D32*10^12/About!$A$75</f>
        <v>9478171226.6701336</v>
      </c>
    </row>
    <row r="33" spans="1:6">
      <c r="A33" s="248">
        <v>31</v>
      </c>
      <c r="B33" s="182" t="s">
        <v>425</v>
      </c>
      <c r="C33" s="182" t="s">
        <v>426</v>
      </c>
      <c r="D33" s="244">
        <v>360</v>
      </c>
      <c r="E33" s="245">
        <f t="shared" si="0"/>
        <v>1.2283754734363803</v>
      </c>
      <c r="F33" s="247">
        <f>D33*10^12/About!$A$75</f>
        <v>341214164160.12482</v>
      </c>
    </row>
    <row r="34" spans="1:6">
      <c r="A34" s="248">
        <v>32</v>
      </c>
      <c r="B34" s="182" t="s">
        <v>437</v>
      </c>
      <c r="C34" s="182" t="s">
        <v>438</v>
      </c>
      <c r="D34" s="244">
        <v>292.70999999999998</v>
      </c>
      <c r="E34" s="245">
        <f t="shared" si="0"/>
        <v>0.99877162452656354</v>
      </c>
      <c r="F34" s="247">
        <f>D34*10^12/About!$A$75</f>
        <v>277435549975.86145</v>
      </c>
    </row>
  </sheetData>
  <autoFilter ref="A2:F2" xr:uid="{A14BB008-9465-4BFF-99A1-97D351B5211F}"/>
  <mergeCells count="4">
    <mergeCell ref="D1:F1"/>
    <mergeCell ref="C1:C2"/>
    <mergeCell ref="B1:B2"/>
    <mergeCell ref="A1:A2"/>
  </mergeCells>
  <phoneticPr fontId="38"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0850A-4F77-4BC4-B084-939FA10A4BF9}">
  <dimension ref="A1:AL55"/>
  <sheetViews>
    <sheetView topLeftCell="L1" workbookViewId="0"/>
  </sheetViews>
  <sheetFormatPr defaultRowHeight="13.5"/>
  <cols>
    <col min="1" max="1" width="32.75" style="186" customWidth="1"/>
    <col min="2" max="2" width="25.375" style="186" customWidth="1"/>
    <col min="3" max="3" width="10.625" style="186" customWidth="1"/>
    <col min="4" max="4" width="10.875" style="186" customWidth="1"/>
    <col min="5" max="5" width="9" style="186"/>
    <col min="6" max="6" width="21.125" style="186" customWidth="1"/>
    <col min="7" max="7" width="12.75" style="186" bestFit="1" customWidth="1"/>
    <col min="8" max="8" width="9" style="186"/>
    <col min="9" max="9" width="12.375" style="186" customWidth="1"/>
    <col min="10" max="10" width="11.25" style="186" customWidth="1"/>
    <col min="11" max="13" width="9" style="186"/>
    <col min="14" max="14" width="32.625" style="186" bestFit="1" customWidth="1"/>
    <col min="15" max="15" width="9" style="186" customWidth="1"/>
    <col min="16" max="26" width="9" style="186"/>
    <col min="27" max="28" width="9" style="186" customWidth="1"/>
    <col min="29" max="253" width="9" style="186"/>
    <col min="254" max="254" width="32.75" style="186" customWidth="1"/>
    <col min="255" max="255" width="49.625" style="186" customWidth="1"/>
    <col min="256" max="256" width="10.625" style="186" customWidth="1"/>
    <col min="257" max="266" width="9" style="186"/>
    <col min="267" max="268" width="2.625" style="186" customWidth="1"/>
    <col min="269" max="509" width="9" style="186"/>
    <col min="510" max="510" width="32.75" style="186" customWidth="1"/>
    <col min="511" max="511" width="49.625" style="186" customWidth="1"/>
    <col min="512" max="512" width="10.625" style="186" customWidth="1"/>
    <col min="513" max="522" width="9" style="186"/>
    <col min="523" max="524" width="2.625" style="186" customWidth="1"/>
    <col min="525" max="765" width="9" style="186"/>
    <col min="766" max="766" width="32.75" style="186" customWidth="1"/>
    <col min="767" max="767" width="49.625" style="186" customWidth="1"/>
    <col min="768" max="768" width="10.625" style="186" customWidth="1"/>
    <col min="769" max="778" width="9" style="186"/>
    <col min="779" max="780" width="2.625" style="186" customWidth="1"/>
    <col min="781" max="1021" width="9" style="186"/>
    <col min="1022" max="1022" width="32.75" style="186" customWidth="1"/>
    <col min="1023" max="1023" width="49.625" style="186" customWidth="1"/>
    <col min="1024" max="1024" width="10.625" style="186" customWidth="1"/>
    <col min="1025" max="1034" width="9" style="186"/>
    <col min="1035" max="1036" width="2.625" style="186" customWidth="1"/>
    <col min="1037" max="1277" width="9" style="186"/>
    <col min="1278" max="1278" width="32.75" style="186" customWidth="1"/>
    <col min="1279" max="1279" width="49.625" style="186" customWidth="1"/>
    <col min="1280" max="1280" width="10.625" style="186" customWidth="1"/>
    <col min="1281" max="1290" width="9" style="186"/>
    <col min="1291" max="1292" width="2.625" style="186" customWidth="1"/>
    <col min="1293" max="1533" width="9" style="186"/>
    <col min="1534" max="1534" width="32.75" style="186" customWidth="1"/>
    <col min="1535" max="1535" width="49.625" style="186" customWidth="1"/>
    <col min="1536" max="1536" width="10.625" style="186" customWidth="1"/>
    <col min="1537" max="1546" width="9" style="186"/>
    <col min="1547" max="1548" width="2.625" style="186" customWidth="1"/>
    <col min="1549" max="1789" width="9" style="186"/>
    <col min="1790" max="1790" width="32.75" style="186" customWidth="1"/>
    <col min="1791" max="1791" width="49.625" style="186" customWidth="1"/>
    <col min="1792" max="1792" width="10.625" style="186" customWidth="1"/>
    <col min="1793" max="1802" width="9" style="186"/>
    <col min="1803" max="1804" width="2.625" style="186" customWidth="1"/>
    <col min="1805" max="2045" width="9" style="186"/>
    <col min="2046" max="2046" width="32.75" style="186" customWidth="1"/>
    <col min="2047" max="2047" width="49.625" style="186" customWidth="1"/>
    <col min="2048" max="2048" width="10.625" style="186" customWidth="1"/>
    <col min="2049" max="2058" width="9" style="186"/>
    <col min="2059" max="2060" width="2.625" style="186" customWidth="1"/>
    <col min="2061" max="2301" width="9" style="186"/>
    <col min="2302" max="2302" width="32.75" style="186" customWidth="1"/>
    <col min="2303" max="2303" width="49.625" style="186" customWidth="1"/>
    <col min="2304" max="2304" width="10.625" style="186" customWidth="1"/>
    <col min="2305" max="2314" width="9" style="186"/>
    <col min="2315" max="2316" width="2.625" style="186" customWidth="1"/>
    <col min="2317" max="2557" width="9" style="186"/>
    <col min="2558" max="2558" width="32.75" style="186" customWidth="1"/>
    <col min="2559" max="2559" width="49.625" style="186" customWidth="1"/>
    <col min="2560" max="2560" width="10.625" style="186" customWidth="1"/>
    <col min="2561" max="2570" width="9" style="186"/>
    <col min="2571" max="2572" width="2.625" style="186" customWidth="1"/>
    <col min="2573" max="2813" width="9" style="186"/>
    <col min="2814" max="2814" width="32.75" style="186" customWidth="1"/>
    <col min="2815" max="2815" width="49.625" style="186" customWidth="1"/>
    <col min="2816" max="2816" width="10.625" style="186" customWidth="1"/>
    <col min="2817" max="2826" width="9" style="186"/>
    <col min="2827" max="2828" width="2.625" style="186" customWidth="1"/>
    <col min="2829" max="3069" width="9" style="186"/>
    <col min="3070" max="3070" width="32.75" style="186" customWidth="1"/>
    <col min="3071" max="3071" width="49.625" style="186" customWidth="1"/>
    <col min="3072" max="3072" width="10.625" style="186" customWidth="1"/>
    <col min="3073" max="3082" width="9" style="186"/>
    <col min="3083" max="3084" width="2.625" style="186" customWidth="1"/>
    <col min="3085" max="3325" width="9" style="186"/>
    <col min="3326" max="3326" width="32.75" style="186" customWidth="1"/>
    <col min="3327" max="3327" width="49.625" style="186" customWidth="1"/>
    <col min="3328" max="3328" width="10.625" style="186" customWidth="1"/>
    <col min="3329" max="3338" width="9" style="186"/>
    <col min="3339" max="3340" width="2.625" style="186" customWidth="1"/>
    <col min="3341" max="3581" width="9" style="186"/>
    <col min="3582" max="3582" width="32.75" style="186" customWidth="1"/>
    <col min="3583" max="3583" width="49.625" style="186" customWidth="1"/>
    <col min="3584" max="3584" width="10.625" style="186" customWidth="1"/>
    <col min="3585" max="3594" width="9" style="186"/>
    <col min="3595" max="3596" width="2.625" style="186" customWidth="1"/>
    <col min="3597" max="3837" width="9" style="186"/>
    <col min="3838" max="3838" width="32.75" style="186" customWidth="1"/>
    <col min="3839" max="3839" width="49.625" style="186" customWidth="1"/>
    <col min="3840" max="3840" width="10.625" style="186" customWidth="1"/>
    <col min="3841" max="3850" width="9" style="186"/>
    <col min="3851" max="3852" width="2.625" style="186" customWidth="1"/>
    <col min="3853" max="4093" width="9" style="186"/>
    <col min="4094" max="4094" width="32.75" style="186" customWidth="1"/>
    <col min="4095" max="4095" width="49.625" style="186" customWidth="1"/>
    <col min="4096" max="4096" width="10.625" style="186" customWidth="1"/>
    <col min="4097" max="4106" width="9" style="186"/>
    <col min="4107" max="4108" width="2.625" style="186" customWidth="1"/>
    <col min="4109" max="4349" width="9" style="186"/>
    <col min="4350" max="4350" width="32.75" style="186" customWidth="1"/>
    <col min="4351" max="4351" width="49.625" style="186" customWidth="1"/>
    <col min="4352" max="4352" width="10.625" style="186" customWidth="1"/>
    <col min="4353" max="4362" width="9" style="186"/>
    <col min="4363" max="4364" width="2.625" style="186" customWidth="1"/>
    <col min="4365" max="4605" width="9" style="186"/>
    <col min="4606" max="4606" width="32.75" style="186" customWidth="1"/>
    <col min="4607" max="4607" width="49.625" style="186" customWidth="1"/>
    <col min="4608" max="4608" width="10.625" style="186" customWidth="1"/>
    <col min="4609" max="4618" width="9" style="186"/>
    <col min="4619" max="4620" width="2.625" style="186" customWidth="1"/>
    <col min="4621" max="4861" width="9" style="186"/>
    <col min="4862" max="4862" width="32.75" style="186" customWidth="1"/>
    <col min="4863" max="4863" width="49.625" style="186" customWidth="1"/>
    <col min="4864" max="4864" width="10.625" style="186" customWidth="1"/>
    <col min="4865" max="4874" width="9" style="186"/>
    <col min="4875" max="4876" width="2.625" style="186" customWidth="1"/>
    <col min="4877" max="5117" width="9" style="186"/>
    <col min="5118" max="5118" width="32.75" style="186" customWidth="1"/>
    <col min="5119" max="5119" width="49.625" style="186" customWidth="1"/>
    <col min="5120" max="5120" width="10.625" style="186" customWidth="1"/>
    <col min="5121" max="5130" width="9" style="186"/>
    <col min="5131" max="5132" width="2.625" style="186" customWidth="1"/>
    <col min="5133" max="5373" width="9" style="186"/>
    <col min="5374" max="5374" width="32.75" style="186" customWidth="1"/>
    <col min="5375" max="5375" width="49.625" style="186" customWidth="1"/>
    <col min="5376" max="5376" width="10.625" style="186" customWidth="1"/>
    <col min="5377" max="5386" width="9" style="186"/>
    <col min="5387" max="5388" width="2.625" style="186" customWidth="1"/>
    <col min="5389" max="5629" width="9" style="186"/>
    <col min="5630" max="5630" width="32.75" style="186" customWidth="1"/>
    <col min="5631" max="5631" width="49.625" style="186" customWidth="1"/>
    <col min="5632" max="5632" width="10.625" style="186" customWidth="1"/>
    <col min="5633" max="5642" width="9" style="186"/>
    <col min="5643" max="5644" width="2.625" style="186" customWidth="1"/>
    <col min="5645" max="5885" width="9" style="186"/>
    <col min="5886" max="5886" width="32.75" style="186" customWidth="1"/>
    <col min="5887" max="5887" width="49.625" style="186" customWidth="1"/>
    <col min="5888" max="5888" width="10.625" style="186" customWidth="1"/>
    <col min="5889" max="5898" width="9" style="186"/>
    <col min="5899" max="5900" width="2.625" style="186" customWidth="1"/>
    <col min="5901" max="6141" width="9" style="186"/>
    <col min="6142" max="6142" width="32.75" style="186" customWidth="1"/>
    <col min="6143" max="6143" width="49.625" style="186" customWidth="1"/>
    <col min="6144" max="6144" width="10.625" style="186" customWidth="1"/>
    <col min="6145" max="6154" width="9" style="186"/>
    <col min="6155" max="6156" width="2.625" style="186" customWidth="1"/>
    <col min="6157" max="6397" width="9" style="186"/>
    <col min="6398" max="6398" width="32.75" style="186" customWidth="1"/>
    <col min="6399" max="6399" width="49.625" style="186" customWidth="1"/>
    <col min="6400" max="6400" width="10.625" style="186" customWidth="1"/>
    <col min="6401" max="6410" width="9" style="186"/>
    <col min="6411" max="6412" width="2.625" style="186" customWidth="1"/>
    <col min="6413" max="6653" width="9" style="186"/>
    <col min="6654" max="6654" width="32.75" style="186" customWidth="1"/>
    <col min="6655" max="6655" width="49.625" style="186" customWidth="1"/>
    <col min="6656" max="6656" width="10.625" style="186" customWidth="1"/>
    <col min="6657" max="6666" width="9" style="186"/>
    <col min="6667" max="6668" width="2.625" style="186" customWidth="1"/>
    <col min="6669" max="6909" width="9" style="186"/>
    <col min="6910" max="6910" width="32.75" style="186" customWidth="1"/>
    <col min="6911" max="6911" width="49.625" style="186" customWidth="1"/>
    <col min="6912" max="6912" width="10.625" style="186" customWidth="1"/>
    <col min="6913" max="6922" width="9" style="186"/>
    <col min="6923" max="6924" width="2.625" style="186" customWidth="1"/>
    <col min="6925" max="7165" width="9" style="186"/>
    <col min="7166" max="7166" width="32.75" style="186" customWidth="1"/>
    <col min="7167" max="7167" width="49.625" style="186" customWidth="1"/>
    <col min="7168" max="7168" width="10.625" style="186" customWidth="1"/>
    <col min="7169" max="7178" width="9" style="186"/>
    <col min="7179" max="7180" width="2.625" style="186" customWidth="1"/>
    <col min="7181" max="7421" width="9" style="186"/>
    <col min="7422" max="7422" width="32.75" style="186" customWidth="1"/>
    <col min="7423" max="7423" width="49.625" style="186" customWidth="1"/>
    <col min="7424" max="7424" width="10.625" style="186" customWidth="1"/>
    <col min="7425" max="7434" width="9" style="186"/>
    <col min="7435" max="7436" width="2.625" style="186" customWidth="1"/>
    <col min="7437" max="7677" width="9" style="186"/>
    <col min="7678" max="7678" width="32.75" style="186" customWidth="1"/>
    <col min="7679" max="7679" width="49.625" style="186" customWidth="1"/>
    <col min="7680" max="7680" width="10.625" style="186" customWidth="1"/>
    <col min="7681" max="7690" width="9" style="186"/>
    <col min="7691" max="7692" width="2.625" style="186" customWidth="1"/>
    <col min="7693" max="7933" width="9" style="186"/>
    <col min="7934" max="7934" width="32.75" style="186" customWidth="1"/>
    <col min="7935" max="7935" width="49.625" style="186" customWidth="1"/>
    <col min="7936" max="7936" width="10.625" style="186" customWidth="1"/>
    <col min="7937" max="7946" width="9" style="186"/>
    <col min="7947" max="7948" width="2.625" style="186" customWidth="1"/>
    <col min="7949" max="8189" width="9" style="186"/>
    <col min="8190" max="8190" width="32.75" style="186" customWidth="1"/>
    <col min="8191" max="8191" width="49.625" style="186" customWidth="1"/>
    <col min="8192" max="8192" width="10.625" style="186" customWidth="1"/>
    <col min="8193" max="8202" width="9" style="186"/>
    <col min="8203" max="8204" width="2.625" style="186" customWidth="1"/>
    <col min="8205" max="8445" width="9" style="186"/>
    <col min="8446" max="8446" width="32.75" style="186" customWidth="1"/>
    <col min="8447" max="8447" width="49.625" style="186" customWidth="1"/>
    <col min="8448" max="8448" width="10.625" style="186" customWidth="1"/>
    <col min="8449" max="8458" width="9" style="186"/>
    <col min="8459" max="8460" width="2.625" style="186" customWidth="1"/>
    <col min="8461" max="8701" width="9" style="186"/>
    <col min="8702" max="8702" width="32.75" style="186" customWidth="1"/>
    <col min="8703" max="8703" width="49.625" style="186" customWidth="1"/>
    <col min="8704" max="8704" width="10.625" style="186" customWidth="1"/>
    <col min="8705" max="8714" width="9" style="186"/>
    <col min="8715" max="8716" width="2.625" style="186" customWidth="1"/>
    <col min="8717" max="8957" width="9" style="186"/>
    <col min="8958" max="8958" width="32.75" style="186" customWidth="1"/>
    <col min="8959" max="8959" width="49.625" style="186" customWidth="1"/>
    <col min="8960" max="8960" width="10.625" style="186" customWidth="1"/>
    <col min="8961" max="8970" width="9" style="186"/>
    <col min="8971" max="8972" width="2.625" style="186" customWidth="1"/>
    <col min="8973" max="9213" width="9" style="186"/>
    <col min="9214" max="9214" width="32.75" style="186" customWidth="1"/>
    <col min="9215" max="9215" width="49.625" style="186" customWidth="1"/>
    <col min="9216" max="9216" width="10.625" style="186" customWidth="1"/>
    <col min="9217" max="9226" width="9" style="186"/>
    <col min="9227" max="9228" width="2.625" style="186" customWidth="1"/>
    <col min="9229" max="9469" width="9" style="186"/>
    <col min="9470" max="9470" width="32.75" style="186" customWidth="1"/>
    <col min="9471" max="9471" width="49.625" style="186" customWidth="1"/>
    <col min="9472" max="9472" width="10.625" style="186" customWidth="1"/>
    <col min="9473" max="9482" width="9" style="186"/>
    <col min="9483" max="9484" width="2.625" style="186" customWidth="1"/>
    <col min="9485" max="9725" width="9" style="186"/>
    <col min="9726" max="9726" width="32.75" style="186" customWidth="1"/>
    <col min="9727" max="9727" width="49.625" style="186" customWidth="1"/>
    <col min="9728" max="9728" width="10.625" style="186" customWidth="1"/>
    <col min="9729" max="9738" width="9" style="186"/>
    <col min="9739" max="9740" width="2.625" style="186" customWidth="1"/>
    <col min="9741" max="9981" width="9" style="186"/>
    <col min="9982" max="9982" width="32.75" style="186" customWidth="1"/>
    <col min="9983" max="9983" width="49.625" style="186" customWidth="1"/>
    <col min="9984" max="9984" width="10.625" style="186" customWidth="1"/>
    <col min="9985" max="9994" width="9" style="186"/>
    <col min="9995" max="9996" width="2.625" style="186" customWidth="1"/>
    <col min="9997" max="10237" width="9" style="186"/>
    <col min="10238" max="10238" width="32.75" style="186" customWidth="1"/>
    <col min="10239" max="10239" width="49.625" style="186" customWidth="1"/>
    <col min="10240" max="10240" width="10.625" style="186" customWidth="1"/>
    <col min="10241" max="10250" width="9" style="186"/>
    <col min="10251" max="10252" width="2.625" style="186" customWidth="1"/>
    <col min="10253" max="10493" width="9" style="186"/>
    <col min="10494" max="10494" width="32.75" style="186" customWidth="1"/>
    <col min="10495" max="10495" width="49.625" style="186" customWidth="1"/>
    <col min="10496" max="10496" width="10.625" style="186" customWidth="1"/>
    <col min="10497" max="10506" width="9" style="186"/>
    <col min="10507" max="10508" width="2.625" style="186" customWidth="1"/>
    <col min="10509" max="10749" width="9" style="186"/>
    <col min="10750" max="10750" width="32.75" style="186" customWidth="1"/>
    <col min="10751" max="10751" width="49.625" style="186" customWidth="1"/>
    <col min="10752" max="10752" width="10.625" style="186" customWidth="1"/>
    <col min="10753" max="10762" width="9" style="186"/>
    <col min="10763" max="10764" width="2.625" style="186" customWidth="1"/>
    <col min="10765" max="11005" width="9" style="186"/>
    <col min="11006" max="11006" width="32.75" style="186" customWidth="1"/>
    <col min="11007" max="11007" width="49.625" style="186" customWidth="1"/>
    <col min="11008" max="11008" width="10.625" style="186" customWidth="1"/>
    <col min="11009" max="11018" width="9" style="186"/>
    <col min="11019" max="11020" width="2.625" style="186" customWidth="1"/>
    <col min="11021" max="11261" width="9" style="186"/>
    <col min="11262" max="11262" width="32.75" style="186" customWidth="1"/>
    <col min="11263" max="11263" width="49.625" style="186" customWidth="1"/>
    <col min="11264" max="11264" width="10.625" style="186" customWidth="1"/>
    <col min="11265" max="11274" width="9" style="186"/>
    <col min="11275" max="11276" width="2.625" style="186" customWidth="1"/>
    <col min="11277" max="11517" width="9" style="186"/>
    <col min="11518" max="11518" width="32.75" style="186" customWidth="1"/>
    <col min="11519" max="11519" width="49.625" style="186" customWidth="1"/>
    <col min="11520" max="11520" width="10.625" style="186" customWidth="1"/>
    <col min="11521" max="11530" width="9" style="186"/>
    <col min="11531" max="11532" width="2.625" style="186" customWidth="1"/>
    <col min="11533" max="11773" width="9" style="186"/>
    <col min="11774" max="11774" width="32.75" style="186" customWidth="1"/>
    <col min="11775" max="11775" width="49.625" style="186" customWidth="1"/>
    <col min="11776" max="11776" width="10.625" style="186" customWidth="1"/>
    <col min="11777" max="11786" width="9" style="186"/>
    <col min="11787" max="11788" width="2.625" style="186" customWidth="1"/>
    <col min="11789" max="12029" width="9" style="186"/>
    <col min="12030" max="12030" width="32.75" style="186" customWidth="1"/>
    <col min="12031" max="12031" width="49.625" style="186" customWidth="1"/>
    <col min="12032" max="12032" width="10.625" style="186" customWidth="1"/>
    <col min="12033" max="12042" width="9" style="186"/>
    <col min="12043" max="12044" width="2.625" style="186" customWidth="1"/>
    <col min="12045" max="12285" width="9" style="186"/>
    <col min="12286" max="12286" width="32.75" style="186" customWidth="1"/>
    <col min="12287" max="12287" width="49.625" style="186" customWidth="1"/>
    <col min="12288" max="12288" width="10.625" style="186" customWidth="1"/>
    <col min="12289" max="12298" width="9" style="186"/>
    <col min="12299" max="12300" width="2.625" style="186" customWidth="1"/>
    <col min="12301" max="12541" width="9" style="186"/>
    <col min="12542" max="12542" width="32.75" style="186" customWidth="1"/>
    <col min="12543" max="12543" width="49.625" style="186" customWidth="1"/>
    <col min="12544" max="12544" width="10.625" style="186" customWidth="1"/>
    <col min="12545" max="12554" width="9" style="186"/>
    <col min="12555" max="12556" width="2.625" style="186" customWidth="1"/>
    <col min="12557" max="12797" width="9" style="186"/>
    <col min="12798" max="12798" width="32.75" style="186" customWidth="1"/>
    <col min="12799" max="12799" width="49.625" style="186" customWidth="1"/>
    <col min="12800" max="12800" width="10.625" style="186" customWidth="1"/>
    <col min="12801" max="12810" width="9" style="186"/>
    <col min="12811" max="12812" width="2.625" style="186" customWidth="1"/>
    <col min="12813" max="13053" width="9" style="186"/>
    <col min="13054" max="13054" width="32.75" style="186" customWidth="1"/>
    <col min="13055" max="13055" width="49.625" style="186" customWidth="1"/>
    <col min="13056" max="13056" width="10.625" style="186" customWidth="1"/>
    <col min="13057" max="13066" width="9" style="186"/>
    <col min="13067" max="13068" width="2.625" style="186" customWidth="1"/>
    <col min="13069" max="13309" width="9" style="186"/>
    <col min="13310" max="13310" width="32.75" style="186" customWidth="1"/>
    <col min="13311" max="13311" width="49.625" style="186" customWidth="1"/>
    <col min="13312" max="13312" width="10.625" style="186" customWidth="1"/>
    <col min="13313" max="13322" width="9" style="186"/>
    <col min="13323" max="13324" width="2.625" style="186" customWidth="1"/>
    <col min="13325" max="13565" width="9" style="186"/>
    <col min="13566" max="13566" width="32.75" style="186" customWidth="1"/>
    <col min="13567" max="13567" width="49.625" style="186" customWidth="1"/>
    <col min="13568" max="13568" width="10.625" style="186" customWidth="1"/>
    <col min="13569" max="13578" width="9" style="186"/>
    <col min="13579" max="13580" width="2.625" style="186" customWidth="1"/>
    <col min="13581" max="13821" width="9" style="186"/>
    <col min="13822" max="13822" width="32.75" style="186" customWidth="1"/>
    <col min="13823" max="13823" width="49.625" style="186" customWidth="1"/>
    <col min="13824" max="13824" width="10.625" style="186" customWidth="1"/>
    <col min="13825" max="13834" width="9" style="186"/>
    <col min="13835" max="13836" width="2.625" style="186" customWidth="1"/>
    <col min="13837" max="14077" width="9" style="186"/>
    <col min="14078" max="14078" width="32.75" style="186" customWidth="1"/>
    <col min="14079" max="14079" width="49.625" style="186" customWidth="1"/>
    <col min="14080" max="14080" width="10.625" style="186" customWidth="1"/>
    <col min="14081" max="14090" width="9" style="186"/>
    <col min="14091" max="14092" width="2.625" style="186" customWidth="1"/>
    <col min="14093" max="14333" width="9" style="186"/>
    <col min="14334" max="14334" width="32.75" style="186" customWidth="1"/>
    <col min="14335" max="14335" width="49.625" style="186" customWidth="1"/>
    <col min="14336" max="14336" width="10.625" style="186" customWidth="1"/>
    <col min="14337" max="14346" width="9" style="186"/>
    <col min="14347" max="14348" width="2.625" style="186" customWidth="1"/>
    <col min="14349" max="14589" width="9" style="186"/>
    <col min="14590" max="14590" width="32.75" style="186" customWidth="1"/>
    <col min="14591" max="14591" width="49.625" style="186" customWidth="1"/>
    <col min="14592" max="14592" width="10.625" style="186" customWidth="1"/>
    <col min="14593" max="14602" width="9" style="186"/>
    <col min="14603" max="14604" width="2.625" style="186" customWidth="1"/>
    <col min="14605" max="14845" width="9" style="186"/>
    <col min="14846" max="14846" width="32.75" style="186" customWidth="1"/>
    <col min="14847" max="14847" width="49.625" style="186" customWidth="1"/>
    <col min="14848" max="14848" width="10.625" style="186" customWidth="1"/>
    <col min="14849" max="14858" width="9" style="186"/>
    <col min="14859" max="14860" width="2.625" style="186" customWidth="1"/>
    <col min="14861" max="15101" width="9" style="186"/>
    <col min="15102" max="15102" width="32.75" style="186" customWidth="1"/>
    <col min="15103" max="15103" width="49.625" style="186" customWidth="1"/>
    <col min="15104" max="15104" width="10.625" style="186" customWidth="1"/>
    <col min="15105" max="15114" width="9" style="186"/>
    <col min="15115" max="15116" width="2.625" style="186" customWidth="1"/>
    <col min="15117" max="15357" width="9" style="186"/>
    <col min="15358" max="15358" width="32.75" style="186" customWidth="1"/>
    <col min="15359" max="15359" width="49.625" style="186" customWidth="1"/>
    <col min="15360" max="15360" width="10.625" style="186" customWidth="1"/>
    <col min="15361" max="15370" width="9" style="186"/>
    <col min="15371" max="15372" width="2.625" style="186" customWidth="1"/>
    <col min="15373" max="15613" width="9" style="186"/>
    <col min="15614" max="15614" width="32.75" style="186" customWidth="1"/>
    <col min="15615" max="15615" width="49.625" style="186" customWidth="1"/>
    <col min="15616" max="15616" width="10.625" style="186" customWidth="1"/>
    <col min="15617" max="15626" width="9" style="186"/>
    <col min="15627" max="15628" width="2.625" style="186" customWidth="1"/>
    <col min="15629" max="15869" width="9" style="186"/>
    <col min="15870" max="15870" width="32.75" style="186" customWidth="1"/>
    <col min="15871" max="15871" width="49.625" style="186" customWidth="1"/>
    <col min="15872" max="15872" width="10.625" style="186" customWidth="1"/>
    <col min="15873" max="15882" width="9" style="186"/>
    <col min="15883" max="15884" width="2.625" style="186" customWidth="1"/>
    <col min="15885" max="16125" width="9" style="186"/>
    <col min="16126" max="16126" width="32.75" style="186" customWidth="1"/>
    <col min="16127" max="16127" width="49.625" style="186" customWidth="1"/>
    <col min="16128" max="16128" width="10.625" style="186" customWidth="1"/>
    <col min="16129" max="16138" width="9" style="186"/>
    <col min="16139" max="16140" width="2.625" style="186" customWidth="1"/>
    <col min="16141" max="16384" width="9" style="186"/>
  </cols>
  <sheetData>
    <row r="1" spans="1:38">
      <c r="A1" s="184" t="s">
        <v>575</v>
      </c>
      <c r="B1" s="185"/>
      <c r="C1" s="185"/>
      <c r="D1" s="185"/>
      <c r="E1" s="185"/>
      <c r="F1" s="185"/>
      <c r="G1" s="185"/>
      <c r="H1" s="185"/>
      <c r="I1" s="185"/>
      <c r="J1" s="185"/>
      <c r="K1" s="185"/>
      <c r="L1" s="185"/>
      <c r="M1" s="185"/>
    </row>
    <row r="2" spans="1:38">
      <c r="A2" s="187" t="s">
        <v>576</v>
      </c>
      <c r="B2" s="188"/>
      <c r="C2" s="188"/>
      <c r="D2" s="188"/>
      <c r="E2" s="188"/>
      <c r="F2" s="188"/>
      <c r="G2" s="188"/>
      <c r="H2" s="188"/>
      <c r="I2" s="188"/>
      <c r="J2" s="188"/>
      <c r="K2" s="188"/>
      <c r="L2" s="188"/>
      <c r="M2" s="188"/>
      <c r="N2" s="184" t="s">
        <v>558</v>
      </c>
      <c r="O2" s="185"/>
      <c r="P2" s="185"/>
      <c r="Q2" s="185"/>
      <c r="R2" s="185"/>
      <c r="S2" s="185"/>
      <c r="T2" s="185"/>
      <c r="U2" s="185"/>
      <c r="V2" s="185"/>
      <c r="W2" s="185"/>
      <c r="X2" s="185"/>
      <c r="Y2" s="185"/>
      <c r="Z2" s="185"/>
      <c r="AA2" s="184" t="s">
        <v>570</v>
      </c>
      <c r="AB2" s="185"/>
      <c r="AC2" s="185"/>
      <c r="AD2" s="185"/>
      <c r="AE2" s="185"/>
      <c r="AF2" s="185"/>
      <c r="AG2" s="185"/>
      <c r="AH2" s="185"/>
      <c r="AI2" s="185"/>
      <c r="AJ2" s="185"/>
      <c r="AK2" s="185"/>
      <c r="AL2" s="185"/>
    </row>
    <row r="3" spans="1:38" ht="54.75" customHeight="1">
      <c r="A3" s="189" t="s">
        <v>489</v>
      </c>
      <c r="B3" s="190" t="s">
        <v>490</v>
      </c>
      <c r="C3" s="191" t="s">
        <v>491</v>
      </c>
      <c r="D3" s="191" t="s">
        <v>492</v>
      </c>
      <c r="E3" s="191" t="s">
        <v>493</v>
      </c>
      <c r="F3" s="191" t="s">
        <v>494</v>
      </c>
      <c r="G3" s="191" t="s">
        <v>577</v>
      </c>
      <c r="H3" s="191" t="s">
        <v>495</v>
      </c>
      <c r="I3" s="191" t="s">
        <v>496</v>
      </c>
      <c r="J3" s="191" t="s">
        <v>497</v>
      </c>
      <c r="K3" s="191" t="s">
        <v>498</v>
      </c>
      <c r="L3" s="191" t="s">
        <v>499</v>
      </c>
      <c r="M3" s="192" t="s">
        <v>500</v>
      </c>
      <c r="N3" s="189" t="s">
        <v>489</v>
      </c>
      <c r="O3" s="190" t="s">
        <v>490</v>
      </c>
      <c r="P3" s="191" t="s">
        <v>559</v>
      </c>
      <c r="Q3" s="191" t="s">
        <v>560</v>
      </c>
      <c r="R3" s="191" t="s">
        <v>561</v>
      </c>
      <c r="S3" s="191" t="s">
        <v>562</v>
      </c>
      <c r="T3" s="191" t="s">
        <v>563</v>
      </c>
      <c r="U3" s="191" t="s">
        <v>564</v>
      </c>
      <c r="V3" s="191" t="s">
        <v>565</v>
      </c>
      <c r="W3" s="191" t="s">
        <v>566</v>
      </c>
      <c r="X3" s="191" t="s">
        <v>567</v>
      </c>
      <c r="Y3" s="191" t="s">
        <v>568</v>
      </c>
      <c r="Z3" s="192" t="s">
        <v>569</v>
      </c>
      <c r="AA3" s="189" t="s">
        <v>489</v>
      </c>
      <c r="AB3" s="190" t="s">
        <v>490</v>
      </c>
      <c r="AC3" s="191" t="s">
        <v>571</v>
      </c>
      <c r="AD3" s="191" t="s">
        <v>572</v>
      </c>
      <c r="AE3" s="191" t="s">
        <v>594</v>
      </c>
      <c r="AF3" s="191" t="s">
        <v>595</v>
      </c>
      <c r="AG3" s="191" t="s">
        <v>596</v>
      </c>
      <c r="AH3" s="191" t="s">
        <v>597</v>
      </c>
      <c r="AI3" s="191" t="s">
        <v>598</v>
      </c>
      <c r="AJ3" s="191" t="s">
        <v>599</v>
      </c>
      <c r="AK3" s="191" t="s">
        <v>573</v>
      </c>
      <c r="AL3" s="192" t="s">
        <v>600</v>
      </c>
    </row>
    <row r="4" spans="1:38">
      <c r="A4" s="193" t="s">
        <v>501</v>
      </c>
      <c r="B4" s="194" t="s">
        <v>502</v>
      </c>
      <c r="C4" s="210">
        <v>405537.18</v>
      </c>
      <c r="D4" s="203">
        <v>404267.01</v>
      </c>
      <c r="E4" s="203">
        <v>1359.01</v>
      </c>
      <c r="F4" s="203">
        <v>-70</v>
      </c>
      <c r="G4" s="203">
        <v>-18.84</v>
      </c>
      <c r="H4" s="195"/>
      <c r="I4" s="203">
        <v>-762.13</v>
      </c>
      <c r="J4" s="195"/>
      <c r="K4" s="195"/>
      <c r="L4" s="195"/>
      <c r="M4" s="195"/>
      <c r="N4" s="193" t="s">
        <v>501</v>
      </c>
      <c r="O4" s="194" t="s">
        <v>502</v>
      </c>
      <c r="P4" s="208"/>
      <c r="Q4" s="203">
        <v>66900.850000000006</v>
      </c>
      <c r="R4" s="203">
        <v>68007.48</v>
      </c>
      <c r="S4" s="203">
        <v>-1190.4100000000001</v>
      </c>
      <c r="T4" s="203">
        <v>-1319.79</v>
      </c>
      <c r="U4" s="203">
        <v>-1948.68</v>
      </c>
      <c r="V4" s="203">
        <v>344.98</v>
      </c>
      <c r="W4" s="203">
        <v>657.9</v>
      </c>
      <c r="X4" s="203">
        <v>17.850000000000001</v>
      </c>
      <c r="Y4" s="203">
        <v>-35.93</v>
      </c>
      <c r="Z4" s="203">
        <v>4.32</v>
      </c>
      <c r="AA4" s="193" t="s">
        <v>501</v>
      </c>
      <c r="AB4" s="194" t="s">
        <v>502</v>
      </c>
      <c r="AC4" s="210">
        <v>274.38</v>
      </c>
      <c r="AD4" s="203">
        <v>590.41999999999996</v>
      </c>
      <c r="AE4" s="203">
        <v>1950.61</v>
      </c>
      <c r="AF4" s="195"/>
      <c r="AG4" s="203">
        <v>-452.28</v>
      </c>
      <c r="AH4" s="203">
        <v>2227.84</v>
      </c>
      <c r="AI4" s="203">
        <v>6011.71</v>
      </c>
      <c r="AJ4" s="195"/>
      <c r="AK4" s="203">
        <v>22664.83</v>
      </c>
      <c r="AL4" s="203">
        <v>7164.43</v>
      </c>
    </row>
    <row r="5" spans="1:38">
      <c r="A5" s="184" t="s">
        <v>503</v>
      </c>
      <c r="B5" s="196" t="s">
        <v>504</v>
      </c>
      <c r="C5" s="211">
        <v>384633.2</v>
      </c>
      <c r="D5" s="204">
        <v>384633.2</v>
      </c>
      <c r="E5" s="197"/>
      <c r="F5" s="197"/>
      <c r="G5" s="197"/>
      <c r="H5" s="197"/>
      <c r="I5" s="197"/>
      <c r="J5" s="197"/>
      <c r="K5" s="197"/>
      <c r="L5" s="197"/>
      <c r="M5" s="197"/>
      <c r="N5" s="184" t="s">
        <v>503</v>
      </c>
      <c r="O5" s="196" t="s">
        <v>504</v>
      </c>
      <c r="P5" s="209"/>
      <c r="Q5" s="204">
        <v>19101.41</v>
      </c>
      <c r="R5" s="204">
        <v>19101.41</v>
      </c>
      <c r="S5" s="197"/>
      <c r="T5" s="197"/>
      <c r="U5" s="197"/>
      <c r="V5" s="197"/>
      <c r="W5" s="197"/>
      <c r="X5" s="197"/>
      <c r="Y5" s="197"/>
      <c r="Z5" s="197"/>
      <c r="AA5" s="184" t="s">
        <v>503</v>
      </c>
      <c r="AB5" s="196" t="s">
        <v>504</v>
      </c>
      <c r="AC5" s="209"/>
      <c r="AD5" s="197"/>
      <c r="AE5" s="197"/>
      <c r="AF5" s="197"/>
      <c r="AG5" s="197"/>
      <c r="AH5" s="204">
        <v>1761.74</v>
      </c>
      <c r="AI5" s="197"/>
      <c r="AJ5" s="197"/>
      <c r="AK5" s="204">
        <v>22832.799999999999</v>
      </c>
      <c r="AL5" s="204">
        <v>7164.43</v>
      </c>
    </row>
    <row r="6" spans="1:38">
      <c r="A6" s="184" t="s">
        <v>505</v>
      </c>
      <c r="B6" s="196" t="s">
        <v>506</v>
      </c>
      <c r="C6" s="209"/>
      <c r="D6" s="197"/>
      <c r="E6" s="197"/>
      <c r="F6" s="197"/>
      <c r="G6" s="197"/>
      <c r="H6" s="197"/>
      <c r="I6" s="197"/>
      <c r="J6" s="197"/>
      <c r="K6" s="197"/>
      <c r="L6" s="197"/>
      <c r="M6" s="197"/>
      <c r="N6" s="184" t="s">
        <v>505</v>
      </c>
      <c r="O6" s="196" t="s">
        <v>506</v>
      </c>
      <c r="P6" s="209"/>
      <c r="Q6" s="197"/>
      <c r="R6" s="197"/>
      <c r="S6" s="197"/>
      <c r="T6" s="197"/>
      <c r="U6" s="197"/>
      <c r="V6" s="197"/>
      <c r="W6" s="197"/>
      <c r="X6" s="197"/>
      <c r="Y6" s="197"/>
      <c r="Z6" s="197"/>
      <c r="AA6" s="184" t="s">
        <v>505</v>
      </c>
      <c r="AB6" s="196" t="s">
        <v>506</v>
      </c>
      <c r="AC6" s="209"/>
      <c r="AD6" s="197"/>
      <c r="AE6" s="197"/>
      <c r="AF6" s="197"/>
      <c r="AG6" s="197"/>
      <c r="AH6" s="197"/>
      <c r="AI6" s="197"/>
      <c r="AJ6" s="197"/>
      <c r="AK6" s="204">
        <v>13044.38</v>
      </c>
      <c r="AL6" s="197"/>
    </row>
    <row r="7" spans="1:38">
      <c r="A7" s="184" t="s">
        <v>507</v>
      </c>
      <c r="B7" s="196" t="s">
        <v>508</v>
      </c>
      <c r="C7" s="209"/>
      <c r="D7" s="197"/>
      <c r="E7" s="197"/>
      <c r="F7" s="197"/>
      <c r="G7" s="197"/>
      <c r="H7" s="197"/>
      <c r="I7" s="197"/>
      <c r="J7" s="197"/>
      <c r="K7" s="197"/>
      <c r="L7" s="197"/>
      <c r="M7" s="197"/>
      <c r="N7" s="184" t="s">
        <v>507</v>
      </c>
      <c r="O7" s="196" t="s">
        <v>508</v>
      </c>
      <c r="P7" s="209"/>
      <c r="Q7" s="197"/>
      <c r="R7" s="197"/>
      <c r="S7" s="197"/>
      <c r="T7" s="197"/>
      <c r="U7" s="197"/>
      <c r="V7" s="197"/>
      <c r="W7" s="197"/>
      <c r="X7" s="197"/>
      <c r="Y7" s="197"/>
      <c r="Z7" s="197"/>
      <c r="AA7" s="184" t="s">
        <v>507</v>
      </c>
      <c r="AB7" s="196" t="s">
        <v>508</v>
      </c>
      <c r="AC7" s="209"/>
      <c r="AD7" s="197"/>
      <c r="AE7" s="197"/>
      <c r="AF7" s="197"/>
      <c r="AG7" s="197"/>
      <c r="AH7" s="197"/>
      <c r="AI7" s="197"/>
      <c r="AJ7" s="197"/>
      <c r="AK7" s="204">
        <v>3483.55</v>
      </c>
      <c r="AL7" s="197"/>
    </row>
    <row r="8" spans="1:38">
      <c r="A8" s="184" t="s">
        <v>509</v>
      </c>
      <c r="B8" s="196" t="s">
        <v>510</v>
      </c>
      <c r="C8" s="209"/>
      <c r="D8" s="197"/>
      <c r="E8" s="197"/>
      <c r="F8" s="197"/>
      <c r="G8" s="197"/>
      <c r="H8" s="197"/>
      <c r="I8" s="197"/>
      <c r="J8" s="197"/>
      <c r="K8" s="197"/>
      <c r="L8" s="197"/>
      <c r="M8" s="197"/>
      <c r="N8" s="184" t="s">
        <v>509</v>
      </c>
      <c r="O8" s="196" t="s">
        <v>510</v>
      </c>
      <c r="P8" s="209"/>
      <c r="Q8" s="197"/>
      <c r="R8" s="197"/>
      <c r="S8" s="197"/>
      <c r="T8" s="197"/>
      <c r="U8" s="197"/>
      <c r="V8" s="197"/>
      <c r="W8" s="197"/>
      <c r="X8" s="197"/>
      <c r="Y8" s="197"/>
      <c r="Z8" s="197"/>
      <c r="AA8" s="184" t="s">
        <v>509</v>
      </c>
      <c r="AB8" s="196" t="s">
        <v>510</v>
      </c>
      <c r="AC8" s="209"/>
      <c r="AD8" s="197"/>
      <c r="AE8" s="197"/>
      <c r="AF8" s="197"/>
      <c r="AG8" s="197"/>
      <c r="AH8" s="197"/>
      <c r="AI8" s="197"/>
      <c r="AJ8" s="197"/>
      <c r="AK8" s="204">
        <v>4060.32</v>
      </c>
      <c r="AL8" s="197"/>
    </row>
    <row r="9" spans="1:38">
      <c r="A9" s="184" t="s">
        <v>511</v>
      </c>
      <c r="B9" s="196" t="s">
        <v>512</v>
      </c>
      <c r="C9" s="211">
        <v>29976.880000000001</v>
      </c>
      <c r="D9" s="204">
        <v>29976.880000000001</v>
      </c>
      <c r="E9" s="197"/>
      <c r="F9" s="197"/>
      <c r="G9" s="197"/>
      <c r="H9" s="197"/>
      <c r="I9" s="204">
        <v>52.3</v>
      </c>
      <c r="J9" s="197"/>
      <c r="K9" s="197"/>
      <c r="L9" s="197"/>
      <c r="M9" s="197"/>
      <c r="N9" s="184" t="s">
        <v>511</v>
      </c>
      <c r="O9" s="196" t="s">
        <v>512</v>
      </c>
      <c r="P9" s="209"/>
      <c r="Q9" s="204">
        <v>56970.47</v>
      </c>
      <c r="R9" s="204">
        <v>50567.6</v>
      </c>
      <c r="S9" s="204">
        <v>33.340000000000003</v>
      </c>
      <c r="T9" s="204">
        <v>366.75</v>
      </c>
      <c r="U9" s="204">
        <v>119.02</v>
      </c>
      <c r="V9" s="204">
        <v>1485.51</v>
      </c>
      <c r="W9" s="204">
        <v>702.22</v>
      </c>
      <c r="X9" s="204">
        <v>29.16</v>
      </c>
      <c r="Y9" s="204">
        <v>9.85</v>
      </c>
      <c r="Z9" s="204">
        <v>3.77</v>
      </c>
      <c r="AA9" s="184" t="s">
        <v>511</v>
      </c>
      <c r="AB9" s="196" t="s">
        <v>512</v>
      </c>
      <c r="AC9" s="211">
        <v>428.39</v>
      </c>
      <c r="AD9" s="204">
        <v>830.52</v>
      </c>
      <c r="AE9" s="204">
        <v>2109.33</v>
      </c>
      <c r="AF9" s="197"/>
      <c r="AG9" s="204">
        <v>285</v>
      </c>
      <c r="AH9" s="204">
        <v>501.14</v>
      </c>
      <c r="AI9" s="204">
        <v>6019.12</v>
      </c>
      <c r="AJ9" s="197"/>
      <c r="AK9" s="204">
        <v>48.58</v>
      </c>
      <c r="AL9" s="197"/>
    </row>
    <row r="10" spans="1:38">
      <c r="A10" s="184" t="s">
        <v>578</v>
      </c>
      <c r="B10" s="196" t="s">
        <v>579</v>
      </c>
      <c r="C10" s="209"/>
      <c r="D10" s="197"/>
      <c r="E10" s="197"/>
      <c r="F10" s="197"/>
      <c r="G10" s="197"/>
      <c r="H10" s="197"/>
      <c r="I10" s="197"/>
      <c r="J10" s="197"/>
      <c r="K10" s="197"/>
      <c r="L10" s="197"/>
      <c r="M10" s="197"/>
      <c r="N10" s="184" t="s">
        <v>578</v>
      </c>
      <c r="O10" s="196" t="s">
        <v>579</v>
      </c>
      <c r="P10" s="209"/>
      <c r="Q10" s="204">
        <v>1131.69</v>
      </c>
      <c r="R10" s="197"/>
      <c r="S10" s="197"/>
      <c r="T10" s="204">
        <v>563.28</v>
      </c>
      <c r="U10" s="204">
        <v>25.44</v>
      </c>
      <c r="V10" s="204">
        <v>542.97</v>
      </c>
      <c r="W10" s="197"/>
      <c r="X10" s="197"/>
      <c r="Y10" s="197"/>
      <c r="Z10" s="197"/>
      <c r="AA10" s="184" t="s">
        <v>578</v>
      </c>
      <c r="AB10" s="196" t="s">
        <v>579</v>
      </c>
      <c r="AC10" s="209"/>
      <c r="AD10" s="197"/>
      <c r="AE10" s="197"/>
      <c r="AF10" s="197"/>
      <c r="AG10" s="197"/>
      <c r="AH10" s="197"/>
      <c r="AI10" s="197"/>
      <c r="AJ10" s="197"/>
      <c r="AK10" s="197"/>
      <c r="AL10" s="197"/>
    </row>
    <row r="11" spans="1:38">
      <c r="A11" s="184" t="s">
        <v>513</v>
      </c>
      <c r="B11" s="196" t="s">
        <v>580</v>
      </c>
      <c r="C11" s="211">
        <v>602.86</v>
      </c>
      <c r="D11" s="204">
        <v>599.37</v>
      </c>
      <c r="E11" s="197"/>
      <c r="F11" s="197"/>
      <c r="G11" s="204">
        <v>3.5</v>
      </c>
      <c r="H11" s="197"/>
      <c r="I11" s="204">
        <v>652.26</v>
      </c>
      <c r="J11" s="197"/>
      <c r="K11" s="197"/>
      <c r="L11" s="197"/>
      <c r="M11" s="197"/>
      <c r="N11" s="184" t="s">
        <v>513</v>
      </c>
      <c r="O11" s="196" t="s">
        <v>580</v>
      </c>
      <c r="P11" s="209"/>
      <c r="Q11" s="204">
        <v>7251.41</v>
      </c>
      <c r="R11" s="204">
        <v>81</v>
      </c>
      <c r="S11" s="204">
        <v>1637.06</v>
      </c>
      <c r="T11" s="204">
        <v>1761.48</v>
      </c>
      <c r="U11" s="204">
        <v>2138.2600000000002</v>
      </c>
      <c r="V11" s="204">
        <v>1117.6600000000001</v>
      </c>
      <c r="W11" s="197"/>
      <c r="X11" s="204">
        <v>11.25</v>
      </c>
      <c r="Y11" s="204">
        <v>60.17</v>
      </c>
      <c r="Z11" s="204">
        <v>0.26</v>
      </c>
      <c r="AA11" s="184" t="s">
        <v>513</v>
      </c>
      <c r="AB11" s="196" t="s">
        <v>580</v>
      </c>
      <c r="AC11" s="211">
        <v>65.62</v>
      </c>
      <c r="AD11" s="204">
        <v>228.96</v>
      </c>
      <c r="AE11" s="204">
        <v>140.88999999999999</v>
      </c>
      <c r="AF11" s="197"/>
      <c r="AG11" s="204">
        <v>8.7899999999999991</v>
      </c>
      <c r="AH11" s="204">
        <v>35.03</v>
      </c>
      <c r="AI11" s="204">
        <v>7.4</v>
      </c>
      <c r="AJ11" s="197"/>
      <c r="AK11" s="204">
        <v>216.55</v>
      </c>
      <c r="AL11" s="197"/>
    </row>
    <row r="12" spans="1:38">
      <c r="A12" s="184" t="s">
        <v>581</v>
      </c>
      <c r="B12" s="196" t="s">
        <v>582</v>
      </c>
      <c r="C12" s="209"/>
      <c r="D12" s="197"/>
      <c r="E12" s="197"/>
      <c r="F12" s="197"/>
      <c r="G12" s="197"/>
      <c r="H12" s="197"/>
      <c r="I12" s="197"/>
      <c r="J12" s="197"/>
      <c r="K12" s="197"/>
      <c r="L12" s="197"/>
      <c r="M12" s="197"/>
      <c r="N12" s="184" t="s">
        <v>581</v>
      </c>
      <c r="O12" s="196" t="s">
        <v>582</v>
      </c>
      <c r="P12" s="209"/>
      <c r="Q12" s="204">
        <v>959.95</v>
      </c>
      <c r="R12" s="197"/>
      <c r="S12" s="197"/>
      <c r="T12" s="204">
        <v>478.33</v>
      </c>
      <c r="U12" s="204">
        <v>50.81</v>
      </c>
      <c r="V12" s="204">
        <v>430.81</v>
      </c>
      <c r="W12" s="197"/>
      <c r="X12" s="197"/>
      <c r="Y12" s="197"/>
      <c r="Z12" s="197"/>
      <c r="AA12" s="184" t="s">
        <v>581</v>
      </c>
      <c r="AB12" s="196" t="s">
        <v>582</v>
      </c>
      <c r="AC12" s="209"/>
      <c r="AD12" s="197"/>
      <c r="AE12" s="197"/>
      <c r="AF12" s="197"/>
      <c r="AG12" s="197"/>
      <c r="AH12" s="197"/>
      <c r="AI12" s="197"/>
      <c r="AJ12" s="197"/>
      <c r="AK12" s="197"/>
      <c r="AL12" s="197"/>
    </row>
    <row r="13" spans="1:38">
      <c r="A13" s="184" t="s">
        <v>514</v>
      </c>
      <c r="B13" s="196" t="s">
        <v>515</v>
      </c>
      <c r="C13" s="211">
        <v>-8470.0400000000009</v>
      </c>
      <c r="D13" s="204">
        <v>-9743.7099999999991</v>
      </c>
      <c r="E13" s="204">
        <v>1359.01</v>
      </c>
      <c r="F13" s="204">
        <v>-70</v>
      </c>
      <c r="G13" s="204">
        <v>-15.34</v>
      </c>
      <c r="H13" s="197"/>
      <c r="I13" s="204">
        <v>-162.16999999999999</v>
      </c>
      <c r="J13" s="197"/>
      <c r="K13" s="197"/>
      <c r="L13" s="197"/>
      <c r="M13" s="197"/>
      <c r="N13" s="184" t="s">
        <v>514</v>
      </c>
      <c r="O13" s="196" t="s">
        <v>515</v>
      </c>
      <c r="P13" s="209"/>
      <c r="Q13" s="204">
        <v>-2091.35</v>
      </c>
      <c r="R13" s="204">
        <v>-1580.53</v>
      </c>
      <c r="S13" s="204">
        <v>413.31</v>
      </c>
      <c r="T13" s="204">
        <v>-10.02</v>
      </c>
      <c r="U13" s="204">
        <v>95.93</v>
      </c>
      <c r="V13" s="204">
        <v>-135.04</v>
      </c>
      <c r="W13" s="204">
        <v>-44.32</v>
      </c>
      <c r="X13" s="204">
        <v>-0.06</v>
      </c>
      <c r="Y13" s="204">
        <v>14.39</v>
      </c>
      <c r="Z13" s="204">
        <v>0.81</v>
      </c>
      <c r="AA13" s="184" t="s">
        <v>514</v>
      </c>
      <c r="AB13" s="196" t="s">
        <v>515</v>
      </c>
      <c r="AC13" s="211">
        <v>-88.39</v>
      </c>
      <c r="AD13" s="204">
        <v>-11.13</v>
      </c>
      <c r="AE13" s="204">
        <v>-17.829999999999998</v>
      </c>
      <c r="AF13" s="197"/>
      <c r="AG13" s="204">
        <v>-728.49</v>
      </c>
      <c r="AH13" s="197"/>
      <c r="AI13" s="197"/>
      <c r="AJ13" s="197"/>
      <c r="AK13" s="197"/>
      <c r="AL13" s="197"/>
    </row>
    <row r="14" spans="1:38">
      <c r="A14" s="198" t="s">
        <v>516</v>
      </c>
      <c r="B14" s="199" t="s">
        <v>583</v>
      </c>
      <c r="C14" s="211">
        <v>-328465.28999999998</v>
      </c>
      <c r="D14" s="204">
        <v>-341871.85</v>
      </c>
      <c r="E14" s="204">
        <v>-1847.3</v>
      </c>
      <c r="F14" s="204">
        <v>13863.38</v>
      </c>
      <c r="G14" s="204">
        <v>1390.48</v>
      </c>
      <c r="H14" s="204">
        <v>-16.05</v>
      </c>
      <c r="I14" s="204">
        <v>47206.48</v>
      </c>
      <c r="J14" s="204">
        <v>685.06</v>
      </c>
      <c r="K14" s="204">
        <v>8106.13</v>
      </c>
      <c r="L14" s="204">
        <v>587.04</v>
      </c>
      <c r="M14" s="204">
        <v>183.26</v>
      </c>
      <c r="N14" s="198" t="s">
        <v>516</v>
      </c>
      <c r="O14" s="199" t="s">
        <v>583</v>
      </c>
      <c r="P14" s="211">
        <v>1077.95</v>
      </c>
      <c r="Q14" s="204">
        <v>-3453.63</v>
      </c>
      <c r="R14" s="204">
        <v>-66907.95</v>
      </c>
      <c r="S14" s="204">
        <v>14852.09</v>
      </c>
      <c r="T14" s="204">
        <v>5322.59</v>
      </c>
      <c r="U14" s="204">
        <v>17195.939999999999</v>
      </c>
      <c r="V14" s="204">
        <v>2111.0700000000002</v>
      </c>
      <c r="W14" s="204">
        <v>5096.12</v>
      </c>
      <c r="X14" s="204">
        <v>230.11</v>
      </c>
      <c r="Y14" s="204">
        <v>302.72000000000003</v>
      </c>
      <c r="Z14" s="204">
        <v>8236</v>
      </c>
      <c r="AA14" s="198" t="s">
        <v>516</v>
      </c>
      <c r="AB14" s="199" t="s">
        <v>583</v>
      </c>
      <c r="AC14" s="211">
        <v>2970.43</v>
      </c>
      <c r="AD14" s="204">
        <v>2425.3000000000002</v>
      </c>
      <c r="AE14" s="204">
        <v>3606.75</v>
      </c>
      <c r="AF14" s="204">
        <v>1846.02</v>
      </c>
      <c r="AG14" s="204">
        <v>7412.81</v>
      </c>
      <c r="AH14" s="204">
        <v>-676.86</v>
      </c>
      <c r="AI14" s="204">
        <v>900.26</v>
      </c>
      <c r="AJ14" s="204">
        <v>550106.30000000005</v>
      </c>
      <c r="AK14" s="204">
        <v>52201.48</v>
      </c>
      <c r="AL14" s="204">
        <v>-967.2</v>
      </c>
    </row>
    <row r="15" spans="1:38" s="218" customFormat="1">
      <c r="A15" s="212" t="s">
        <v>517</v>
      </c>
      <c r="B15" s="213" t="s">
        <v>518</v>
      </c>
      <c r="C15" s="214">
        <v>-210158.99</v>
      </c>
      <c r="D15" s="215">
        <v>-205517.23</v>
      </c>
      <c r="E15" s="216"/>
      <c r="F15" s="215">
        <v>-4641.7700000000004</v>
      </c>
      <c r="G15" s="216"/>
      <c r="H15" s="215">
        <v>-2467.0500000000002</v>
      </c>
      <c r="I15" s="215">
        <v>-25.3</v>
      </c>
      <c r="J15" s="215">
        <v>-208.01</v>
      </c>
      <c r="K15" s="215">
        <v>-2451.35</v>
      </c>
      <c r="L15" s="215">
        <v>-329.03</v>
      </c>
      <c r="M15" s="215">
        <v>-0.13</v>
      </c>
      <c r="N15" s="212" t="s">
        <v>517</v>
      </c>
      <c r="O15" s="213" t="s">
        <v>518</v>
      </c>
      <c r="P15" s="217"/>
      <c r="Q15" s="215">
        <v>-308.27</v>
      </c>
      <c r="R15" s="215">
        <v>-16.010000000000002</v>
      </c>
      <c r="S15" s="216"/>
      <c r="T15" s="216"/>
      <c r="U15" s="215">
        <v>-24.18</v>
      </c>
      <c r="V15" s="215">
        <v>-13.94</v>
      </c>
      <c r="W15" s="215">
        <v>-12.01</v>
      </c>
      <c r="X15" s="216"/>
      <c r="Y15" s="216"/>
      <c r="Z15" s="216"/>
      <c r="AA15" s="212" t="s">
        <v>517</v>
      </c>
      <c r="AB15" s="213" t="s">
        <v>518</v>
      </c>
      <c r="AC15" s="217"/>
      <c r="AD15" s="215">
        <v>-181.18</v>
      </c>
      <c r="AE15" s="215">
        <v>-0.11</v>
      </c>
      <c r="AF15" s="215">
        <v>-52.59</v>
      </c>
      <c r="AG15" s="215">
        <v>-8.25</v>
      </c>
      <c r="AH15" s="215">
        <v>-391.87</v>
      </c>
      <c r="AI15" s="215">
        <v>-231.28</v>
      </c>
      <c r="AJ15" s="215">
        <v>-111630.52</v>
      </c>
      <c r="AK15" s="215">
        <v>52201.48</v>
      </c>
      <c r="AL15" s="215">
        <v>-1567.97</v>
      </c>
    </row>
    <row r="16" spans="1:38" s="218" customFormat="1">
      <c r="A16" s="212" t="s">
        <v>519</v>
      </c>
      <c r="B16" s="213" t="s">
        <v>520</v>
      </c>
      <c r="C16" s="214">
        <v>-34441.79</v>
      </c>
      <c r="D16" s="215">
        <v>-33027.910000000003</v>
      </c>
      <c r="E16" s="216"/>
      <c r="F16" s="215">
        <v>-1413.87</v>
      </c>
      <c r="G16" s="216"/>
      <c r="H16" s="215">
        <v>-646.29</v>
      </c>
      <c r="I16" s="215">
        <v>-47.51</v>
      </c>
      <c r="J16" s="215">
        <v>-62.54</v>
      </c>
      <c r="K16" s="215">
        <v>-573.41</v>
      </c>
      <c r="L16" s="215">
        <v>-45.52</v>
      </c>
      <c r="M16" s="215">
        <v>-1.2</v>
      </c>
      <c r="N16" s="212" t="s">
        <v>519</v>
      </c>
      <c r="O16" s="213" t="s">
        <v>520</v>
      </c>
      <c r="P16" s="217"/>
      <c r="Q16" s="215">
        <v>-653.79</v>
      </c>
      <c r="R16" s="216"/>
      <c r="S16" s="215">
        <v>-0.05</v>
      </c>
      <c r="T16" s="216"/>
      <c r="U16" s="215">
        <v>-5.3</v>
      </c>
      <c r="V16" s="215">
        <v>-60.21</v>
      </c>
      <c r="W16" s="215">
        <v>-163.1</v>
      </c>
      <c r="X16" s="216"/>
      <c r="Y16" s="216"/>
      <c r="Z16" s="216"/>
      <c r="AA16" s="212" t="s">
        <v>519</v>
      </c>
      <c r="AB16" s="213" t="s">
        <v>520</v>
      </c>
      <c r="AC16" s="217"/>
      <c r="AD16" s="215">
        <v>-224.18</v>
      </c>
      <c r="AE16" s="215">
        <v>-4.05</v>
      </c>
      <c r="AF16" s="215">
        <v>-173.99</v>
      </c>
      <c r="AG16" s="215">
        <v>-22.9</v>
      </c>
      <c r="AH16" s="215">
        <v>-143.19</v>
      </c>
      <c r="AI16" s="215">
        <v>-33.51</v>
      </c>
      <c r="AJ16" s="215">
        <v>565138.68000000005</v>
      </c>
      <c r="AK16" s="216"/>
      <c r="AL16" s="215">
        <v>-391.96</v>
      </c>
    </row>
    <row r="17" spans="1:38">
      <c r="A17" s="184" t="s">
        <v>584</v>
      </c>
      <c r="B17" s="196" t="s">
        <v>521</v>
      </c>
      <c r="C17" s="211">
        <v>-12213.46</v>
      </c>
      <c r="D17" s="204">
        <v>-87588.72</v>
      </c>
      <c r="E17" s="204">
        <v>53863.4</v>
      </c>
      <c r="F17" s="204">
        <v>21511.86</v>
      </c>
      <c r="G17" s="197"/>
      <c r="H17" s="204">
        <v>3097.3</v>
      </c>
      <c r="I17" s="197"/>
      <c r="J17" s="197"/>
      <c r="K17" s="197"/>
      <c r="L17" s="197"/>
      <c r="M17" s="197"/>
      <c r="N17" s="184" t="s">
        <v>584</v>
      </c>
      <c r="O17" s="196" t="s">
        <v>521</v>
      </c>
      <c r="P17" s="209"/>
      <c r="Q17" s="197"/>
      <c r="R17" s="197"/>
      <c r="S17" s="197"/>
      <c r="T17" s="197"/>
      <c r="U17" s="197"/>
      <c r="V17" s="197"/>
      <c r="W17" s="197"/>
      <c r="X17" s="197"/>
      <c r="Y17" s="197"/>
      <c r="Z17" s="197"/>
      <c r="AA17" s="184" t="s">
        <v>584</v>
      </c>
      <c r="AB17" s="196" t="s">
        <v>521</v>
      </c>
      <c r="AC17" s="209"/>
      <c r="AD17" s="197"/>
      <c r="AE17" s="197"/>
      <c r="AF17" s="197"/>
      <c r="AG17" s="197"/>
      <c r="AH17" s="197"/>
      <c r="AI17" s="197"/>
      <c r="AJ17" s="197"/>
      <c r="AK17" s="197"/>
      <c r="AL17" s="197"/>
    </row>
    <row r="18" spans="1:38">
      <c r="A18" s="184" t="s">
        <v>522</v>
      </c>
      <c r="B18" s="196" t="s">
        <v>523</v>
      </c>
      <c r="C18" s="211">
        <v>-65672.62</v>
      </c>
      <c r="D18" s="204">
        <v>-9961.92</v>
      </c>
      <c r="E18" s="204">
        <v>-55710.7</v>
      </c>
      <c r="F18" s="197"/>
      <c r="G18" s="197"/>
      <c r="H18" s="197"/>
      <c r="I18" s="204">
        <v>47295.8</v>
      </c>
      <c r="J18" s="204">
        <v>955.61</v>
      </c>
      <c r="K18" s="197"/>
      <c r="L18" s="197"/>
      <c r="M18" s="197"/>
      <c r="N18" s="184" t="s">
        <v>522</v>
      </c>
      <c r="O18" s="196" t="s">
        <v>523</v>
      </c>
      <c r="P18" s="211">
        <v>1387.39</v>
      </c>
      <c r="Q18" s="197"/>
      <c r="R18" s="197"/>
      <c r="S18" s="197"/>
      <c r="T18" s="197"/>
      <c r="U18" s="197"/>
      <c r="V18" s="197"/>
      <c r="W18" s="197"/>
      <c r="X18" s="197"/>
      <c r="Y18" s="197"/>
      <c r="Z18" s="197"/>
      <c r="AA18" s="184" t="s">
        <v>522</v>
      </c>
      <c r="AB18" s="196" t="s">
        <v>523</v>
      </c>
      <c r="AC18" s="209"/>
      <c r="AD18" s="197"/>
      <c r="AE18" s="197"/>
      <c r="AF18" s="197"/>
      <c r="AG18" s="197"/>
      <c r="AH18" s="197"/>
      <c r="AI18" s="197"/>
      <c r="AJ18" s="197"/>
      <c r="AK18" s="197"/>
      <c r="AL18" s="197"/>
    </row>
    <row r="19" spans="1:38">
      <c r="A19" s="184" t="s">
        <v>524</v>
      </c>
      <c r="B19" s="196" t="s">
        <v>585</v>
      </c>
      <c r="C19" s="211">
        <v>-3239.84</v>
      </c>
      <c r="D19" s="204">
        <v>-3087.01</v>
      </c>
      <c r="E19" s="197"/>
      <c r="F19" s="204">
        <v>-152.83000000000001</v>
      </c>
      <c r="G19" s="197"/>
      <c r="H19" s="197"/>
      <c r="I19" s="197"/>
      <c r="J19" s="197"/>
      <c r="K19" s="197"/>
      <c r="L19" s="197"/>
      <c r="M19" s="197"/>
      <c r="N19" s="184" t="s">
        <v>524</v>
      </c>
      <c r="O19" s="196" t="s">
        <v>585</v>
      </c>
      <c r="P19" s="211">
        <v>-309.44</v>
      </c>
      <c r="Q19" s="204">
        <v>9842.42</v>
      </c>
      <c r="R19" s="204">
        <v>-66891.929999999993</v>
      </c>
      <c r="S19" s="204">
        <v>14880.68</v>
      </c>
      <c r="T19" s="204">
        <v>5322.59</v>
      </c>
      <c r="U19" s="204">
        <v>17308.27</v>
      </c>
      <c r="V19" s="204">
        <v>4506.05</v>
      </c>
      <c r="W19" s="204">
        <v>6620.07</v>
      </c>
      <c r="X19" s="204">
        <v>232.36</v>
      </c>
      <c r="Y19" s="204">
        <v>308.88</v>
      </c>
      <c r="Z19" s="204">
        <v>82.36</v>
      </c>
      <c r="AA19" s="184" t="s">
        <v>601</v>
      </c>
      <c r="AB19" s="196" t="s">
        <v>585</v>
      </c>
      <c r="AC19" s="211">
        <v>3313.86</v>
      </c>
      <c r="AD19" s="204">
        <v>2838.81</v>
      </c>
      <c r="AE19" s="204">
        <v>4210.01</v>
      </c>
      <c r="AF19" s="204">
        <v>2187.92</v>
      </c>
      <c r="AG19" s="204">
        <v>14922.52</v>
      </c>
      <c r="AH19" s="204">
        <v>-32.35</v>
      </c>
      <c r="AI19" s="197"/>
      <c r="AJ19" s="197"/>
      <c r="AK19" s="197"/>
      <c r="AL19" s="204">
        <v>-138.97999999999999</v>
      </c>
    </row>
    <row r="20" spans="1:38">
      <c r="A20" s="184" t="s">
        <v>525</v>
      </c>
      <c r="B20" s="196" t="s">
        <v>586</v>
      </c>
      <c r="C20" s="209"/>
      <c r="D20" s="197"/>
      <c r="E20" s="197"/>
      <c r="F20" s="197"/>
      <c r="G20" s="197"/>
      <c r="H20" s="197"/>
      <c r="I20" s="197"/>
      <c r="J20" s="197"/>
      <c r="K20" s="197"/>
      <c r="L20" s="197"/>
      <c r="M20" s="197"/>
      <c r="N20" s="184" t="s">
        <v>525</v>
      </c>
      <c r="O20" s="196" t="s">
        <v>586</v>
      </c>
      <c r="P20" s="209"/>
      <c r="Q20" s="204">
        <v>-12330.3</v>
      </c>
      <c r="R20" s="197"/>
      <c r="S20" s="204">
        <v>-28.54</v>
      </c>
      <c r="T20" s="197"/>
      <c r="U20" s="204">
        <v>-82.86</v>
      </c>
      <c r="V20" s="204">
        <v>-2320.83</v>
      </c>
      <c r="W20" s="204">
        <v>-1348.83</v>
      </c>
      <c r="X20" s="204">
        <v>-2.25</v>
      </c>
      <c r="Y20" s="204">
        <v>-6.15</v>
      </c>
      <c r="Z20" s="197"/>
      <c r="AA20" s="184" t="s">
        <v>525</v>
      </c>
      <c r="AB20" s="196" t="s">
        <v>586</v>
      </c>
      <c r="AC20" s="211">
        <v>-343.42</v>
      </c>
      <c r="AD20" s="204">
        <v>-8.15</v>
      </c>
      <c r="AE20" s="204">
        <v>-595.4</v>
      </c>
      <c r="AF20" s="204">
        <v>-115.31</v>
      </c>
      <c r="AG20" s="204">
        <v>-7478.56</v>
      </c>
      <c r="AH20" s="197"/>
      <c r="AI20" s="197"/>
      <c r="AJ20" s="197"/>
      <c r="AK20" s="197"/>
      <c r="AL20" s="197"/>
    </row>
    <row r="21" spans="1:38">
      <c r="A21" s="184" t="s">
        <v>526</v>
      </c>
      <c r="B21" s="196" t="s">
        <v>527</v>
      </c>
      <c r="C21" s="211">
        <v>-2458.6999999999998</v>
      </c>
      <c r="D21" s="204">
        <v>-2293.81</v>
      </c>
      <c r="E21" s="197"/>
      <c r="F21" s="204">
        <v>-164.89</v>
      </c>
      <c r="G21" s="197"/>
      <c r="H21" s="197"/>
      <c r="I21" s="197"/>
      <c r="J21" s="197"/>
      <c r="K21" s="197"/>
      <c r="L21" s="197"/>
      <c r="M21" s="204">
        <v>184.58</v>
      </c>
      <c r="N21" s="184" t="s">
        <v>526</v>
      </c>
      <c r="O21" s="196" t="s">
        <v>527</v>
      </c>
      <c r="P21" s="209"/>
      <c r="Q21" s="204">
        <v>-3.69</v>
      </c>
      <c r="R21" s="197"/>
      <c r="S21" s="197"/>
      <c r="T21" s="197"/>
      <c r="U21" s="197"/>
      <c r="V21" s="197"/>
      <c r="W21" s="197"/>
      <c r="X21" s="197"/>
      <c r="Y21" s="197"/>
      <c r="Z21" s="197"/>
      <c r="AA21" s="184" t="s">
        <v>526</v>
      </c>
      <c r="AB21" s="196" t="s">
        <v>527</v>
      </c>
      <c r="AC21" s="209"/>
      <c r="AD21" s="197"/>
      <c r="AE21" s="204">
        <v>-3.69</v>
      </c>
      <c r="AF21" s="197"/>
      <c r="AG21" s="197"/>
      <c r="AH21" s="204">
        <v>64.73</v>
      </c>
      <c r="AI21" s="197"/>
      <c r="AJ21" s="197"/>
      <c r="AK21" s="197"/>
      <c r="AL21" s="197"/>
    </row>
    <row r="22" spans="1:38">
      <c r="A22" s="184" t="s">
        <v>528</v>
      </c>
      <c r="B22" s="196" t="s">
        <v>587</v>
      </c>
      <c r="C22" s="209"/>
      <c r="D22" s="197"/>
      <c r="E22" s="197"/>
      <c r="F22" s="197"/>
      <c r="G22" s="197"/>
      <c r="H22" s="197"/>
      <c r="I22" s="204">
        <v>-16.510000000000002</v>
      </c>
      <c r="J22" s="197"/>
      <c r="K22" s="197"/>
      <c r="L22" s="197"/>
      <c r="M22" s="197"/>
      <c r="N22" s="184" t="s">
        <v>528</v>
      </c>
      <c r="O22" s="196" t="s">
        <v>587</v>
      </c>
      <c r="P22" s="209"/>
      <c r="Q22" s="197"/>
      <c r="R22" s="197"/>
      <c r="S22" s="197"/>
      <c r="T22" s="197"/>
      <c r="U22" s="197"/>
      <c r="V22" s="197"/>
      <c r="W22" s="197"/>
      <c r="X22" s="197"/>
      <c r="Y22" s="197"/>
      <c r="Z22" s="197"/>
      <c r="AA22" s="184" t="s">
        <v>528</v>
      </c>
      <c r="AB22" s="196" t="s">
        <v>587</v>
      </c>
      <c r="AC22" s="209"/>
      <c r="AD22" s="197"/>
      <c r="AE22" s="197"/>
      <c r="AF22" s="197"/>
      <c r="AG22" s="197"/>
      <c r="AH22" s="197"/>
      <c r="AI22" s="197"/>
      <c r="AJ22" s="197"/>
      <c r="AK22" s="197"/>
      <c r="AL22" s="197"/>
    </row>
    <row r="23" spans="1:38">
      <c r="A23" s="184" t="s">
        <v>529</v>
      </c>
      <c r="B23" s="196" t="s">
        <v>530</v>
      </c>
      <c r="C23" s="209"/>
      <c r="D23" s="197"/>
      <c r="E23" s="197"/>
      <c r="F23" s="197"/>
      <c r="G23" s="197"/>
      <c r="H23" s="197"/>
      <c r="I23" s="197"/>
      <c r="J23" s="197"/>
      <c r="K23" s="197"/>
      <c r="L23" s="204">
        <v>-0.12</v>
      </c>
      <c r="M23" s="197"/>
      <c r="N23" s="184" t="s">
        <v>529</v>
      </c>
      <c r="O23" s="196" t="s">
        <v>530</v>
      </c>
      <c r="P23" s="209"/>
      <c r="Q23" s="197"/>
      <c r="R23" s="197"/>
      <c r="S23" s="197"/>
      <c r="T23" s="197"/>
      <c r="U23" s="197"/>
      <c r="V23" s="197"/>
      <c r="W23" s="197"/>
      <c r="X23" s="197"/>
      <c r="Y23" s="197"/>
      <c r="Z23" s="197"/>
      <c r="AA23" s="184" t="s">
        <v>529</v>
      </c>
      <c r="AB23" s="196" t="s">
        <v>530</v>
      </c>
      <c r="AC23" s="209"/>
      <c r="AD23" s="197"/>
      <c r="AE23" s="197"/>
      <c r="AF23" s="197"/>
      <c r="AG23" s="197"/>
      <c r="AH23" s="204">
        <v>-174.19</v>
      </c>
      <c r="AI23" s="204">
        <v>1165.05</v>
      </c>
      <c r="AJ23" s="197"/>
      <c r="AK23" s="197"/>
      <c r="AL23" s="197"/>
    </row>
    <row r="24" spans="1:38">
      <c r="A24" s="184" t="s">
        <v>531</v>
      </c>
      <c r="B24" s="196" t="s">
        <v>532</v>
      </c>
      <c r="C24" s="211">
        <v>-279.88</v>
      </c>
      <c r="D24" s="204">
        <v>-395.25</v>
      </c>
      <c r="E24" s="197"/>
      <c r="F24" s="204">
        <v>-1275.1099999999999</v>
      </c>
      <c r="G24" s="204">
        <v>1390.48</v>
      </c>
      <c r="H24" s="197"/>
      <c r="I24" s="197"/>
      <c r="J24" s="197"/>
      <c r="K24" s="197"/>
      <c r="L24" s="197"/>
      <c r="M24" s="197"/>
      <c r="N24" s="184" t="s">
        <v>531</v>
      </c>
      <c r="O24" s="196" t="s">
        <v>532</v>
      </c>
      <c r="P24" s="209"/>
      <c r="Q24" s="197"/>
      <c r="R24" s="197"/>
      <c r="S24" s="197"/>
      <c r="T24" s="197"/>
      <c r="U24" s="197"/>
      <c r="V24" s="197"/>
      <c r="W24" s="197"/>
      <c r="X24" s="197"/>
      <c r="Y24" s="197"/>
      <c r="Z24" s="197"/>
      <c r="AA24" s="184" t="s">
        <v>531</v>
      </c>
      <c r="AB24" s="196" t="s">
        <v>532</v>
      </c>
      <c r="AC24" s="209"/>
      <c r="AD24" s="197"/>
      <c r="AE24" s="197"/>
      <c r="AF24" s="197"/>
      <c r="AG24" s="197"/>
      <c r="AH24" s="197"/>
      <c r="AI24" s="197"/>
      <c r="AJ24" s="197"/>
      <c r="AK24" s="197"/>
      <c r="AL24" s="197"/>
    </row>
    <row r="25" spans="1:38">
      <c r="A25" s="184" t="s">
        <v>533</v>
      </c>
      <c r="B25" s="196" t="s">
        <v>588</v>
      </c>
      <c r="C25" s="209"/>
      <c r="D25" s="197"/>
      <c r="E25" s="197"/>
      <c r="F25" s="197"/>
      <c r="G25" s="197"/>
      <c r="H25" s="197"/>
      <c r="I25" s="197"/>
      <c r="J25" s="197"/>
      <c r="K25" s="204">
        <v>11130.88</v>
      </c>
      <c r="L25" s="204">
        <v>961.71</v>
      </c>
      <c r="M25" s="197"/>
      <c r="N25" s="184" t="s">
        <v>533</v>
      </c>
      <c r="O25" s="196" t="s">
        <v>588</v>
      </c>
      <c r="P25" s="209"/>
      <c r="Q25" s="197"/>
      <c r="R25" s="197"/>
      <c r="S25" s="197"/>
      <c r="T25" s="197"/>
      <c r="U25" s="197"/>
      <c r="V25" s="197"/>
      <c r="W25" s="197"/>
      <c r="X25" s="197"/>
      <c r="Y25" s="197"/>
      <c r="Z25" s="197"/>
      <c r="AA25" s="184" t="s">
        <v>533</v>
      </c>
      <c r="AB25" s="196" t="s">
        <v>588</v>
      </c>
      <c r="AC25" s="209"/>
      <c r="AD25" s="197"/>
      <c r="AE25" s="197"/>
      <c r="AF25" s="197"/>
      <c r="AG25" s="197"/>
      <c r="AH25" s="197"/>
      <c r="AI25" s="197"/>
      <c r="AJ25" s="204">
        <v>96598.13</v>
      </c>
      <c r="AK25" s="197"/>
      <c r="AL25" s="204">
        <v>1131.7</v>
      </c>
    </row>
    <row r="26" spans="1:38">
      <c r="A26" s="198" t="s">
        <v>534</v>
      </c>
      <c r="B26" s="199" t="s">
        <v>535</v>
      </c>
      <c r="C26" s="209"/>
      <c r="D26" s="197"/>
      <c r="E26" s="197"/>
      <c r="F26" s="197"/>
      <c r="G26" s="197"/>
      <c r="H26" s="197"/>
      <c r="I26" s="197"/>
      <c r="J26" s="197"/>
      <c r="K26" s="197"/>
      <c r="L26" s="197"/>
      <c r="M26" s="197"/>
      <c r="N26" s="198" t="s">
        <v>534</v>
      </c>
      <c r="O26" s="199" t="s">
        <v>535</v>
      </c>
      <c r="P26" s="209"/>
      <c r="Q26" s="204">
        <v>34.46</v>
      </c>
      <c r="R26" s="204">
        <v>33.83</v>
      </c>
      <c r="S26" s="197"/>
      <c r="T26" s="197"/>
      <c r="U26" s="197"/>
      <c r="V26" s="197"/>
      <c r="W26" s="197"/>
      <c r="X26" s="197"/>
      <c r="Y26" s="197"/>
      <c r="Z26" s="197"/>
      <c r="AA26" s="198" t="s">
        <v>534</v>
      </c>
      <c r="AB26" s="199" t="s">
        <v>535</v>
      </c>
      <c r="AC26" s="209"/>
      <c r="AD26" s="197"/>
      <c r="AE26" s="204">
        <v>0.63</v>
      </c>
      <c r="AF26" s="197"/>
      <c r="AG26" s="197"/>
      <c r="AH26" s="204">
        <v>20.95</v>
      </c>
      <c r="AI26" s="204">
        <v>6.26</v>
      </c>
      <c r="AJ26" s="204">
        <v>5297.62</v>
      </c>
      <c r="AK26" s="204">
        <v>3330.1</v>
      </c>
      <c r="AL26" s="197"/>
    </row>
    <row r="27" spans="1:38">
      <c r="A27" s="198" t="s">
        <v>536</v>
      </c>
      <c r="B27" s="199" t="s">
        <v>537</v>
      </c>
      <c r="C27" s="211">
        <v>73449.39</v>
      </c>
      <c r="D27" s="204">
        <v>58985.75</v>
      </c>
      <c r="E27" s="197"/>
      <c r="F27" s="204">
        <v>13101.54</v>
      </c>
      <c r="G27" s="204">
        <v>1362.1</v>
      </c>
      <c r="H27" s="197"/>
      <c r="I27" s="204">
        <v>46336.639999999999</v>
      </c>
      <c r="J27" s="204">
        <v>710.6</v>
      </c>
      <c r="K27" s="204">
        <v>8339.48</v>
      </c>
      <c r="L27" s="204">
        <v>581.53</v>
      </c>
      <c r="M27" s="204">
        <v>190.06</v>
      </c>
      <c r="N27" s="198" t="s">
        <v>536</v>
      </c>
      <c r="O27" s="199" t="s">
        <v>537</v>
      </c>
      <c r="P27" s="211">
        <v>1133.1199999999999</v>
      </c>
      <c r="Q27" s="204">
        <v>61018.45</v>
      </c>
      <c r="R27" s="204">
        <v>326.5</v>
      </c>
      <c r="S27" s="204">
        <v>13599.38</v>
      </c>
      <c r="T27" s="204">
        <v>3950.23</v>
      </c>
      <c r="U27" s="204">
        <v>14805.62</v>
      </c>
      <c r="V27" s="204">
        <v>2295.37</v>
      </c>
      <c r="W27" s="204">
        <v>5747.08</v>
      </c>
      <c r="X27" s="204">
        <v>248.37</v>
      </c>
      <c r="Y27" s="204">
        <v>257.10000000000002</v>
      </c>
      <c r="Z27" s="204">
        <v>91.74</v>
      </c>
      <c r="AA27" s="198" t="s">
        <v>536</v>
      </c>
      <c r="AB27" s="199" t="s">
        <v>537</v>
      </c>
      <c r="AC27" s="211">
        <v>3256.43</v>
      </c>
      <c r="AD27" s="204">
        <v>3030.97</v>
      </c>
      <c r="AE27" s="204">
        <v>5462.48</v>
      </c>
      <c r="AF27" s="204">
        <v>1830.56</v>
      </c>
      <c r="AG27" s="204">
        <v>6116.62</v>
      </c>
      <c r="AH27" s="204">
        <v>1531.78</v>
      </c>
      <c r="AI27" s="204">
        <v>6909.09</v>
      </c>
      <c r="AJ27" s="204">
        <v>544808.39</v>
      </c>
      <c r="AK27" s="204">
        <v>71536.02</v>
      </c>
      <c r="AL27" s="204">
        <v>6091.03</v>
      </c>
    </row>
    <row r="28" spans="1:38">
      <c r="A28" s="184" t="s">
        <v>538</v>
      </c>
      <c r="B28" s="196" t="s">
        <v>539</v>
      </c>
      <c r="C28" s="211">
        <v>2202.0700000000002</v>
      </c>
      <c r="D28" s="204">
        <v>2110.86</v>
      </c>
      <c r="E28" s="197"/>
      <c r="F28" s="204">
        <v>91.21</v>
      </c>
      <c r="G28" s="197"/>
      <c r="H28" s="197"/>
      <c r="I28" s="204">
        <v>59.67</v>
      </c>
      <c r="J28" s="197"/>
      <c r="K28" s="197"/>
      <c r="L28" s="197"/>
      <c r="M28" s="197"/>
      <c r="N28" s="184" t="s">
        <v>538</v>
      </c>
      <c r="O28" s="196" t="s">
        <v>539</v>
      </c>
      <c r="P28" s="209"/>
      <c r="Q28" s="204">
        <v>1748.2</v>
      </c>
      <c r="R28" s="197"/>
      <c r="S28" s="204">
        <v>253.18</v>
      </c>
      <c r="T28" s="204">
        <v>10.95</v>
      </c>
      <c r="U28" s="204">
        <v>1475.05</v>
      </c>
      <c r="V28" s="204">
        <v>1.19</v>
      </c>
      <c r="W28" s="197"/>
      <c r="X28" s="197"/>
      <c r="Y28" s="197"/>
      <c r="Z28" s="197"/>
      <c r="AA28" s="184" t="s">
        <v>538</v>
      </c>
      <c r="AB28" s="196" t="s">
        <v>539</v>
      </c>
      <c r="AC28" s="209"/>
      <c r="AD28" s="197"/>
      <c r="AE28" s="204">
        <v>7.82</v>
      </c>
      <c r="AF28" s="197"/>
      <c r="AG28" s="197"/>
      <c r="AH28" s="204">
        <v>1.24</v>
      </c>
      <c r="AI28" s="197"/>
      <c r="AJ28" s="204">
        <v>69.88</v>
      </c>
      <c r="AK28" s="204">
        <v>1336.2</v>
      </c>
      <c r="AL28" s="204">
        <v>675.84</v>
      </c>
    </row>
    <row r="29" spans="1:38">
      <c r="A29" s="184" t="s">
        <v>540</v>
      </c>
      <c r="B29" s="196" t="s">
        <v>541</v>
      </c>
      <c r="C29" s="211">
        <v>58802.35</v>
      </c>
      <c r="D29" s="204">
        <v>45514.41</v>
      </c>
      <c r="E29" s="197"/>
      <c r="F29" s="204">
        <v>12410.86</v>
      </c>
      <c r="G29" s="204">
        <v>877.09</v>
      </c>
      <c r="H29" s="197"/>
      <c r="I29" s="204">
        <v>46230.86</v>
      </c>
      <c r="J29" s="204">
        <v>701.86</v>
      </c>
      <c r="K29" s="204">
        <v>8339.48</v>
      </c>
      <c r="L29" s="204">
        <v>581.53</v>
      </c>
      <c r="M29" s="204">
        <v>140.91999999999999</v>
      </c>
      <c r="N29" s="184" t="s">
        <v>540</v>
      </c>
      <c r="O29" s="196" t="s">
        <v>541</v>
      </c>
      <c r="P29" s="211">
        <v>1133.1199999999999</v>
      </c>
      <c r="Q29" s="204">
        <v>21732.37</v>
      </c>
      <c r="R29" s="204">
        <v>326.5</v>
      </c>
      <c r="S29" s="204">
        <v>233.41</v>
      </c>
      <c r="T29" s="204">
        <v>10.97</v>
      </c>
      <c r="U29" s="204">
        <v>1178.27</v>
      </c>
      <c r="V29" s="204">
        <v>217.56</v>
      </c>
      <c r="W29" s="204">
        <v>5747.08</v>
      </c>
      <c r="X29" s="204">
        <v>248.37</v>
      </c>
      <c r="Y29" s="204">
        <v>257.10000000000002</v>
      </c>
      <c r="Z29" s="204">
        <v>91.74</v>
      </c>
      <c r="AA29" s="184" t="s">
        <v>540</v>
      </c>
      <c r="AB29" s="196" t="s">
        <v>541</v>
      </c>
      <c r="AC29" s="211">
        <v>264.42</v>
      </c>
      <c r="AD29" s="204">
        <v>3030.97</v>
      </c>
      <c r="AE29" s="204">
        <v>2266.9899999999998</v>
      </c>
      <c r="AF29" s="204">
        <v>1830.56</v>
      </c>
      <c r="AG29" s="204">
        <v>6028.41</v>
      </c>
      <c r="AH29" s="204">
        <v>631.02</v>
      </c>
      <c r="AI29" s="204">
        <v>6508.45</v>
      </c>
      <c r="AJ29" s="204">
        <v>380696.5</v>
      </c>
      <c r="AK29" s="204">
        <v>47368.2</v>
      </c>
      <c r="AL29" s="204">
        <v>976.87</v>
      </c>
    </row>
    <row r="30" spans="1:38">
      <c r="A30" s="184" t="s">
        <v>542</v>
      </c>
      <c r="B30" s="196" t="s">
        <v>543</v>
      </c>
      <c r="C30" s="211">
        <v>12689.15</v>
      </c>
      <c r="D30" s="204">
        <v>10880.31</v>
      </c>
      <c r="E30" s="197"/>
      <c r="F30" s="204">
        <v>1738.76</v>
      </c>
      <c r="G30" s="204">
        <v>70.08</v>
      </c>
      <c r="H30" s="197"/>
      <c r="I30" s="204">
        <v>1474.76</v>
      </c>
      <c r="J30" s="197"/>
      <c r="K30" s="197"/>
      <c r="L30" s="197"/>
      <c r="M30" s="197"/>
      <c r="N30" s="184" t="s">
        <v>542</v>
      </c>
      <c r="O30" s="196" t="s">
        <v>543</v>
      </c>
      <c r="P30" s="211">
        <v>448.04</v>
      </c>
      <c r="Q30" s="204">
        <v>11507.24</v>
      </c>
      <c r="R30" s="197"/>
      <c r="S30" s="204">
        <v>2.15</v>
      </c>
      <c r="T30" s="204">
        <v>1.17</v>
      </c>
      <c r="U30" s="204">
        <v>17.399999999999999</v>
      </c>
      <c r="V30" s="204">
        <v>31.3</v>
      </c>
      <c r="W30" s="204">
        <v>5505.3</v>
      </c>
      <c r="X30" s="204">
        <v>227.2</v>
      </c>
      <c r="Y30" s="204">
        <v>252.77</v>
      </c>
      <c r="Z30" s="204">
        <v>88.61</v>
      </c>
      <c r="AA30" s="184" t="s">
        <v>542</v>
      </c>
      <c r="AB30" s="196" t="s">
        <v>543</v>
      </c>
      <c r="AC30" s="211">
        <v>206.89</v>
      </c>
      <c r="AD30" s="204">
        <v>2276.35</v>
      </c>
      <c r="AE30" s="204">
        <v>503.89</v>
      </c>
      <c r="AF30" s="204">
        <v>50.35</v>
      </c>
      <c r="AG30" s="204">
        <v>2343.85</v>
      </c>
      <c r="AH30" s="204">
        <v>92.44</v>
      </c>
      <c r="AI30" s="204">
        <v>94.35</v>
      </c>
      <c r="AJ30" s="197"/>
      <c r="AK30" s="197"/>
      <c r="AL30" s="197"/>
    </row>
    <row r="31" spans="1:38">
      <c r="A31" s="184" t="s">
        <v>544</v>
      </c>
      <c r="B31" s="196" t="s">
        <v>545</v>
      </c>
      <c r="C31" s="211">
        <v>639.80999999999995</v>
      </c>
      <c r="D31" s="204">
        <v>596.64</v>
      </c>
      <c r="E31" s="197"/>
      <c r="F31" s="204">
        <v>43.17</v>
      </c>
      <c r="G31" s="197"/>
      <c r="H31" s="197"/>
      <c r="I31" s="204">
        <v>9.6999999999999993</v>
      </c>
      <c r="J31" s="197"/>
      <c r="K31" s="197"/>
      <c r="L31" s="197"/>
      <c r="M31" s="197"/>
      <c r="N31" s="184" t="s">
        <v>544</v>
      </c>
      <c r="O31" s="196" t="s">
        <v>545</v>
      </c>
      <c r="P31" s="209"/>
      <c r="Q31" s="204">
        <v>4055.13</v>
      </c>
      <c r="R31" s="197"/>
      <c r="S31" s="204">
        <v>499.89</v>
      </c>
      <c r="T31" s="204">
        <v>16.03</v>
      </c>
      <c r="U31" s="204">
        <v>530.27</v>
      </c>
      <c r="V31" s="204">
        <v>31.84</v>
      </c>
      <c r="W31" s="197"/>
      <c r="X31" s="197"/>
      <c r="Y31" s="197"/>
      <c r="Z31" s="197"/>
      <c r="AA31" s="184" t="s">
        <v>544</v>
      </c>
      <c r="AB31" s="196" t="s">
        <v>545</v>
      </c>
      <c r="AC31" s="211">
        <v>2874.87</v>
      </c>
      <c r="AD31" s="197"/>
      <c r="AE31" s="204">
        <v>14.03</v>
      </c>
      <c r="AF31" s="197"/>
      <c r="AG31" s="204">
        <v>88.21</v>
      </c>
      <c r="AH31" s="204">
        <v>2.81</v>
      </c>
      <c r="AI31" s="197"/>
      <c r="AJ31" s="204">
        <v>2300.23</v>
      </c>
      <c r="AK31" s="204">
        <v>991.19</v>
      </c>
      <c r="AL31" s="204">
        <v>30.41</v>
      </c>
    </row>
    <row r="32" spans="1:38">
      <c r="A32" s="184" t="s">
        <v>546</v>
      </c>
      <c r="B32" s="196" t="s">
        <v>547</v>
      </c>
      <c r="C32" s="211">
        <v>282.61</v>
      </c>
      <c r="D32" s="204">
        <v>263.5</v>
      </c>
      <c r="E32" s="197"/>
      <c r="F32" s="204">
        <v>19.11</v>
      </c>
      <c r="G32" s="197"/>
      <c r="H32" s="197"/>
      <c r="I32" s="204">
        <v>0.36</v>
      </c>
      <c r="J32" s="197"/>
      <c r="K32" s="197"/>
      <c r="L32" s="197"/>
      <c r="M32" s="197"/>
      <c r="N32" s="184" t="s">
        <v>546</v>
      </c>
      <c r="O32" s="196" t="s">
        <v>547</v>
      </c>
      <c r="P32" s="209"/>
      <c r="Q32" s="204">
        <v>22099.75</v>
      </c>
      <c r="R32" s="197"/>
      <c r="S32" s="204">
        <v>6244.92</v>
      </c>
      <c r="T32" s="204">
        <v>3689.21</v>
      </c>
      <c r="U32" s="204">
        <v>9867.31</v>
      </c>
      <c r="V32" s="204">
        <v>2025.31</v>
      </c>
      <c r="W32" s="197"/>
      <c r="X32" s="197"/>
      <c r="Y32" s="197"/>
      <c r="Z32" s="197"/>
      <c r="AA32" s="184" t="s">
        <v>546</v>
      </c>
      <c r="AB32" s="196" t="s">
        <v>547</v>
      </c>
      <c r="AC32" s="211">
        <v>117.14</v>
      </c>
      <c r="AD32" s="197"/>
      <c r="AE32" s="204">
        <v>155.85</v>
      </c>
      <c r="AF32" s="197"/>
      <c r="AG32" s="197"/>
      <c r="AH32" s="204">
        <v>274.62</v>
      </c>
      <c r="AI32" s="204">
        <v>400.64</v>
      </c>
      <c r="AJ32" s="204">
        <v>4152.0200000000004</v>
      </c>
      <c r="AK32" s="204">
        <v>1752.34</v>
      </c>
      <c r="AL32" s="204">
        <v>1486.9</v>
      </c>
    </row>
    <row r="33" spans="1:38">
      <c r="A33" s="184" t="s">
        <v>589</v>
      </c>
      <c r="B33" s="196" t="s">
        <v>590</v>
      </c>
      <c r="C33" s="211">
        <v>2377.77</v>
      </c>
      <c r="D33" s="204">
        <v>2309.25</v>
      </c>
      <c r="E33" s="197"/>
      <c r="F33" s="204">
        <v>39.92</v>
      </c>
      <c r="G33" s="204">
        <v>28.59</v>
      </c>
      <c r="H33" s="197"/>
      <c r="I33" s="204">
        <v>16.91</v>
      </c>
      <c r="J33" s="204">
        <v>0.95</v>
      </c>
      <c r="K33" s="197"/>
      <c r="L33" s="197"/>
      <c r="M33" s="204">
        <v>9.43</v>
      </c>
      <c r="N33" s="184" t="s">
        <v>589</v>
      </c>
      <c r="O33" s="196" t="s">
        <v>590</v>
      </c>
      <c r="P33" s="209"/>
      <c r="Q33" s="204">
        <v>608.41</v>
      </c>
      <c r="R33" s="197"/>
      <c r="S33" s="204">
        <v>287.95</v>
      </c>
      <c r="T33" s="204">
        <v>15.47</v>
      </c>
      <c r="U33" s="204">
        <v>203.88</v>
      </c>
      <c r="V33" s="204">
        <v>10.220000000000001</v>
      </c>
      <c r="W33" s="197"/>
      <c r="X33" s="197"/>
      <c r="Y33" s="197"/>
      <c r="Z33" s="197"/>
      <c r="AA33" s="184" t="s">
        <v>589</v>
      </c>
      <c r="AB33" s="196" t="s">
        <v>590</v>
      </c>
      <c r="AC33" s="209"/>
      <c r="AD33" s="197"/>
      <c r="AE33" s="204">
        <v>90.89</v>
      </c>
      <c r="AF33" s="197"/>
      <c r="AG33" s="197"/>
      <c r="AH33" s="204">
        <v>62.46</v>
      </c>
      <c r="AI33" s="197"/>
      <c r="AJ33" s="204">
        <v>9533.06</v>
      </c>
      <c r="AK33" s="204">
        <v>3187.1</v>
      </c>
      <c r="AL33" s="204">
        <v>67.010000000000005</v>
      </c>
    </row>
    <row r="34" spans="1:38">
      <c r="A34" s="184" t="s">
        <v>548</v>
      </c>
      <c r="B34" s="196" t="s">
        <v>549</v>
      </c>
      <c r="C34" s="211">
        <v>2598.1799999999998</v>
      </c>
      <c r="D34" s="204">
        <v>2500.19</v>
      </c>
      <c r="E34" s="197"/>
      <c r="F34" s="204">
        <v>89.23</v>
      </c>
      <c r="G34" s="204">
        <v>8.76</v>
      </c>
      <c r="H34" s="197"/>
      <c r="I34" s="204">
        <v>6.32</v>
      </c>
      <c r="J34" s="204">
        <v>1.23</v>
      </c>
      <c r="K34" s="197"/>
      <c r="L34" s="197"/>
      <c r="M34" s="197"/>
      <c r="N34" s="184" t="s">
        <v>548</v>
      </c>
      <c r="O34" s="196" t="s">
        <v>549</v>
      </c>
      <c r="P34" s="209"/>
      <c r="Q34" s="204">
        <v>3460.61</v>
      </c>
      <c r="R34" s="197"/>
      <c r="S34" s="204">
        <v>2240.92</v>
      </c>
      <c r="T34" s="204">
        <v>184.17</v>
      </c>
      <c r="U34" s="204">
        <v>954.04</v>
      </c>
      <c r="V34" s="204">
        <v>9.25</v>
      </c>
      <c r="W34" s="197"/>
      <c r="X34" s="197"/>
      <c r="Y34" s="197"/>
      <c r="Z34" s="197"/>
      <c r="AA34" s="184" t="s">
        <v>548</v>
      </c>
      <c r="AB34" s="196" t="s">
        <v>549</v>
      </c>
      <c r="AC34" s="209"/>
      <c r="AD34" s="197"/>
      <c r="AE34" s="204">
        <v>72.23</v>
      </c>
      <c r="AF34" s="197"/>
      <c r="AG34" s="197"/>
      <c r="AH34" s="204">
        <v>57.32</v>
      </c>
      <c r="AI34" s="197"/>
      <c r="AJ34" s="204">
        <v>19224.64</v>
      </c>
      <c r="AK34" s="204">
        <v>6263.78</v>
      </c>
      <c r="AL34" s="204">
        <v>271.88</v>
      </c>
    </row>
    <row r="35" spans="1:38">
      <c r="A35" s="184" t="s">
        <v>591</v>
      </c>
      <c r="B35" s="196" t="s">
        <v>592</v>
      </c>
      <c r="C35" s="211">
        <v>6546.6</v>
      </c>
      <c r="D35" s="204">
        <v>5690.91</v>
      </c>
      <c r="E35" s="197"/>
      <c r="F35" s="204">
        <v>408.04</v>
      </c>
      <c r="G35" s="204">
        <v>447.65</v>
      </c>
      <c r="H35" s="197"/>
      <c r="I35" s="204">
        <v>12.81</v>
      </c>
      <c r="J35" s="204">
        <v>6.56</v>
      </c>
      <c r="K35" s="197"/>
      <c r="L35" s="197"/>
      <c r="M35" s="204">
        <v>39.71</v>
      </c>
      <c r="N35" s="184" t="s">
        <v>591</v>
      </c>
      <c r="O35" s="196" t="s">
        <v>592</v>
      </c>
      <c r="P35" s="209"/>
      <c r="Q35" s="204">
        <v>7313.99</v>
      </c>
      <c r="R35" s="197"/>
      <c r="S35" s="204">
        <v>3839.1</v>
      </c>
      <c r="T35" s="204">
        <v>23.43</v>
      </c>
      <c r="U35" s="204">
        <v>596.79</v>
      </c>
      <c r="V35" s="197"/>
      <c r="W35" s="197"/>
      <c r="X35" s="197"/>
      <c r="Y35" s="197"/>
      <c r="Z35" s="197"/>
      <c r="AA35" s="184" t="s">
        <v>591</v>
      </c>
      <c r="AB35" s="196" t="s">
        <v>592</v>
      </c>
      <c r="AC35" s="209"/>
      <c r="AD35" s="197"/>
      <c r="AE35" s="204">
        <v>2854.67</v>
      </c>
      <c r="AF35" s="197"/>
      <c r="AG35" s="197"/>
      <c r="AH35" s="204">
        <v>502.32</v>
      </c>
      <c r="AI35" s="197"/>
      <c r="AJ35" s="204">
        <v>128832.05</v>
      </c>
      <c r="AK35" s="204">
        <v>10637.21</v>
      </c>
      <c r="AL35" s="204">
        <v>2582.12</v>
      </c>
    </row>
    <row r="36" spans="1:38">
      <c r="A36" s="184" t="s">
        <v>550</v>
      </c>
      <c r="B36" s="196" t="s">
        <v>551</v>
      </c>
      <c r="C36" s="211">
        <v>800.99</v>
      </c>
      <c r="D36" s="204">
        <v>623.77</v>
      </c>
      <c r="E36" s="197"/>
      <c r="F36" s="204">
        <v>55.82</v>
      </c>
      <c r="G36" s="204">
        <v>121.4</v>
      </c>
      <c r="H36" s="197"/>
      <c r="I36" s="204">
        <v>2.9</v>
      </c>
      <c r="J36" s="204">
        <v>5.0199999999999996</v>
      </c>
      <c r="K36" s="197"/>
      <c r="L36" s="197"/>
      <c r="M36" s="204">
        <v>39.549999999999997</v>
      </c>
      <c r="N36" s="184" t="s">
        <v>550</v>
      </c>
      <c r="O36" s="196" t="s">
        <v>551</v>
      </c>
      <c r="P36" s="209"/>
      <c r="Q36" s="204">
        <v>4960.3599999999997</v>
      </c>
      <c r="R36" s="197"/>
      <c r="S36" s="204">
        <v>2570.09</v>
      </c>
      <c r="T36" s="204">
        <v>0.36</v>
      </c>
      <c r="U36" s="204">
        <v>274.45999999999998</v>
      </c>
      <c r="V36" s="197"/>
      <c r="W36" s="197"/>
      <c r="X36" s="197"/>
      <c r="Y36" s="197"/>
      <c r="Z36" s="197"/>
      <c r="AA36" s="184" t="s">
        <v>550</v>
      </c>
      <c r="AB36" s="196" t="s">
        <v>551</v>
      </c>
      <c r="AC36" s="209"/>
      <c r="AD36" s="197"/>
      <c r="AE36" s="204">
        <v>2115.4499999999998</v>
      </c>
      <c r="AF36" s="197"/>
      <c r="AG36" s="197"/>
      <c r="AH36" s="204">
        <v>497.4</v>
      </c>
      <c r="AI36" s="197"/>
      <c r="AJ36" s="204">
        <v>128832.05</v>
      </c>
      <c r="AK36" s="204">
        <v>5838.25</v>
      </c>
      <c r="AL36" s="204">
        <v>242.26</v>
      </c>
    </row>
    <row r="37" spans="1:38">
      <c r="A37" s="184" t="s">
        <v>552</v>
      </c>
      <c r="B37" s="196" t="s">
        <v>553</v>
      </c>
      <c r="C37" s="211">
        <v>5745.61</v>
      </c>
      <c r="D37" s="204">
        <v>5067.1400000000003</v>
      </c>
      <c r="E37" s="197"/>
      <c r="F37" s="204">
        <v>352.22</v>
      </c>
      <c r="G37" s="204">
        <v>326.25</v>
      </c>
      <c r="H37" s="197"/>
      <c r="I37" s="204">
        <v>9.91</v>
      </c>
      <c r="J37" s="204">
        <v>1.54</v>
      </c>
      <c r="K37" s="197"/>
      <c r="L37" s="197"/>
      <c r="M37" s="204">
        <v>0.16</v>
      </c>
      <c r="N37" s="184" t="s">
        <v>552</v>
      </c>
      <c r="O37" s="196" t="s">
        <v>553</v>
      </c>
      <c r="P37" s="209"/>
      <c r="Q37" s="204">
        <v>2353.63</v>
      </c>
      <c r="R37" s="197"/>
      <c r="S37" s="204">
        <v>1269.01</v>
      </c>
      <c r="T37" s="204">
        <v>23.07</v>
      </c>
      <c r="U37" s="204">
        <v>322.33</v>
      </c>
      <c r="V37" s="197"/>
      <c r="W37" s="197"/>
      <c r="X37" s="197"/>
      <c r="Y37" s="197"/>
      <c r="Z37" s="197"/>
      <c r="AA37" s="184" t="s">
        <v>552</v>
      </c>
      <c r="AB37" s="196" t="s">
        <v>553</v>
      </c>
      <c r="AC37" s="209"/>
      <c r="AD37" s="197"/>
      <c r="AE37" s="204">
        <v>739.22</v>
      </c>
      <c r="AF37" s="197"/>
      <c r="AG37" s="197"/>
      <c r="AH37" s="204">
        <v>4.92</v>
      </c>
      <c r="AI37" s="197"/>
      <c r="AJ37" s="197"/>
      <c r="AK37" s="204">
        <v>4798.96</v>
      </c>
      <c r="AL37" s="204">
        <v>2339.86</v>
      </c>
    </row>
    <row r="38" spans="1:38">
      <c r="A38" s="198" t="s">
        <v>554</v>
      </c>
      <c r="B38" s="199" t="s">
        <v>555</v>
      </c>
      <c r="C38" s="211">
        <v>3622.5</v>
      </c>
      <c r="D38" s="204">
        <v>3409.41</v>
      </c>
      <c r="E38" s="204">
        <v>-488.29</v>
      </c>
      <c r="F38" s="204">
        <v>691.85</v>
      </c>
      <c r="G38" s="204">
        <v>9.5399999999999991</v>
      </c>
      <c r="H38" s="204">
        <v>-16.05</v>
      </c>
      <c r="I38" s="204">
        <v>107.72</v>
      </c>
      <c r="J38" s="204">
        <v>-25.54</v>
      </c>
      <c r="K38" s="204">
        <v>-233.36</v>
      </c>
      <c r="L38" s="204">
        <v>5.51</v>
      </c>
      <c r="M38" s="204">
        <v>-6.81</v>
      </c>
      <c r="N38" s="198" t="s">
        <v>554</v>
      </c>
      <c r="O38" s="199" t="s">
        <v>555</v>
      </c>
      <c r="P38" s="211">
        <v>-55.16</v>
      </c>
      <c r="Q38" s="204">
        <v>2394.31</v>
      </c>
      <c r="R38" s="204">
        <v>739.21</v>
      </c>
      <c r="S38" s="204">
        <v>62.3</v>
      </c>
      <c r="T38" s="204">
        <v>52.56</v>
      </c>
      <c r="U38" s="204">
        <v>441.65</v>
      </c>
      <c r="V38" s="204">
        <v>160.68</v>
      </c>
      <c r="W38" s="204">
        <v>6.93</v>
      </c>
      <c r="X38" s="204">
        <v>-0.41</v>
      </c>
      <c r="Y38" s="204">
        <v>9.6999999999999993</v>
      </c>
      <c r="Z38" s="197" t="s">
        <v>593</v>
      </c>
      <c r="AA38" s="198" t="s">
        <v>554</v>
      </c>
      <c r="AB38" s="199" t="s">
        <v>555</v>
      </c>
      <c r="AC38" s="211">
        <v>-11.62</v>
      </c>
      <c r="AD38" s="204">
        <v>-15.24</v>
      </c>
      <c r="AE38" s="204">
        <v>94.25</v>
      </c>
      <c r="AF38" s="204">
        <v>15.46</v>
      </c>
      <c r="AG38" s="204">
        <v>843.91</v>
      </c>
      <c r="AH38" s="204">
        <v>-1.75</v>
      </c>
      <c r="AI38" s="204">
        <v>-338</v>
      </c>
      <c r="AJ38" s="204">
        <v>0.28999999999999998</v>
      </c>
      <c r="AK38" s="204">
        <v>0.19</v>
      </c>
      <c r="AL38" s="204">
        <v>106.2</v>
      </c>
    </row>
    <row r="39" spans="1:38">
      <c r="A39" s="200" t="s">
        <v>556</v>
      </c>
      <c r="B39" s="201" t="s">
        <v>557</v>
      </c>
      <c r="C39" s="205">
        <v>401914.68</v>
      </c>
      <c r="D39" s="206">
        <v>400857.59999999998</v>
      </c>
      <c r="E39" s="206">
        <v>55710.7</v>
      </c>
      <c r="F39" s="206">
        <v>20750.009999999998</v>
      </c>
      <c r="G39" s="206">
        <v>1362.1</v>
      </c>
      <c r="H39" s="206">
        <v>3113.34</v>
      </c>
      <c r="I39" s="206">
        <v>46425.96</v>
      </c>
      <c r="J39" s="206">
        <v>981.15</v>
      </c>
      <c r="K39" s="206">
        <v>11364.24</v>
      </c>
      <c r="L39" s="206">
        <v>956.08</v>
      </c>
      <c r="M39" s="206">
        <v>191.39</v>
      </c>
      <c r="N39" s="200" t="s">
        <v>556</v>
      </c>
      <c r="O39" s="201" t="s">
        <v>557</v>
      </c>
      <c r="P39" s="205">
        <v>1442.56</v>
      </c>
      <c r="Q39" s="206">
        <v>64506.54</v>
      </c>
      <c r="R39" s="206">
        <v>67268.27</v>
      </c>
      <c r="S39" s="206">
        <v>13627.97</v>
      </c>
      <c r="T39" s="206">
        <v>3950.23</v>
      </c>
      <c r="U39" s="206">
        <v>14917.95</v>
      </c>
      <c r="V39" s="206">
        <v>4690.34</v>
      </c>
      <c r="W39" s="206">
        <v>7271.04</v>
      </c>
      <c r="X39" s="206">
        <v>259.63</v>
      </c>
      <c r="Y39" s="206">
        <v>263.25</v>
      </c>
      <c r="Z39" s="206">
        <v>91.74</v>
      </c>
      <c r="AA39" s="200" t="s">
        <v>556</v>
      </c>
      <c r="AB39" s="201" t="s">
        <v>557</v>
      </c>
      <c r="AC39" s="205">
        <v>3599.85</v>
      </c>
      <c r="AD39" s="206">
        <v>3444.47</v>
      </c>
      <c r="AE39" s="206">
        <v>6066.37</v>
      </c>
      <c r="AF39" s="206">
        <v>2172.4499999999998</v>
      </c>
      <c r="AG39" s="206">
        <v>13626.33</v>
      </c>
      <c r="AH39" s="206">
        <v>2068.8200000000002</v>
      </c>
      <c r="AI39" s="206">
        <v>7180.14</v>
      </c>
      <c r="AJ39" s="206">
        <v>661736.52</v>
      </c>
      <c r="AK39" s="206">
        <v>74866.12</v>
      </c>
      <c r="AL39" s="206">
        <v>8189.93</v>
      </c>
    </row>
    <row r="40" spans="1:38">
      <c r="A40" s="198"/>
      <c r="B40" s="198"/>
      <c r="C40" s="204"/>
      <c r="D40" s="204"/>
      <c r="E40" s="204"/>
      <c r="F40" s="204"/>
      <c r="G40" s="204"/>
      <c r="H40" s="204"/>
      <c r="I40" s="204"/>
      <c r="J40" s="204"/>
      <c r="K40" s="204"/>
      <c r="L40" s="204"/>
      <c r="M40" s="204"/>
      <c r="N40" s="198"/>
      <c r="O40" s="198"/>
      <c r="P40" s="204"/>
      <c r="Q40" s="204"/>
      <c r="R40" s="204"/>
      <c r="S40" s="204"/>
      <c r="T40" s="204"/>
      <c r="U40" s="204"/>
      <c r="V40" s="204"/>
      <c r="W40" s="204"/>
      <c r="X40" s="204"/>
      <c r="Y40" s="204"/>
      <c r="Z40" s="204"/>
      <c r="AA40" s="198"/>
      <c r="AB40" s="198"/>
      <c r="AC40" s="204"/>
      <c r="AD40" s="204"/>
      <c r="AE40" s="204"/>
      <c r="AF40" s="204"/>
      <c r="AG40" s="204"/>
      <c r="AH40" s="204"/>
      <c r="AI40" s="204"/>
      <c r="AJ40" s="204"/>
      <c r="AK40" s="204"/>
      <c r="AL40" s="204"/>
    </row>
    <row r="41" spans="1:38">
      <c r="A41" s="310" t="s">
        <v>934</v>
      </c>
      <c r="B41" s="310"/>
      <c r="C41" s="204">
        <f t="shared" ref="C41:M41" si="0">ABS(MIN(C15,0)+MIN(C16,0))+C27-C30</f>
        <v>305361.01999999996</v>
      </c>
      <c r="D41" s="204">
        <f t="shared" si="0"/>
        <v>286650.58</v>
      </c>
      <c r="E41" s="204">
        <f t="shared" si="0"/>
        <v>0</v>
      </c>
      <c r="F41" s="204">
        <f t="shared" si="0"/>
        <v>17418.420000000002</v>
      </c>
      <c r="G41" s="204">
        <f t="shared" si="0"/>
        <v>1292.02</v>
      </c>
      <c r="H41" s="204">
        <f t="shared" si="0"/>
        <v>3113.34</v>
      </c>
      <c r="I41" s="204">
        <f t="shared" si="0"/>
        <v>44934.689999999995</v>
      </c>
      <c r="J41" s="204">
        <f t="shared" si="0"/>
        <v>981.15000000000009</v>
      </c>
      <c r="K41" s="204">
        <f t="shared" si="0"/>
        <v>11364.24</v>
      </c>
      <c r="L41" s="204">
        <f t="shared" si="0"/>
        <v>956.07999999999993</v>
      </c>
      <c r="M41" s="204">
        <f t="shared" si="0"/>
        <v>191.39000000000001</v>
      </c>
      <c r="N41" s="204"/>
      <c r="O41" s="204"/>
      <c r="P41" s="204">
        <f t="shared" ref="P41:AL41" si="1">ABS(MIN(P15,0)+MIN(P16,0))+P27-P30</f>
        <v>685.07999999999993</v>
      </c>
      <c r="Q41" s="204">
        <f t="shared" si="1"/>
        <v>50473.27</v>
      </c>
      <c r="R41" s="204">
        <f t="shared" si="1"/>
        <v>342.51</v>
      </c>
      <c r="S41" s="204">
        <f t="shared" si="1"/>
        <v>13597.279999999999</v>
      </c>
      <c r="T41" s="204">
        <f t="shared" si="1"/>
        <v>3949.06</v>
      </c>
      <c r="U41" s="204">
        <f t="shared" si="1"/>
        <v>14817.7</v>
      </c>
      <c r="V41" s="204">
        <f t="shared" si="1"/>
        <v>2338.2199999999998</v>
      </c>
      <c r="W41" s="204">
        <f t="shared" si="1"/>
        <v>416.88999999999942</v>
      </c>
      <c r="X41" s="204">
        <f t="shared" si="1"/>
        <v>21.170000000000016</v>
      </c>
      <c r="Y41" s="204">
        <f t="shared" si="1"/>
        <v>4.3300000000000125</v>
      </c>
      <c r="Z41" s="204">
        <f t="shared" si="1"/>
        <v>3.1299999999999955</v>
      </c>
      <c r="AA41" s="204" t="e">
        <f t="shared" si="1"/>
        <v>#VALUE!</v>
      </c>
      <c r="AB41" s="204" t="e">
        <f t="shared" si="1"/>
        <v>#VALUE!</v>
      </c>
      <c r="AC41" s="197">
        <f t="shared" si="1"/>
        <v>3049.54</v>
      </c>
      <c r="AD41" s="204">
        <f t="shared" si="1"/>
        <v>1159.98</v>
      </c>
      <c r="AE41" s="204">
        <f t="shared" si="1"/>
        <v>4962.7499999999991</v>
      </c>
      <c r="AF41" s="204">
        <f t="shared" si="1"/>
        <v>2006.79</v>
      </c>
      <c r="AG41" s="204">
        <f t="shared" si="1"/>
        <v>3803.9199999999996</v>
      </c>
      <c r="AH41" s="204">
        <f t="shared" si="1"/>
        <v>1974.4</v>
      </c>
      <c r="AI41" s="204">
        <f t="shared" si="1"/>
        <v>7079.53</v>
      </c>
      <c r="AJ41" s="204">
        <f t="shared" si="1"/>
        <v>656438.91</v>
      </c>
      <c r="AK41" s="204">
        <f t="shared" si="1"/>
        <v>71536.02</v>
      </c>
      <c r="AL41" s="204">
        <f t="shared" si="1"/>
        <v>8050.96</v>
      </c>
    </row>
    <row r="42" spans="1:38" s="202" customFormat="1">
      <c r="A42" s="197"/>
      <c r="B42" s="204"/>
      <c r="D42" s="204"/>
      <c r="E42" s="204"/>
      <c r="F42" s="204"/>
      <c r="G42" s="204"/>
      <c r="H42" s="204"/>
      <c r="I42" s="204"/>
      <c r="J42" s="204"/>
      <c r="K42" s="204"/>
      <c r="L42" s="204"/>
      <c r="M42" s="204"/>
      <c r="N42" s="204"/>
      <c r="O42" s="204"/>
      <c r="P42" s="204"/>
      <c r="Q42" s="204"/>
      <c r="R42" s="204"/>
      <c r="S42" s="204"/>
      <c r="T42" s="204"/>
      <c r="U42" s="204"/>
      <c r="V42" s="204"/>
      <c r="W42" s="204"/>
      <c r="X42" s="204"/>
      <c r="Y42" s="204"/>
      <c r="Z42" s="204"/>
      <c r="AA42" s="204"/>
      <c r="AB42" s="204"/>
      <c r="AC42" s="204"/>
      <c r="AD42" s="204"/>
      <c r="AE42" s="204"/>
      <c r="AF42" s="204"/>
      <c r="AG42" s="204"/>
      <c r="AH42" s="204"/>
      <c r="AI42" s="204"/>
      <c r="AJ42" s="204"/>
      <c r="AK42" s="204"/>
      <c r="AL42" s="204"/>
    </row>
    <row r="43" spans="1:38">
      <c r="E43" s="197"/>
    </row>
    <row r="54" spans="1:1">
      <c r="A54" s="207"/>
    </row>
    <row r="55" spans="1:1">
      <c r="A55" s="207"/>
    </row>
  </sheetData>
  <mergeCells count="1">
    <mergeCell ref="A41:B41"/>
  </mergeCells>
  <phoneticPr fontId="3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85"/>
  <sheetViews>
    <sheetView topLeftCell="B4" workbookViewId="0">
      <selection activeCell="B18" sqref="B18"/>
    </sheetView>
  </sheetViews>
  <sheetFormatPr defaultColWidth="9.125" defaultRowHeight="15" customHeight="1"/>
  <cols>
    <col min="1" max="1" width="20.875" style="4" hidden="1" customWidth="1"/>
    <col min="2" max="2" width="45.75" style="4" customWidth="1"/>
    <col min="3" max="16384" width="9.125" style="4"/>
  </cols>
  <sheetData>
    <row r="1" spans="1:37" ht="15" customHeight="1" thickBot="1">
      <c r="B1" s="15" t="s">
        <v>380</v>
      </c>
      <c r="C1" s="13">
        <v>2017</v>
      </c>
      <c r="D1" s="13">
        <v>2018</v>
      </c>
      <c r="E1" s="13">
        <v>2019</v>
      </c>
      <c r="F1" s="13">
        <v>2020</v>
      </c>
      <c r="G1" s="13">
        <v>2021</v>
      </c>
      <c r="H1" s="13">
        <v>2022</v>
      </c>
      <c r="I1" s="13">
        <v>2023</v>
      </c>
      <c r="J1" s="13">
        <v>2024</v>
      </c>
      <c r="K1" s="13">
        <v>2025</v>
      </c>
      <c r="L1" s="13">
        <v>2026</v>
      </c>
      <c r="M1" s="13">
        <v>2027</v>
      </c>
      <c r="N1" s="13">
        <v>2028</v>
      </c>
      <c r="O1" s="13">
        <v>2029</v>
      </c>
      <c r="P1" s="13">
        <v>2030</v>
      </c>
      <c r="Q1" s="13">
        <v>2031</v>
      </c>
      <c r="R1" s="13">
        <v>2032</v>
      </c>
      <c r="S1" s="13">
        <v>2033</v>
      </c>
      <c r="T1" s="13">
        <v>2034</v>
      </c>
      <c r="U1" s="13">
        <v>2035</v>
      </c>
      <c r="V1" s="13">
        <v>2036</v>
      </c>
      <c r="W1" s="13">
        <v>2037</v>
      </c>
      <c r="X1" s="13">
        <v>2038</v>
      </c>
      <c r="Y1" s="13">
        <v>2039</v>
      </c>
      <c r="Z1" s="13">
        <v>2040</v>
      </c>
      <c r="AA1" s="13">
        <v>2041</v>
      </c>
      <c r="AB1" s="13">
        <v>2042</v>
      </c>
      <c r="AC1" s="13">
        <v>2043</v>
      </c>
      <c r="AD1" s="13">
        <v>2044</v>
      </c>
      <c r="AE1" s="13">
        <v>2045</v>
      </c>
      <c r="AF1" s="13">
        <v>2046</v>
      </c>
      <c r="AG1" s="13">
        <v>2047</v>
      </c>
      <c r="AH1" s="13">
        <v>2048</v>
      </c>
      <c r="AI1" s="13">
        <v>2049</v>
      </c>
      <c r="AJ1" s="13">
        <v>2050</v>
      </c>
    </row>
    <row r="2" spans="1:37" ht="15" customHeight="1" thickTop="1"/>
    <row r="3" spans="1:37" ht="15" customHeight="1">
      <c r="C3" s="17" t="s">
        <v>121</v>
      </c>
      <c r="D3" s="17" t="s">
        <v>379</v>
      </c>
      <c r="E3" s="17"/>
      <c r="F3" s="17"/>
      <c r="G3" s="17"/>
    </row>
    <row r="4" spans="1:37" ht="15" customHeight="1">
      <c r="C4" s="17" t="s">
        <v>120</v>
      </c>
      <c r="D4" s="17" t="s">
        <v>378</v>
      </c>
      <c r="E4" s="17"/>
      <c r="F4" s="17"/>
      <c r="G4" s="17" t="s">
        <v>119</v>
      </c>
    </row>
    <row r="5" spans="1:37" ht="15" customHeight="1">
      <c r="C5" s="17" t="s">
        <v>118</v>
      </c>
      <c r="D5" s="17" t="s">
        <v>377</v>
      </c>
      <c r="E5" s="17"/>
      <c r="F5" s="17"/>
      <c r="G5" s="17"/>
    </row>
    <row r="6" spans="1:37" ht="15" customHeight="1">
      <c r="C6" s="17" t="s">
        <v>117</v>
      </c>
      <c r="D6" s="17"/>
      <c r="E6" s="17" t="s">
        <v>376</v>
      </c>
      <c r="F6" s="17"/>
      <c r="G6" s="17"/>
    </row>
    <row r="10" spans="1:37" ht="15" customHeight="1">
      <c r="A10" s="6" t="s">
        <v>116</v>
      </c>
      <c r="B10" s="16" t="s">
        <v>115</v>
      </c>
    </row>
    <row r="11" spans="1:37" ht="15" customHeight="1">
      <c r="B11" s="15" t="s">
        <v>0</v>
      </c>
    </row>
    <row r="12" spans="1:37" ht="15" customHeight="1">
      <c r="B12" s="15" t="s">
        <v>2</v>
      </c>
      <c r="C12" s="14" t="s">
        <v>2</v>
      </c>
      <c r="D12" s="14" t="s">
        <v>2</v>
      </c>
      <c r="E12" s="14" t="s">
        <v>2</v>
      </c>
      <c r="F12" s="14" t="s">
        <v>2</v>
      </c>
      <c r="G12" s="14" t="s">
        <v>2</v>
      </c>
      <c r="H12" s="14" t="s">
        <v>2</v>
      </c>
      <c r="I12" s="14" t="s">
        <v>2</v>
      </c>
      <c r="J12" s="14" t="s">
        <v>2</v>
      </c>
      <c r="K12" s="14" t="s">
        <v>2</v>
      </c>
      <c r="L12" s="14" t="s">
        <v>2</v>
      </c>
      <c r="M12" s="14" t="s">
        <v>2</v>
      </c>
      <c r="N12" s="14" t="s">
        <v>2</v>
      </c>
      <c r="O12" s="14" t="s">
        <v>2</v>
      </c>
      <c r="P12" s="14" t="s">
        <v>2</v>
      </c>
      <c r="Q12" s="14" t="s">
        <v>2</v>
      </c>
      <c r="R12" s="14" t="s">
        <v>2</v>
      </c>
      <c r="S12" s="14" t="s">
        <v>2</v>
      </c>
      <c r="T12" s="14" t="s">
        <v>2</v>
      </c>
      <c r="U12" s="14" t="s">
        <v>2</v>
      </c>
      <c r="V12" s="14" t="s">
        <v>2</v>
      </c>
      <c r="W12" s="14" t="s">
        <v>2</v>
      </c>
      <c r="X12" s="14" t="s">
        <v>2</v>
      </c>
      <c r="Y12" s="14" t="s">
        <v>2</v>
      </c>
      <c r="Z12" s="14" t="s">
        <v>2</v>
      </c>
      <c r="AA12" s="14" t="s">
        <v>2</v>
      </c>
      <c r="AB12" s="14" t="s">
        <v>2</v>
      </c>
      <c r="AC12" s="14" t="s">
        <v>2</v>
      </c>
      <c r="AD12" s="14" t="s">
        <v>2</v>
      </c>
      <c r="AE12" s="14" t="s">
        <v>2</v>
      </c>
      <c r="AF12" s="14" t="s">
        <v>2</v>
      </c>
      <c r="AG12" s="14" t="s">
        <v>2</v>
      </c>
      <c r="AH12" s="14" t="s">
        <v>2</v>
      </c>
      <c r="AI12" s="14" t="s">
        <v>2</v>
      </c>
      <c r="AJ12" s="14" t="s">
        <v>2</v>
      </c>
      <c r="AK12" s="14" t="s">
        <v>375</v>
      </c>
    </row>
    <row r="13" spans="1:37" ht="15" customHeight="1" thickBot="1">
      <c r="B13" s="13" t="s">
        <v>2</v>
      </c>
      <c r="C13" s="13">
        <v>2017</v>
      </c>
      <c r="D13" s="13">
        <v>2018</v>
      </c>
      <c r="E13" s="13">
        <v>2019</v>
      </c>
      <c r="F13" s="13">
        <v>2020</v>
      </c>
      <c r="G13" s="13">
        <v>2021</v>
      </c>
      <c r="H13" s="13">
        <v>2022</v>
      </c>
      <c r="I13" s="13">
        <v>2023</v>
      </c>
      <c r="J13" s="13">
        <v>2024</v>
      </c>
      <c r="K13" s="13">
        <v>2025</v>
      </c>
      <c r="L13" s="13">
        <v>2026</v>
      </c>
      <c r="M13" s="13">
        <v>2027</v>
      </c>
      <c r="N13" s="13">
        <v>2028</v>
      </c>
      <c r="O13" s="13">
        <v>2029</v>
      </c>
      <c r="P13" s="13">
        <v>2030</v>
      </c>
      <c r="Q13" s="13">
        <v>2031</v>
      </c>
      <c r="R13" s="13">
        <v>2032</v>
      </c>
      <c r="S13" s="13">
        <v>2033</v>
      </c>
      <c r="T13" s="13">
        <v>2034</v>
      </c>
      <c r="U13" s="13">
        <v>2035</v>
      </c>
      <c r="V13" s="13">
        <v>2036</v>
      </c>
      <c r="W13" s="13">
        <v>2037</v>
      </c>
      <c r="X13" s="13">
        <v>2038</v>
      </c>
      <c r="Y13" s="13">
        <v>2039</v>
      </c>
      <c r="Z13" s="13">
        <v>2040</v>
      </c>
      <c r="AA13" s="13">
        <v>2041</v>
      </c>
      <c r="AB13" s="13">
        <v>2042</v>
      </c>
      <c r="AC13" s="13">
        <v>2043</v>
      </c>
      <c r="AD13" s="13">
        <v>2044</v>
      </c>
      <c r="AE13" s="13">
        <v>2045</v>
      </c>
      <c r="AF13" s="13">
        <v>2046</v>
      </c>
      <c r="AG13" s="13">
        <v>2047</v>
      </c>
      <c r="AH13" s="13">
        <v>2048</v>
      </c>
      <c r="AI13" s="13">
        <v>2049</v>
      </c>
      <c r="AJ13" s="13">
        <v>2050</v>
      </c>
      <c r="AK13" s="13">
        <v>2050</v>
      </c>
    </row>
    <row r="14" spans="1:37" ht="15" customHeight="1" thickTop="1">
      <c r="B14" s="10" t="s">
        <v>47</v>
      </c>
    </row>
    <row r="15" spans="1:37" ht="15" customHeight="1">
      <c r="B15" s="10" t="s">
        <v>48</v>
      </c>
    </row>
    <row r="16" spans="1:37" ht="15" customHeight="1">
      <c r="A16" s="6" t="s">
        <v>114</v>
      </c>
      <c r="B16" s="9" t="s">
        <v>3</v>
      </c>
      <c r="C16" s="11">
        <v>6.6360000000000001</v>
      </c>
      <c r="D16" s="11">
        <v>6.6360000000000001</v>
      </c>
      <c r="E16" s="11">
        <v>6.6360000000000001</v>
      </c>
      <c r="F16" s="11">
        <v>6.6360000000000001</v>
      </c>
      <c r="G16" s="11">
        <v>6.6360000000000001</v>
      </c>
      <c r="H16" s="11">
        <v>6.6360000000000001</v>
      </c>
      <c r="I16" s="11">
        <v>6.6360000000000001</v>
      </c>
      <c r="J16" s="11">
        <v>6.6360000000000001</v>
      </c>
      <c r="K16" s="11">
        <v>6.6360000000000001</v>
      </c>
      <c r="L16" s="11">
        <v>6.6360000000000001</v>
      </c>
      <c r="M16" s="11">
        <v>6.6360000000000001</v>
      </c>
      <c r="N16" s="11">
        <v>6.6360000000000001</v>
      </c>
      <c r="O16" s="11">
        <v>6.6360000000000001</v>
      </c>
      <c r="P16" s="11">
        <v>6.6360000000000001</v>
      </c>
      <c r="Q16" s="11">
        <v>6.6360000000000001</v>
      </c>
      <c r="R16" s="11">
        <v>6.6360000000000001</v>
      </c>
      <c r="S16" s="11">
        <v>6.6360000000000001</v>
      </c>
      <c r="T16" s="11">
        <v>6.6360000000000001</v>
      </c>
      <c r="U16" s="11">
        <v>6.6360000000000001</v>
      </c>
      <c r="V16" s="11">
        <v>6.6360000000000001</v>
      </c>
      <c r="W16" s="11">
        <v>6.6360000000000001</v>
      </c>
      <c r="X16" s="11">
        <v>6.6360000000000001</v>
      </c>
      <c r="Y16" s="11">
        <v>6.6360000000000001</v>
      </c>
      <c r="Z16" s="11">
        <v>6.6360000000000001</v>
      </c>
      <c r="AA16" s="11">
        <v>6.6360000000000001</v>
      </c>
      <c r="AB16" s="11">
        <v>6.6360000000000001</v>
      </c>
      <c r="AC16" s="11">
        <v>6.6360000000000001</v>
      </c>
      <c r="AD16" s="11">
        <v>6.6360000000000001</v>
      </c>
      <c r="AE16" s="11">
        <v>6.6360000000000001</v>
      </c>
      <c r="AF16" s="11">
        <v>6.6360000000000001</v>
      </c>
      <c r="AG16" s="11">
        <v>6.6360000000000001</v>
      </c>
      <c r="AH16" s="11">
        <v>6.6360000000000001</v>
      </c>
      <c r="AI16" s="11">
        <v>6.6360000000000001</v>
      </c>
      <c r="AJ16" s="11">
        <v>6.6360000000000001</v>
      </c>
      <c r="AK16" s="7">
        <v>0</v>
      </c>
    </row>
    <row r="17" spans="1:37" ht="15" customHeight="1">
      <c r="A17" s="6" t="s">
        <v>113</v>
      </c>
      <c r="B17" s="9" t="s">
        <v>4</v>
      </c>
      <c r="C17" s="11">
        <v>5.048</v>
      </c>
      <c r="D17" s="11">
        <v>5.048</v>
      </c>
      <c r="E17" s="11">
        <v>5.048</v>
      </c>
      <c r="F17" s="11">
        <v>5.048</v>
      </c>
      <c r="G17" s="11">
        <v>5.048</v>
      </c>
      <c r="H17" s="11">
        <v>5.048</v>
      </c>
      <c r="I17" s="11">
        <v>5.048</v>
      </c>
      <c r="J17" s="11">
        <v>5.048</v>
      </c>
      <c r="K17" s="11">
        <v>5.048</v>
      </c>
      <c r="L17" s="11">
        <v>5.048</v>
      </c>
      <c r="M17" s="11">
        <v>5.048</v>
      </c>
      <c r="N17" s="11">
        <v>5.048</v>
      </c>
      <c r="O17" s="11">
        <v>5.048</v>
      </c>
      <c r="P17" s="11">
        <v>5.048</v>
      </c>
      <c r="Q17" s="11">
        <v>5.048</v>
      </c>
      <c r="R17" s="11">
        <v>5.048</v>
      </c>
      <c r="S17" s="11">
        <v>5.048</v>
      </c>
      <c r="T17" s="11">
        <v>5.048</v>
      </c>
      <c r="U17" s="11">
        <v>5.048</v>
      </c>
      <c r="V17" s="11">
        <v>5.048</v>
      </c>
      <c r="W17" s="11">
        <v>5.048</v>
      </c>
      <c r="X17" s="11">
        <v>5.048</v>
      </c>
      <c r="Y17" s="11">
        <v>5.048</v>
      </c>
      <c r="Z17" s="11">
        <v>5.048</v>
      </c>
      <c r="AA17" s="11">
        <v>5.048</v>
      </c>
      <c r="AB17" s="11">
        <v>5.048</v>
      </c>
      <c r="AC17" s="11">
        <v>5.048</v>
      </c>
      <c r="AD17" s="11">
        <v>5.048</v>
      </c>
      <c r="AE17" s="11">
        <v>5.048</v>
      </c>
      <c r="AF17" s="11">
        <v>5.048</v>
      </c>
      <c r="AG17" s="11">
        <v>5.048</v>
      </c>
      <c r="AH17" s="11">
        <v>5.048</v>
      </c>
      <c r="AI17" s="11">
        <v>5.048</v>
      </c>
      <c r="AJ17" s="11">
        <v>5.048</v>
      </c>
      <c r="AK17" s="7">
        <v>0</v>
      </c>
    </row>
    <row r="18" spans="1:37" ht="15" customHeight="1">
      <c r="A18" s="6" t="s">
        <v>112</v>
      </c>
      <c r="B18" s="9" t="s">
        <v>5</v>
      </c>
      <c r="C18" s="11">
        <v>5.359</v>
      </c>
      <c r="D18" s="11">
        <v>5.359</v>
      </c>
      <c r="E18" s="11">
        <v>5.359</v>
      </c>
      <c r="F18" s="11">
        <v>5.359</v>
      </c>
      <c r="G18" s="11">
        <v>5.359</v>
      </c>
      <c r="H18" s="11">
        <v>5.359</v>
      </c>
      <c r="I18" s="11">
        <v>5.359</v>
      </c>
      <c r="J18" s="11">
        <v>5.359</v>
      </c>
      <c r="K18" s="11">
        <v>5.359</v>
      </c>
      <c r="L18" s="11">
        <v>5.359</v>
      </c>
      <c r="M18" s="11">
        <v>5.359</v>
      </c>
      <c r="N18" s="11">
        <v>5.359</v>
      </c>
      <c r="O18" s="11">
        <v>5.359</v>
      </c>
      <c r="P18" s="11">
        <v>5.359</v>
      </c>
      <c r="Q18" s="11">
        <v>5.359</v>
      </c>
      <c r="R18" s="11">
        <v>5.359</v>
      </c>
      <c r="S18" s="11">
        <v>5.359</v>
      </c>
      <c r="T18" s="11">
        <v>5.359</v>
      </c>
      <c r="U18" s="11">
        <v>5.359</v>
      </c>
      <c r="V18" s="11">
        <v>5.359</v>
      </c>
      <c r="W18" s="11">
        <v>5.359</v>
      </c>
      <c r="X18" s="11">
        <v>5.359</v>
      </c>
      <c r="Y18" s="11">
        <v>5.359</v>
      </c>
      <c r="Z18" s="11">
        <v>5.359</v>
      </c>
      <c r="AA18" s="11">
        <v>5.359</v>
      </c>
      <c r="AB18" s="11">
        <v>5.359</v>
      </c>
      <c r="AC18" s="11">
        <v>5.359</v>
      </c>
      <c r="AD18" s="11">
        <v>5.359</v>
      </c>
      <c r="AE18" s="11">
        <v>5.359</v>
      </c>
      <c r="AF18" s="11">
        <v>5.359</v>
      </c>
      <c r="AG18" s="11">
        <v>5.359</v>
      </c>
      <c r="AH18" s="11">
        <v>5.359</v>
      </c>
      <c r="AI18" s="11">
        <v>5.359</v>
      </c>
      <c r="AJ18" s="11">
        <v>5.359</v>
      </c>
      <c r="AK18" s="7">
        <v>0</v>
      </c>
    </row>
    <row r="19" spans="1:37" ht="15" customHeight="1">
      <c r="A19" s="6" t="s">
        <v>111</v>
      </c>
      <c r="B19" s="292" t="s">
        <v>6</v>
      </c>
      <c r="C19" s="11">
        <v>5.8250000000000002</v>
      </c>
      <c r="D19" s="11">
        <v>5.8250000000000002</v>
      </c>
      <c r="E19" s="11">
        <v>5.8250000000000002</v>
      </c>
      <c r="F19" s="11">
        <v>5.8250000000000002</v>
      </c>
      <c r="G19" s="11">
        <v>5.8250000000000002</v>
      </c>
      <c r="H19" s="11">
        <v>5.8250000000000002</v>
      </c>
      <c r="I19" s="11">
        <v>5.8250000000000002</v>
      </c>
      <c r="J19" s="11">
        <v>5.8250000000000002</v>
      </c>
      <c r="K19" s="11">
        <v>5.8250000000000002</v>
      </c>
      <c r="L19" s="11">
        <v>5.8250000000000002</v>
      </c>
      <c r="M19" s="11">
        <v>5.8250000000000002</v>
      </c>
      <c r="N19" s="11">
        <v>5.8250000000000002</v>
      </c>
      <c r="O19" s="11">
        <v>5.8250000000000002</v>
      </c>
      <c r="P19" s="11">
        <v>5.8250000000000002</v>
      </c>
      <c r="Q19" s="11">
        <v>5.8250000000000002</v>
      </c>
      <c r="R19" s="11">
        <v>5.8250000000000002</v>
      </c>
      <c r="S19" s="11">
        <v>5.8250000000000002</v>
      </c>
      <c r="T19" s="11">
        <v>5.8250000000000002</v>
      </c>
      <c r="U19" s="11">
        <v>5.8250000000000002</v>
      </c>
      <c r="V19" s="11">
        <v>5.8250000000000002</v>
      </c>
      <c r="W19" s="11">
        <v>5.8250000000000002</v>
      </c>
      <c r="X19" s="11">
        <v>5.8250000000000002</v>
      </c>
      <c r="Y19" s="11">
        <v>5.8250000000000002</v>
      </c>
      <c r="Z19" s="11">
        <v>5.8250000000000002</v>
      </c>
      <c r="AA19" s="11">
        <v>5.8250000000000002</v>
      </c>
      <c r="AB19" s="11">
        <v>5.8250000000000002</v>
      </c>
      <c r="AC19" s="11">
        <v>5.8250000000000002</v>
      </c>
      <c r="AD19" s="11">
        <v>5.8250000000000002</v>
      </c>
      <c r="AE19" s="11">
        <v>5.8250000000000002</v>
      </c>
      <c r="AF19" s="11">
        <v>5.8250000000000002</v>
      </c>
      <c r="AG19" s="11">
        <v>5.8250000000000002</v>
      </c>
      <c r="AH19" s="11">
        <v>5.8250000000000002</v>
      </c>
      <c r="AI19" s="11">
        <v>5.8250000000000002</v>
      </c>
      <c r="AJ19" s="11">
        <v>5.8250000000000002</v>
      </c>
      <c r="AK19" s="7">
        <v>0</v>
      </c>
    </row>
    <row r="20" spans="1:37" ht="15" customHeight="1">
      <c r="A20" s="6" t="s">
        <v>110</v>
      </c>
      <c r="B20" s="9" t="s">
        <v>7</v>
      </c>
      <c r="C20" s="11">
        <v>5.7746510000000004</v>
      </c>
      <c r="D20" s="11">
        <v>5.7738240000000003</v>
      </c>
      <c r="E20" s="11">
        <v>5.7736289999999997</v>
      </c>
      <c r="F20" s="11">
        <v>5.7729280000000003</v>
      </c>
      <c r="G20" s="11">
        <v>5.7731190000000003</v>
      </c>
      <c r="H20" s="11">
        <v>5.7737270000000001</v>
      </c>
      <c r="I20" s="11">
        <v>5.7724289999999998</v>
      </c>
      <c r="J20" s="11">
        <v>5.773784</v>
      </c>
      <c r="K20" s="11">
        <v>5.7726059999999997</v>
      </c>
      <c r="L20" s="11">
        <v>5.7733230000000004</v>
      </c>
      <c r="M20" s="11">
        <v>5.7745470000000001</v>
      </c>
      <c r="N20" s="11">
        <v>5.7747440000000001</v>
      </c>
      <c r="O20" s="11">
        <v>5.7735219999999998</v>
      </c>
      <c r="P20" s="11">
        <v>5.7736159999999996</v>
      </c>
      <c r="Q20" s="11">
        <v>5.7735810000000001</v>
      </c>
      <c r="R20" s="11">
        <v>5.7734930000000002</v>
      </c>
      <c r="S20" s="11">
        <v>5.7744850000000003</v>
      </c>
      <c r="T20" s="11">
        <v>5.7733730000000003</v>
      </c>
      <c r="U20" s="11">
        <v>5.7733169999999996</v>
      </c>
      <c r="V20" s="11">
        <v>5.7729939999999997</v>
      </c>
      <c r="W20" s="11">
        <v>5.7732359999999998</v>
      </c>
      <c r="X20" s="11">
        <v>5.7731630000000003</v>
      </c>
      <c r="Y20" s="11">
        <v>5.7730449999999998</v>
      </c>
      <c r="Z20" s="11">
        <v>5.773002</v>
      </c>
      <c r="AA20" s="11">
        <v>5.7729929999999996</v>
      </c>
      <c r="AB20" s="11">
        <v>5.7727380000000004</v>
      </c>
      <c r="AC20" s="11">
        <v>5.772945</v>
      </c>
      <c r="AD20" s="11">
        <v>5.7726160000000002</v>
      </c>
      <c r="AE20" s="11">
        <v>5.7726569999999997</v>
      </c>
      <c r="AF20" s="11">
        <v>5.7725039999999996</v>
      </c>
      <c r="AG20" s="11">
        <v>5.7722730000000002</v>
      </c>
      <c r="AH20" s="11">
        <v>5.7721470000000004</v>
      </c>
      <c r="AI20" s="11">
        <v>5.7719480000000001</v>
      </c>
      <c r="AJ20" s="11">
        <v>5.7717749999999999</v>
      </c>
      <c r="AK20" s="7">
        <v>-1.1E-5</v>
      </c>
    </row>
    <row r="21" spans="1:37" ht="15" customHeight="1">
      <c r="A21" s="6" t="s">
        <v>109</v>
      </c>
      <c r="B21" s="9" t="s">
        <v>8</v>
      </c>
      <c r="C21" s="11">
        <v>5.7746510000000004</v>
      </c>
      <c r="D21" s="11">
        <v>5.7738240000000003</v>
      </c>
      <c r="E21" s="11">
        <v>5.7736289999999997</v>
      </c>
      <c r="F21" s="11">
        <v>5.7729280000000003</v>
      </c>
      <c r="G21" s="11">
        <v>5.7731190000000003</v>
      </c>
      <c r="H21" s="11">
        <v>5.7737270000000001</v>
      </c>
      <c r="I21" s="11">
        <v>5.7724289999999998</v>
      </c>
      <c r="J21" s="11">
        <v>5.773784</v>
      </c>
      <c r="K21" s="11">
        <v>5.7726059999999997</v>
      </c>
      <c r="L21" s="11">
        <v>5.7733230000000004</v>
      </c>
      <c r="M21" s="11">
        <v>5.7745470000000001</v>
      </c>
      <c r="N21" s="11">
        <v>5.7747440000000001</v>
      </c>
      <c r="O21" s="11">
        <v>5.7735219999999998</v>
      </c>
      <c r="P21" s="11">
        <v>5.7736159999999996</v>
      </c>
      <c r="Q21" s="11">
        <v>5.7735810000000001</v>
      </c>
      <c r="R21" s="11">
        <v>5.7734930000000002</v>
      </c>
      <c r="S21" s="11">
        <v>5.7744850000000003</v>
      </c>
      <c r="T21" s="11">
        <v>5.7733730000000003</v>
      </c>
      <c r="U21" s="11">
        <v>5.7733169999999996</v>
      </c>
      <c r="V21" s="11">
        <v>5.7729939999999997</v>
      </c>
      <c r="W21" s="11">
        <v>5.7732359999999998</v>
      </c>
      <c r="X21" s="11">
        <v>5.7731630000000003</v>
      </c>
      <c r="Y21" s="11">
        <v>5.7730449999999998</v>
      </c>
      <c r="Z21" s="11">
        <v>5.773002</v>
      </c>
      <c r="AA21" s="11">
        <v>5.7729929999999996</v>
      </c>
      <c r="AB21" s="11">
        <v>5.7727380000000004</v>
      </c>
      <c r="AC21" s="11">
        <v>5.772945</v>
      </c>
      <c r="AD21" s="11">
        <v>5.7726160000000002</v>
      </c>
      <c r="AE21" s="11">
        <v>5.7726569999999997</v>
      </c>
      <c r="AF21" s="11">
        <v>5.7725039999999996</v>
      </c>
      <c r="AG21" s="11">
        <v>5.7722730000000002</v>
      </c>
      <c r="AH21" s="11">
        <v>5.7721470000000004</v>
      </c>
      <c r="AI21" s="11">
        <v>5.7719480000000001</v>
      </c>
      <c r="AJ21" s="11">
        <v>5.7717749999999999</v>
      </c>
      <c r="AK21" s="7">
        <v>-1.1E-5</v>
      </c>
    </row>
    <row r="22" spans="1:37" ht="15" customHeight="1">
      <c r="A22" s="6" t="s">
        <v>108</v>
      </c>
      <c r="B22" s="9" t="s">
        <v>9</v>
      </c>
      <c r="C22" s="11">
        <v>5.7746510000000004</v>
      </c>
      <c r="D22" s="11">
        <v>5.7738240000000003</v>
      </c>
      <c r="E22" s="11">
        <v>5.7736289999999997</v>
      </c>
      <c r="F22" s="11">
        <v>5.7729280000000003</v>
      </c>
      <c r="G22" s="11">
        <v>5.7731190000000003</v>
      </c>
      <c r="H22" s="11">
        <v>5.7737270000000001</v>
      </c>
      <c r="I22" s="11">
        <v>5.7724289999999998</v>
      </c>
      <c r="J22" s="11">
        <v>5.773784</v>
      </c>
      <c r="K22" s="11">
        <v>5.7726059999999997</v>
      </c>
      <c r="L22" s="11">
        <v>5.7733230000000004</v>
      </c>
      <c r="M22" s="11">
        <v>5.7745470000000001</v>
      </c>
      <c r="N22" s="11">
        <v>5.7747440000000001</v>
      </c>
      <c r="O22" s="11">
        <v>5.7735219999999998</v>
      </c>
      <c r="P22" s="11">
        <v>5.7736159999999996</v>
      </c>
      <c r="Q22" s="11">
        <v>5.7735810000000001</v>
      </c>
      <c r="R22" s="11">
        <v>5.7734930000000002</v>
      </c>
      <c r="S22" s="11">
        <v>5.7744850000000003</v>
      </c>
      <c r="T22" s="11">
        <v>5.7733730000000003</v>
      </c>
      <c r="U22" s="11">
        <v>5.7733169999999996</v>
      </c>
      <c r="V22" s="11">
        <v>5.7729939999999997</v>
      </c>
      <c r="W22" s="11">
        <v>5.7732359999999998</v>
      </c>
      <c r="X22" s="11">
        <v>5.7731630000000003</v>
      </c>
      <c r="Y22" s="11">
        <v>5.7730449999999998</v>
      </c>
      <c r="Z22" s="11">
        <v>5.773002</v>
      </c>
      <c r="AA22" s="11">
        <v>5.7729929999999996</v>
      </c>
      <c r="AB22" s="11">
        <v>5.7727380000000004</v>
      </c>
      <c r="AC22" s="11">
        <v>5.772945</v>
      </c>
      <c r="AD22" s="11">
        <v>5.7726160000000002</v>
      </c>
      <c r="AE22" s="11">
        <v>5.7726569999999997</v>
      </c>
      <c r="AF22" s="11">
        <v>5.7725039999999996</v>
      </c>
      <c r="AG22" s="11">
        <v>5.7722730000000002</v>
      </c>
      <c r="AH22" s="11">
        <v>5.7721470000000004</v>
      </c>
      <c r="AI22" s="11">
        <v>5.7719480000000001</v>
      </c>
      <c r="AJ22" s="11">
        <v>5.7717749999999999</v>
      </c>
      <c r="AK22" s="7">
        <v>-1.1E-5</v>
      </c>
    </row>
    <row r="23" spans="1:37" ht="15" customHeight="1">
      <c r="A23" s="6" t="s">
        <v>107</v>
      </c>
      <c r="B23" s="9" t="s">
        <v>10</v>
      </c>
      <c r="C23" s="11">
        <v>5.7746510000000004</v>
      </c>
      <c r="D23" s="11">
        <v>5.7738240000000003</v>
      </c>
      <c r="E23" s="11">
        <v>5.7736289999999997</v>
      </c>
      <c r="F23" s="11">
        <v>5.7729280000000003</v>
      </c>
      <c r="G23" s="11">
        <v>5.7731190000000003</v>
      </c>
      <c r="H23" s="11">
        <v>5.7737270000000001</v>
      </c>
      <c r="I23" s="11">
        <v>5.7724289999999998</v>
      </c>
      <c r="J23" s="11">
        <v>5.773784</v>
      </c>
      <c r="K23" s="11">
        <v>5.7726059999999997</v>
      </c>
      <c r="L23" s="11">
        <v>5.7733230000000004</v>
      </c>
      <c r="M23" s="11">
        <v>5.7745470000000001</v>
      </c>
      <c r="N23" s="11">
        <v>5.7747440000000001</v>
      </c>
      <c r="O23" s="11">
        <v>5.7735219999999998</v>
      </c>
      <c r="P23" s="11">
        <v>5.7736159999999996</v>
      </c>
      <c r="Q23" s="11">
        <v>5.7735810000000001</v>
      </c>
      <c r="R23" s="11">
        <v>5.7734930000000002</v>
      </c>
      <c r="S23" s="11">
        <v>5.7744850000000003</v>
      </c>
      <c r="T23" s="11">
        <v>5.7733730000000003</v>
      </c>
      <c r="U23" s="11">
        <v>5.7733169999999996</v>
      </c>
      <c r="V23" s="11">
        <v>5.7729939999999997</v>
      </c>
      <c r="W23" s="11">
        <v>5.7732359999999998</v>
      </c>
      <c r="X23" s="11">
        <v>5.7731630000000003</v>
      </c>
      <c r="Y23" s="11">
        <v>5.7730449999999998</v>
      </c>
      <c r="Z23" s="11">
        <v>5.773002</v>
      </c>
      <c r="AA23" s="11">
        <v>5.7729929999999996</v>
      </c>
      <c r="AB23" s="11">
        <v>5.7727380000000004</v>
      </c>
      <c r="AC23" s="11">
        <v>5.772945</v>
      </c>
      <c r="AD23" s="11">
        <v>5.7726160000000002</v>
      </c>
      <c r="AE23" s="11">
        <v>5.7726569999999997</v>
      </c>
      <c r="AF23" s="11">
        <v>5.7725039999999996</v>
      </c>
      <c r="AG23" s="11">
        <v>5.7722730000000002</v>
      </c>
      <c r="AH23" s="11">
        <v>5.7721470000000004</v>
      </c>
      <c r="AI23" s="11">
        <v>5.7719480000000001</v>
      </c>
      <c r="AJ23" s="11">
        <v>5.7717749999999999</v>
      </c>
      <c r="AK23" s="7">
        <v>-1.1E-5</v>
      </c>
    </row>
    <row r="24" spans="1:37" ht="15" customHeight="1">
      <c r="A24" s="6" t="s">
        <v>106</v>
      </c>
      <c r="B24" s="9" t="s">
        <v>11</v>
      </c>
      <c r="C24" s="11">
        <v>5.7746510000000004</v>
      </c>
      <c r="D24" s="11">
        <v>5.7738240000000003</v>
      </c>
      <c r="E24" s="11">
        <v>5.7736289999999997</v>
      </c>
      <c r="F24" s="11">
        <v>5.7729280000000003</v>
      </c>
      <c r="G24" s="11">
        <v>5.7731190000000003</v>
      </c>
      <c r="H24" s="11">
        <v>5.7737270000000001</v>
      </c>
      <c r="I24" s="11">
        <v>5.7724289999999998</v>
      </c>
      <c r="J24" s="11">
        <v>5.773784</v>
      </c>
      <c r="K24" s="11">
        <v>5.7726059999999997</v>
      </c>
      <c r="L24" s="11">
        <v>5.7733230000000004</v>
      </c>
      <c r="M24" s="11">
        <v>5.7745470000000001</v>
      </c>
      <c r="N24" s="11">
        <v>5.7747440000000001</v>
      </c>
      <c r="O24" s="11">
        <v>5.7735219999999998</v>
      </c>
      <c r="P24" s="11">
        <v>5.7736159999999996</v>
      </c>
      <c r="Q24" s="11">
        <v>5.7735810000000001</v>
      </c>
      <c r="R24" s="11">
        <v>5.7734930000000002</v>
      </c>
      <c r="S24" s="11">
        <v>5.7744850000000003</v>
      </c>
      <c r="T24" s="11">
        <v>5.7733730000000003</v>
      </c>
      <c r="U24" s="11">
        <v>5.7733169999999996</v>
      </c>
      <c r="V24" s="11">
        <v>5.7729939999999997</v>
      </c>
      <c r="W24" s="11">
        <v>5.7732359999999998</v>
      </c>
      <c r="X24" s="11">
        <v>5.7731630000000003</v>
      </c>
      <c r="Y24" s="11">
        <v>5.7730449999999998</v>
      </c>
      <c r="Z24" s="11">
        <v>5.773002</v>
      </c>
      <c r="AA24" s="11">
        <v>5.7729929999999996</v>
      </c>
      <c r="AB24" s="11">
        <v>5.7727380000000004</v>
      </c>
      <c r="AC24" s="11">
        <v>5.772945</v>
      </c>
      <c r="AD24" s="11">
        <v>5.7726160000000002</v>
      </c>
      <c r="AE24" s="11">
        <v>5.7726569999999997</v>
      </c>
      <c r="AF24" s="11">
        <v>5.7725039999999996</v>
      </c>
      <c r="AG24" s="11">
        <v>5.7722730000000002</v>
      </c>
      <c r="AH24" s="11">
        <v>5.7721470000000004</v>
      </c>
      <c r="AI24" s="11">
        <v>5.7719480000000001</v>
      </c>
      <c r="AJ24" s="11">
        <v>5.7717749999999999</v>
      </c>
      <c r="AK24" s="7">
        <v>-1.1E-5</v>
      </c>
    </row>
    <row r="25" spans="1:37" ht="15" customHeight="1">
      <c r="A25" s="6" t="s">
        <v>105</v>
      </c>
      <c r="B25" s="9" t="s">
        <v>12</v>
      </c>
      <c r="C25" s="11">
        <v>5.7746510000000004</v>
      </c>
      <c r="D25" s="11">
        <v>5.7738240000000003</v>
      </c>
      <c r="E25" s="11">
        <v>5.7736280000000004</v>
      </c>
      <c r="F25" s="11">
        <v>5.7729270000000001</v>
      </c>
      <c r="G25" s="11">
        <v>5.7731190000000003</v>
      </c>
      <c r="H25" s="11">
        <v>5.7737270000000001</v>
      </c>
      <c r="I25" s="11">
        <v>5.7724289999999998</v>
      </c>
      <c r="J25" s="11">
        <v>5.773784</v>
      </c>
      <c r="K25" s="11">
        <v>5.7726059999999997</v>
      </c>
      <c r="L25" s="11">
        <v>5.7733220000000003</v>
      </c>
      <c r="M25" s="11">
        <v>5.7745480000000002</v>
      </c>
      <c r="N25" s="11">
        <v>5.7747440000000001</v>
      </c>
      <c r="O25" s="11">
        <v>5.7735219999999998</v>
      </c>
      <c r="P25" s="11">
        <v>5.7736159999999996</v>
      </c>
      <c r="Q25" s="11">
        <v>5.7735799999999999</v>
      </c>
      <c r="R25" s="11">
        <v>5.7734930000000002</v>
      </c>
      <c r="S25" s="11">
        <v>5.7744850000000003</v>
      </c>
      <c r="T25" s="11">
        <v>5.7733730000000003</v>
      </c>
      <c r="U25" s="11">
        <v>5.7733169999999996</v>
      </c>
      <c r="V25" s="11">
        <v>5.7729939999999997</v>
      </c>
      <c r="W25" s="11">
        <v>5.7732359999999998</v>
      </c>
      <c r="X25" s="11">
        <v>5.7731620000000001</v>
      </c>
      <c r="Y25" s="11">
        <v>5.7730439999999996</v>
      </c>
      <c r="Z25" s="11">
        <v>5.773002</v>
      </c>
      <c r="AA25" s="11">
        <v>5.7729929999999996</v>
      </c>
      <c r="AB25" s="11">
        <v>5.7727380000000004</v>
      </c>
      <c r="AC25" s="11">
        <v>5.772945</v>
      </c>
      <c r="AD25" s="11">
        <v>5.7726170000000003</v>
      </c>
      <c r="AE25" s="11">
        <v>5.7726559999999996</v>
      </c>
      <c r="AF25" s="11">
        <v>5.7725039999999996</v>
      </c>
      <c r="AG25" s="11">
        <v>5.7722740000000003</v>
      </c>
      <c r="AH25" s="11">
        <v>5.7721470000000004</v>
      </c>
      <c r="AI25" s="11">
        <v>5.7719480000000001</v>
      </c>
      <c r="AJ25" s="11">
        <v>5.7717749999999999</v>
      </c>
      <c r="AK25" s="7">
        <v>-1.1E-5</v>
      </c>
    </row>
    <row r="26" spans="1:37" ht="15" customHeight="1">
      <c r="A26" s="6" t="s">
        <v>104</v>
      </c>
      <c r="B26" s="9" t="s">
        <v>13</v>
      </c>
      <c r="C26" s="11">
        <v>5.8170000000000002</v>
      </c>
      <c r="D26" s="11">
        <v>5.8170000000000002</v>
      </c>
      <c r="E26" s="11">
        <v>5.8170000000000002</v>
      </c>
      <c r="F26" s="11">
        <v>5.8170000000000002</v>
      </c>
      <c r="G26" s="11">
        <v>5.8170000000000002</v>
      </c>
      <c r="H26" s="11">
        <v>5.8170000000000002</v>
      </c>
      <c r="I26" s="11">
        <v>5.8170000000000002</v>
      </c>
      <c r="J26" s="11">
        <v>5.8170000000000002</v>
      </c>
      <c r="K26" s="11">
        <v>5.8170000000000002</v>
      </c>
      <c r="L26" s="11">
        <v>5.8170000000000002</v>
      </c>
      <c r="M26" s="11">
        <v>5.8170000000000002</v>
      </c>
      <c r="N26" s="11">
        <v>5.8170000000000002</v>
      </c>
      <c r="O26" s="11">
        <v>5.8170000000000002</v>
      </c>
      <c r="P26" s="11">
        <v>5.8170000000000002</v>
      </c>
      <c r="Q26" s="11">
        <v>5.8170000000000002</v>
      </c>
      <c r="R26" s="11">
        <v>5.8170000000000002</v>
      </c>
      <c r="S26" s="11">
        <v>5.8170000000000002</v>
      </c>
      <c r="T26" s="11">
        <v>5.8170000000000002</v>
      </c>
      <c r="U26" s="11">
        <v>5.8170000000000002</v>
      </c>
      <c r="V26" s="11">
        <v>5.8170000000000002</v>
      </c>
      <c r="W26" s="11">
        <v>5.8170000000000002</v>
      </c>
      <c r="X26" s="11">
        <v>5.8170000000000002</v>
      </c>
      <c r="Y26" s="11">
        <v>5.8170000000000002</v>
      </c>
      <c r="Z26" s="11">
        <v>5.8170000000000002</v>
      </c>
      <c r="AA26" s="11">
        <v>5.8170000000000002</v>
      </c>
      <c r="AB26" s="11">
        <v>5.8170000000000002</v>
      </c>
      <c r="AC26" s="11">
        <v>5.8170000000000002</v>
      </c>
      <c r="AD26" s="11">
        <v>5.8170000000000002</v>
      </c>
      <c r="AE26" s="11">
        <v>5.8170000000000002</v>
      </c>
      <c r="AF26" s="11">
        <v>5.8170000000000002</v>
      </c>
      <c r="AG26" s="11">
        <v>5.8170000000000002</v>
      </c>
      <c r="AH26" s="11">
        <v>5.8170000000000002</v>
      </c>
      <c r="AI26" s="11">
        <v>5.8170000000000002</v>
      </c>
      <c r="AJ26" s="11">
        <v>5.8170000000000002</v>
      </c>
      <c r="AK26" s="7">
        <v>0</v>
      </c>
    </row>
    <row r="27" spans="1:37" ht="15" customHeight="1">
      <c r="A27" s="6" t="s">
        <v>103</v>
      </c>
      <c r="B27" s="9" t="s">
        <v>14</v>
      </c>
      <c r="C27" s="11">
        <v>5.77</v>
      </c>
      <c r="D27" s="11">
        <v>5.77</v>
      </c>
      <c r="E27" s="11">
        <v>5.77</v>
      </c>
      <c r="F27" s="11">
        <v>5.77</v>
      </c>
      <c r="G27" s="11">
        <v>5.77</v>
      </c>
      <c r="H27" s="11">
        <v>5.77</v>
      </c>
      <c r="I27" s="11">
        <v>5.77</v>
      </c>
      <c r="J27" s="11">
        <v>5.77</v>
      </c>
      <c r="K27" s="11">
        <v>5.77</v>
      </c>
      <c r="L27" s="11">
        <v>5.77</v>
      </c>
      <c r="M27" s="11">
        <v>5.77</v>
      </c>
      <c r="N27" s="11">
        <v>5.77</v>
      </c>
      <c r="O27" s="11">
        <v>5.77</v>
      </c>
      <c r="P27" s="11">
        <v>5.77</v>
      </c>
      <c r="Q27" s="11">
        <v>5.77</v>
      </c>
      <c r="R27" s="11">
        <v>5.77</v>
      </c>
      <c r="S27" s="11">
        <v>5.77</v>
      </c>
      <c r="T27" s="11">
        <v>5.77</v>
      </c>
      <c r="U27" s="11">
        <v>5.77</v>
      </c>
      <c r="V27" s="11">
        <v>5.77</v>
      </c>
      <c r="W27" s="11">
        <v>5.77</v>
      </c>
      <c r="X27" s="11">
        <v>5.77</v>
      </c>
      <c r="Y27" s="11">
        <v>5.77</v>
      </c>
      <c r="Z27" s="11">
        <v>5.77</v>
      </c>
      <c r="AA27" s="11">
        <v>5.77</v>
      </c>
      <c r="AB27" s="11">
        <v>5.77</v>
      </c>
      <c r="AC27" s="11">
        <v>5.77</v>
      </c>
      <c r="AD27" s="11">
        <v>5.77</v>
      </c>
      <c r="AE27" s="11">
        <v>5.77</v>
      </c>
      <c r="AF27" s="11">
        <v>5.77</v>
      </c>
      <c r="AG27" s="11">
        <v>5.77</v>
      </c>
      <c r="AH27" s="11">
        <v>5.77</v>
      </c>
      <c r="AI27" s="11">
        <v>5.77</v>
      </c>
      <c r="AJ27" s="11">
        <v>5.77</v>
      </c>
      <c r="AK27" s="7">
        <v>0</v>
      </c>
    </row>
    <row r="28" spans="1:37" ht="15" customHeight="1">
      <c r="A28" s="6" t="s">
        <v>102</v>
      </c>
      <c r="B28" s="9" t="s">
        <v>101</v>
      </c>
      <c r="C28" s="11">
        <v>3.556</v>
      </c>
      <c r="D28" s="11">
        <v>3.556</v>
      </c>
      <c r="E28" s="11">
        <v>3.556</v>
      </c>
      <c r="F28" s="11">
        <v>3.556</v>
      </c>
      <c r="G28" s="11">
        <v>3.556</v>
      </c>
      <c r="H28" s="11">
        <v>3.556</v>
      </c>
      <c r="I28" s="11">
        <v>3.556</v>
      </c>
      <c r="J28" s="11">
        <v>3.556</v>
      </c>
      <c r="K28" s="11">
        <v>3.556</v>
      </c>
      <c r="L28" s="11">
        <v>3.556</v>
      </c>
      <c r="M28" s="11">
        <v>3.556</v>
      </c>
      <c r="N28" s="11">
        <v>3.556</v>
      </c>
      <c r="O28" s="11">
        <v>3.556</v>
      </c>
      <c r="P28" s="11">
        <v>3.556</v>
      </c>
      <c r="Q28" s="11">
        <v>3.556</v>
      </c>
      <c r="R28" s="11">
        <v>3.556</v>
      </c>
      <c r="S28" s="11">
        <v>3.556</v>
      </c>
      <c r="T28" s="11">
        <v>3.556</v>
      </c>
      <c r="U28" s="11">
        <v>3.556</v>
      </c>
      <c r="V28" s="11">
        <v>3.556</v>
      </c>
      <c r="W28" s="11">
        <v>3.556</v>
      </c>
      <c r="X28" s="11">
        <v>3.556</v>
      </c>
      <c r="Y28" s="11">
        <v>3.556</v>
      </c>
      <c r="Z28" s="11">
        <v>3.556</v>
      </c>
      <c r="AA28" s="11">
        <v>3.556</v>
      </c>
      <c r="AB28" s="11">
        <v>3.556</v>
      </c>
      <c r="AC28" s="11">
        <v>3.556</v>
      </c>
      <c r="AD28" s="11">
        <v>3.556</v>
      </c>
      <c r="AE28" s="11">
        <v>3.556</v>
      </c>
      <c r="AF28" s="11">
        <v>3.556</v>
      </c>
      <c r="AG28" s="11">
        <v>3.556</v>
      </c>
      <c r="AH28" s="11">
        <v>3.556</v>
      </c>
      <c r="AI28" s="11">
        <v>3.556</v>
      </c>
      <c r="AJ28" s="11">
        <v>3.556</v>
      </c>
      <c r="AK28" s="7">
        <v>0</v>
      </c>
    </row>
    <row r="29" spans="1:37" ht="15" customHeight="1">
      <c r="A29" s="6" t="s">
        <v>100</v>
      </c>
      <c r="B29" s="9" t="s">
        <v>15</v>
      </c>
      <c r="C29" s="11">
        <v>3.99722</v>
      </c>
      <c r="D29" s="11">
        <v>3.989233</v>
      </c>
      <c r="E29" s="11">
        <v>3.989233</v>
      </c>
      <c r="F29" s="11">
        <v>3.989233</v>
      </c>
      <c r="G29" s="11">
        <v>3.989233</v>
      </c>
      <c r="H29" s="11">
        <v>3.989233</v>
      </c>
      <c r="I29" s="11">
        <v>3.989233</v>
      </c>
      <c r="J29" s="11">
        <v>3.989233</v>
      </c>
      <c r="K29" s="11">
        <v>3.989233</v>
      </c>
      <c r="L29" s="11">
        <v>3.989233</v>
      </c>
      <c r="M29" s="11">
        <v>3.989233</v>
      </c>
      <c r="N29" s="11">
        <v>3.989233</v>
      </c>
      <c r="O29" s="11">
        <v>3.989233</v>
      </c>
      <c r="P29" s="11">
        <v>3.989233</v>
      </c>
      <c r="Q29" s="11">
        <v>3.989233</v>
      </c>
      <c r="R29" s="11">
        <v>3.989233</v>
      </c>
      <c r="S29" s="11">
        <v>3.989233</v>
      </c>
      <c r="T29" s="11">
        <v>3.989233</v>
      </c>
      <c r="U29" s="11">
        <v>3.989233</v>
      </c>
      <c r="V29" s="11">
        <v>3.989233</v>
      </c>
      <c r="W29" s="11">
        <v>3.989233</v>
      </c>
      <c r="X29" s="11">
        <v>3.989233</v>
      </c>
      <c r="Y29" s="11">
        <v>3.989233</v>
      </c>
      <c r="Z29" s="11">
        <v>3.989233</v>
      </c>
      <c r="AA29" s="11">
        <v>3.989233</v>
      </c>
      <c r="AB29" s="11">
        <v>3.989233</v>
      </c>
      <c r="AC29" s="11">
        <v>3.989233</v>
      </c>
      <c r="AD29" s="11">
        <v>3.989233</v>
      </c>
      <c r="AE29" s="11">
        <v>3.989233</v>
      </c>
      <c r="AF29" s="11">
        <v>3.989233</v>
      </c>
      <c r="AG29" s="11">
        <v>3.989233</v>
      </c>
      <c r="AH29" s="11">
        <v>3.989233</v>
      </c>
      <c r="AI29" s="11">
        <v>3.989233</v>
      </c>
      <c r="AJ29" s="11">
        <v>3.989233</v>
      </c>
      <c r="AK29" s="7">
        <v>0</v>
      </c>
    </row>
    <row r="30" spans="1:37" ht="15" customHeight="1">
      <c r="A30" s="6" t="s">
        <v>99</v>
      </c>
      <c r="B30" s="292" t="s">
        <v>16</v>
      </c>
      <c r="C30" s="11">
        <v>5.67</v>
      </c>
      <c r="D30" s="11">
        <v>5.67</v>
      </c>
      <c r="E30" s="11">
        <v>5.67</v>
      </c>
      <c r="F30" s="11">
        <v>5.67</v>
      </c>
      <c r="G30" s="11">
        <v>5.67</v>
      </c>
      <c r="H30" s="11">
        <v>5.67</v>
      </c>
      <c r="I30" s="11">
        <v>5.67</v>
      </c>
      <c r="J30" s="11">
        <v>5.67</v>
      </c>
      <c r="K30" s="11">
        <v>5.67</v>
      </c>
      <c r="L30" s="11">
        <v>5.67</v>
      </c>
      <c r="M30" s="11">
        <v>5.67</v>
      </c>
      <c r="N30" s="11">
        <v>5.67</v>
      </c>
      <c r="O30" s="11">
        <v>5.67</v>
      </c>
      <c r="P30" s="11">
        <v>5.67</v>
      </c>
      <c r="Q30" s="11">
        <v>5.67</v>
      </c>
      <c r="R30" s="11">
        <v>5.67</v>
      </c>
      <c r="S30" s="11">
        <v>5.67</v>
      </c>
      <c r="T30" s="11">
        <v>5.67</v>
      </c>
      <c r="U30" s="11">
        <v>5.67</v>
      </c>
      <c r="V30" s="11">
        <v>5.67</v>
      </c>
      <c r="W30" s="11">
        <v>5.67</v>
      </c>
      <c r="X30" s="11">
        <v>5.67</v>
      </c>
      <c r="Y30" s="11">
        <v>5.67</v>
      </c>
      <c r="Z30" s="11">
        <v>5.67</v>
      </c>
      <c r="AA30" s="11">
        <v>5.67</v>
      </c>
      <c r="AB30" s="11">
        <v>5.67</v>
      </c>
      <c r="AC30" s="11">
        <v>5.67</v>
      </c>
      <c r="AD30" s="11">
        <v>5.67</v>
      </c>
      <c r="AE30" s="11">
        <v>5.67</v>
      </c>
      <c r="AF30" s="11">
        <v>5.67</v>
      </c>
      <c r="AG30" s="11">
        <v>5.67</v>
      </c>
      <c r="AH30" s="11">
        <v>5.67</v>
      </c>
      <c r="AI30" s="11">
        <v>5.67</v>
      </c>
      <c r="AJ30" s="11">
        <v>5.67</v>
      </c>
      <c r="AK30" s="7">
        <v>0</v>
      </c>
    </row>
    <row r="31" spans="1:37" ht="15" customHeight="1">
      <c r="A31" s="6" t="s">
        <v>98</v>
      </c>
      <c r="B31" s="9" t="s">
        <v>17</v>
      </c>
      <c r="C31" s="11">
        <v>6.0650000000000004</v>
      </c>
      <c r="D31" s="11">
        <v>6.0650000000000004</v>
      </c>
      <c r="E31" s="11">
        <v>6.0650000000000004</v>
      </c>
      <c r="F31" s="11">
        <v>6.0650000000000004</v>
      </c>
      <c r="G31" s="11">
        <v>6.0650000000000004</v>
      </c>
      <c r="H31" s="11">
        <v>6.0650000000000004</v>
      </c>
      <c r="I31" s="11">
        <v>6.0650000000000004</v>
      </c>
      <c r="J31" s="11">
        <v>6.0650000000000004</v>
      </c>
      <c r="K31" s="11">
        <v>6.0650000000000004</v>
      </c>
      <c r="L31" s="11">
        <v>6.0650000000000004</v>
      </c>
      <c r="M31" s="11">
        <v>6.0650000000000004</v>
      </c>
      <c r="N31" s="11">
        <v>6.0650000000000004</v>
      </c>
      <c r="O31" s="11">
        <v>6.0650000000000004</v>
      </c>
      <c r="P31" s="11">
        <v>6.0650000000000004</v>
      </c>
      <c r="Q31" s="11">
        <v>6.0650000000000004</v>
      </c>
      <c r="R31" s="11">
        <v>6.0650000000000004</v>
      </c>
      <c r="S31" s="11">
        <v>6.0650000000000004</v>
      </c>
      <c r="T31" s="11">
        <v>6.0650000000000004</v>
      </c>
      <c r="U31" s="11">
        <v>6.0650000000000004</v>
      </c>
      <c r="V31" s="11">
        <v>6.0650000000000004</v>
      </c>
      <c r="W31" s="11">
        <v>6.0650000000000004</v>
      </c>
      <c r="X31" s="11">
        <v>6.0650000000000004</v>
      </c>
      <c r="Y31" s="11">
        <v>6.0650000000000004</v>
      </c>
      <c r="Z31" s="11">
        <v>6.0650000000000004</v>
      </c>
      <c r="AA31" s="11">
        <v>6.0650000000000004</v>
      </c>
      <c r="AB31" s="11">
        <v>6.0650000000000004</v>
      </c>
      <c r="AC31" s="11">
        <v>6.0650000000000004</v>
      </c>
      <c r="AD31" s="11">
        <v>6.0650000000000004</v>
      </c>
      <c r="AE31" s="11">
        <v>6.0650000000000004</v>
      </c>
      <c r="AF31" s="11">
        <v>6.0650000000000004</v>
      </c>
      <c r="AG31" s="11">
        <v>6.0650000000000004</v>
      </c>
      <c r="AH31" s="11">
        <v>6.0650000000000004</v>
      </c>
      <c r="AI31" s="11">
        <v>6.0650000000000004</v>
      </c>
      <c r="AJ31" s="11">
        <v>6.0650000000000004</v>
      </c>
      <c r="AK31" s="7">
        <v>0</v>
      </c>
    </row>
    <row r="32" spans="1:37" ht="15" customHeight="1">
      <c r="A32" s="6" t="s">
        <v>97</v>
      </c>
      <c r="B32" s="292" t="s">
        <v>18</v>
      </c>
      <c r="C32" s="11">
        <v>5.0566430000000002</v>
      </c>
      <c r="D32" s="11">
        <v>5.0552599999999996</v>
      </c>
      <c r="E32" s="11">
        <v>5.0559250000000002</v>
      </c>
      <c r="F32" s="11">
        <v>5.0562699999999996</v>
      </c>
      <c r="G32" s="11">
        <v>5.0553610000000004</v>
      </c>
      <c r="H32" s="11">
        <v>5.0533359999999998</v>
      </c>
      <c r="I32" s="11">
        <v>5.0508160000000002</v>
      </c>
      <c r="J32" s="11">
        <v>5.0500020000000001</v>
      </c>
      <c r="K32" s="11">
        <v>5.0494789999999998</v>
      </c>
      <c r="L32" s="11">
        <v>5.049067</v>
      </c>
      <c r="M32" s="11">
        <v>5.0486199999999997</v>
      </c>
      <c r="N32" s="11">
        <v>5.0481860000000003</v>
      </c>
      <c r="O32" s="11">
        <v>5.047752</v>
      </c>
      <c r="P32" s="11">
        <v>5.0478269999999998</v>
      </c>
      <c r="Q32" s="11">
        <v>5.0471120000000003</v>
      </c>
      <c r="R32" s="11">
        <v>5.0467120000000003</v>
      </c>
      <c r="S32" s="11">
        <v>5.0464640000000003</v>
      </c>
      <c r="T32" s="11">
        <v>5.0458769999999999</v>
      </c>
      <c r="U32" s="11">
        <v>5.0451860000000002</v>
      </c>
      <c r="V32" s="11">
        <v>5.0444300000000002</v>
      </c>
      <c r="W32" s="11">
        <v>5.0435809999999996</v>
      </c>
      <c r="X32" s="11">
        <v>5.0427549999999997</v>
      </c>
      <c r="Y32" s="11">
        <v>5.0416879999999997</v>
      </c>
      <c r="Z32" s="11">
        <v>5.0404980000000004</v>
      </c>
      <c r="AA32" s="11">
        <v>5.0391599999999999</v>
      </c>
      <c r="AB32" s="11">
        <v>5.0378670000000003</v>
      </c>
      <c r="AC32" s="11">
        <v>5.0362239999999998</v>
      </c>
      <c r="AD32" s="11">
        <v>5.0346019999999996</v>
      </c>
      <c r="AE32" s="11">
        <v>5.0328730000000004</v>
      </c>
      <c r="AF32" s="11">
        <v>5.030945</v>
      </c>
      <c r="AG32" s="11">
        <v>5.0285479999999998</v>
      </c>
      <c r="AH32" s="11">
        <v>5.0259179999999999</v>
      </c>
      <c r="AI32" s="11">
        <v>5.0230379999999997</v>
      </c>
      <c r="AJ32" s="11">
        <v>5.0230360000000003</v>
      </c>
      <c r="AK32" s="7">
        <v>-2.0000000000000001E-4</v>
      </c>
    </row>
    <row r="33" spans="1:37" ht="15" customHeight="1">
      <c r="A33" s="6" t="s">
        <v>96</v>
      </c>
      <c r="B33" s="9" t="s">
        <v>374</v>
      </c>
      <c r="C33" s="11">
        <v>5.0566430000000002</v>
      </c>
      <c r="D33" s="11">
        <v>5.0551199999999996</v>
      </c>
      <c r="E33" s="11">
        <v>5.0557509999999999</v>
      </c>
      <c r="F33" s="11">
        <v>5.0561759999999998</v>
      </c>
      <c r="G33" s="11">
        <v>5.0552270000000004</v>
      </c>
      <c r="H33" s="11">
        <v>5.0532529999999998</v>
      </c>
      <c r="I33" s="11">
        <v>5.0502339999999997</v>
      </c>
      <c r="J33" s="11">
        <v>5.0493699999999997</v>
      </c>
      <c r="K33" s="11">
        <v>5.0488210000000002</v>
      </c>
      <c r="L33" s="11">
        <v>5.0483820000000001</v>
      </c>
      <c r="M33" s="11">
        <v>5.0479039999999999</v>
      </c>
      <c r="N33" s="11">
        <v>5.0474410000000001</v>
      </c>
      <c r="O33" s="11">
        <v>5.046983</v>
      </c>
      <c r="P33" s="11">
        <v>5.0470750000000004</v>
      </c>
      <c r="Q33" s="11">
        <v>5.0462990000000003</v>
      </c>
      <c r="R33" s="11">
        <v>5.0458439999999998</v>
      </c>
      <c r="S33" s="11">
        <v>5.0455509999999997</v>
      </c>
      <c r="T33" s="11">
        <v>5.044918</v>
      </c>
      <c r="U33" s="11">
        <v>5.0441839999999996</v>
      </c>
      <c r="V33" s="11">
        <v>5.0433690000000002</v>
      </c>
      <c r="W33" s="11">
        <v>5.0424530000000001</v>
      </c>
      <c r="X33" s="11">
        <v>5.041563</v>
      </c>
      <c r="Y33" s="11">
        <v>5.0404109999999998</v>
      </c>
      <c r="Z33" s="11">
        <v>5.0391269999999997</v>
      </c>
      <c r="AA33" s="11">
        <v>5.0376839999999996</v>
      </c>
      <c r="AB33" s="11">
        <v>5.0362900000000002</v>
      </c>
      <c r="AC33" s="11">
        <v>5.0345170000000001</v>
      </c>
      <c r="AD33" s="11">
        <v>5.0328030000000004</v>
      </c>
      <c r="AE33" s="11">
        <v>5.0309910000000002</v>
      </c>
      <c r="AF33" s="11">
        <v>5.0289089999999996</v>
      </c>
      <c r="AG33" s="11">
        <v>5.0263140000000002</v>
      </c>
      <c r="AH33" s="11">
        <v>5.0234719999999999</v>
      </c>
      <c r="AI33" s="11">
        <v>5.020365</v>
      </c>
      <c r="AJ33" s="11">
        <v>5.0203639999999998</v>
      </c>
      <c r="AK33" s="7">
        <v>-2.1599999999999999E-4</v>
      </c>
    </row>
    <row r="34" spans="1:37" ht="15" customHeight="1">
      <c r="A34" s="6" t="s">
        <v>95</v>
      </c>
      <c r="B34" s="9" t="s">
        <v>19</v>
      </c>
      <c r="C34" s="11">
        <v>5.0566430000000002</v>
      </c>
      <c r="D34" s="11">
        <v>5.0550290000000002</v>
      </c>
      <c r="E34" s="11">
        <v>5.0560859999999996</v>
      </c>
      <c r="F34" s="11">
        <v>5.0563630000000002</v>
      </c>
      <c r="G34" s="11">
        <v>5.0551620000000002</v>
      </c>
      <c r="H34" s="11">
        <v>5.0521120000000002</v>
      </c>
      <c r="I34" s="11">
        <v>5.0499099999999997</v>
      </c>
      <c r="J34" s="11">
        <v>5.0489660000000001</v>
      </c>
      <c r="K34" s="11">
        <v>5.0484030000000004</v>
      </c>
      <c r="L34" s="11">
        <v>5.0479479999999999</v>
      </c>
      <c r="M34" s="11">
        <v>5.0474509999999997</v>
      </c>
      <c r="N34" s="11">
        <v>5.04697</v>
      </c>
      <c r="O34" s="11">
        <v>5.0464979999999997</v>
      </c>
      <c r="P34" s="11">
        <v>5.046602</v>
      </c>
      <c r="Q34" s="11">
        <v>5.0458410000000002</v>
      </c>
      <c r="R34" s="11">
        <v>5.0454929999999996</v>
      </c>
      <c r="S34" s="11">
        <v>5.0453320000000001</v>
      </c>
      <c r="T34" s="11">
        <v>5.0447139999999999</v>
      </c>
      <c r="U34" s="11">
        <v>5.0439569999999998</v>
      </c>
      <c r="V34" s="11">
        <v>5.0431090000000003</v>
      </c>
      <c r="W34" s="11">
        <v>5.0421550000000002</v>
      </c>
      <c r="X34" s="11">
        <v>5.041226</v>
      </c>
      <c r="Y34" s="11">
        <v>5.0400229999999997</v>
      </c>
      <c r="Z34" s="11">
        <v>5.0386810000000004</v>
      </c>
      <c r="AA34" s="11">
        <v>5.0371740000000003</v>
      </c>
      <c r="AB34" s="11">
        <v>5.035717</v>
      </c>
      <c r="AC34" s="11">
        <v>5.0338620000000001</v>
      </c>
      <c r="AD34" s="11">
        <v>5.0319269999999996</v>
      </c>
      <c r="AE34" s="11">
        <v>5.029827</v>
      </c>
      <c r="AF34" s="11">
        <v>5.0276490000000003</v>
      </c>
      <c r="AG34" s="11">
        <v>5.0249329999999999</v>
      </c>
      <c r="AH34" s="11">
        <v>5.0219589999999998</v>
      </c>
      <c r="AI34" s="11">
        <v>5.018713</v>
      </c>
      <c r="AJ34" s="11">
        <v>5.018713</v>
      </c>
      <c r="AK34" s="7">
        <v>-2.2499999999999999E-4</v>
      </c>
    </row>
    <row r="35" spans="1:37" ht="15" customHeight="1">
      <c r="A35" s="6" t="s">
        <v>373</v>
      </c>
      <c r="B35" s="9" t="s">
        <v>372</v>
      </c>
      <c r="C35" s="11">
        <v>5.2222799999999996</v>
      </c>
      <c r="D35" s="11">
        <v>5.2222799999999996</v>
      </c>
      <c r="E35" s="11">
        <v>5.2222799999999996</v>
      </c>
      <c r="F35" s="11">
        <v>5.2222799999999996</v>
      </c>
      <c r="G35" s="11">
        <v>5.2222799999999996</v>
      </c>
      <c r="H35" s="11">
        <v>5.2222799999999996</v>
      </c>
      <c r="I35" s="11">
        <v>5.2222799999999996</v>
      </c>
      <c r="J35" s="11">
        <v>5.2222799999999996</v>
      </c>
      <c r="K35" s="11">
        <v>5.2222799999999996</v>
      </c>
      <c r="L35" s="11">
        <v>5.2222799999999996</v>
      </c>
      <c r="M35" s="11">
        <v>5.2222799999999996</v>
      </c>
      <c r="N35" s="11">
        <v>5.2222799999999996</v>
      </c>
      <c r="O35" s="11">
        <v>5.2222799999999996</v>
      </c>
      <c r="P35" s="11">
        <v>5.2222799999999996</v>
      </c>
      <c r="Q35" s="11">
        <v>5.2222799999999996</v>
      </c>
      <c r="R35" s="11">
        <v>5.2222799999999996</v>
      </c>
      <c r="S35" s="11">
        <v>5.2222799999999996</v>
      </c>
      <c r="T35" s="11">
        <v>5.2222799999999996</v>
      </c>
      <c r="U35" s="11">
        <v>5.2222799999999996</v>
      </c>
      <c r="V35" s="11">
        <v>5.2222799999999996</v>
      </c>
      <c r="W35" s="11">
        <v>5.2222799999999996</v>
      </c>
      <c r="X35" s="11">
        <v>5.2222799999999996</v>
      </c>
      <c r="Y35" s="11">
        <v>5.2222799999999996</v>
      </c>
      <c r="Z35" s="11">
        <v>5.2222799999999996</v>
      </c>
      <c r="AA35" s="11">
        <v>5.2222799999999996</v>
      </c>
      <c r="AB35" s="11">
        <v>5.2222799999999996</v>
      </c>
      <c r="AC35" s="11">
        <v>5.2222799999999996</v>
      </c>
      <c r="AD35" s="11">
        <v>5.2222799999999996</v>
      </c>
      <c r="AE35" s="11">
        <v>5.2222799999999996</v>
      </c>
      <c r="AF35" s="11">
        <v>5.2222799999999996</v>
      </c>
      <c r="AG35" s="11">
        <v>5.2222799999999996</v>
      </c>
      <c r="AH35" s="11">
        <v>5.2222799999999996</v>
      </c>
      <c r="AI35" s="11">
        <v>5.2222799999999996</v>
      </c>
      <c r="AJ35" s="11">
        <v>5.2222799999999996</v>
      </c>
      <c r="AK35" s="7">
        <v>0</v>
      </c>
    </row>
    <row r="36" spans="1:37" ht="15" customHeight="1">
      <c r="A36" s="6" t="s">
        <v>371</v>
      </c>
      <c r="B36" s="9" t="s">
        <v>370</v>
      </c>
      <c r="C36" s="11">
        <v>5.2222799999999996</v>
      </c>
      <c r="D36" s="11">
        <v>5.2222799999999996</v>
      </c>
      <c r="E36" s="11">
        <v>5.2222799999999996</v>
      </c>
      <c r="F36" s="11">
        <v>5.2222799999999996</v>
      </c>
      <c r="G36" s="11">
        <v>5.2222799999999996</v>
      </c>
      <c r="H36" s="11">
        <v>5.2222799999999996</v>
      </c>
      <c r="I36" s="11">
        <v>5.2222799999999996</v>
      </c>
      <c r="J36" s="11">
        <v>5.2222799999999996</v>
      </c>
      <c r="K36" s="11">
        <v>5.2222799999999996</v>
      </c>
      <c r="L36" s="11">
        <v>5.2222799999999996</v>
      </c>
      <c r="M36" s="11">
        <v>5.2222799999999996</v>
      </c>
      <c r="N36" s="11">
        <v>5.2222799999999996</v>
      </c>
      <c r="O36" s="11">
        <v>5.2222799999999996</v>
      </c>
      <c r="P36" s="11">
        <v>5.2222799999999996</v>
      </c>
      <c r="Q36" s="11">
        <v>5.2222799999999996</v>
      </c>
      <c r="R36" s="11">
        <v>5.2222799999999996</v>
      </c>
      <c r="S36" s="11">
        <v>5.2222799999999996</v>
      </c>
      <c r="T36" s="11">
        <v>5.2222799999999996</v>
      </c>
      <c r="U36" s="11">
        <v>5.2222799999999996</v>
      </c>
      <c r="V36" s="11">
        <v>5.2222799999999996</v>
      </c>
      <c r="W36" s="11">
        <v>5.2222799999999996</v>
      </c>
      <c r="X36" s="11">
        <v>5.2222799999999996</v>
      </c>
      <c r="Y36" s="11">
        <v>5.2222799999999996</v>
      </c>
      <c r="Z36" s="11">
        <v>5.2222799999999996</v>
      </c>
      <c r="AA36" s="11">
        <v>5.2222799999999996</v>
      </c>
      <c r="AB36" s="11">
        <v>5.2222799999999996</v>
      </c>
      <c r="AC36" s="11">
        <v>5.2222799999999996</v>
      </c>
      <c r="AD36" s="11">
        <v>5.2222799999999996</v>
      </c>
      <c r="AE36" s="11">
        <v>5.2222799999999996</v>
      </c>
      <c r="AF36" s="11">
        <v>5.2222799999999996</v>
      </c>
      <c r="AG36" s="11">
        <v>5.2222799999999996</v>
      </c>
      <c r="AH36" s="11">
        <v>5.2222799999999996</v>
      </c>
      <c r="AI36" s="11">
        <v>5.2222799999999996</v>
      </c>
      <c r="AJ36" s="11">
        <v>5.2222799999999996</v>
      </c>
      <c r="AK36" s="7">
        <v>0</v>
      </c>
    </row>
    <row r="37" spans="1:37" ht="15" customHeight="1">
      <c r="A37" s="6" t="s">
        <v>94</v>
      </c>
      <c r="B37" s="9" t="s">
        <v>20</v>
      </c>
      <c r="C37" s="11">
        <v>4.62</v>
      </c>
      <c r="D37" s="11">
        <v>4.62</v>
      </c>
      <c r="E37" s="11">
        <v>4.62</v>
      </c>
      <c r="F37" s="11">
        <v>4.62</v>
      </c>
      <c r="G37" s="11">
        <v>4.62</v>
      </c>
      <c r="H37" s="11">
        <v>4.62</v>
      </c>
      <c r="I37" s="11">
        <v>4.62</v>
      </c>
      <c r="J37" s="11">
        <v>4.62</v>
      </c>
      <c r="K37" s="11">
        <v>4.62</v>
      </c>
      <c r="L37" s="11">
        <v>4.62</v>
      </c>
      <c r="M37" s="11">
        <v>4.62</v>
      </c>
      <c r="N37" s="11">
        <v>4.62</v>
      </c>
      <c r="O37" s="11">
        <v>4.62</v>
      </c>
      <c r="P37" s="11">
        <v>4.62</v>
      </c>
      <c r="Q37" s="11">
        <v>4.62</v>
      </c>
      <c r="R37" s="11">
        <v>4.62</v>
      </c>
      <c r="S37" s="11">
        <v>4.62</v>
      </c>
      <c r="T37" s="11">
        <v>4.62</v>
      </c>
      <c r="U37" s="11">
        <v>4.62</v>
      </c>
      <c r="V37" s="11">
        <v>4.62</v>
      </c>
      <c r="W37" s="11">
        <v>4.62</v>
      </c>
      <c r="X37" s="11">
        <v>4.62</v>
      </c>
      <c r="Y37" s="11">
        <v>4.62</v>
      </c>
      <c r="Z37" s="11">
        <v>4.62</v>
      </c>
      <c r="AA37" s="11">
        <v>4.62</v>
      </c>
      <c r="AB37" s="11">
        <v>4.62</v>
      </c>
      <c r="AC37" s="11">
        <v>4.62</v>
      </c>
      <c r="AD37" s="11">
        <v>4.62</v>
      </c>
      <c r="AE37" s="11">
        <v>4.62</v>
      </c>
      <c r="AF37" s="11">
        <v>4.62</v>
      </c>
      <c r="AG37" s="11">
        <v>4.62</v>
      </c>
      <c r="AH37" s="11">
        <v>4.62</v>
      </c>
      <c r="AI37" s="11">
        <v>4.62</v>
      </c>
      <c r="AJ37" s="11">
        <v>4.62</v>
      </c>
      <c r="AK37" s="7">
        <v>0</v>
      </c>
    </row>
    <row r="38" spans="1:37" ht="15" customHeight="1">
      <c r="A38" s="6" t="s">
        <v>93</v>
      </c>
      <c r="B38" s="9" t="s">
        <v>21</v>
      </c>
      <c r="C38" s="11">
        <v>5.8</v>
      </c>
      <c r="D38" s="11">
        <v>5.8</v>
      </c>
      <c r="E38" s="11">
        <v>5.8</v>
      </c>
      <c r="F38" s="11">
        <v>5.8</v>
      </c>
      <c r="G38" s="11">
        <v>5.8</v>
      </c>
      <c r="H38" s="11">
        <v>5.8</v>
      </c>
      <c r="I38" s="11">
        <v>5.8</v>
      </c>
      <c r="J38" s="11">
        <v>5.8</v>
      </c>
      <c r="K38" s="11">
        <v>5.8</v>
      </c>
      <c r="L38" s="11">
        <v>5.8</v>
      </c>
      <c r="M38" s="11">
        <v>5.8</v>
      </c>
      <c r="N38" s="11">
        <v>5.8</v>
      </c>
      <c r="O38" s="11">
        <v>5.8</v>
      </c>
      <c r="P38" s="11">
        <v>5.8</v>
      </c>
      <c r="Q38" s="11">
        <v>5.8</v>
      </c>
      <c r="R38" s="11">
        <v>5.8</v>
      </c>
      <c r="S38" s="11">
        <v>5.8</v>
      </c>
      <c r="T38" s="11">
        <v>5.8</v>
      </c>
      <c r="U38" s="11">
        <v>5.8</v>
      </c>
      <c r="V38" s="11">
        <v>5.8</v>
      </c>
      <c r="W38" s="11">
        <v>5.8</v>
      </c>
      <c r="X38" s="11">
        <v>5.8</v>
      </c>
      <c r="Y38" s="11">
        <v>5.8</v>
      </c>
      <c r="Z38" s="11">
        <v>5.8</v>
      </c>
      <c r="AA38" s="11">
        <v>5.8</v>
      </c>
      <c r="AB38" s="11">
        <v>5.8</v>
      </c>
      <c r="AC38" s="11">
        <v>5.8</v>
      </c>
      <c r="AD38" s="11">
        <v>5.8</v>
      </c>
      <c r="AE38" s="11">
        <v>5.8</v>
      </c>
      <c r="AF38" s="11">
        <v>5.8</v>
      </c>
      <c r="AG38" s="11">
        <v>5.8</v>
      </c>
      <c r="AH38" s="11">
        <v>5.8</v>
      </c>
      <c r="AI38" s="11">
        <v>5.8</v>
      </c>
      <c r="AJ38" s="11">
        <v>5.8</v>
      </c>
      <c r="AK38" s="7">
        <v>0</v>
      </c>
    </row>
    <row r="39" spans="1:37" ht="15" customHeight="1">
      <c r="A39" s="6" t="s">
        <v>92</v>
      </c>
      <c r="B39" s="9" t="s">
        <v>22</v>
      </c>
      <c r="C39" s="11">
        <v>5.4510759999999996</v>
      </c>
      <c r="D39" s="11">
        <v>5.4510759999999996</v>
      </c>
      <c r="E39" s="11">
        <v>5.4510759999999996</v>
      </c>
      <c r="F39" s="11">
        <v>5.4510759999999996</v>
      </c>
      <c r="G39" s="11">
        <v>5.4510759999999996</v>
      </c>
      <c r="H39" s="11">
        <v>5.4510759999999996</v>
      </c>
      <c r="I39" s="11">
        <v>5.4510759999999996</v>
      </c>
      <c r="J39" s="11">
        <v>5.4510759999999996</v>
      </c>
      <c r="K39" s="11">
        <v>5.4510759999999996</v>
      </c>
      <c r="L39" s="11">
        <v>5.4510759999999996</v>
      </c>
      <c r="M39" s="11">
        <v>5.4510759999999996</v>
      </c>
      <c r="N39" s="11">
        <v>5.4510759999999996</v>
      </c>
      <c r="O39" s="11">
        <v>5.4510759999999996</v>
      </c>
      <c r="P39" s="11">
        <v>5.4510759999999996</v>
      </c>
      <c r="Q39" s="11">
        <v>5.4510759999999996</v>
      </c>
      <c r="R39" s="11">
        <v>5.4510759999999996</v>
      </c>
      <c r="S39" s="11">
        <v>5.4510759999999996</v>
      </c>
      <c r="T39" s="11">
        <v>5.4510759999999996</v>
      </c>
      <c r="U39" s="11">
        <v>5.4510759999999996</v>
      </c>
      <c r="V39" s="11">
        <v>5.4510759999999996</v>
      </c>
      <c r="W39" s="11">
        <v>5.4510759999999996</v>
      </c>
      <c r="X39" s="11">
        <v>5.4510759999999996</v>
      </c>
      <c r="Y39" s="11">
        <v>5.4510759999999996</v>
      </c>
      <c r="Z39" s="11">
        <v>5.4510759999999996</v>
      </c>
      <c r="AA39" s="11">
        <v>5.4510759999999996</v>
      </c>
      <c r="AB39" s="11">
        <v>5.4510759999999996</v>
      </c>
      <c r="AC39" s="11">
        <v>5.4510759999999996</v>
      </c>
      <c r="AD39" s="11">
        <v>5.4510759999999996</v>
      </c>
      <c r="AE39" s="11">
        <v>5.4510759999999996</v>
      </c>
      <c r="AF39" s="11">
        <v>5.4510759999999996</v>
      </c>
      <c r="AG39" s="11">
        <v>5.4510759999999996</v>
      </c>
      <c r="AH39" s="11">
        <v>5.4510759999999996</v>
      </c>
      <c r="AI39" s="11">
        <v>5.4510759999999996</v>
      </c>
      <c r="AJ39" s="11">
        <v>5.4510759999999996</v>
      </c>
      <c r="AK39" s="7">
        <v>0</v>
      </c>
    </row>
    <row r="40" spans="1:37" ht="15" customHeight="1">
      <c r="A40" s="6" t="s">
        <v>91</v>
      </c>
      <c r="B40" s="9" t="s">
        <v>23</v>
      </c>
      <c r="C40" s="11">
        <v>6.2869999999999999</v>
      </c>
      <c r="D40" s="11">
        <v>6.2869999999999999</v>
      </c>
      <c r="E40" s="11">
        <v>6.2869999999999999</v>
      </c>
      <c r="F40" s="11">
        <v>6.2869999999999999</v>
      </c>
      <c r="G40" s="11">
        <v>6.2869999999999999</v>
      </c>
      <c r="H40" s="11">
        <v>6.2869999999999999</v>
      </c>
      <c r="I40" s="11">
        <v>6.2869999999999999</v>
      </c>
      <c r="J40" s="11">
        <v>6.2869999999999999</v>
      </c>
      <c r="K40" s="11">
        <v>6.2869999999999999</v>
      </c>
      <c r="L40" s="11">
        <v>6.2869999999999999</v>
      </c>
      <c r="M40" s="11">
        <v>6.2869999999999999</v>
      </c>
      <c r="N40" s="11">
        <v>6.2869999999999999</v>
      </c>
      <c r="O40" s="11">
        <v>6.2869999999999999</v>
      </c>
      <c r="P40" s="11">
        <v>6.2869999999999999</v>
      </c>
      <c r="Q40" s="11">
        <v>6.2869999999999999</v>
      </c>
      <c r="R40" s="11">
        <v>6.2869999999999999</v>
      </c>
      <c r="S40" s="11">
        <v>6.2869999999999999</v>
      </c>
      <c r="T40" s="11">
        <v>6.2869999999999999</v>
      </c>
      <c r="U40" s="11">
        <v>6.2869999999999999</v>
      </c>
      <c r="V40" s="11">
        <v>6.2869999999999999</v>
      </c>
      <c r="W40" s="11">
        <v>6.2869999999999999</v>
      </c>
      <c r="X40" s="11">
        <v>6.2869999999999999</v>
      </c>
      <c r="Y40" s="11">
        <v>6.2869999999999999</v>
      </c>
      <c r="Z40" s="11">
        <v>6.2869999999999999</v>
      </c>
      <c r="AA40" s="11">
        <v>6.2869999999999999</v>
      </c>
      <c r="AB40" s="11">
        <v>6.2869999999999999</v>
      </c>
      <c r="AC40" s="11">
        <v>6.2869999999999999</v>
      </c>
      <c r="AD40" s="11">
        <v>6.2869999999999999</v>
      </c>
      <c r="AE40" s="11">
        <v>6.2869999999999999</v>
      </c>
      <c r="AF40" s="11">
        <v>6.2869999999999999</v>
      </c>
      <c r="AG40" s="11">
        <v>6.2869999999999999</v>
      </c>
      <c r="AH40" s="11">
        <v>6.2869999999999999</v>
      </c>
      <c r="AI40" s="11">
        <v>6.2869999999999999</v>
      </c>
      <c r="AJ40" s="11">
        <v>6.2869999999999999</v>
      </c>
      <c r="AK40" s="7">
        <v>0</v>
      </c>
    </row>
    <row r="41" spans="1:37" ht="15" customHeight="1">
      <c r="A41" s="6" t="s">
        <v>90</v>
      </c>
      <c r="B41" s="9" t="s">
        <v>24</v>
      </c>
      <c r="C41" s="11">
        <v>6.2869999999999999</v>
      </c>
      <c r="D41" s="11">
        <v>6.2869999999999999</v>
      </c>
      <c r="E41" s="11">
        <v>6.2869999999999999</v>
      </c>
      <c r="F41" s="11">
        <v>6.2869999999999999</v>
      </c>
      <c r="G41" s="11">
        <v>6.2869999999999999</v>
      </c>
      <c r="H41" s="11">
        <v>6.2869999999999999</v>
      </c>
      <c r="I41" s="11">
        <v>6.2869999999999999</v>
      </c>
      <c r="J41" s="11">
        <v>6.2869999999999999</v>
      </c>
      <c r="K41" s="11">
        <v>6.2869999999999999</v>
      </c>
      <c r="L41" s="11">
        <v>6.2869999999999999</v>
      </c>
      <c r="M41" s="11">
        <v>6.2869999999999999</v>
      </c>
      <c r="N41" s="11">
        <v>6.2869999999999999</v>
      </c>
      <c r="O41" s="11">
        <v>6.2869999999999999</v>
      </c>
      <c r="P41" s="11">
        <v>6.2869999999999999</v>
      </c>
      <c r="Q41" s="11">
        <v>6.2869999999999999</v>
      </c>
      <c r="R41" s="11">
        <v>6.2869999999999999</v>
      </c>
      <c r="S41" s="11">
        <v>6.2869999999999999</v>
      </c>
      <c r="T41" s="11">
        <v>6.2869999999999999</v>
      </c>
      <c r="U41" s="11">
        <v>6.2869999999999999</v>
      </c>
      <c r="V41" s="11">
        <v>6.2869999999999999</v>
      </c>
      <c r="W41" s="11">
        <v>6.2869999999999999</v>
      </c>
      <c r="X41" s="11">
        <v>6.2869999999999999</v>
      </c>
      <c r="Y41" s="11">
        <v>6.2869999999999999</v>
      </c>
      <c r="Z41" s="11">
        <v>6.2869999999999999</v>
      </c>
      <c r="AA41" s="11">
        <v>6.2869999999999999</v>
      </c>
      <c r="AB41" s="11">
        <v>6.2869999999999999</v>
      </c>
      <c r="AC41" s="11">
        <v>6.2869999999999999</v>
      </c>
      <c r="AD41" s="11">
        <v>6.2869999999999999</v>
      </c>
      <c r="AE41" s="11">
        <v>6.2869999999999999</v>
      </c>
      <c r="AF41" s="11">
        <v>6.2869999999999999</v>
      </c>
      <c r="AG41" s="11">
        <v>6.2869999999999999</v>
      </c>
      <c r="AH41" s="11">
        <v>6.2869999999999999</v>
      </c>
      <c r="AI41" s="11">
        <v>6.2869999999999999</v>
      </c>
      <c r="AJ41" s="11">
        <v>6.2869999999999999</v>
      </c>
      <c r="AK41" s="7">
        <v>0</v>
      </c>
    </row>
    <row r="42" spans="1:37" ht="15" customHeight="1">
      <c r="A42" s="6" t="s">
        <v>89</v>
      </c>
      <c r="B42" s="9" t="s">
        <v>25</v>
      </c>
      <c r="C42" s="11">
        <v>6.2869999999999999</v>
      </c>
      <c r="D42" s="11">
        <v>6.2869999999999999</v>
      </c>
      <c r="E42" s="11">
        <v>6.2869999999999999</v>
      </c>
      <c r="F42" s="11">
        <v>6.2869999999999999</v>
      </c>
      <c r="G42" s="11">
        <v>6.2869999999999999</v>
      </c>
      <c r="H42" s="11">
        <v>6.2869999999999999</v>
      </c>
      <c r="I42" s="11">
        <v>6.2869999999999999</v>
      </c>
      <c r="J42" s="11">
        <v>6.2869999999999999</v>
      </c>
      <c r="K42" s="11">
        <v>6.2869999999999999</v>
      </c>
      <c r="L42" s="11">
        <v>6.2869999999999999</v>
      </c>
      <c r="M42" s="11">
        <v>6.2869999999999999</v>
      </c>
      <c r="N42" s="11">
        <v>6.2869999999999999</v>
      </c>
      <c r="O42" s="11">
        <v>6.2869999999999999</v>
      </c>
      <c r="P42" s="11">
        <v>6.2869999999999999</v>
      </c>
      <c r="Q42" s="11">
        <v>6.2869999999999999</v>
      </c>
      <c r="R42" s="11">
        <v>6.2869999999999999</v>
      </c>
      <c r="S42" s="11">
        <v>6.2869999999999999</v>
      </c>
      <c r="T42" s="11">
        <v>6.2869999999999999</v>
      </c>
      <c r="U42" s="11">
        <v>6.2869999999999999</v>
      </c>
      <c r="V42" s="11">
        <v>6.2869999999999999</v>
      </c>
      <c r="W42" s="11">
        <v>6.2869999999999999</v>
      </c>
      <c r="X42" s="11">
        <v>6.2869999999999999</v>
      </c>
      <c r="Y42" s="11">
        <v>6.2869999999999999</v>
      </c>
      <c r="Z42" s="11">
        <v>6.2869999999999999</v>
      </c>
      <c r="AA42" s="11">
        <v>6.2869999999999999</v>
      </c>
      <c r="AB42" s="11">
        <v>6.2869999999999999</v>
      </c>
      <c r="AC42" s="11">
        <v>6.2869999999999999</v>
      </c>
      <c r="AD42" s="11">
        <v>6.2869999999999999</v>
      </c>
      <c r="AE42" s="11">
        <v>6.2869999999999999</v>
      </c>
      <c r="AF42" s="11">
        <v>6.2869999999999999</v>
      </c>
      <c r="AG42" s="11">
        <v>6.2869999999999999</v>
      </c>
      <c r="AH42" s="11">
        <v>6.2869999999999999</v>
      </c>
      <c r="AI42" s="11">
        <v>6.2869999999999999</v>
      </c>
      <c r="AJ42" s="11">
        <v>6.2869999999999999</v>
      </c>
      <c r="AK42" s="7">
        <v>0</v>
      </c>
    </row>
    <row r="43" spans="1:37" ht="15" customHeight="1">
      <c r="A43" s="6" t="s">
        <v>88</v>
      </c>
      <c r="B43" s="9" t="s">
        <v>26</v>
      </c>
      <c r="C43" s="11">
        <v>6.1473459999999998</v>
      </c>
      <c r="D43" s="11">
        <v>6.1452260000000001</v>
      </c>
      <c r="E43" s="11">
        <v>6.1456169999999997</v>
      </c>
      <c r="F43" s="11">
        <v>6.192609</v>
      </c>
      <c r="G43" s="11">
        <v>6.1871369999999999</v>
      </c>
      <c r="H43" s="11">
        <v>6.1839120000000003</v>
      </c>
      <c r="I43" s="11">
        <v>6.177295</v>
      </c>
      <c r="J43" s="11">
        <v>6.1706190000000003</v>
      </c>
      <c r="K43" s="11">
        <v>6.1645000000000003</v>
      </c>
      <c r="L43" s="11">
        <v>6.1563090000000003</v>
      </c>
      <c r="M43" s="11">
        <v>6.1576269999999997</v>
      </c>
      <c r="N43" s="11">
        <v>6.157673</v>
      </c>
      <c r="O43" s="11">
        <v>6.1597790000000003</v>
      </c>
      <c r="P43" s="11">
        <v>6.159592</v>
      </c>
      <c r="Q43" s="11">
        <v>6.1617009999999999</v>
      </c>
      <c r="R43" s="11">
        <v>6.162801</v>
      </c>
      <c r="S43" s="11">
        <v>6.1631689999999999</v>
      </c>
      <c r="T43" s="11">
        <v>6.1640280000000001</v>
      </c>
      <c r="U43" s="11">
        <v>6.1661429999999999</v>
      </c>
      <c r="V43" s="11">
        <v>6.1675360000000001</v>
      </c>
      <c r="W43" s="11">
        <v>6.1674319999999998</v>
      </c>
      <c r="X43" s="11">
        <v>6.1685819999999998</v>
      </c>
      <c r="Y43" s="11">
        <v>6.1709719999999999</v>
      </c>
      <c r="Z43" s="11">
        <v>6.171176</v>
      </c>
      <c r="AA43" s="11">
        <v>6.1722760000000001</v>
      </c>
      <c r="AB43" s="11">
        <v>6.1744009999999996</v>
      </c>
      <c r="AC43" s="11">
        <v>6.175586</v>
      </c>
      <c r="AD43" s="11">
        <v>6.1767789999999998</v>
      </c>
      <c r="AE43" s="11">
        <v>6.1779799999999998</v>
      </c>
      <c r="AF43" s="11">
        <v>6.179189</v>
      </c>
      <c r="AG43" s="11">
        <v>6.1804069999999998</v>
      </c>
      <c r="AH43" s="11">
        <v>6.1816329999999997</v>
      </c>
      <c r="AI43" s="11">
        <v>6.182868</v>
      </c>
      <c r="AJ43" s="11">
        <v>6.1841100000000004</v>
      </c>
      <c r="AK43" s="7">
        <v>1.9699999999999999E-4</v>
      </c>
    </row>
    <row r="44" spans="1:37" ht="15" customHeight="1">
      <c r="A44" s="6" t="s">
        <v>87</v>
      </c>
      <c r="B44" s="9" t="s">
        <v>27</v>
      </c>
      <c r="C44" s="11">
        <v>5.1759979999999999</v>
      </c>
      <c r="D44" s="11">
        <v>5.1493409999999997</v>
      </c>
      <c r="E44" s="11">
        <v>5.1485440000000002</v>
      </c>
      <c r="F44" s="11">
        <v>5.1351180000000003</v>
      </c>
      <c r="G44" s="11">
        <v>5.1214979999999999</v>
      </c>
      <c r="H44" s="11">
        <v>5.1131700000000002</v>
      </c>
      <c r="I44" s="11">
        <v>5.1068749999999996</v>
      </c>
      <c r="J44" s="11">
        <v>5.1001250000000002</v>
      </c>
      <c r="K44" s="11">
        <v>5.0954069999999998</v>
      </c>
      <c r="L44" s="11">
        <v>5.0923059999999998</v>
      </c>
      <c r="M44" s="11">
        <v>5.0851800000000003</v>
      </c>
      <c r="N44" s="11">
        <v>5.0822000000000003</v>
      </c>
      <c r="O44" s="11">
        <v>5.0765289999999998</v>
      </c>
      <c r="P44" s="11">
        <v>5.0746789999999997</v>
      </c>
      <c r="Q44" s="11">
        <v>5.072298</v>
      </c>
      <c r="R44" s="11">
        <v>5.0691280000000001</v>
      </c>
      <c r="S44" s="11">
        <v>5.0666989999999998</v>
      </c>
      <c r="T44" s="11">
        <v>5.0689719999999996</v>
      </c>
      <c r="U44" s="11">
        <v>5.067164</v>
      </c>
      <c r="V44" s="11">
        <v>5.064692</v>
      </c>
      <c r="W44" s="11">
        <v>5.0671790000000003</v>
      </c>
      <c r="X44" s="11">
        <v>5.0644499999999999</v>
      </c>
      <c r="Y44" s="11">
        <v>5.0636330000000003</v>
      </c>
      <c r="Z44" s="11">
        <v>5.0643700000000003</v>
      </c>
      <c r="AA44" s="11">
        <v>5.0640780000000003</v>
      </c>
      <c r="AB44" s="11">
        <v>5.0626110000000004</v>
      </c>
      <c r="AC44" s="11">
        <v>5.0658269999999996</v>
      </c>
      <c r="AD44" s="11">
        <v>5.0664360000000004</v>
      </c>
      <c r="AE44" s="11">
        <v>5.0678429999999999</v>
      </c>
      <c r="AF44" s="11">
        <v>5.0690910000000002</v>
      </c>
      <c r="AG44" s="11">
        <v>5.0703579999999997</v>
      </c>
      <c r="AH44" s="11">
        <v>5.0693210000000004</v>
      </c>
      <c r="AI44" s="11">
        <v>5.0696510000000004</v>
      </c>
      <c r="AJ44" s="11">
        <v>5.0702829999999999</v>
      </c>
      <c r="AK44" s="7">
        <v>-4.8299999999999998E-4</v>
      </c>
    </row>
    <row r="45" spans="1:37" ht="15" customHeight="1">
      <c r="A45" s="6" t="s">
        <v>86</v>
      </c>
      <c r="B45" s="9" t="s">
        <v>28</v>
      </c>
      <c r="C45" s="11">
        <v>5.5967529999999996</v>
      </c>
      <c r="D45" s="11">
        <v>5.6771430000000001</v>
      </c>
      <c r="E45" s="11">
        <v>5.6840089999999996</v>
      </c>
      <c r="F45" s="11">
        <v>5.7170959999999997</v>
      </c>
      <c r="G45" s="11">
        <v>5.6661299999999999</v>
      </c>
      <c r="H45" s="11">
        <v>5.6535770000000003</v>
      </c>
      <c r="I45" s="11">
        <v>5.6441179999999997</v>
      </c>
      <c r="J45" s="11">
        <v>5.6398200000000003</v>
      </c>
      <c r="K45" s="11">
        <v>5.6309760000000004</v>
      </c>
      <c r="L45" s="11">
        <v>5.6472470000000001</v>
      </c>
      <c r="M45" s="11">
        <v>5.6488060000000004</v>
      </c>
      <c r="N45" s="11">
        <v>5.6772070000000001</v>
      </c>
      <c r="O45" s="11">
        <v>5.6554729999999998</v>
      </c>
      <c r="P45" s="11">
        <v>5.6398169999999999</v>
      </c>
      <c r="Q45" s="11">
        <v>5.655303</v>
      </c>
      <c r="R45" s="11">
        <v>5.6159470000000002</v>
      </c>
      <c r="S45" s="11">
        <v>5.5804359999999997</v>
      </c>
      <c r="T45" s="11">
        <v>5.601731</v>
      </c>
      <c r="U45" s="11">
        <v>5.5999040000000004</v>
      </c>
      <c r="V45" s="11">
        <v>5.5448909999999998</v>
      </c>
      <c r="W45" s="11">
        <v>5.5638050000000003</v>
      </c>
      <c r="X45" s="11">
        <v>5.5047459999999999</v>
      </c>
      <c r="Y45" s="11">
        <v>5.4706440000000001</v>
      </c>
      <c r="Z45" s="11">
        <v>5.4392110000000002</v>
      </c>
      <c r="AA45" s="11">
        <v>5.4146479999999997</v>
      </c>
      <c r="AB45" s="11">
        <v>5.3607440000000004</v>
      </c>
      <c r="AC45" s="11">
        <v>5.3546440000000004</v>
      </c>
      <c r="AD45" s="11">
        <v>5.3370649999999999</v>
      </c>
      <c r="AE45" s="11">
        <v>5.3099679999999996</v>
      </c>
      <c r="AF45" s="11">
        <v>5.2794489999999996</v>
      </c>
      <c r="AG45" s="11">
        <v>5.249695</v>
      </c>
      <c r="AH45" s="11">
        <v>5.2043689999999998</v>
      </c>
      <c r="AI45" s="11">
        <v>5.1639299999999997</v>
      </c>
      <c r="AJ45" s="11">
        <v>5.1378079999999997</v>
      </c>
      <c r="AK45" s="7">
        <v>-3.1150000000000001E-3</v>
      </c>
    </row>
    <row r="46" spans="1:37" ht="15" customHeight="1">
      <c r="A46" s="6" t="s">
        <v>85</v>
      </c>
      <c r="B46" s="9" t="s">
        <v>29</v>
      </c>
      <c r="C46" s="11">
        <v>5.1509999999999998</v>
      </c>
      <c r="D46" s="11">
        <v>5.2744179999999998</v>
      </c>
      <c r="E46" s="11">
        <v>5.2506209999999998</v>
      </c>
      <c r="F46" s="11">
        <v>5.2757480000000001</v>
      </c>
      <c r="G46" s="11">
        <v>5.2430519999999996</v>
      </c>
      <c r="H46" s="11">
        <v>5.2341490000000004</v>
      </c>
      <c r="I46" s="11">
        <v>5.2313539999999996</v>
      </c>
      <c r="J46" s="11">
        <v>5.2458450000000001</v>
      </c>
      <c r="K46" s="11">
        <v>5.2317590000000003</v>
      </c>
      <c r="L46" s="11">
        <v>5.1954609999999999</v>
      </c>
      <c r="M46" s="11">
        <v>5.1871260000000001</v>
      </c>
      <c r="N46" s="11">
        <v>5.1891119999999997</v>
      </c>
      <c r="O46" s="11">
        <v>5.1797279999999999</v>
      </c>
      <c r="P46" s="11">
        <v>5.1827779999999999</v>
      </c>
      <c r="Q46" s="11">
        <v>5.1716069999999998</v>
      </c>
      <c r="R46" s="11">
        <v>5.1720730000000001</v>
      </c>
      <c r="S46" s="11">
        <v>5.1663009999999998</v>
      </c>
      <c r="T46" s="11">
        <v>5.1594030000000002</v>
      </c>
      <c r="U46" s="11">
        <v>5.1539609999999998</v>
      </c>
      <c r="V46" s="11">
        <v>5.1569050000000001</v>
      </c>
      <c r="W46" s="11">
        <v>5.1471669999999996</v>
      </c>
      <c r="X46" s="11">
        <v>5.1453899999999999</v>
      </c>
      <c r="Y46" s="11">
        <v>5.1359450000000004</v>
      </c>
      <c r="Z46" s="11">
        <v>5.1392990000000003</v>
      </c>
      <c r="AA46" s="11">
        <v>5.1376179999999998</v>
      </c>
      <c r="AB46" s="11">
        <v>5.1223150000000004</v>
      </c>
      <c r="AC46" s="11">
        <v>5.131875</v>
      </c>
      <c r="AD46" s="11">
        <v>5.1306099999999999</v>
      </c>
      <c r="AE46" s="11">
        <v>5.1394690000000001</v>
      </c>
      <c r="AF46" s="11">
        <v>5.1280320000000001</v>
      </c>
      <c r="AG46" s="11">
        <v>5.124009</v>
      </c>
      <c r="AH46" s="11">
        <v>5.1212489999999997</v>
      </c>
      <c r="AI46" s="11">
        <v>5.1119820000000002</v>
      </c>
      <c r="AJ46" s="11">
        <v>5.1060999999999996</v>
      </c>
      <c r="AK46" s="7">
        <v>-1.013E-3</v>
      </c>
    </row>
    <row r="47" spans="1:37" ht="15" customHeight="1">
      <c r="B47" s="12" t="s">
        <v>49</v>
      </c>
    </row>
    <row r="48" spans="1:37" ht="15" customHeight="1">
      <c r="A48" s="6" t="s">
        <v>84</v>
      </c>
      <c r="B48" s="9" t="s">
        <v>50</v>
      </c>
      <c r="C48" s="11">
        <v>5.7229999999999999</v>
      </c>
      <c r="D48" s="11">
        <v>5.7199359999999997</v>
      </c>
      <c r="E48" s="11">
        <v>5.7093740000000004</v>
      </c>
      <c r="F48" s="11">
        <v>5.7020210000000002</v>
      </c>
      <c r="G48" s="11">
        <v>5.6990360000000004</v>
      </c>
      <c r="H48" s="11">
        <v>5.7029030000000001</v>
      </c>
      <c r="I48" s="11">
        <v>5.7014690000000003</v>
      </c>
      <c r="J48" s="11">
        <v>5.697845</v>
      </c>
      <c r="K48" s="11">
        <v>5.6965690000000002</v>
      </c>
      <c r="L48" s="11">
        <v>5.6955710000000002</v>
      </c>
      <c r="M48" s="11">
        <v>5.6916909999999996</v>
      </c>
      <c r="N48" s="11">
        <v>5.6895829999999998</v>
      </c>
      <c r="O48" s="11">
        <v>5.6873170000000002</v>
      </c>
      <c r="P48" s="11">
        <v>5.6864030000000003</v>
      </c>
      <c r="Q48" s="11">
        <v>5.6859310000000001</v>
      </c>
      <c r="R48" s="11">
        <v>5.6860549999999996</v>
      </c>
      <c r="S48" s="11">
        <v>5.6862589999999997</v>
      </c>
      <c r="T48" s="11">
        <v>5.6853819999999997</v>
      </c>
      <c r="U48" s="11">
        <v>5.6852140000000002</v>
      </c>
      <c r="V48" s="11">
        <v>5.6858959999999996</v>
      </c>
      <c r="W48" s="11">
        <v>5.6868850000000002</v>
      </c>
      <c r="X48" s="11">
        <v>5.6879220000000004</v>
      </c>
      <c r="Y48" s="11">
        <v>5.6901700000000002</v>
      </c>
      <c r="Z48" s="11">
        <v>5.6909640000000001</v>
      </c>
      <c r="AA48" s="11">
        <v>5.6894390000000001</v>
      </c>
      <c r="AB48" s="11">
        <v>5.6887540000000003</v>
      </c>
      <c r="AC48" s="11">
        <v>5.6864689999999998</v>
      </c>
      <c r="AD48" s="11">
        <v>5.6844440000000001</v>
      </c>
      <c r="AE48" s="11">
        <v>5.683516</v>
      </c>
      <c r="AF48" s="11">
        <v>5.6828880000000002</v>
      </c>
      <c r="AG48" s="11">
        <v>5.6813929999999999</v>
      </c>
      <c r="AH48" s="11">
        <v>5.6792740000000004</v>
      </c>
      <c r="AI48" s="11">
        <v>5.678185</v>
      </c>
      <c r="AJ48" s="11">
        <v>5.676202</v>
      </c>
      <c r="AK48" s="7">
        <v>-2.4000000000000001E-4</v>
      </c>
    </row>
    <row r="49" spans="1:37" ht="15" customHeight="1">
      <c r="A49" s="6" t="s">
        <v>83</v>
      </c>
      <c r="B49" s="9" t="s">
        <v>51</v>
      </c>
      <c r="C49" s="11">
        <v>6.05</v>
      </c>
      <c r="D49" s="11">
        <v>6.1347209999999999</v>
      </c>
      <c r="E49" s="11">
        <v>6.1184380000000003</v>
      </c>
      <c r="F49" s="11">
        <v>6.1172810000000002</v>
      </c>
      <c r="G49" s="11">
        <v>6.117947</v>
      </c>
      <c r="H49" s="11">
        <v>6.1025400000000003</v>
      </c>
      <c r="I49" s="11">
        <v>6.1033739999999996</v>
      </c>
      <c r="J49" s="11">
        <v>6.1071629999999999</v>
      </c>
      <c r="K49" s="11">
        <v>6.1065849999999999</v>
      </c>
      <c r="L49" s="11">
        <v>6.1245560000000001</v>
      </c>
      <c r="M49" s="11">
        <v>6.090179</v>
      </c>
      <c r="N49" s="11">
        <v>6.1186819999999997</v>
      </c>
      <c r="O49" s="11">
        <v>6.0805309999999997</v>
      </c>
      <c r="P49" s="11">
        <v>6.1038079999999999</v>
      </c>
      <c r="Q49" s="11">
        <v>6.1135659999999996</v>
      </c>
      <c r="R49" s="11">
        <v>6.1076240000000004</v>
      </c>
      <c r="S49" s="11">
        <v>6.0846780000000003</v>
      </c>
      <c r="T49" s="11">
        <v>6.1340570000000003</v>
      </c>
      <c r="U49" s="11">
        <v>6.1319419999999996</v>
      </c>
      <c r="V49" s="11">
        <v>6.0897600000000001</v>
      </c>
      <c r="W49" s="11">
        <v>6.1385750000000003</v>
      </c>
      <c r="X49" s="11">
        <v>6.1383919999999996</v>
      </c>
      <c r="Y49" s="11">
        <v>6.1363960000000004</v>
      </c>
      <c r="Z49" s="11">
        <v>6.1379999999999999</v>
      </c>
      <c r="AA49" s="11">
        <v>6.1413979999999997</v>
      </c>
      <c r="AB49" s="11">
        <v>6.1053959999999998</v>
      </c>
      <c r="AC49" s="11">
        <v>6.1190619999999996</v>
      </c>
      <c r="AD49" s="11">
        <v>6.1323290000000004</v>
      </c>
      <c r="AE49" s="11">
        <v>6.1402510000000001</v>
      </c>
      <c r="AF49" s="11">
        <v>6.1441309999999998</v>
      </c>
      <c r="AG49" s="11">
        <v>6.1417869999999999</v>
      </c>
      <c r="AH49" s="11">
        <v>6.1391349999999996</v>
      </c>
      <c r="AI49" s="11">
        <v>6.1375440000000001</v>
      </c>
      <c r="AJ49" s="11">
        <v>6.1341609999999998</v>
      </c>
      <c r="AK49" s="7">
        <v>-3.0000000000000001E-6</v>
      </c>
    </row>
    <row r="50" spans="1:37" ht="15" customHeight="1">
      <c r="A50" s="6" t="s">
        <v>82</v>
      </c>
      <c r="B50" s="9" t="s">
        <v>52</v>
      </c>
      <c r="C50" s="11">
        <v>5.7380000000000004</v>
      </c>
      <c r="D50" s="11">
        <v>5.5547700000000004</v>
      </c>
      <c r="E50" s="11">
        <v>5.5572369999999998</v>
      </c>
      <c r="F50" s="11">
        <v>5.5581670000000001</v>
      </c>
      <c r="G50" s="11">
        <v>5.5659510000000001</v>
      </c>
      <c r="H50" s="11">
        <v>5.562354</v>
      </c>
      <c r="I50" s="11">
        <v>5.5637150000000002</v>
      </c>
      <c r="J50" s="11">
        <v>5.562271</v>
      </c>
      <c r="K50" s="11">
        <v>5.5667879999999998</v>
      </c>
      <c r="L50" s="11">
        <v>5.565995</v>
      </c>
      <c r="M50" s="11">
        <v>5.5575130000000001</v>
      </c>
      <c r="N50" s="11">
        <v>5.5605130000000003</v>
      </c>
      <c r="O50" s="11">
        <v>5.5607730000000002</v>
      </c>
      <c r="P50" s="11">
        <v>5.5617470000000004</v>
      </c>
      <c r="Q50" s="11">
        <v>5.5626410000000002</v>
      </c>
      <c r="R50" s="11">
        <v>5.562265</v>
      </c>
      <c r="S50" s="11">
        <v>5.569706</v>
      </c>
      <c r="T50" s="11">
        <v>5.5947889999999996</v>
      </c>
      <c r="U50" s="11">
        <v>5.5964090000000004</v>
      </c>
      <c r="V50" s="11">
        <v>5.6038379999999997</v>
      </c>
      <c r="W50" s="11">
        <v>5.6030389999999999</v>
      </c>
      <c r="X50" s="11">
        <v>5.6124460000000003</v>
      </c>
      <c r="Y50" s="11">
        <v>5.6163569999999998</v>
      </c>
      <c r="Z50" s="11">
        <v>5.6223010000000002</v>
      </c>
      <c r="AA50" s="11">
        <v>5.6172779999999998</v>
      </c>
      <c r="AB50" s="11">
        <v>5.6117030000000003</v>
      </c>
      <c r="AC50" s="11">
        <v>5.5987220000000004</v>
      </c>
      <c r="AD50" s="11">
        <v>5.5860859999999999</v>
      </c>
      <c r="AE50" s="11">
        <v>5.5761089999999998</v>
      </c>
      <c r="AF50" s="11">
        <v>5.5612719999999998</v>
      </c>
      <c r="AG50" s="11">
        <v>5.5591340000000002</v>
      </c>
      <c r="AH50" s="11">
        <v>5.5583109999999998</v>
      </c>
      <c r="AI50" s="11">
        <v>5.5584769999999999</v>
      </c>
      <c r="AJ50" s="11">
        <v>5.5588160000000002</v>
      </c>
      <c r="AK50" s="7">
        <v>2.3E-5</v>
      </c>
    </row>
    <row r="51" spans="1:37" ht="15" customHeight="1">
      <c r="A51" s="6" t="s">
        <v>81</v>
      </c>
      <c r="B51" s="9" t="s">
        <v>30</v>
      </c>
      <c r="C51" s="11">
        <v>3.6994319999999998</v>
      </c>
      <c r="D51" s="11">
        <v>3.6803349999999999</v>
      </c>
      <c r="E51" s="11">
        <v>3.6751779999999998</v>
      </c>
      <c r="F51" s="11">
        <v>3.6722600000000001</v>
      </c>
      <c r="G51" s="11">
        <v>3.661632</v>
      </c>
      <c r="H51" s="11">
        <v>3.661705</v>
      </c>
      <c r="I51" s="11">
        <v>3.6604510000000001</v>
      </c>
      <c r="J51" s="11">
        <v>3.65821</v>
      </c>
      <c r="K51" s="11">
        <v>3.6569090000000002</v>
      </c>
      <c r="L51" s="11">
        <v>3.6559050000000002</v>
      </c>
      <c r="M51" s="11">
        <v>3.655815</v>
      </c>
      <c r="N51" s="11">
        <v>3.6549260000000001</v>
      </c>
      <c r="O51" s="11">
        <v>3.6537899999999999</v>
      </c>
      <c r="P51" s="11">
        <v>3.6542750000000002</v>
      </c>
      <c r="Q51" s="11">
        <v>3.6541939999999999</v>
      </c>
      <c r="R51" s="11">
        <v>3.6551800000000001</v>
      </c>
      <c r="S51" s="11">
        <v>3.6552220000000002</v>
      </c>
      <c r="T51" s="11">
        <v>3.6557840000000001</v>
      </c>
      <c r="U51" s="11">
        <v>3.6554319999999998</v>
      </c>
      <c r="V51" s="11">
        <v>3.6563289999999999</v>
      </c>
      <c r="W51" s="11">
        <v>3.656425</v>
      </c>
      <c r="X51" s="11">
        <v>3.6584599999999998</v>
      </c>
      <c r="Y51" s="11">
        <v>3.659478</v>
      </c>
      <c r="Z51" s="11">
        <v>3.6604260000000002</v>
      </c>
      <c r="AA51" s="11">
        <v>3.6596030000000002</v>
      </c>
      <c r="AB51" s="11">
        <v>3.6590319999999998</v>
      </c>
      <c r="AC51" s="11">
        <v>3.657537</v>
      </c>
      <c r="AD51" s="11">
        <v>3.655983</v>
      </c>
      <c r="AE51" s="11">
        <v>3.6549179999999999</v>
      </c>
      <c r="AF51" s="11">
        <v>3.6535739999999999</v>
      </c>
      <c r="AG51" s="11">
        <v>3.651659</v>
      </c>
      <c r="AH51" s="11">
        <v>3.6501269999999999</v>
      </c>
      <c r="AI51" s="11">
        <v>3.6490499999999999</v>
      </c>
      <c r="AJ51" s="11">
        <v>3.6478000000000002</v>
      </c>
      <c r="AK51" s="7">
        <v>-2.7700000000000001E-4</v>
      </c>
    </row>
    <row r="53" spans="1:37" ht="15" customHeight="1">
      <c r="B53" s="10" t="s">
        <v>31</v>
      </c>
    </row>
    <row r="54" spans="1:37" ht="15" customHeight="1">
      <c r="A54" s="6" t="s">
        <v>80</v>
      </c>
      <c r="B54" s="9" t="s">
        <v>32</v>
      </c>
      <c r="C54" s="11">
        <v>1.0369999999999999</v>
      </c>
      <c r="D54" s="11">
        <v>1.0369999999999999</v>
      </c>
      <c r="E54" s="11">
        <v>1.0369999999999999</v>
      </c>
      <c r="F54" s="11">
        <v>1.0369999999999999</v>
      </c>
      <c r="G54" s="11">
        <v>1.0369999999999999</v>
      </c>
      <c r="H54" s="11">
        <v>1.0369999999999999</v>
      </c>
      <c r="I54" s="11">
        <v>1.0369999999999999</v>
      </c>
      <c r="J54" s="11">
        <v>1.0369999999999999</v>
      </c>
      <c r="K54" s="11">
        <v>1.0369999999999999</v>
      </c>
      <c r="L54" s="11">
        <v>1.0369999999999999</v>
      </c>
      <c r="M54" s="11">
        <v>1.0369999999999999</v>
      </c>
      <c r="N54" s="11">
        <v>1.0369999999999999</v>
      </c>
      <c r="O54" s="11">
        <v>1.0369999999999999</v>
      </c>
      <c r="P54" s="11">
        <v>1.0369999999999999</v>
      </c>
      <c r="Q54" s="11">
        <v>1.0369999999999999</v>
      </c>
      <c r="R54" s="11">
        <v>1.0369999999999999</v>
      </c>
      <c r="S54" s="11">
        <v>1.0369999999999999</v>
      </c>
      <c r="T54" s="11">
        <v>1.0369999999999999</v>
      </c>
      <c r="U54" s="11">
        <v>1.0369999999999999</v>
      </c>
      <c r="V54" s="11">
        <v>1.0369999999999999</v>
      </c>
      <c r="W54" s="11">
        <v>1.0369999999999999</v>
      </c>
      <c r="X54" s="11">
        <v>1.0369999999999999</v>
      </c>
      <c r="Y54" s="11">
        <v>1.0369999999999999</v>
      </c>
      <c r="Z54" s="11">
        <v>1.0369999999999999</v>
      </c>
      <c r="AA54" s="11">
        <v>1.0369999999999999</v>
      </c>
      <c r="AB54" s="11">
        <v>1.0369999999999999</v>
      </c>
      <c r="AC54" s="11">
        <v>1.0369999999999999</v>
      </c>
      <c r="AD54" s="11">
        <v>1.0369999999999999</v>
      </c>
      <c r="AE54" s="11">
        <v>1.0369999999999999</v>
      </c>
      <c r="AF54" s="11">
        <v>1.0369999999999999</v>
      </c>
      <c r="AG54" s="11">
        <v>1.0369999999999999</v>
      </c>
      <c r="AH54" s="11">
        <v>1.0369999999999999</v>
      </c>
      <c r="AI54" s="11">
        <v>1.0369999999999999</v>
      </c>
      <c r="AJ54" s="11">
        <v>1.0369999999999999</v>
      </c>
      <c r="AK54" s="7">
        <v>0</v>
      </c>
    </row>
    <row r="55" spans="1:37" ht="15" customHeight="1">
      <c r="A55" s="6" t="s">
        <v>79</v>
      </c>
      <c r="B55" s="9" t="s">
        <v>53</v>
      </c>
      <c r="C55" s="11">
        <v>1.0329999999999999</v>
      </c>
      <c r="D55" s="11">
        <v>1.0329999999999999</v>
      </c>
      <c r="E55" s="11">
        <v>1.0329999999999999</v>
      </c>
      <c r="F55" s="11">
        <v>1.0329999999999999</v>
      </c>
      <c r="G55" s="11">
        <v>1.0329999999999999</v>
      </c>
      <c r="H55" s="11">
        <v>1.0329999999999999</v>
      </c>
      <c r="I55" s="11">
        <v>1.0329999999999999</v>
      </c>
      <c r="J55" s="11">
        <v>1.0329999999999999</v>
      </c>
      <c r="K55" s="11">
        <v>1.0329999999999999</v>
      </c>
      <c r="L55" s="11">
        <v>1.0329999999999999</v>
      </c>
      <c r="M55" s="11">
        <v>1.0329999999999999</v>
      </c>
      <c r="N55" s="11">
        <v>1.0329999999999999</v>
      </c>
      <c r="O55" s="11">
        <v>1.0329999999999999</v>
      </c>
      <c r="P55" s="11">
        <v>1.0329999999999999</v>
      </c>
      <c r="Q55" s="11">
        <v>1.0329999999999999</v>
      </c>
      <c r="R55" s="11">
        <v>1.0329999999999999</v>
      </c>
      <c r="S55" s="11">
        <v>1.0329999999999999</v>
      </c>
      <c r="T55" s="11">
        <v>1.0329999999999999</v>
      </c>
      <c r="U55" s="11">
        <v>1.0329999999999999</v>
      </c>
      <c r="V55" s="11">
        <v>1.0329999999999999</v>
      </c>
      <c r="W55" s="11">
        <v>1.0329999999999999</v>
      </c>
      <c r="X55" s="11">
        <v>1.0329999999999999</v>
      </c>
      <c r="Y55" s="11">
        <v>1.0329999999999999</v>
      </c>
      <c r="Z55" s="11">
        <v>1.0329999999999999</v>
      </c>
      <c r="AA55" s="11">
        <v>1.0329999999999999</v>
      </c>
      <c r="AB55" s="11">
        <v>1.0329999999999999</v>
      </c>
      <c r="AC55" s="11">
        <v>1.0329999999999999</v>
      </c>
      <c r="AD55" s="11">
        <v>1.0329999999999999</v>
      </c>
      <c r="AE55" s="11">
        <v>1.0329999999999999</v>
      </c>
      <c r="AF55" s="11">
        <v>1.0329999999999999</v>
      </c>
      <c r="AG55" s="11">
        <v>1.0329999999999999</v>
      </c>
      <c r="AH55" s="11">
        <v>1.0329999999999999</v>
      </c>
      <c r="AI55" s="11">
        <v>1.0329999999999999</v>
      </c>
      <c r="AJ55" s="11">
        <v>1.0329999999999999</v>
      </c>
      <c r="AK55" s="7">
        <v>0</v>
      </c>
    </row>
    <row r="56" spans="1:37" ht="15" customHeight="1">
      <c r="A56" s="6" t="s">
        <v>78</v>
      </c>
      <c r="B56" s="9" t="s">
        <v>33</v>
      </c>
      <c r="C56" s="11">
        <v>1.0389999999999999</v>
      </c>
      <c r="D56" s="11">
        <v>1.0389999999999999</v>
      </c>
      <c r="E56" s="11">
        <v>1.0389999999999999</v>
      </c>
      <c r="F56" s="11">
        <v>1.0389999999999999</v>
      </c>
      <c r="G56" s="11">
        <v>1.0389999999999999</v>
      </c>
      <c r="H56" s="11">
        <v>1.0389999999999999</v>
      </c>
      <c r="I56" s="11">
        <v>1.0389999999999999</v>
      </c>
      <c r="J56" s="11">
        <v>1.0389999999999999</v>
      </c>
      <c r="K56" s="11">
        <v>1.0389999999999999</v>
      </c>
      <c r="L56" s="11">
        <v>1.0389999999999999</v>
      </c>
      <c r="M56" s="11">
        <v>1.0389999999999999</v>
      </c>
      <c r="N56" s="11">
        <v>1.0389999999999999</v>
      </c>
      <c r="O56" s="11">
        <v>1.0389999999999999</v>
      </c>
      <c r="P56" s="11">
        <v>1.0389999999999999</v>
      </c>
      <c r="Q56" s="11">
        <v>1.0389999999999999</v>
      </c>
      <c r="R56" s="11">
        <v>1.0389999999999999</v>
      </c>
      <c r="S56" s="11">
        <v>1.0389999999999999</v>
      </c>
      <c r="T56" s="11">
        <v>1.0389999999999999</v>
      </c>
      <c r="U56" s="11">
        <v>1.0389999999999999</v>
      </c>
      <c r="V56" s="11">
        <v>1.0389999999999999</v>
      </c>
      <c r="W56" s="11">
        <v>1.0389999999999999</v>
      </c>
      <c r="X56" s="11">
        <v>1.0389999999999999</v>
      </c>
      <c r="Y56" s="11">
        <v>1.0389999999999999</v>
      </c>
      <c r="Z56" s="11">
        <v>1.0389999999999999</v>
      </c>
      <c r="AA56" s="11">
        <v>1.0389999999999999</v>
      </c>
      <c r="AB56" s="11">
        <v>1.0389999999999999</v>
      </c>
      <c r="AC56" s="11">
        <v>1.0389999999999999</v>
      </c>
      <c r="AD56" s="11">
        <v>1.0389999999999999</v>
      </c>
      <c r="AE56" s="11">
        <v>1.0389999999999999</v>
      </c>
      <c r="AF56" s="11">
        <v>1.0389999999999999</v>
      </c>
      <c r="AG56" s="11">
        <v>1.0389999999999999</v>
      </c>
      <c r="AH56" s="11">
        <v>1.0389999999999999</v>
      </c>
      <c r="AI56" s="11">
        <v>1.0389999999999999</v>
      </c>
      <c r="AJ56" s="11">
        <v>1.0389999999999999</v>
      </c>
      <c r="AK56" s="7">
        <v>0</v>
      </c>
    </row>
    <row r="57" spans="1:37" ht="15" customHeight="1">
      <c r="A57" s="6" t="s">
        <v>77</v>
      </c>
      <c r="B57" s="9" t="s">
        <v>34</v>
      </c>
      <c r="C57" s="11">
        <v>1.0369999999999999</v>
      </c>
      <c r="D57" s="11">
        <v>1.0369999999999999</v>
      </c>
      <c r="E57" s="11">
        <v>1.0369999999999999</v>
      </c>
      <c r="F57" s="11">
        <v>1.0369999999999999</v>
      </c>
      <c r="G57" s="11">
        <v>1.0369999999999999</v>
      </c>
      <c r="H57" s="11">
        <v>1.0369999999999999</v>
      </c>
      <c r="I57" s="11">
        <v>1.0369999999999999</v>
      </c>
      <c r="J57" s="11">
        <v>1.0369999999999999</v>
      </c>
      <c r="K57" s="11">
        <v>1.0369999999999999</v>
      </c>
      <c r="L57" s="11">
        <v>1.0369999999999999</v>
      </c>
      <c r="M57" s="11">
        <v>1.0369999999999999</v>
      </c>
      <c r="N57" s="11">
        <v>1.0369999999999999</v>
      </c>
      <c r="O57" s="11">
        <v>1.0369999999999999</v>
      </c>
      <c r="P57" s="11">
        <v>1.0369999999999999</v>
      </c>
      <c r="Q57" s="11">
        <v>1.0369999999999999</v>
      </c>
      <c r="R57" s="11">
        <v>1.0369999999999999</v>
      </c>
      <c r="S57" s="11">
        <v>1.0369999999999999</v>
      </c>
      <c r="T57" s="11">
        <v>1.0369999999999999</v>
      </c>
      <c r="U57" s="11">
        <v>1.0369999999999999</v>
      </c>
      <c r="V57" s="11">
        <v>1.0369999999999999</v>
      </c>
      <c r="W57" s="11">
        <v>1.0369999999999999</v>
      </c>
      <c r="X57" s="11">
        <v>1.0369999999999999</v>
      </c>
      <c r="Y57" s="11">
        <v>1.0369999999999999</v>
      </c>
      <c r="Z57" s="11">
        <v>1.0369999999999999</v>
      </c>
      <c r="AA57" s="11">
        <v>1.0369999999999999</v>
      </c>
      <c r="AB57" s="11">
        <v>1.0369999999999999</v>
      </c>
      <c r="AC57" s="11">
        <v>1.0369999999999999</v>
      </c>
      <c r="AD57" s="11">
        <v>1.0369999999999999</v>
      </c>
      <c r="AE57" s="11">
        <v>1.0369999999999999</v>
      </c>
      <c r="AF57" s="11">
        <v>1.0369999999999999</v>
      </c>
      <c r="AG57" s="11">
        <v>1.0369999999999999</v>
      </c>
      <c r="AH57" s="11">
        <v>1.0369999999999999</v>
      </c>
      <c r="AI57" s="11">
        <v>1.0369999999999999</v>
      </c>
      <c r="AJ57" s="11">
        <v>1.0369999999999999</v>
      </c>
      <c r="AK57" s="7">
        <v>0</v>
      </c>
    </row>
    <row r="58" spans="1:37" ht="15" customHeight="1">
      <c r="A58" s="6" t="s">
        <v>76</v>
      </c>
      <c r="B58" s="9" t="s">
        <v>35</v>
      </c>
      <c r="C58" s="11">
        <v>1.0249999999999999</v>
      </c>
      <c r="D58" s="11">
        <v>1.0249999999999999</v>
      </c>
      <c r="E58" s="11">
        <v>1.0249999999999999</v>
      </c>
      <c r="F58" s="11">
        <v>1.0249999999999999</v>
      </c>
      <c r="G58" s="11">
        <v>1.0249999999999999</v>
      </c>
      <c r="H58" s="11">
        <v>1.0249999999999999</v>
      </c>
      <c r="I58" s="11">
        <v>1.0249999999999999</v>
      </c>
      <c r="J58" s="11">
        <v>1.0249999999999999</v>
      </c>
      <c r="K58" s="11">
        <v>1.0249999999999999</v>
      </c>
      <c r="L58" s="11">
        <v>1.0249999999999999</v>
      </c>
      <c r="M58" s="11">
        <v>1.0249999999999999</v>
      </c>
      <c r="N58" s="11">
        <v>1.0249999999999999</v>
      </c>
      <c r="O58" s="11">
        <v>1.0249999999999999</v>
      </c>
      <c r="P58" s="11">
        <v>1.0249999999999999</v>
      </c>
      <c r="Q58" s="11">
        <v>1.0249999999999999</v>
      </c>
      <c r="R58" s="11">
        <v>1.0249999999999999</v>
      </c>
      <c r="S58" s="11">
        <v>1.0249999999999999</v>
      </c>
      <c r="T58" s="11">
        <v>1.0249999999999999</v>
      </c>
      <c r="U58" s="11">
        <v>1.0249999999999999</v>
      </c>
      <c r="V58" s="11">
        <v>1.0249999999999999</v>
      </c>
      <c r="W58" s="11">
        <v>1.0249999999999999</v>
      </c>
      <c r="X58" s="11">
        <v>1.0249999999999999</v>
      </c>
      <c r="Y58" s="11">
        <v>1.0249999999999999</v>
      </c>
      <c r="Z58" s="11">
        <v>1.0249999999999999</v>
      </c>
      <c r="AA58" s="11">
        <v>1.0249999999999999</v>
      </c>
      <c r="AB58" s="11">
        <v>1.0249999999999999</v>
      </c>
      <c r="AC58" s="11">
        <v>1.0249999999999999</v>
      </c>
      <c r="AD58" s="11">
        <v>1.0249999999999999</v>
      </c>
      <c r="AE58" s="11">
        <v>1.0249999999999999</v>
      </c>
      <c r="AF58" s="11">
        <v>1.0249999999999999</v>
      </c>
      <c r="AG58" s="11">
        <v>1.0249999999999999</v>
      </c>
      <c r="AH58" s="11">
        <v>1.0249999999999999</v>
      </c>
      <c r="AI58" s="11">
        <v>1.0249999999999999</v>
      </c>
      <c r="AJ58" s="11">
        <v>1.0249999999999999</v>
      </c>
      <c r="AK58" s="7">
        <v>0</v>
      </c>
    </row>
    <row r="59" spans="1:37" ht="15" customHeight="1">
      <c r="A59" s="6" t="s">
        <v>75</v>
      </c>
      <c r="B59" s="9" t="s">
        <v>36</v>
      </c>
      <c r="C59" s="11">
        <v>1.0089999999999999</v>
      </c>
      <c r="D59" s="11">
        <v>1.0089999999999999</v>
      </c>
      <c r="E59" s="11">
        <v>1.0089999999999999</v>
      </c>
      <c r="F59" s="11">
        <v>1.0089999999999999</v>
      </c>
      <c r="G59" s="11">
        <v>1.0089999999999999</v>
      </c>
      <c r="H59" s="11">
        <v>1.0089999999999999</v>
      </c>
      <c r="I59" s="11">
        <v>1.0089999999999999</v>
      </c>
      <c r="J59" s="11">
        <v>1.0089999999999999</v>
      </c>
      <c r="K59" s="11">
        <v>1.0089999999999999</v>
      </c>
      <c r="L59" s="11">
        <v>1.0089999999999999</v>
      </c>
      <c r="M59" s="11">
        <v>1.0089999999999999</v>
      </c>
      <c r="N59" s="11">
        <v>1.0089999999999999</v>
      </c>
      <c r="O59" s="11">
        <v>1.0089999999999999</v>
      </c>
      <c r="P59" s="11">
        <v>1.0089999999999999</v>
      </c>
      <c r="Q59" s="11">
        <v>1.0089999999999999</v>
      </c>
      <c r="R59" s="11">
        <v>1.0089999999999999</v>
      </c>
      <c r="S59" s="11">
        <v>1.0089999999999999</v>
      </c>
      <c r="T59" s="11">
        <v>1.0089999999999999</v>
      </c>
      <c r="U59" s="11">
        <v>1.0089999999999999</v>
      </c>
      <c r="V59" s="11">
        <v>1.0089999999999999</v>
      </c>
      <c r="W59" s="11">
        <v>1.0089999999999999</v>
      </c>
      <c r="X59" s="11">
        <v>1.0089999999999999</v>
      </c>
      <c r="Y59" s="11">
        <v>1.0089999999999999</v>
      </c>
      <c r="Z59" s="11">
        <v>1.0089999999999999</v>
      </c>
      <c r="AA59" s="11">
        <v>1.0089999999999999</v>
      </c>
      <c r="AB59" s="11">
        <v>1.0089999999999999</v>
      </c>
      <c r="AC59" s="11">
        <v>1.0089999999999999</v>
      </c>
      <c r="AD59" s="11">
        <v>1.0089999999999999</v>
      </c>
      <c r="AE59" s="11">
        <v>1.0089999999999999</v>
      </c>
      <c r="AF59" s="11">
        <v>1.0089999999999999</v>
      </c>
      <c r="AG59" s="11">
        <v>1.0089999999999999</v>
      </c>
      <c r="AH59" s="11">
        <v>1.0089999999999999</v>
      </c>
      <c r="AI59" s="11">
        <v>1.0089999999999999</v>
      </c>
      <c r="AJ59" s="11">
        <v>1.0089999999999999</v>
      </c>
      <c r="AK59" s="7">
        <v>0</v>
      </c>
    </row>
    <row r="60" spans="1:37" ht="15" customHeight="1">
      <c r="A60" s="6" t="s">
        <v>74</v>
      </c>
      <c r="B60" s="9" t="s">
        <v>37</v>
      </c>
      <c r="C60" s="11">
        <v>0.96</v>
      </c>
      <c r="D60" s="11">
        <v>0.96</v>
      </c>
      <c r="E60" s="11">
        <v>0.96</v>
      </c>
      <c r="F60" s="11">
        <v>0.96</v>
      </c>
      <c r="G60" s="11">
        <v>0.96</v>
      </c>
      <c r="H60" s="11">
        <v>0.96</v>
      </c>
      <c r="I60" s="11">
        <v>0.96</v>
      </c>
      <c r="J60" s="11">
        <v>0.96</v>
      </c>
      <c r="K60" s="11">
        <v>0.96</v>
      </c>
      <c r="L60" s="11">
        <v>0.96</v>
      </c>
      <c r="M60" s="11">
        <v>0.96</v>
      </c>
      <c r="N60" s="11">
        <v>0.96</v>
      </c>
      <c r="O60" s="11">
        <v>0.96</v>
      </c>
      <c r="P60" s="11">
        <v>0.96</v>
      </c>
      <c r="Q60" s="11">
        <v>0.96</v>
      </c>
      <c r="R60" s="11">
        <v>0.96</v>
      </c>
      <c r="S60" s="11">
        <v>0.96</v>
      </c>
      <c r="T60" s="11">
        <v>0.96</v>
      </c>
      <c r="U60" s="11">
        <v>0.96</v>
      </c>
      <c r="V60" s="11">
        <v>0.96</v>
      </c>
      <c r="W60" s="11">
        <v>0.96</v>
      </c>
      <c r="X60" s="11">
        <v>0.96</v>
      </c>
      <c r="Y60" s="11">
        <v>0.96</v>
      </c>
      <c r="Z60" s="11">
        <v>0.96</v>
      </c>
      <c r="AA60" s="11">
        <v>0.96</v>
      </c>
      <c r="AB60" s="11">
        <v>0.96</v>
      </c>
      <c r="AC60" s="11">
        <v>0.96</v>
      </c>
      <c r="AD60" s="11">
        <v>0.96</v>
      </c>
      <c r="AE60" s="11">
        <v>0.96</v>
      </c>
      <c r="AF60" s="11">
        <v>0.96</v>
      </c>
      <c r="AG60" s="11">
        <v>0.96</v>
      </c>
      <c r="AH60" s="11">
        <v>0.96</v>
      </c>
      <c r="AI60" s="11">
        <v>0.96</v>
      </c>
      <c r="AJ60" s="11">
        <v>0.96</v>
      </c>
      <c r="AK60" s="7">
        <v>0</v>
      </c>
    </row>
    <row r="62" spans="1:37" ht="15" customHeight="1">
      <c r="B62" s="10" t="s">
        <v>38</v>
      </c>
    </row>
    <row r="63" spans="1:37" ht="15" customHeight="1">
      <c r="A63" s="6" t="s">
        <v>73</v>
      </c>
      <c r="B63" s="9" t="s">
        <v>34</v>
      </c>
      <c r="C63" s="8">
        <v>20.537140000000001</v>
      </c>
      <c r="D63" s="8">
        <v>20.439444999999999</v>
      </c>
      <c r="E63" s="8">
        <v>20.349045</v>
      </c>
      <c r="F63" s="8">
        <v>20.466270000000002</v>
      </c>
      <c r="G63" s="8">
        <v>20.363602</v>
      </c>
      <c r="H63" s="8">
        <v>20.554328999999999</v>
      </c>
      <c r="I63" s="8">
        <v>20.653105</v>
      </c>
      <c r="J63" s="8">
        <v>20.626196</v>
      </c>
      <c r="K63" s="8">
        <v>20.621486999999998</v>
      </c>
      <c r="L63" s="8">
        <v>20.64123</v>
      </c>
      <c r="M63" s="8">
        <v>20.627844</v>
      </c>
      <c r="N63" s="8">
        <v>20.536940000000001</v>
      </c>
      <c r="O63" s="8">
        <v>20.501505000000002</v>
      </c>
      <c r="P63" s="8">
        <v>20.413281999999999</v>
      </c>
      <c r="Q63" s="8">
        <v>20.399070999999999</v>
      </c>
      <c r="R63" s="8">
        <v>20.458255999999999</v>
      </c>
      <c r="S63" s="8">
        <v>20.429285</v>
      </c>
      <c r="T63" s="8">
        <v>20.364529000000001</v>
      </c>
      <c r="U63" s="8">
        <v>20.373262</v>
      </c>
      <c r="V63" s="8">
        <v>20.367173999999999</v>
      </c>
      <c r="W63" s="8">
        <v>20.397617</v>
      </c>
      <c r="X63" s="8">
        <v>20.405455</v>
      </c>
      <c r="Y63" s="8">
        <v>20.39472</v>
      </c>
      <c r="Z63" s="8">
        <v>20.372592999999998</v>
      </c>
      <c r="AA63" s="8">
        <v>20.382771999999999</v>
      </c>
      <c r="AB63" s="8">
        <v>20.366734000000001</v>
      </c>
      <c r="AC63" s="8">
        <v>20.354519</v>
      </c>
      <c r="AD63" s="8">
        <v>20.355229999999999</v>
      </c>
      <c r="AE63" s="8">
        <v>20.386980000000001</v>
      </c>
      <c r="AF63" s="8">
        <v>20.356945</v>
      </c>
      <c r="AG63" s="8">
        <v>20.336355000000001</v>
      </c>
      <c r="AH63" s="8">
        <v>20.357395</v>
      </c>
      <c r="AI63" s="8">
        <v>20.34404</v>
      </c>
      <c r="AJ63" s="8">
        <v>20.347266999999999</v>
      </c>
      <c r="AK63" s="7">
        <v>-1.4100000000000001E-4</v>
      </c>
    </row>
    <row r="64" spans="1:37" ht="15" customHeight="1">
      <c r="A64" s="6" t="s">
        <v>72</v>
      </c>
      <c r="B64" s="9" t="s">
        <v>39</v>
      </c>
      <c r="C64" s="8">
        <v>25.416302000000002</v>
      </c>
      <c r="D64" s="8">
        <v>25.057079000000002</v>
      </c>
      <c r="E64" s="8">
        <v>25.074783</v>
      </c>
      <c r="F64" s="8">
        <v>25.042176999999999</v>
      </c>
      <c r="G64" s="8">
        <v>24.938278</v>
      </c>
      <c r="H64" s="8">
        <v>24.964016000000001</v>
      </c>
      <c r="I64" s="8">
        <v>24.911818</v>
      </c>
      <c r="J64" s="8">
        <v>24.91433</v>
      </c>
      <c r="K64" s="8">
        <v>24.898243000000001</v>
      </c>
      <c r="L64" s="8">
        <v>24.920572</v>
      </c>
      <c r="M64" s="8">
        <v>24.903048999999999</v>
      </c>
      <c r="N64" s="8">
        <v>24.81945</v>
      </c>
      <c r="O64" s="8">
        <v>24.850802999999999</v>
      </c>
      <c r="P64" s="8">
        <v>24.769541</v>
      </c>
      <c r="Q64" s="8">
        <v>24.735579000000001</v>
      </c>
      <c r="R64" s="8">
        <v>24.729203999999999</v>
      </c>
      <c r="S64" s="8">
        <v>24.688946000000001</v>
      </c>
      <c r="T64" s="8">
        <v>24.612100999999999</v>
      </c>
      <c r="U64" s="8">
        <v>24.600828</v>
      </c>
      <c r="V64" s="8">
        <v>24.592124999999999</v>
      </c>
      <c r="W64" s="8">
        <v>24.569109000000001</v>
      </c>
      <c r="X64" s="8">
        <v>24.53866</v>
      </c>
      <c r="Y64" s="8">
        <v>24.501373000000001</v>
      </c>
      <c r="Z64" s="8">
        <v>24.474423999999999</v>
      </c>
      <c r="AA64" s="8">
        <v>24.491461000000001</v>
      </c>
      <c r="AB64" s="8">
        <v>24.462054999999999</v>
      </c>
      <c r="AC64" s="8">
        <v>24.426752</v>
      </c>
      <c r="AD64" s="8">
        <v>24.399635</v>
      </c>
      <c r="AE64" s="8">
        <v>24.407730000000001</v>
      </c>
      <c r="AF64" s="8">
        <v>24.328617000000001</v>
      </c>
      <c r="AG64" s="8">
        <v>24.285736</v>
      </c>
      <c r="AH64" s="8">
        <v>24.280874000000001</v>
      </c>
      <c r="AI64" s="8">
        <v>24.244130999999999</v>
      </c>
      <c r="AJ64" s="8">
        <v>24.256340000000002</v>
      </c>
      <c r="AK64" s="7">
        <v>-1.0139999999999999E-3</v>
      </c>
    </row>
    <row r="65" spans="1:37" ht="15" customHeight="1">
      <c r="A65" s="6" t="s">
        <v>71</v>
      </c>
      <c r="B65" s="9" t="s">
        <v>40</v>
      </c>
      <c r="C65" s="8">
        <v>17.234355999999998</v>
      </c>
      <c r="D65" s="8">
        <v>17.205303000000001</v>
      </c>
      <c r="E65" s="8">
        <v>17.117476</v>
      </c>
      <c r="F65" s="8">
        <v>17.06934</v>
      </c>
      <c r="G65" s="8">
        <v>16.988295000000001</v>
      </c>
      <c r="H65" s="8">
        <v>17.022928</v>
      </c>
      <c r="I65" s="8">
        <v>17.071612999999999</v>
      </c>
      <c r="J65" s="8">
        <v>17.059359000000001</v>
      </c>
      <c r="K65" s="8">
        <v>17.037023999999999</v>
      </c>
      <c r="L65" s="8">
        <v>17.056746</v>
      </c>
      <c r="M65" s="8">
        <v>17.031739999999999</v>
      </c>
      <c r="N65" s="8">
        <v>16.978151</v>
      </c>
      <c r="O65" s="8">
        <v>16.968306999999999</v>
      </c>
      <c r="P65" s="8">
        <v>16.998640000000002</v>
      </c>
      <c r="Q65" s="8">
        <v>16.972049999999999</v>
      </c>
      <c r="R65" s="8">
        <v>17.002645000000001</v>
      </c>
      <c r="S65" s="8">
        <v>17.003274999999999</v>
      </c>
      <c r="T65" s="8">
        <v>17.003226999999999</v>
      </c>
      <c r="U65" s="8">
        <v>17.012267999999999</v>
      </c>
      <c r="V65" s="8">
        <v>17.012785000000001</v>
      </c>
      <c r="W65" s="8">
        <v>17.036083000000001</v>
      </c>
      <c r="X65" s="8">
        <v>17.044588000000001</v>
      </c>
      <c r="Y65" s="8">
        <v>17.050751000000002</v>
      </c>
      <c r="Z65" s="8">
        <v>17.064136999999999</v>
      </c>
      <c r="AA65" s="8">
        <v>17.081581</v>
      </c>
      <c r="AB65" s="8">
        <v>17.08465</v>
      </c>
      <c r="AC65" s="8">
        <v>17.087126000000001</v>
      </c>
      <c r="AD65" s="8">
        <v>17.088546999999998</v>
      </c>
      <c r="AE65" s="8">
        <v>17.086746000000002</v>
      </c>
      <c r="AF65" s="8">
        <v>17.085443000000001</v>
      </c>
      <c r="AG65" s="8">
        <v>17.080282</v>
      </c>
      <c r="AH65" s="8">
        <v>17.077895999999999</v>
      </c>
      <c r="AI65" s="8">
        <v>17.084911000000002</v>
      </c>
      <c r="AJ65" s="8">
        <v>17.086425999999999</v>
      </c>
      <c r="AK65" s="7">
        <v>-2.1699999999999999E-4</v>
      </c>
    </row>
    <row r="66" spans="1:37" ht="15" customHeight="1">
      <c r="A66" s="6" t="s">
        <v>70</v>
      </c>
      <c r="B66" s="9" t="s">
        <v>32</v>
      </c>
      <c r="C66" s="8">
        <v>19.437477000000001</v>
      </c>
      <c r="D66" s="8">
        <v>19.706896</v>
      </c>
      <c r="E66" s="8">
        <v>19.588093000000001</v>
      </c>
      <c r="F66" s="8">
        <v>19.676338000000001</v>
      </c>
      <c r="G66" s="8">
        <v>19.593861</v>
      </c>
      <c r="H66" s="8">
        <v>19.763271</v>
      </c>
      <c r="I66" s="8">
        <v>19.874037000000001</v>
      </c>
      <c r="J66" s="8">
        <v>19.832982999999999</v>
      </c>
      <c r="K66" s="8">
        <v>19.854051999999999</v>
      </c>
      <c r="L66" s="8">
        <v>19.849159</v>
      </c>
      <c r="M66" s="8">
        <v>19.841605999999999</v>
      </c>
      <c r="N66" s="8">
        <v>19.838450999999999</v>
      </c>
      <c r="O66" s="8">
        <v>19.782232</v>
      </c>
      <c r="P66" s="8">
        <v>19.750865999999998</v>
      </c>
      <c r="Q66" s="8">
        <v>19.757529999999999</v>
      </c>
      <c r="R66" s="8">
        <v>19.792145000000001</v>
      </c>
      <c r="S66" s="8">
        <v>19.787579999999998</v>
      </c>
      <c r="T66" s="8">
        <v>19.792100999999999</v>
      </c>
      <c r="U66" s="8">
        <v>19.801369000000001</v>
      </c>
      <c r="V66" s="8">
        <v>19.790552000000002</v>
      </c>
      <c r="W66" s="8">
        <v>19.813770000000002</v>
      </c>
      <c r="X66" s="8">
        <v>19.823812</v>
      </c>
      <c r="Y66" s="8">
        <v>19.819962</v>
      </c>
      <c r="Z66" s="8">
        <v>19.817592999999999</v>
      </c>
      <c r="AA66" s="8">
        <v>19.814734000000001</v>
      </c>
      <c r="AB66" s="8">
        <v>19.808729</v>
      </c>
      <c r="AC66" s="8">
        <v>19.816939999999999</v>
      </c>
      <c r="AD66" s="8">
        <v>19.822158999999999</v>
      </c>
      <c r="AE66" s="8">
        <v>19.832388000000002</v>
      </c>
      <c r="AF66" s="8">
        <v>19.856539000000001</v>
      </c>
      <c r="AG66" s="8">
        <v>19.880623</v>
      </c>
      <c r="AH66" s="8">
        <v>19.899242000000001</v>
      </c>
      <c r="AI66" s="8">
        <v>19.884989000000001</v>
      </c>
      <c r="AJ66" s="8">
        <v>19.887484000000001</v>
      </c>
      <c r="AK66" s="7">
        <v>2.8499999999999999E-4</v>
      </c>
    </row>
    <row r="67" spans="1:37" ht="15" customHeight="1">
      <c r="A67" s="6" t="s">
        <v>69</v>
      </c>
      <c r="B67" s="9" t="s">
        <v>54</v>
      </c>
      <c r="C67" s="8">
        <v>20.319486999999999</v>
      </c>
      <c r="D67" s="8">
        <v>19.866795</v>
      </c>
      <c r="E67" s="8">
        <v>19.877953000000002</v>
      </c>
      <c r="F67" s="8">
        <v>19.862864999999999</v>
      </c>
      <c r="G67" s="8">
        <v>19.866108000000001</v>
      </c>
      <c r="H67" s="8">
        <v>19.864163999999999</v>
      </c>
      <c r="I67" s="8">
        <v>19.86232</v>
      </c>
      <c r="J67" s="8">
        <v>19.858194000000001</v>
      </c>
      <c r="K67" s="8">
        <v>19.854407999999999</v>
      </c>
      <c r="L67" s="8">
        <v>19.851212</v>
      </c>
      <c r="M67" s="8">
        <v>19.848103999999999</v>
      </c>
      <c r="N67" s="8">
        <v>19.846712</v>
      </c>
      <c r="O67" s="8">
        <v>19.844584000000001</v>
      </c>
      <c r="P67" s="8">
        <v>19.843212000000001</v>
      </c>
      <c r="Q67" s="8">
        <v>19.839586000000001</v>
      </c>
      <c r="R67" s="8">
        <v>19.837956999999999</v>
      </c>
      <c r="S67" s="8">
        <v>19.837420999999999</v>
      </c>
      <c r="T67" s="8">
        <v>19.835992999999998</v>
      </c>
      <c r="U67" s="8">
        <v>19.833931</v>
      </c>
      <c r="V67" s="8">
        <v>19.832113</v>
      </c>
      <c r="W67" s="8">
        <v>19.829879999999999</v>
      </c>
      <c r="X67" s="8">
        <v>19.827466999999999</v>
      </c>
      <c r="Y67" s="8">
        <v>19.826221</v>
      </c>
      <c r="Z67" s="8">
        <v>19.825344000000001</v>
      </c>
      <c r="AA67" s="8">
        <v>19.824635000000001</v>
      </c>
      <c r="AB67" s="8">
        <v>19.824231999999999</v>
      </c>
      <c r="AC67" s="8">
        <v>19.824038999999999</v>
      </c>
      <c r="AD67" s="8">
        <v>19.823008999999999</v>
      </c>
      <c r="AE67" s="8">
        <v>19.821570999999999</v>
      </c>
      <c r="AF67" s="8">
        <v>19.888694999999998</v>
      </c>
      <c r="AG67" s="8">
        <v>19.887025999999999</v>
      </c>
      <c r="AH67" s="8">
        <v>19.885117999999999</v>
      </c>
      <c r="AI67" s="8">
        <v>19.883326</v>
      </c>
      <c r="AJ67" s="8">
        <v>19.881367000000001</v>
      </c>
      <c r="AK67" s="7">
        <v>2.3E-5</v>
      </c>
    </row>
    <row r="68" spans="1:37" ht="15" customHeight="1">
      <c r="A68" s="6" t="s">
        <v>68</v>
      </c>
      <c r="B68" s="9" t="s">
        <v>55</v>
      </c>
      <c r="C68" s="8">
        <v>20.775822000000002</v>
      </c>
      <c r="D68" s="8">
        <v>20.838132999999999</v>
      </c>
      <c r="E68" s="8">
        <v>20.733785999999998</v>
      </c>
      <c r="F68" s="8">
        <v>20.902740000000001</v>
      </c>
      <c r="G68" s="8">
        <v>20.866161000000002</v>
      </c>
      <c r="H68" s="8">
        <v>20.867376</v>
      </c>
      <c r="I68" s="8">
        <v>20.866620999999999</v>
      </c>
      <c r="J68" s="8">
        <v>20.916288000000002</v>
      </c>
      <c r="K68" s="8">
        <v>20.915384</v>
      </c>
      <c r="L68" s="8">
        <v>20.913564999999998</v>
      </c>
      <c r="M68" s="8">
        <v>20.910665999999999</v>
      </c>
      <c r="N68" s="8">
        <v>20.907888</v>
      </c>
      <c r="O68" s="8">
        <v>20.903262999999999</v>
      </c>
      <c r="P68" s="8">
        <v>20.898401</v>
      </c>
      <c r="Q68" s="8">
        <v>20.889793000000001</v>
      </c>
      <c r="R68" s="8">
        <v>20.836566999999999</v>
      </c>
      <c r="S68" s="8">
        <v>20.829412000000001</v>
      </c>
      <c r="T68" s="8">
        <v>20.823454000000002</v>
      </c>
      <c r="U68" s="8">
        <v>20.814209000000002</v>
      </c>
      <c r="V68" s="8">
        <v>20.812381999999999</v>
      </c>
      <c r="W68" s="8">
        <v>20.811678000000001</v>
      </c>
      <c r="X68" s="8">
        <v>20.809002</v>
      </c>
      <c r="Y68" s="8">
        <v>20.807103999999999</v>
      </c>
      <c r="Z68" s="8">
        <v>20.806034</v>
      </c>
      <c r="AA68" s="8">
        <v>20.806111999999999</v>
      </c>
      <c r="AB68" s="8">
        <v>20.804993</v>
      </c>
      <c r="AC68" s="8">
        <v>20.804296000000001</v>
      </c>
      <c r="AD68" s="8">
        <v>20.804532999999999</v>
      </c>
      <c r="AE68" s="8">
        <v>20.804535000000001</v>
      </c>
      <c r="AF68" s="8">
        <v>20.801072999999999</v>
      </c>
      <c r="AG68" s="8">
        <v>20.800825</v>
      </c>
      <c r="AH68" s="8">
        <v>20.800813999999999</v>
      </c>
      <c r="AI68" s="8">
        <v>20.801849000000001</v>
      </c>
      <c r="AJ68" s="8">
        <v>20.801618999999999</v>
      </c>
      <c r="AK68" s="7">
        <v>-5.5000000000000002E-5</v>
      </c>
    </row>
    <row r="69" spans="1:37" ht="15" customHeight="1">
      <c r="A69" s="6" t="s">
        <v>67</v>
      </c>
      <c r="B69" s="9" t="s">
        <v>41</v>
      </c>
      <c r="C69" s="8">
        <v>28.674879000000001</v>
      </c>
      <c r="D69" s="8">
        <v>28.554435999999999</v>
      </c>
      <c r="E69" s="8">
        <v>28.562546000000001</v>
      </c>
      <c r="F69" s="8">
        <v>28.504807</v>
      </c>
      <c r="G69" s="8">
        <v>28.443207000000001</v>
      </c>
      <c r="H69" s="8">
        <v>28.442011000000001</v>
      </c>
      <c r="I69" s="8">
        <v>28.435804000000001</v>
      </c>
      <c r="J69" s="8">
        <v>28.436997999999999</v>
      </c>
      <c r="K69" s="8">
        <v>28.439364999999999</v>
      </c>
      <c r="L69" s="8">
        <v>28.441151000000001</v>
      </c>
      <c r="M69" s="8">
        <v>28.441541999999998</v>
      </c>
      <c r="N69" s="8">
        <v>28.444378</v>
      </c>
      <c r="O69" s="8">
        <v>28.445307</v>
      </c>
      <c r="P69" s="8">
        <v>28.448008000000002</v>
      </c>
      <c r="Q69" s="8">
        <v>28.451091999999999</v>
      </c>
      <c r="R69" s="8">
        <v>28.453724000000001</v>
      </c>
      <c r="S69" s="8">
        <v>28.456078999999999</v>
      </c>
      <c r="T69" s="8">
        <v>28.459067999999998</v>
      </c>
      <c r="U69" s="8">
        <v>28.461366999999999</v>
      </c>
      <c r="V69" s="8">
        <v>28.462769000000002</v>
      </c>
      <c r="W69" s="8">
        <v>28.465333999999999</v>
      </c>
      <c r="X69" s="8">
        <v>28.467545999999999</v>
      </c>
      <c r="Y69" s="8">
        <v>28.468142</v>
      </c>
      <c r="Z69" s="8">
        <v>28.467697000000001</v>
      </c>
      <c r="AA69" s="8">
        <v>28.468544000000001</v>
      </c>
      <c r="AB69" s="8">
        <v>28.468433000000001</v>
      </c>
      <c r="AC69" s="8">
        <v>28.468116999999999</v>
      </c>
      <c r="AD69" s="8">
        <v>28.467950999999999</v>
      </c>
      <c r="AE69" s="8">
        <v>28.468955999999999</v>
      </c>
      <c r="AF69" s="8">
        <v>28.468081999999999</v>
      </c>
      <c r="AG69" s="8">
        <v>28.468615</v>
      </c>
      <c r="AH69" s="8">
        <v>28.468512</v>
      </c>
      <c r="AI69" s="8">
        <v>28.468487</v>
      </c>
      <c r="AJ69" s="8">
        <v>28.468031</v>
      </c>
      <c r="AK69" s="7">
        <v>-9.5000000000000005E-5</v>
      </c>
    </row>
    <row r="70" spans="1:37" ht="15" customHeight="1">
      <c r="A70" s="6" t="s">
        <v>66</v>
      </c>
      <c r="B70" s="9" t="s">
        <v>56</v>
      </c>
      <c r="C70" s="8">
        <v>18.994087</v>
      </c>
      <c r="D70" s="8">
        <v>19.243162000000002</v>
      </c>
      <c r="E70" s="8">
        <v>19.070353000000001</v>
      </c>
      <c r="F70" s="8">
        <v>19.169922</v>
      </c>
      <c r="G70" s="8">
        <v>19.089600000000001</v>
      </c>
      <c r="H70" s="8">
        <v>19.276790999999999</v>
      </c>
      <c r="I70" s="8">
        <v>19.411289</v>
      </c>
      <c r="J70" s="8">
        <v>19.366067999999999</v>
      </c>
      <c r="K70" s="8">
        <v>19.385352999999999</v>
      </c>
      <c r="L70" s="8">
        <v>19.372706999999998</v>
      </c>
      <c r="M70" s="8">
        <v>19.360990999999999</v>
      </c>
      <c r="N70" s="8">
        <v>19.352909</v>
      </c>
      <c r="O70" s="8">
        <v>19.300653000000001</v>
      </c>
      <c r="P70" s="8">
        <v>19.265913000000001</v>
      </c>
      <c r="Q70" s="8">
        <v>19.264596999999998</v>
      </c>
      <c r="R70" s="8">
        <v>19.290289000000001</v>
      </c>
      <c r="S70" s="8">
        <v>19.284327000000001</v>
      </c>
      <c r="T70" s="8">
        <v>19.280676</v>
      </c>
      <c r="U70" s="8">
        <v>19.290565000000001</v>
      </c>
      <c r="V70" s="8">
        <v>19.277930999999999</v>
      </c>
      <c r="W70" s="8">
        <v>19.296233999999998</v>
      </c>
      <c r="X70" s="8">
        <v>19.305914000000001</v>
      </c>
      <c r="Y70" s="8">
        <v>19.302322</v>
      </c>
      <c r="Z70" s="8">
        <v>19.303664999999999</v>
      </c>
      <c r="AA70" s="8">
        <v>19.298279000000001</v>
      </c>
      <c r="AB70" s="8">
        <v>19.294079</v>
      </c>
      <c r="AC70" s="8">
        <v>19.303532000000001</v>
      </c>
      <c r="AD70" s="8">
        <v>19.313279999999999</v>
      </c>
      <c r="AE70" s="8">
        <v>19.326996000000001</v>
      </c>
      <c r="AF70" s="8">
        <v>19.356915000000001</v>
      </c>
      <c r="AG70" s="8">
        <v>19.385812999999999</v>
      </c>
      <c r="AH70" s="8">
        <v>19.410371999999999</v>
      </c>
      <c r="AI70" s="8">
        <v>19.396623999999999</v>
      </c>
      <c r="AJ70" s="8">
        <v>19.402521</v>
      </c>
      <c r="AK70" s="7">
        <v>2.5799999999999998E-4</v>
      </c>
    </row>
    <row r="71" spans="1:37" ht="15" customHeight="1">
      <c r="A71" s="6" t="s">
        <v>65</v>
      </c>
      <c r="B71" s="9" t="s">
        <v>35</v>
      </c>
      <c r="C71" s="8">
        <v>22.116496999999999</v>
      </c>
      <c r="D71" s="8">
        <v>23.789541</v>
      </c>
      <c r="E71" s="8">
        <v>23.796752999999999</v>
      </c>
      <c r="F71" s="8">
        <v>23.826194999999998</v>
      </c>
      <c r="G71" s="8">
        <v>23.907088999999999</v>
      </c>
      <c r="H71" s="8">
        <v>23.930762999999999</v>
      </c>
      <c r="I71" s="8">
        <v>23.957257999999999</v>
      </c>
      <c r="J71" s="8">
        <v>23.986702000000001</v>
      </c>
      <c r="K71" s="8">
        <v>24.019024000000002</v>
      </c>
      <c r="L71" s="8">
        <v>24.054967999999999</v>
      </c>
      <c r="M71" s="8">
        <v>24.094473000000001</v>
      </c>
      <c r="N71" s="8">
        <v>24.137136000000002</v>
      </c>
      <c r="O71" s="8">
        <v>24.18609</v>
      </c>
      <c r="P71" s="8">
        <v>24.239874</v>
      </c>
      <c r="Q71" s="8">
        <v>24.258429</v>
      </c>
      <c r="R71" s="8">
        <v>24.257082</v>
      </c>
      <c r="S71" s="8">
        <v>24.255732999999999</v>
      </c>
      <c r="T71" s="8">
        <v>24.254387000000001</v>
      </c>
      <c r="U71" s="8">
        <v>24.253038</v>
      </c>
      <c r="V71" s="8">
        <v>24.25169</v>
      </c>
      <c r="W71" s="8">
        <v>24.250340999999999</v>
      </c>
      <c r="X71" s="8">
        <v>24.248991</v>
      </c>
      <c r="Y71" s="8">
        <v>24.247643</v>
      </c>
      <c r="Z71" s="8">
        <v>24.246292</v>
      </c>
      <c r="AA71" s="8">
        <v>24.244942000000002</v>
      </c>
      <c r="AB71" s="8">
        <v>24.243590999999999</v>
      </c>
      <c r="AC71" s="8">
        <v>24.242241</v>
      </c>
      <c r="AD71" s="8">
        <v>24.240888999999999</v>
      </c>
      <c r="AE71" s="8">
        <v>24.239538</v>
      </c>
      <c r="AF71" s="8">
        <v>24.238185999999999</v>
      </c>
      <c r="AG71" s="8">
        <v>24.236834000000002</v>
      </c>
      <c r="AH71" s="8">
        <v>24.235481</v>
      </c>
      <c r="AI71" s="8">
        <v>24.234128999999999</v>
      </c>
      <c r="AJ71" s="8">
        <v>24.232776999999999</v>
      </c>
      <c r="AK71" s="7">
        <v>5.7700000000000004E-4</v>
      </c>
    </row>
    <row r="72" spans="1:37" ht="15" customHeight="1">
      <c r="A72" s="6" t="s">
        <v>64</v>
      </c>
      <c r="B72" s="9" t="s">
        <v>36</v>
      </c>
      <c r="C72" s="8">
        <v>26.218889000000001</v>
      </c>
      <c r="D72" s="8">
        <v>25.447502</v>
      </c>
      <c r="E72" s="8">
        <v>25.630147999999998</v>
      </c>
      <c r="F72" s="8">
        <v>25.765919</v>
      </c>
      <c r="G72" s="8">
        <v>26.388355000000001</v>
      </c>
      <c r="H72" s="8">
        <v>26.396355</v>
      </c>
      <c r="I72" s="8">
        <v>26.389751</v>
      </c>
      <c r="J72" s="8">
        <v>26.391817</v>
      </c>
      <c r="K72" s="8">
        <v>26.385069000000001</v>
      </c>
      <c r="L72" s="8">
        <v>26.391817</v>
      </c>
      <c r="M72" s="8">
        <v>26.385069000000001</v>
      </c>
      <c r="N72" s="8">
        <v>26.175567999999998</v>
      </c>
      <c r="O72" s="8">
        <v>26.169689000000002</v>
      </c>
      <c r="P72" s="8">
        <v>25.926773000000001</v>
      </c>
      <c r="Q72" s="8">
        <v>25.745951000000002</v>
      </c>
      <c r="R72" s="8">
        <v>25.671246</v>
      </c>
      <c r="S72" s="8">
        <v>25.497976000000001</v>
      </c>
      <c r="T72" s="8">
        <v>25.343997999999999</v>
      </c>
      <c r="U72" s="8">
        <v>25.256226000000002</v>
      </c>
      <c r="V72" s="8">
        <v>25.173838</v>
      </c>
      <c r="W72" s="8">
        <v>25.175093</v>
      </c>
      <c r="X72" s="8">
        <v>25.077670999999999</v>
      </c>
      <c r="Y72" s="8">
        <v>24.968132000000001</v>
      </c>
      <c r="Z72" s="8">
        <v>24.865974000000001</v>
      </c>
      <c r="AA72" s="8">
        <v>24.881556</v>
      </c>
      <c r="AB72" s="8">
        <v>24.859068000000001</v>
      </c>
      <c r="AC72" s="8">
        <v>24.773596000000001</v>
      </c>
      <c r="AD72" s="8">
        <v>24.759015999999999</v>
      </c>
      <c r="AE72" s="8">
        <v>24.856954999999999</v>
      </c>
      <c r="AF72" s="8">
        <v>24.625306999999999</v>
      </c>
      <c r="AG72" s="8">
        <v>24.423266999999999</v>
      </c>
      <c r="AH72" s="8">
        <v>24.423266999999999</v>
      </c>
      <c r="AI72" s="8">
        <v>24.423266999999999</v>
      </c>
      <c r="AJ72" s="8">
        <v>24.423266999999999</v>
      </c>
      <c r="AK72" s="7">
        <v>-1.2830000000000001E-3</v>
      </c>
    </row>
    <row r="73" spans="1:37" ht="15" customHeight="1">
      <c r="A73" s="6" t="s">
        <v>63</v>
      </c>
      <c r="B73" s="9" t="s">
        <v>42</v>
      </c>
      <c r="C73" s="8">
        <v>0</v>
      </c>
      <c r="D73" s="8">
        <v>0</v>
      </c>
      <c r="E73" s="8">
        <v>0</v>
      </c>
      <c r="F73" s="8">
        <v>0</v>
      </c>
      <c r="G73" s="8">
        <v>0</v>
      </c>
      <c r="H73" s="8">
        <v>0</v>
      </c>
      <c r="I73" s="8">
        <v>0</v>
      </c>
      <c r="J73" s="8">
        <v>0</v>
      </c>
      <c r="K73" s="8">
        <v>0</v>
      </c>
      <c r="L73" s="8">
        <v>0</v>
      </c>
      <c r="M73" s="8">
        <v>0</v>
      </c>
      <c r="N73" s="8">
        <v>0</v>
      </c>
      <c r="O73" s="8">
        <v>0</v>
      </c>
      <c r="P73" s="8">
        <v>0</v>
      </c>
      <c r="Q73" s="8">
        <v>0</v>
      </c>
      <c r="R73" s="8">
        <v>0</v>
      </c>
      <c r="S73" s="8">
        <v>0</v>
      </c>
      <c r="T73" s="8">
        <v>0</v>
      </c>
      <c r="U73" s="8">
        <v>0</v>
      </c>
      <c r="V73" s="8">
        <v>0</v>
      </c>
      <c r="W73" s="8">
        <v>0</v>
      </c>
      <c r="X73" s="8">
        <v>0</v>
      </c>
      <c r="Y73" s="8">
        <v>0</v>
      </c>
      <c r="Z73" s="8">
        <v>0</v>
      </c>
      <c r="AA73" s="8">
        <v>0</v>
      </c>
      <c r="AB73" s="8">
        <v>0</v>
      </c>
      <c r="AC73" s="8">
        <v>0</v>
      </c>
      <c r="AD73" s="8">
        <v>0</v>
      </c>
      <c r="AE73" s="8">
        <v>0</v>
      </c>
      <c r="AF73" s="8">
        <v>0</v>
      </c>
      <c r="AG73" s="8">
        <v>0</v>
      </c>
      <c r="AH73" s="8">
        <v>0</v>
      </c>
      <c r="AI73" s="8">
        <v>0</v>
      </c>
      <c r="AJ73" s="8">
        <v>0</v>
      </c>
      <c r="AK73" s="7" t="s">
        <v>1</v>
      </c>
    </row>
    <row r="74" spans="1:37" ht="15" customHeight="1">
      <c r="A74" s="6" t="s">
        <v>62</v>
      </c>
      <c r="B74" s="9" t="s">
        <v>43</v>
      </c>
      <c r="C74" s="8">
        <v>12.941471999999999</v>
      </c>
      <c r="D74" s="8">
        <v>11.314271</v>
      </c>
      <c r="E74" s="8">
        <v>11.31427</v>
      </c>
      <c r="F74" s="8">
        <v>11.31427</v>
      </c>
      <c r="G74" s="8">
        <v>11.31427</v>
      </c>
      <c r="H74" s="8">
        <v>11.31427</v>
      </c>
      <c r="I74" s="8">
        <v>11.31427</v>
      </c>
      <c r="J74" s="8">
        <v>11.31427</v>
      </c>
      <c r="K74" s="8">
        <v>11.314271</v>
      </c>
      <c r="L74" s="8">
        <v>11.314271</v>
      </c>
      <c r="M74" s="8">
        <v>11.31427</v>
      </c>
      <c r="N74" s="8">
        <v>11.31427</v>
      </c>
      <c r="O74" s="8">
        <v>11.31427</v>
      </c>
      <c r="P74" s="8">
        <v>11.314271</v>
      </c>
      <c r="Q74" s="8">
        <v>11.314271</v>
      </c>
      <c r="R74" s="8">
        <v>11.31427</v>
      </c>
      <c r="S74" s="8">
        <v>11.31427</v>
      </c>
      <c r="T74" s="8">
        <v>11.31427</v>
      </c>
      <c r="U74" s="8">
        <v>11.314271</v>
      </c>
      <c r="V74" s="8">
        <v>11.31427</v>
      </c>
      <c r="W74" s="8">
        <v>11.31427</v>
      </c>
      <c r="X74" s="8">
        <v>11.314271</v>
      </c>
      <c r="Y74" s="8">
        <v>11.314271</v>
      </c>
      <c r="Z74" s="8">
        <v>11.31427</v>
      </c>
      <c r="AA74" s="8">
        <v>11.314271</v>
      </c>
      <c r="AB74" s="8">
        <v>11.314271</v>
      </c>
      <c r="AC74" s="8">
        <v>11.31427</v>
      </c>
      <c r="AD74" s="8">
        <v>11.314271</v>
      </c>
      <c r="AE74" s="8">
        <v>11.31427</v>
      </c>
      <c r="AF74" s="8">
        <v>11.31427</v>
      </c>
      <c r="AG74" s="8">
        <v>11.31427</v>
      </c>
      <c r="AH74" s="8">
        <v>11.314271</v>
      </c>
      <c r="AI74" s="8">
        <v>11.314271</v>
      </c>
      <c r="AJ74" s="8">
        <v>11.314271</v>
      </c>
      <c r="AK74" s="7">
        <v>0</v>
      </c>
    </row>
    <row r="76" spans="1:37" ht="15" customHeight="1">
      <c r="A76" s="6" t="s">
        <v>61</v>
      </c>
      <c r="B76" s="10" t="s">
        <v>60</v>
      </c>
      <c r="C76" s="179">
        <v>3412</v>
      </c>
      <c r="D76" s="179">
        <v>3412</v>
      </c>
      <c r="E76" s="179">
        <v>3412</v>
      </c>
      <c r="F76" s="179">
        <v>3412</v>
      </c>
      <c r="G76" s="179">
        <v>3412</v>
      </c>
      <c r="H76" s="179">
        <v>3412</v>
      </c>
      <c r="I76" s="179">
        <v>3412</v>
      </c>
      <c r="J76" s="179">
        <v>3412</v>
      </c>
      <c r="K76" s="179">
        <v>3412</v>
      </c>
      <c r="L76" s="179">
        <v>3412</v>
      </c>
      <c r="M76" s="179">
        <v>3412</v>
      </c>
      <c r="N76" s="179">
        <v>3412</v>
      </c>
      <c r="O76" s="179">
        <v>3412</v>
      </c>
      <c r="P76" s="179">
        <v>3412</v>
      </c>
      <c r="Q76" s="179">
        <v>3412</v>
      </c>
      <c r="R76" s="179">
        <v>3412</v>
      </c>
      <c r="S76" s="179">
        <v>3412</v>
      </c>
      <c r="T76" s="179">
        <v>3412</v>
      </c>
      <c r="U76" s="179">
        <v>3412</v>
      </c>
      <c r="V76" s="179">
        <v>3412</v>
      </c>
      <c r="W76" s="179">
        <v>3412</v>
      </c>
      <c r="X76" s="179">
        <v>3412</v>
      </c>
      <c r="Y76" s="179">
        <v>3412</v>
      </c>
      <c r="Z76" s="179">
        <v>3412</v>
      </c>
      <c r="AA76" s="179">
        <v>3412</v>
      </c>
      <c r="AB76" s="179">
        <v>3412</v>
      </c>
      <c r="AC76" s="179">
        <v>3412</v>
      </c>
      <c r="AD76" s="179">
        <v>3412</v>
      </c>
      <c r="AE76" s="179">
        <v>3412</v>
      </c>
      <c r="AF76" s="179">
        <v>3412</v>
      </c>
      <c r="AG76" s="179">
        <v>3412</v>
      </c>
      <c r="AH76" s="179">
        <v>3412</v>
      </c>
      <c r="AI76" s="179">
        <v>3412</v>
      </c>
      <c r="AJ76" s="179">
        <v>3412</v>
      </c>
      <c r="AK76" s="178">
        <v>0</v>
      </c>
    </row>
    <row r="77" spans="1:37" ht="15" customHeight="1" thickBot="1"/>
    <row r="78" spans="1:37" ht="15" customHeight="1">
      <c r="B78" s="311" t="s">
        <v>57</v>
      </c>
      <c r="C78" s="311"/>
      <c r="D78" s="311"/>
      <c r="E78" s="311"/>
      <c r="F78" s="311"/>
      <c r="G78" s="311"/>
      <c r="H78" s="311"/>
      <c r="I78" s="311"/>
      <c r="J78" s="311"/>
      <c r="K78" s="311"/>
      <c r="L78" s="311"/>
      <c r="M78" s="311"/>
      <c r="N78" s="311"/>
      <c r="O78" s="311"/>
      <c r="P78" s="311"/>
      <c r="Q78" s="311"/>
      <c r="R78" s="311"/>
      <c r="S78" s="311"/>
      <c r="T78" s="311"/>
      <c r="U78" s="311"/>
      <c r="V78" s="311"/>
      <c r="W78" s="311"/>
      <c r="X78" s="311"/>
      <c r="Y78" s="311"/>
      <c r="Z78" s="311"/>
      <c r="AA78" s="311"/>
      <c r="AB78" s="311"/>
      <c r="AC78" s="311"/>
      <c r="AD78" s="311"/>
      <c r="AE78" s="311"/>
      <c r="AF78" s="311"/>
      <c r="AG78" s="311"/>
      <c r="AH78" s="311"/>
      <c r="AI78" s="311"/>
      <c r="AJ78" s="311"/>
      <c r="AK78" s="311"/>
    </row>
    <row r="79" spans="1:37" ht="15" customHeight="1">
      <c r="B79" s="5" t="s">
        <v>58</v>
      </c>
    </row>
    <row r="80" spans="1:37" ht="15" customHeight="1">
      <c r="B80" s="5" t="s">
        <v>59</v>
      </c>
    </row>
    <row r="81" spans="2:2" ht="15" customHeight="1">
      <c r="B81" s="5" t="s">
        <v>44</v>
      </c>
    </row>
    <row r="82" spans="2:2" ht="15" customHeight="1">
      <c r="B82" s="5" t="s">
        <v>369</v>
      </c>
    </row>
    <row r="83" spans="2:2" ht="15" customHeight="1">
      <c r="B83" s="5" t="s">
        <v>368</v>
      </c>
    </row>
    <row r="84" spans="2:2" ht="15" customHeight="1">
      <c r="B84" s="5" t="s">
        <v>367</v>
      </c>
    </row>
    <row r="85" spans="2:2" ht="15" customHeight="1">
      <c r="B85" s="5" t="s">
        <v>366</v>
      </c>
    </row>
  </sheetData>
  <mergeCells count="1">
    <mergeCell ref="B78:AK78"/>
  </mergeCells>
  <phoneticPr fontId="38" type="noConversion"/>
  <pageMargins left="0.75" right="0.75" top="1" bottom="1" header="0.5" footer="0.5"/>
  <pageSetup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63"/>
  <sheetViews>
    <sheetView workbookViewId="0"/>
  </sheetViews>
  <sheetFormatPr defaultColWidth="9.125" defaultRowHeight="13.5"/>
  <cols>
    <col min="1" max="1" width="52.5" customWidth="1"/>
    <col min="2" max="2" width="13.375" bestFit="1" customWidth="1"/>
    <col min="3" max="3" width="11.625" customWidth="1"/>
    <col min="4" max="4" width="12.875" bestFit="1" customWidth="1"/>
    <col min="5" max="5" width="10.375" bestFit="1" customWidth="1"/>
    <col min="6" max="6" width="11.25" customWidth="1"/>
    <col min="7" max="7" width="13.375" customWidth="1"/>
    <col min="8" max="8" width="12.75" bestFit="1" customWidth="1"/>
    <col min="9" max="9" width="9.75" bestFit="1" customWidth="1"/>
    <col min="11" max="11" width="10.375" customWidth="1"/>
    <col min="12" max="12" width="12.375" bestFit="1" customWidth="1"/>
    <col min="15" max="15" width="12.875" bestFit="1" customWidth="1"/>
    <col min="19" max="19" width="10.375" customWidth="1"/>
    <col min="23" max="23" width="10.75" customWidth="1"/>
  </cols>
  <sheetData>
    <row r="1" spans="1:23" ht="15.75">
      <c r="A1" s="18" t="s">
        <v>123</v>
      </c>
    </row>
    <row r="2" spans="1:23" ht="15">
      <c r="A2" s="19" t="s">
        <v>124</v>
      </c>
    </row>
    <row r="3" spans="1:23" ht="12.75" customHeight="1">
      <c r="A3" s="20" t="s">
        <v>125</v>
      </c>
      <c r="B3" s="21" t="s">
        <v>126</v>
      </c>
      <c r="C3" s="22"/>
      <c r="D3" s="22"/>
      <c r="E3" s="23" t="s">
        <v>127</v>
      </c>
      <c r="F3" s="23" t="s">
        <v>128</v>
      </c>
      <c r="G3" s="23" t="s">
        <v>129</v>
      </c>
      <c r="H3" s="23" t="s">
        <v>129</v>
      </c>
      <c r="I3" s="24"/>
    </row>
    <row r="4" spans="1:23" ht="25.5">
      <c r="A4" s="25"/>
      <c r="B4" s="26" t="s">
        <v>301</v>
      </c>
      <c r="C4" s="27" t="s">
        <v>130</v>
      </c>
      <c r="D4" s="27" t="s">
        <v>131</v>
      </c>
      <c r="E4" s="27"/>
      <c r="F4" s="27" t="s">
        <v>132</v>
      </c>
      <c r="G4" s="27" t="s">
        <v>133</v>
      </c>
      <c r="H4" s="28" t="s">
        <v>134</v>
      </c>
      <c r="I4" s="29" t="s">
        <v>135</v>
      </c>
    </row>
    <row r="5" spans="1:23" ht="14.25">
      <c r="A5" s="30" t="s">
        <v>136</v>
      </c>
      <c r="B5" s="31">
        <v>1</v>
      </c>
      <c r="C5" s="32" t="s">
        <v>137</v>
      </c>
      <c r="D5" s="32"/>
      <c r="E5" s="33"/>
      <c r="F5" s="33"/>
      <c r="G5" s="33"/>
      <c r="H5" s="33"/>
      <c r="I5" s="34"/>
    </row>
    <row r="6" spans="1:23" ht="14.25">
      <c r="A6" s="35" t="s">
        <v>138</v>
      </c>
      <c r="B6" s="36" t="s">
        <v>139</v>
      </c>
      <c r="C6" s="37" t="s">
        <v>139</v>
      </c>
      <c r="D6" s="37" t="s">
        <v>139</v>
      </c>
      <c r="E6" s="37" t="s">
        <v>140</v>
      </c>
      <c r="F6" s="38"/>
      <c r="G6" s="38"/>
      <c r="H6" s="38"/>
      <c r="I6" s="39"/>
    </row>
    <row r="7" spans="1:23" ht="14.25">
      <c r="A7" s="40" t="s">
        <v>141</v>
      </c>
      <c r="B7" s="41">
        <v>129670</v>
      </c>
      <c r="C7" s="42">
        <v>129670</v>
      </c>
      <c r="D7" s="42">
        <v>138350</v>
      </c>
      <c r="E7" s="42">
        <v>3205</v>
      </c>
      <c r="F7" s="43">
        <v>0.85299999999999998</v>
      </c>
      <c r="G7" s="44">
        <v>16000</v>
      </c>
      <c r="H7" s="45">
        <v>1.6E-2</v>
      </c>
      <c r="I7" s="46">
        <v>0.93726057101554028</v>
      </c>
    </row>
    <row r="8" spans="1:23" ht="14.25">
      <c r="A8" s="40" t="s">
        <v>142</v>
      </c>
      <c r="B8" s="41">
        <v>135084.91292306196</v>
      </c>
      <c r="C8" s="47">
        <v>135084.91292306196</v>
      </c>
      <c r="D8" s="47">
        <v>144475.84269846199</v>
      </c>
      <c r="E8" s="47">
        <v>3266</v>
      </c>
      <c r="F8" s="48">
        <v>0.85562068501529054</v>
      </c>
      <c r="G8" s="44">
        <v>1800</v>
      </c>
      <c r="H8" s="45">
        <v>1.8E-3</v>
      </c>
      <c r="I8" s="46">
        <v>0.93500000000000005</v>
      </c>
    </row>
    <row r="9" spans="1:23" ht="14.25">
      <c r="A9" s="40" t="s">
        <v>143</v>
      </c>
      <c r="B9" s="41">
        <v>152370.90134048002</v>
      </c>
      <c r="C9" s="47">
        <v>152370.90134048002</v>
      </c>
      <c r="D9" s="47">
        <v>162963.53084543315</v>
      </c>
      <c r="E9" s="47">
        <v>3839.6821254480283</v>
      </c>
      <c r="F9" s="48">
        <v>0.83</v>
      </c>
      <c r="G9" s="44">
        <v>48000</v>
      </c>
      <c r="H9" s="45">
        <v>4.8000000000000001E-2</v>
      </c>
      <c r="I9" s="46">
        <v>0.93500000000000016</v>
      </c>
    </row>
    <row r="10" spans="1:23" ht="14.25">
      <c r="A10" s="40" t="s">
        <v>144</v>
      </c>
      <c r="B10" s="41">
        <v>152370.90134048002</v>
      </c>
      <c r="C10" s="49">
        <v>152370.90134048002</v>
      </c>
      <c r="D10" s="49">
        <v>162963.53084543315</v>
      </c>
      <c r="E10" s="49">
        <v>3839.6821254480283</v>
      </c>
      <c r="F10" s="50">
        <v>0.83</v>
      </c>
      <c r="G10" s="49">
        <v>48000</v>
      </c>
      <c r="H10" s="45">
        <v>4.8000000000000001E-2</v>
      </c>
      <c r="I10" s="46">
        <v>0.93500000000000016</v>
      </c>
    </row>
    <row r="11" spans="1:23" ht="14.25">
      <c r="A11" s="40" t="s">
        <v>145</v>
      </c>
      <c r="B11" s="41">
        <v>145194.18901496602</v>
      </c>
      <c r="C11" s="49">
        <v>145194.18901496602</v>
      </c>
      <c r="D11" s="49">
        <v>155287.90268980322</v>
      </c>
      <c r="E11" s="49">
        <v>3500.47748781362</v>
      </c>
      <c r="F11" s="50">
        <v>0.83245885654014951</v>
      </c>
      <c r="G11" s="49">
        <v>37227.389654331695</v>
      </c>
      <c r="H11" s="45">
        <v>3.7227389654331693E-2</v>
      </c>
      <c r="I11" s="46">
        <v>0.93500000000000005</v>
      </c>
      <c r="L11" s="49"/>
      <c r="M11" s="49"/>
      <c r="N11" s="49"/>
      <c r="O11" s="49"/>
      <c r="P11" s="50"/>
      <c r="Q11" s="49"/>
      <c r="R11" s="45"/>
      <c r="S11" s="51"/>
    </row>
    <row r="12" spans="1:23" ht="14.25">
      <c r="A12" s="40" t="s">
        <v>146</v>
      </c>
      <c r="B12" s="41">
        <v>128448.52692210001</v>
      </c>
      <c r="C12" s="47">
        <v>128448.52692210001</v>
      </c>
      <c r="D12" s="47">
        <v>137378.10365999999</v>
      </c>
      <c r="E12" s="47">
        <v>2709</v>
      </c>
      <c r="F12" s="48">
        <v>0.84059083544303792</v>
      </c>
      <c r="G12" s="44">
        <v>1600</v>
      </c>
      <c r="H12" s="45">
        <v>1.6000000000000001E-3</v>
      </c>
      <c r="I12" s="46">
        <v>0.93500000000000005</v>
      </c>
    </row>
    <row r="13" spans="1:23" ht="14.25">
      <c r="A13" t="s">
        <v>147</v>
      </c>
      <c r="B13" s="41">
        <v>125600.90733399388</v>
      </c>
      <c r="C13" s="52">
        <v>125600.90733399388</v>
      </c>
      <c r="D13" s="52">
        <v>134008.52571649614</v>
      </c>
      <c r="E13" s="53">
        <v>3087.2372132564833</v>
      </c>
      <c r="F13" s="54">
        <v>0.85299999999999998</v>
      </c>
      <c r="G13" s="54">
        <v>16000</v>
      </c>
      <c r="H13" s="45">
        <v>1.6E-2</v>
      </c>
      <c r="I13" s="46">
        <v>0.93726057101554028</v>
      </c>
    </row>
    <row r="14" spans="1:23" ht="14.25">
      <c r="A14" t="s">
        <v>148</v>
      </c>
      <c r="B14" s="41">
        <v>122492.60888766299</v>
      </c>
      <c r="C14" s="52">
        <v>122492.60888766299</v>
      </c>
      <c r="D14" s="52">
        <v>130692.16040416578</v>
      </c>
      <c r="E14" s="53">
        <v>2984.0426545960995</v>
      </c>
      <c r="F14" s="54">
        <v>0.85299999999999998</v>
      </c>
      <c r="G14" s="54">
        <v>16000</v>
      </c>
      <c r="H14" s="45">
        <v>1.6E-2</v>
      </c>
      <c r="I14" s="46">
        <v>0.93726057101554017</v>
      </c>
    </row>
    <row r="15" spans="1:23" ht="14.25">
      <c r="A15" s="40" t="s">
        <v>149</v>
      </c>
      <c r="B15" s="41">
        <v>116090</v>
      </c>
      <c r="C15" s="42">
        <v>116090</v>
      </c>
      <c r="D15" s="42">
        <v>124340</v>
      </c>
      <c r="E15" s="42">
        <v>2819</v>
      </c>
      <c r="F15" s="43">
        <v>0.86299999999999999</v>
      </c>
      <c r="G15" s="49">
        <v>10</v>
      </c>
      <c r="H15" s="45">
        <v>1.0000000000000001E-5</v>
      </c>
      <c r="I15" s="46">
        <v>0.93364967025896739</v>
      </c>
      <c r="P15" s="55"/>
      <c r="Q15" s="55"/>
      <c r="R15" s="55"/>
      <c r="S15" s="55"/>
      <c r="T15" s="55"/>
      <c r="U15" s="55"/>
      <c r="V15" s="56"/>
      <c r="W15" s="52"/>
    </row>
    <row r="16" spans="1:23" ht="14.25">
      <c r="A16" s="40" t="s">
        <v>150</v>
      </c>
      <c r="B16" s="41">
        <v>112193.52</v>
      </c>
      <c r="C16" s="49">
        <v>112193.52</v>
      </c>
      <c r="D16" s="49">
        <v>120438.62000000001</v>
      </c>
      <c r="E16" s="49">
        <v>2835.5620000000004</v>
      </c>
      <c r="F16" s="50">
        <v>0.82778546968819577</v>
      </c>
      <c r="G16" s="57">
        <v>9.0261788360871336</v>
      </c>
      <c r="H16" s="45">
        <v>9.0261788360871334E-6</v>
      </c>
      <c r="I16" s="46">
        <v>0.931541062160958</v>
      </c>
      <c r="S16" s="55"/>
      <c r="T16" s="55"/>
      <c r="U16" s="55"/>
      <c r="V16" s="56"/>
      <c r="W16" s="52"/>
    </row>
    <row r="17" spans="1:23" ht="14.25">
      <c r="A17" s="40" t="s">
        <v>151</v>
      </c>
      <c r="B17" s="41">
        <v>112193.52</v>
      </c>
      <c r="C17" s="49">
        <v>112193.52</v>
      </c>
      <c r="D17" s="49">
        <v>120438.62000000001</v>
      </c>
      <c r="E17" s="49">
        <v>2835.5620000000004</v>
      </c>
      <c r="F17" s="50">
        <v>0.82778546968819577</v>
      </c>
      <c r="G17" s="57">
        <v>9.0261788360871336</v>
      </c>
      <c r="H17" s="45">
        <v>9.0261788360871334E-6</v>
      </c>
      <c r="I17" s="46">
        <v>0.931541062160958</v>
      </c>
      <c r="P17" s="55"/>
      <c r="Q17" s="55"/>
      <c r="R17" s="55"/>
      <c r="S17" s="55"/>
      <c r="T17" s="55"/>
      <c r="U17" s="55"/>
      <c r="V17" s="56"/>
      <c r="W17" s="52"/>
    </row>
    <row r="18" spans="1:23" ht="14.25">
      <c r="A18" s="40" t="s">
        <v>152</v>
      </c>
      <c r="B18" s="41">
        <v>106150</v>
      </c>
      <c r="C18" s="49">
        <v>106150</v>
      </c>
      <c r="D18" s="49">
        <v>114387.5</v>
      </c>
      <c r="E18" s="49">
        <v>2861.25</v>
      </c>
      <c r="F18" s="50">
        <v>0.77774999999999994</v>
      </c>
      <c r="G18" s="57">
        <v>7.642500028014183</v>
      </c>
      <c r="H18" s="45">
        <v>7.6425000280141833E-6</v>
      </c>
      <c r="I18" s="46">
        <v>0.92798601245765489</v>
      </c>
      <c r="S18" s="55"/>
      <c r="T18" s="55"/>
      <c r="U18" s="55"/>
      <c r="V18" s="56"/>
      <c r="W18" s="52"/>
    </row>
    <row r="19" spans="1:23" ht="14.25">
      <c r="A19" s="40" t="s">
        <v>153</v>
      </c>
      <c r="B19" s="41">
        <v>100186</v>
      </c>
      <c r="C19" s="49">
        <v>100186</v>
      </c>
      <c r="D19" s="49">
        <v>108416</v>
      </c>
      <c r="E19" s="49">
        <v>2886.6</v>
      </c>
      <c r="F19" s="50">
        <v>0.72659999999999991</v>
      </c>
      <c r="G19" s="57">
        <v>6.2280000448226929</v>
      </c>
      <c r="H19" s="45">
        <v>6.2280000448226927E-6</v>
      </c>
      <c r="I19" s="46">
        <v>0.92408869539551353</v>
      </c>
      <c r="J19" s="55"/>
      <c r="K19" s="55"/>
      <c r="L19" s="55"/>
      <c r="M19" s="56"/>
      <c r="N19" s="52"/>
    </row>
    <row r="20" spans="1:23" ht="14.25">
      <c r="A20" s="40" t="s">
        <v>302</v>
      </c>
      <c r="B20" s="41">
        <v>128450</v>
      </c>
      <c r="C20" s="42">
        <v>128450</v>
      </c>
      <c r="D20" s="42">
        <v>137380</v>
      </c>
      <c r="E20" s="42">
        <v>3167</v>
      </c>
      <c r="F20" s="43">
        <v>0.86499999999999999</v>
      </c>
      <c r="G20" s="49">
        <v>200</v>
      </c>
      <c r="H20" s="45">
        <v>2.0000000000000001E-4</v>
      </c>
      <c r="I20" s="46">
        <v>0.93499781627602274</v>
      </c>
      <c r="W20" s="52"/>
    </row>
    <row r="21" spans="1:23" ht="14.25">
      <c r="A21" s="58" t="s">
        <v>400</v>
      </c>
      <c r="B21" s="41">
        <v>129487.84757606639</v>
      </c>
      <c r="C21" s="49">
        <v>129487.84757606639</v>
      </c>
      <c r="D21" s="49">
        <v>138490</v>
      </c>
      <c r="E21" s="49">
        <v>3206</v>
      </c>
      <c r="F21" s="59">
        <v>0.871</v>
      </c>
      <c r="G21" s="49">
        <v>11</v>
      </c>
      <c r="H21" s="45">
        <v>1.1E-5</v>
      </c>
      <c r="I21" s="46"/>
    </row>
    <row r="22" spans="1:23" ht="14.25">
      <c r="A22" s="40" t="s">
        <v>154</v>
      </c>
      <c r="B22" s="41">
        <v>128450</v>
      </c>
      <c r="C22" s="49">
        <v>128450</v>
      </c>
      <c r="D22" s="49">
        <v>137380</v>
      </c>
      <c r="E22" s="49">
        <v>3167</v>
      </c>
      <c r="F22" s="50">
        <v>0.86499999999999999</v>
      </c>
      <c r="G22" s="49">
        <v>11</v>
      </c>
      <c r="H22" s="45">
        <v>1.1E-5</v>
      </c>
      <c r="I22" s="46">
        <v>0.93499781627602274</v>
      </c>
    </row>
    <row r="23" spans="1:23" ht="14.25">
      <c r="A23" s="40" t="s">
        <v>155</v>
      </c>
      <c r="B23" s="41">
        <v>129487.84757606639</v>
      </c>
      <c r="C23" s="49">
        <v>129487.84757606639</v>
      </c>
      <c r="D23" s="42">
        <v>138490</v>
      </c>
      <c r="E23" s="42">
        <v>3206</v>
      </c>
      <c r="F23" s="43">
        <v>0.871</v>
      </c>
      <c r="G23" s="44">
        <v>11</v>
      </c>
      <c r="H23" s="45">
        <v>1.1E-5</v>
      </c>
      <c r="I23" s="46">
        <v>0.93499781627602274</v>
      </c>
    </row>
    <row r="24" spans="1:23" ht="14.25">
      <c r="A24" s="40" t="s">
        <v>156</v>
      </c>
      <c r="B24" s="41">
        <v>116920</v>
      </c>
      <c r="C24" s="42">
        <v>116920</v>
      </c>
      <c r="D24" s="42">
        <v>125080</v>
      </c>
      <c r="E24" s="42">
        <v>2745</v>
      </c>
      <c r="F24" s="43">
        <v>0.85</v>
      </c>
      <c r="G24" s="44">
        <v>1</v>
      </c>
      <c r="H24" s="45">
        <v>9.9999999999999995E-7</v>
      </c>
      <c r="I24" s="46">
        <v>0.93476175247841387</v>
      </c>
    </row>
    <row r="25" spans="1:23" ht="14.25">
      <c r="A25" s="40" t="s">
        <v>401</v>
      </c>
      <c r="B25" s="41">
        <v>118237.434842673</v>
      </c>
      <c r="C25" s="49">
        <v>118237.434842673</v>
      </c>
      <c r="D25" s="49">
        <v>126586.157141156</v>
      </c>
      <c r="E25" s="49">
        <v>2833.8569764657</v>
      </c>
      <c r="F25" s="50">
        <v>0.85315638757897505</v>
      </c>
      <c r="G25" s="49">
        <v>10</v>
      </c>
      <c r="H25" s="45">
        <v>1.0000000000000001E-5</v>
      </c>
      <c r="I25" s="46">
        <v>0.93404711473172097</v>
      </c>
    </row>
    <row r="26" spans="1:23" ht="14.25">
      <c r="A26" s="40" t="s">
        <v>157</v>
      </c>
      <c r="B26" s="41">
        <v>124307.03423937227</v>
      </c>
      <c r="C26" s="49">
        <v>124307.03423937227</v>
      </c>
      <c r="D26" s="49">
        <v>132948.69438683367</v>
      </c>
      <c r="E26" s="49">
        <v>3035.8996219999995</v>
      </c>
      <c r="F26" s="50">
        <v>0.86199999999999999</v>
      </c>
      <c r="G26" s="49">
        <v>700</v>
      </c>
      <c r="H26" s="45">
        <v>6.9999999999999999E-4</v>
      </c>
      <c r="I26" s="46">
        <v>0.93500003751584637</v>
      </c>
    </row>
    <row r="27" spans="1:23" ht="14.25">
      <c r="A27" s="40" t="s">
        <v>158</v>
      </c>
      <c r="B27" s="41">
        <v>123041.23110601204</v>
      </c>
      <c r="C27" s="42">
        <v>123041.23110601204</v>
      </c>
      <c r="D27" s="42">
        <v>131594.89429852215</v>
      </c>
      <c r="E27" s="60">
        <v>2998.0455119999997</v>
      </c>
      <c r="F27" s="43">
        <v>0.86</v>
      </c>
      <c r="G27" s="44">
        <v>11</v>
      </c>
      <c r="H27" s="45">
        <v>1.1E-5</v>
      </c>
      <c r="I27" s="46">
        <v>0.93500003751584626</v>
      </c>
    </row>
    <row r="28" spans="1:23" ht="14.25">
      <c r="A28" s="40" t="s">
        <v>159</v>
      </c>
      <c r="B28" s="41">
        <v>111520</v>
      </c>
      <c r="C28" s="49">
        <v>111520</v>
      </c>
      <c r="D28" s="42">
        <v>119740</v>
      </c>
      <c r="E28" s="42">
        <v>2651</v>
      </c>
      <c r="F28" s="43">
        <v>0.84199999999999997</v>
      </c>
      <c r="G28" s="44">
        <v>0</v>
      </c>
      <c r="H28" s="45">
        <v>0</v>
      </c>
      <c r="I28" s="46">
        <v>0.93135126106564226</v>
      </c>
    </row>
    <row r="29" spans="1:23" ht="14.25">
      <c r="A29" s="40" t="s">
        <v>160</v>
      </c>
      <c r="B29" s="41">
        <v>140352.52220119376</v>
      </c>
      <c r="C29" s="49">
        <v>140352.52220119376</v>
      </c>
      <c r="D29" s="49">
        <v>150110</v>
      </c>
      <c r="E29" s="49">
        <v>3752</v>
      </c>
      <c r="F29" s="50">
        <v>0.86799999999999999</v>
      </c>
      <c r="G29" s="44">
        <v>5000</v>
      </c>
      <c r="H29" s="45">
        <v>5.0000000000000001E-3</v>
      </c>
      <c r="I29" s="46">
        <v>0.93499781627602263</v>
      </c>
    </row>
    <row r="30" spans="1:23" ht="14.25">
      <c r="A30" s="40" t="s">
        <v>161</v>
      </c>
      <c r="B30" s="41">
        <v>140352.52220119376</v>
      </c>
      <c r="C30" s="42">
        <v>140352.52220119376</v>
      </c>
      <c r="D30" s="42">
        <v>150110</v>
      </c>
      <c r="E30" s="42">
        <v>3752</v>
      </c>
      <c r="F30" s="61">
        <v>0.86799999999999999</v>
      </c>
      <c r="G30" s="44">
        <v>27000</v>
      </c>
      <c r="H30" s="45">
        <v>2.7E-2</v>
      </c>
      <c r="I30" s="46">
        <v>0.93499781627602263</v>
      </c>
    </row>
    <row r="31" spans="1:23" ht="14.25">
      <c r="A31" s="40" t="s">
        <v>162</v>
      </c>
      <c r="B31" s="41">
        <v>57250</v>
      </c>
      <c r="C31" s="42">
        <v>57250</v>
      </c>
      <c r="D31" s="42">
        <v>65200</v>
      </c>
      <c r="E31" s="42">
        <v>3006</v>
      </c>
      <c r="F31" s="61">
        <v>0.375</v>
      </c>
      <c r="G31" s="49">
        <v>0</v>
      </c>
      <c r="H31" s="45">
        <v>0</v>
      </c>
      <c r="I31" s="46">
        <v>0.87806748466257667</v>
      </c>
    </row>
    <row r="32" spans="1:23" ht="14.25">
      <c r="A32" s="40" t="s">
        <v>163</v>
      </c>
      <c r="B32" s="41">
        <v>76330</v>
      </c>
      <c r="C32" s="62">
        <v>76330</v>
      </c>
      <c r="D32" s="60">
        <v>84530</v>
      </c>
      <c r="E32" s="62">
        <v>2988</v>
      </c>
      <c r="F32" s="63">
        <v>0.52200000000000002</v>
      </c>
      <c r="G32" s="52">
        <v>0.57000011205673218</v>
      </c>
      <c r="H32" s="45">
        <v>5.7000011205673218E-7</v>
      </c>
      <c r="I32" s="46">
        <v>0.90299302022950434</v>
      </c>
    </row>
    <row r="33" spans="1:11" ht="14.25">
      <c r="A33" s="40" t="s">
        <v>164</v>
      </c>
      <c r="B33" s="41">
        <v>99837</v>
      </c>
      <c r="C33" s="62">
        <v>99837</v>
      </c>
      <c r="D33" s="60">
        <v>108458</v>
      </c>
      <c r="E33" s="62">
        <v>3065</v>
      </c>
      <c r="F33" s="63">
        <v>0.64859999999999995</v>
      </c>
      <c r="G33" s="52">
        <v>0</v>
      </c>
      <c r="H33" s="45">
        <v>0</v>
      </c>
      <c r="I33" s="46">
        <v>0.92051300964428628</v>
      </c>
    </row>
    <row r="34" spans="1:11" ht="14.25">
      <c r="A34" s="40" t="s">
        <v>165</v>
      </c>
      <c r="B34" s="41">
        <v>83127</v>
      </c>
      <c r="C34" s="49">
        <v>83127</v>
      </c>
      <c r="D34" s="49">
        <v>89511</v>
      </c>
      <c r="E34" s="49">
        <v>2964</v>
      </c>
      <c r="F34" s="50">
        <v>0.61980000000000002</v>
      </c>
      <c r="G34" s="49">
        <v>0</v>
      </c>
      <c r="H34" s="45">
        <v>0</v>
      </c>
      <c r="I34" s="46">
        <v>0.92867915675168411</v>
      </c>
    </row>
    <row r="35" spans="1:11" ht="14.25">
      <c r="A35" s="40" t="s">
        <v>166</v>
      </c>
      <c r="B35" s="41">
        <v>116090</v>
      </c>
      <c r="C35" s="42">
        <v>116090</v>
      </c>
      <c r="D35" s="42">
        <v>124340</v>
      </c>
      <c r="E35" s="44">
        <v>2819</v>
      </c>
      <c r="F35" s="61">
        <v>0.86299999999999999</v>
      </c>
      <c r="G35" s="44">
        <v>10</v>
      </c>
      <c r="H35" s="45">
        <v>1.0000000000000001E-5</v>
      </c>
      <c r="I35" s="46">
        <v>0.93364967025896739</v>
      </c>
    </row>
    <row r="36" spans="1:11" ht="14.25">
      <c r="A36" s="40" t="s">
        <v>167</v>
      </c>
      <c r="B36" s="41">
        <v>84950</v>
      </c>
      <c r="C36" s="42">
        <v>84950</v>
      </c>
      <c r="D36" s="42">
        <v>91410</v>
      </c>
      <c r="E36" s="42">
        <v>1923</v>
      </c>
      <c r="F36" s="43">
        <v>0.82</v>
      </c>
      <c r="G36" s="44">
        <v>0</v>
      </c>
      <c r="H36" s="45">
        <v>0</v>
      </c>
      <c r="I36" s="46">
        <v>0.9293293950333662</v>
      </c>
      <c r="K36">
        <f>D36/E36*10^10</f>
        <v>475351014040.56165</v>
      </c>
    </row>
    <row r="37" spans="1:11" ht="14.25">
      <c r="A37" s="40" t="s">
        <v>168</v>
      </c>
      <c r="B37" s="41">
        <v>74720</v>
      </c>
      <c r="C37" s="42">
        <v>74720</v>
      </c>
      <c r="D37" s="42">
        <v>84820</v>
      </c>
      <c r="E37" s="42">
        <v>1621</v>
      </c>
      <c r="F37" s="64">
        <v>0.75</v>
      </c>
      <c r="G37" s="44">
        <v>0</v>
      </c>
      <c r="H37" s="45">
        <v>0</v>
      </c>
      <c r="I37" s="46">
        <v>0.88092431030417351</v>
      </c>
    </row>
    <row r="38" spans="1:11" ht="14.25">
      <c r="A38" s="40" t="s">
        <v>169</v>
      </c>
      <c r="B38" s="41">
        <v>68930</v>
      </c>
      <c r="C38" s="44">
        <v>68930</v>
      </c>
      <c r="D38" s="49">
        <v>75610</v>
      </c>
      <c r="E38" s="44">
        <v>2518</v>
      </c>
      <c r="F38" s="61">
        <v>0.52200000000000002</v>
      </c>
      <c r="G38" s="44">
        <v>0</v>
      </c>
      <c r="H38" s="45">
        <v>0</v>
      </c>
      <c r="I38" s="46">
        <v>0.91165189789710355</v>
      </c>
    </row>
    <row r="39" spans="1:11" ht="14.25">
      <c r="A39" s="40" t="s">
        <v>170</v>
      </c>
      <c r="B39" s="41">
        <v>72200</v>
      </c>
      <c r="C39" s="42">
        <v>72200</v>
      </c>
      <c r="D39" s="42">
        <v>79196.89540113158</v>
      </c>
      <c r="E39" s="42">
        <v>3255</v>
      </c>
      <c r="F39" s="43">
        <v>0.47399999999999998</v>
      </c>
      <c r="G39" s="44">
        <v>0</v>
      </c>
      <c r="H39" s="45">
        <v>0</v>
      </c>
      <c r="I39" s="46">
        <v>0.91165189789710355</v>
      </c>
    </row>
    <row r="40" spans="1:11" ht="14.25">
      <c r="A40" s="40" t="s">
        <v>171</v>
      </c>
      <c r="B40" s="41">
        <v>119550</v>
      </c>
      <c r="C40" s="42">
        <v>119550</v>
      </c>
      <c r="D40" s="42">
        <v>127960</v>
      </c>
      <c r="E40" s="42">
        <v>3361</v>
      </c>
      <c r="F40" s="43">
        <v>0.77600000000000002</v>
      </c>
      <c r="G40" s="44">
        <v>0</v>
      </c>
      <c r="H40" s="45">
        <v>0</v>
      </c>
      <c r="I40" s="46">
        <v>0.93427633635511098</v>
      </c>
    </row>
    <row r="41" spans="1:11" ht="14.25">
      <c r="A41" s="40" t="s">
        <v>172</v>
      </c>
      <c r="B41" s="41">
        <v>123670</v>
      </c>
      <c r="C41" s="44">
        <v>123670</v>
      </c>
      <c r="D41" s="44">
        <v>130030</v>
      </c>
      <c r="E41" s="44">
        <v>3017</v>
      </c>
      <c r="F41" s="61">
        <v>0.85299999999999998</v>
      </c>
      <c r="G41" s="49">
        <v>0</v>
      </c>
      <c r="H41" s="45">
        <v>0</v>
      </c>
      <c r="I41" s="46">
        <v>0.95108821041298164</v>
      </c>
    </row>
    <row r="42" spans="1:11" ht="14.25">
      <c r="A42" s="40" t="s">
        <v>173</v>
      </c>
      <c r="B42" s="41">
        <v>117059</v>
      </c>
      <c r="C42" s="60">
        <v>117059</v>
      </c>
      <c r="D42" s="60">
        <v>125293.76528649101</v>
      </c>
      <c r="E42" s="60">
        <v>2835</v>
      </c>
      <c r="F42" s="61">
        <v>0.871</v>
      </c>
      <c r="G42" s="49">
        <v>0</v>
      </c>
      <c r="H42" s="45">
        <v>0</v>
      </c>
      <c r="I42" s="46">
        <v>0.93427633635511098</v>
      </c>
    </row>
    <row r="43" spans="1:11" ht="14.25">
      <c r="A43" s="40" t="s">
        <v>174</v>
      </c>
      <c r="B43" s="41">
        <v>122887</v>
      </c>
      <c r="C43" s="60">
        <v>122887</v>
      </c>
      <c r="D43" s="60">
        <v>130817</v>
      </c>
      <c r="E43" s="60">
        <v>2948</v>
      </c>
      <c r="F43" s="61">
        <v>0.871</v>
      </c>
      <c r="G43" s="49">
        <v>0</v>
      </c>
      <c r="H43" s="45">
        <v>0</v>
      </c>
      <c r="I43" s="46">
        <v>0.93938096730547249</v>
      </c>
    </row>
    <row r="44" spans="1:11" ht="14.25">
      <c r="A44" s="40" t="s">
        <v>175</v>
      </c>
      <c r="B44" s="41">
        <v>123542.426446789</v>
      </c>
      <c r="C44" s="60">
        <v>123542.426446789</v>
      </c>
      <c r="D44" s="60">
        <v>133070.13702382601</v>
      </c>
      <c r="E44" s="60">
        <v>3003.2639480974099</v>
      </c>
      <c r="F44" s="61">
        <v>0.871</v>
      </c>
      <c r="G44" s="49">
        <v>0</v>
      </c>
      <c r="H44" s="45">
        <v>0</v>
      </c>
      <c r="I44" s="46">
        <v>0.92840083590406852</v>
      </c>
    </row>
    <row r="45" spans="1:11" ht="14.25">
      <c r="A45" t="s">
        <v>176</v>
      </c>
      <c r="B45" s="41">
        <v>115983</v>
      </c>
      <c r="C45" s="47">
        <v>115983</v>
      </c>
      <c r="D45" s="49">
        <v>124230</v>
      </c>
      <c r="E45" s="47">
        <v>2830</v>
      </c>
      <c r="F45" s="48">
        <v>0.84</v>
      </c>
      <c r="G45" s="44">
        <v>0</v>
      </c>
      <c r="H45" s="45">
        <v>0</v>
      </c>
      <c r="I45" s="46">
        <v>0.93361506882395562</v>
      </c>
    </row>
    <row r="46" spans="1:11" ht="14.25">
      <c r="A46" s="40" t="s">
        <v>177</v>
      </c>
      <c r="B46" s="41">
        <v>113309</v>
      </c>
      <c r="C46" s="49">
        <v>113309</v>
      </c>
      <c r="D46" s="49">
        <v>121365.86456635887</v>
      </c>
      <c r="E46" s="49">
        <v>2713</v>
      </c>
      <c r="F46" s="50">
        <v>0.83109999999999995</v>
      </c>
      <c r="G46" s="65">
        <v>10</v>
      </c>
      <c r="H46" s="45">
        <v>1.0000000000000001E-5</v>
      </c>
      <c r="I46" s="46">
        <v>0.93361506882395551</v>
      </c>
    </row>
    <row r="47" spans="1:11" ht="14.25">
      <c r="A47" s="40" t="s">
        <v>402</v>
      </c>
      <c r="B47" s="41">
        <v>112060.7</v>
      </c>
      <c r="C47" s="42">
        <v>112060.7</v>
      </c>
      <c r="D47" s="42">
        <v>120028.80388505213</v>
      </c>
      <c r="E47" s="42">
        <v>2819</v>
      </c>
      <c r="F47" s="61">
        <v>0.86430000000000007</v>
      </c>
      <c r="G47" s="44">
        <v>10</v>
      </c>
      <c r="H47" s="45">
        <v>1.0000000000000001E-5</v>
      </c>
      <c r="I47" s="46">
        <v>0.93361506882395551</v>
      </c>
    </row>
    <row r="48" spans="1:11" ht="14.25">
      <c r="A48" s="40" t="s">
        <v>178</v>
      </c>
      <c r="B48" s="41">
        <v>119776.6214942081</v>
      </c>
      <c r="C48" s="42">
        <v>119776.6214942081</v>
      </c>
      <c r="D48" s="42">
        <v>128103.33335647394</v>
      </c>
      <c r="E48" s="42">
        <v>2865.5561269999994</v>
      </c>
      <c r="F48" s="61">
        <v>0.84699999999999998</v>
      </c>
      <c r="G48" s="44">
        <v>0</v>
      </c>
      <c r="H48" s="45">
        <v>0</v>
      </c>
      <c r="I48" s="46">
        <v>0.93500003751584626</v>
      </c>
    </row>
    <row r="49" spans="1:9" ht="14.25">
      <c r="A49" s="40" t="s">
        <v>179</v>
      </c>
      <c r="B49" s="41">
        <v>30500</v>
      </c>
      <c r="C49" s="42">
        <v>30500</v>
      </c>
      <c r="D49" s="42">
        <v>36020</v>
      </c>
      <c r="E49" s="42">
        <v>268</v>
      </c>
      <c r="F49" s="61">
        <v>0</v>
      </c>
      <c r="G49" s="44">
        <v>0</v>
      </c>
      <c r="H49" s="45">
        <v>0</v>
      </c>
      <c r="I49" s="46">
        <v>0.84675180455302612</v>
      </c>
    </row>
    <row r="50" spans="1:9" ht="14.25">
      <c r="A50" s="40" t="s">
        <v>180</v>
      </c>
      <c r="B50" s="41">
        <v>93540</v>
      </c>
      <c r="C50" s="42">
        <v>93540</v>
      </c>
      <c r="D50" s="42">
        <v>101130</v>
      </c>
      <c r="E50" s="42">
        <v>2811</v>
      </c>
      <c r="F50" s="61">
        <v>0.68100000000000005</v>
      </c>
      <c r="G50" s="44">
        <v>0</v>
      </c>
      <c r="H50" s="45">
        <v>0</v>
      </c>
      <c r="I50" s="46">
        <v>0.92494808662118067</v>
      </c>
    </row>
    <row r="51" spans="1:9" ht="14.25">
      <c r="A51" s="40" t="s">
        <v>181</v>
      </c>
      <c r="B51" s="41">
        <v>96720</v>
      </c>
      <c r="C51" s="42">
        <v>96720</v>
      </c>
      <c r="D51" s="42">
        <v>104530</v>
      </c>
      <c r="E51" s="42">
        <v>2810</v>
      </c>
      <c r="F51" s="61">
        <v>0.70599999999999996</v>
      </c>
      <c r="G51" s="44">
        <v>0</v>
      </c>
      <c r="H51" s="45">
        <v>0</v>
      </c>
      <c r="I51" s="46">
        <v>0.92528460728977324</v>
      </c>
    </row>
    <row r="52" spans="1:9" ht="14.25">
      <c r="A52" s="40" t="s">
        <v>182</v>
      </c>
      <c r="B52" s="41">
        <v>100480</v>
      </c>
      <c r="C52" s="42">
        <v>100480</v>
      </c>
      <c r="D52" s="42">
        <v>108570</v>
      </c>
      <c r="E52" s="42">
        <v>2913</v>
      </c>
      <c r="F52" s="61">
        <v>0.70599999999999996</v>
      </c>
      <c r="G52" s="44">
        <v>0</v>
      </c>
      <c r="H52" s="45">
        <v>0</v>
      </c>
      <c r="I52" s="46">
        <v>0.92548586165607438</v>
      </c>
    </row>
    <row r="53" spans="1:9" ht="14.25">
      <c r="A53" s="40" t="s">
        <v>183</v>
      </c>
      <c r="B53" s="41">
        <v>94970</v>
      </c>
      <c r="C53" s="42">
        <v>94970</v>
      </c>
      <c r="D53" s="42">
        <v>103220</v>
      </c>
      <c r="E53" s="42">
        <v>2213</v>
      </c>
      <c r="F53" s="61">
        <v>0.82799999999999996</v>
      </c>
      <c r="G53" s="44">
        <v>0</v>
      </c>
      <c r="H53" s="45">
        <v>0</v>
      </c>
      <c r="I53" s="46">
        <v>0.92007362914163926</v>
      </c>
    </row>
    <row r="54" spans="1:9" ht="14.25">
      <c r="A54" s="40" t="s">
        <v>184</v>
      </c>
      <c r="B54" s="41">
        <v>90060</v>
      </c>
      <c r="C54" s="42">
        <v>90060</v>
      </c>
      <c r="D54" s="42">
        <v>98560</v>
      </c>
      <c r="E54" s="42">
        <v>2118</v>
      </c>
      <c r="F54" s="61">
        <v>0.82799999999999996</v>
      </c>
      <c r="G54" s="44">
        <v>0</v>
      </c>
      <c r="H54" s="45">
        <v>0</v>
      </c>
      <c r="I54" s="46">
        <v>0.91375811688311692</v>
      </c>
    </row>
    <row r="55" spans="1:9" ht="14.25">
      <c r="A55" s="40" t="s">
        <v>185</v>
      </c>
      <c r="B55" s="41">
        <v>95720</v>
      </c>
      <c r="C55" s="49">
        <v>95720</v>
      </c>
      <c r="D55" s="42">
        <v>103010</v>
      </c>
      <c r="E55" s="49">
        <v>2253</v>
      </c>
      <c r="F55" s="50">
        <v>0.85699999999999998</v>
      </c>
      <c r="G55" s="44">
        <v>0</v>
      </c>
      <c r="H55" s="45">
        <v>0</v>
      </c>
      <c r="I55" s="46">
        <v>0.92923017182797785</v>
      </c>
    </row>
    <row r="56" spans="1:9" ht="14.25">
      <c r="A56" s="40" t="s">
        <v>186</v>
      </c>
      <c r="B56" s="41">
        <v>84250</v>
      </c>
      <c r="C56" s="66">
        <v>84250</v>
      </c>
      <c r="D56" s="49">
        <v>91420</v>
      </c>
      <c r="E56" s="66">
        <v>1920</v>
      </c>
      <c r="F56" s="67">
        <v>0.81799999999999995</v>
      </c>
      <c r="G56" s="44">
        <v>0</v>
      </c>
      <c r="H56" s="45">
        <v>0</v>
      </c>
      <c r="I56" s="46">
        <v>0.92157077225989936</v>
      </c>
    </row>
    <row r="57" spans="1:9" ht="14.25">
      <c r="A57" s="40" t="s">
        <v>187</v>
      </c>
      <c r="B57" s="41">
        <v>83686.11202275462</v>
      </c>
      <c r="C57" s="44">
        <v>83686.11202275462</v>
      </c>
      <c r="D57" s="44">
        <v>90050</v>
      </c>
      <c r="E57" s="66">
        <v>2532</v>
      </c>
      <c r="F57" s="67"/>
      <c r="G57" s="44">
        <v>0</v>
      </c>
      <c r="H57" s="45">
        <v>0</v>
      </c>
      <c r="I57" s="46">
        <v>0.92932939503336609</v>
      </c>
    </row>
    <row r="58" spans="1:9" ht="14.25">
      <c r="A58" s="35" t="s">
        <v>188</v>
      </c>
      <c r="B58" s="68">
        <v>105124.8</v>
      </c>
      <c r="C58" s="69">
        <v>105124.8</v>
      </c>
      <c r="D58" s="69">
        <v>112166.3</v>
      </c>
      <c r="E58" s="69">
        <v>2478.6999999999998</v>
      </c>
      <c r="F58" s="70">
        <v>0.83625099999999997</v>
      </c>
      <c r="G58" s="71">
        <v>0</v>
      </c>
      <c r="H58" s="72">
        <v>0</v>
      </c>
      <c r="I58" s="73">
        <v>0.93722267739953979</v>
      </c>
    </row>
    <row r="59" spans="1:9" ht="14.25">
      <c r="A59" s="40" t="s">
        <v>190</v>
      </c>
      <c r="B59" s="41" t="s">
        <v>191</v>
      </c>
      <c r="C59" s="42" t="s">
        <v>191</v>
      </c>
      <c r="D59" s="42" t="s">
        <v>191</v>
      </c>
      <c r="E59" s="74" t="s">
        <v>192</v>
      </c>
      <c r="F59" s="43"/>
      <c r="G59" s="44"/>
      <c r="H59" s="45"/>
      <c r="I59" s="46" t="s">
        <v>135</v>
      </c>
    </row>
    <row r="60" spans="1:9" ht="14.25">
      <c r="A60" s="40" t="s">
        <v>193</v>
      </c>
      <c r="B60" s="41">
        <v>983</v>
      </c>
      <c r="C60" s="75">
        <v>983</v>
      </c>
      <c r="D60" s="75">
        <v>1089</v>
      </c>
      <c r="E60" s="76">
        <v>22</v>
      </c>
      <c r="F60" s="61">
        <v>0.72399999999999998</v>
      </c>
      <c r="G60" s="44">
        <v>6</v>
      </c>
      <c r="H60" s="45">
        <v>6.0000000000000002E-6</v>
      </c>
      <c r="I60" s="46">
        <v>0.90266299357208446</v>
      </c>
    </row>
    <row r="61" spans="1:9" ht="14.25">
      <c r="A61" s="40" t="s">
        <v>194</v>
      </c>
      <c r="B61" s="41">
        <v>962.18504920853229</v>
      </c>
      <c r="C61" s="75">
        <v>962.18504920853229</v>
      </c>
      <c r="D61" s="75">
        <v>1068.0254046214709</v>
      </c>
      <c r="E61" s="76">
        <v>20.303179298999996</v>
      </c>
      <c r="F61" s="61">
        <v>0.75</v>
      </c>
      <c r="G61" s="44">
        <v>0</v>
      </c>
      <c r="H61" s="45">
        <v>0</v>
      </c>
      <c r="I61" s="46">
        <v>0.9009009009009008</v>
      </c>
    </row>
    <row r="62" spans="1:9" ht="14.25">
      <c r="A62" s="40" t="s">
        <v>195</v>
      </c>
      <c r="B62" s="41">
        <v>290</v>
      </c>
      <c r="C62" s="49">
        <v>290</v>
      </c>
      <c r="D62" s="49">
        <v>343</v>
      </c>
      <c r="E62" s="77">
        <v>2.5499999999999998</v>
      </c>
      <c r="F62" s="64">
        <v>0</v>
      </c>
      <c r="G62" s="44">
        <v>0</v>
      </c>
      <c r="H62" s="45">
        <v>0</v>
      </c>
      <c r="I62" s="46">
        <v>0.84548104956268222</v>
      </c>
    </row>
    <row r="63" spans="1:9" ht="14.25">
      <c r="A63" s="40" t="s">
        <v>196</v>
      </c>
      <c r="B63" s="41"/>
      <c r="C63" s="47"/>
      <c r="D63" s="47"/>
      <c r="E63" s="78">
        <v>55.977829999999997</v>
      </c>
      <c r="F63" s="64">
        <v>0.27272727272727271</v>
      </c>
      <c r="G63" s="60">
        <v>0</v>
      </c>
      <c r="H63" s="45">
        <v>0</v>
      </c>
      <c r="I63" s="46"/>
    </row>
    <row r="64" spans="1:9" ht="14.25">
      <c r="A64" s="35" t="s">
        <v>189</v>
      </c>
      <c r="B64" s="68">
        <v>1159.2737122826286</v>
      </c>
      <c r="C64" s="79">
        <v>1159.2737122826286</v>
      </c>
      <c r="D64" s="69">
        <v>1279.7381453012381</v>
      </c>
      <c r="E64" s="71">
        <v>25.019852271678111</v>
      </c>
      <c r="F64" s="70">
        <v>0.76981385823883608</v>
      </c>
      <c r="G64" s="71">
        <v>6</v>
      </c>
      <c r="H64" s="72">
        <v>6.0000000000000002E-6</v>
      </c>
      <c r="I64" s="73">
        <v>0.90586790472651468</v>
      </c>
    </row>
    <row r="65" spans="1:12" ht="14.25">
      <c r="A65" s="40" t="s">
        <v>197</v>
      </c>
      <c r="B65" s="41" t="s">
        <v>198</v>
      </c>
      <c r="C65" s="49" t="s">
        <v>198</v>
      </c>
      <c r="D65" s="49" t="s">
        <v>198</v>
      </c>
      <c r="E65" s="49"/>
      <c r="F65" s="50"/>
      <c r="G65" s="49"/>
      <c r="H65" s="45"/>
      <c r="I65" s="46" t="s">
        <v>135</v>
      </c>
    </row>
    <row r="66" spans="1:12" ht="14.25">
      <c r="A66" s="58" t="s">
        <v>199</v>
      </c>
      <c r="B66" s="41">
        <v>19474169.219601419</v>
      </c>
      <c r="C66" s="49">
        <v>19474169.219601419</v>
      </c>
      <c r="D66" s="42">
        <v>20673610.116392747</v>
      </c>
      <c r="E66" s="66"/>
      <c r="F66" s="43">
        <v>0.58571109877499994</v>
      </c>
      <c r="G66" s="60">
        <v>10455.988337376644</v>
      </c>
      <c r="H66" s="45">
        <v>1.0455988337376645E-2</v>
      </c>
      <c r="I66" s="80"/>
      <c r="K66" s="81"/>
    </row>
    <row r="67" spans="1:12" ht="14.25">
      <c r="A67" s="58" t="s">
        <v>200</v>
      </c>
      <c r="B67" s="41">
        <v>22639319.979813498</v>
      </c>
      <c r="C67" s="49">
        <v>22639319.979813498</v>
      </c>
      <c r="D67" s="42">
        <v>23633492.9618803</v>
      </c>
      <c r="E67" s="66"/>
      <c r="F67" s="64">
        <v>0.61199999999999999</v>
      </c>
      <c r="G67" s="60">
        <v>15352.092718927001</v>
      </c>
      <c r="H67" s="45">
        <v>1.5352092718927001E-2</v>
      </c>
      <c r="I67" s="80">
        <v>0.95793372635732021</v>
      </c>
      <c r="K67" s="81"/>
    </row>
    <row r="68" spans="1:12" ht="14.25">
      <c r="A68" s="58" t="s">
        <v>201</v>
      </c>
      <c r="B68" s="41">
        <v>16085444.010446707</v>
      </c>
      <c r="C68" s="49">
        <v>16085444.010446707</v>
      </c>
      <c r="D68" s="60">
        <v>17449319.671483699</v>
      </c>
      <c r="E68" s="66"/>
      <c r="F68" s="64">
        <v>0.53700000000000003</v>
      </c>
      <c r="G68" s="60">
        <v>3568.253687975</v>
      </c>
      <c r="H68" s="45">
        <v>3.5682536879749998E-3</v>
      </c>
      <c r="I68" s="80">
        <v>0.92183788899999997</v>
      </c>
      <c r="K68" s="81"/>
    </row>
    <row r="69" spans="1:12" ht="14.25">
      <c r="A69" s="58" t="s">
        <v>202</v>
      </c>
      <c r="B69" s="41">
        <v>10805182.822031699</v>
      </c>
      <c r="C69" s="49">
        <v>10805182.822031699</v>
      </c>
      <c r="D69" s="60">
        <v>12992301.9717196</v>
      </c>
      <c r="E69" s="66"/>
      <c r="F69" s="48">
        <v>0.49099999999999999</v>
      </c>
      <c r="G69" s="60">
        <v>9064.2347162629994</v>
      </c>
      <c r="H69" s="45">
        <v>9.0642347162629994E-3</v>
      </c>
      <c r="I69" s="46">
        <v>0.83166038209020898</v>
      </c>
      <c r="K69" s="81"/>
    </row>
    <row r="70" spans="1:12" ht="14.25">
      <c r="A70" s="58" t="s">
        <v>203</v>
      </c>
      <c r="B70" s="41">
        <v>22639319.979813498</v>
      </c>
      <c r="C70" s="49">
        <v>22639319.979813498</v>
      </c>
      <c r="D70" s="47">
        <v>23633492.9618803</v>
      </c>
      <c r="E70" s="66"/>
      <c r="F70" s="48">
        <v>0.80642049800000004</v>
      </c>
      <c r="G70" s="60">
        <v>16142.739251388</v>
      </c>
      <c r="H70" s="45">
        <v>1.6142739251388E-2</v>
      </c>
      <c r="I70" s="46">
        <v>0.95793372635732021</v>
      </c>
      <c r="K70" s="81"/>
    </row>
    <row r="71" spans="1:12" ht="14.25">
      <c r="A71" s="40" t="s">
        <v>204</v>
      </c>
      <c r="B71" s="41">
        <v>9945646.340310514</v>
      </c>
      <c r="C71" s="49">
        <v>9945646.340310514</v>
      </c>
      <c r="D71" s="60">
        <v>11958783.362163</v>
      </c>
      <c r="E71" s="49"/>
      <c r="F71" s="64">
        <v>0.32642858499999999</v>
      </c>
      <c r="G71" s="82">
        <v>9064.2347162629994</v>
      </c>
      <c r="H71" s="45">
        <v>9.0642347162629994E-3</v>
      </c>
      <c r="I71" s="80">
        <v>0.83166038209020898</v>
      </c>
      <c r="K71" s="81"/>
      <c r="L71" s="81"/>
    </row>
    <row r="72" spans="1:12" ht="14.25">
      <c r="A72" s="40" t="s">
        <v>205</v>
      </c>
      <c r="B72" s="41">
        <v>26949428.734871496</v>
      </c>
      <c r="C72" s="49">
        <v>26949428.734871496</v>
      </c>
      <c r="D72" s="60">
        <v>28595925.1717753</v>
      </c>
      <c r="E72" s="49"/>
      <c r="F72" s="64">
        <v>0.86670000000000003</v>
      </c>
      <c r="G72" s="49">
        <v>45137.714412408997</v>
      </c>
      <c r="H72" s="45">
        <v>4.5137714412408998E-2</v>
      </c>
      <c r="I72" s="46">
        <v>0.94242199100000001</v>
      </c>
      <c r="K72" s="81"/>
    </row>
    <row r="73" spans="1:12" ht="14.25">
      <c r="A73" s="40" t="s">
        <v>206</v>
      </c>
      <c r="B73" s="41">
        <v>26664354.295994278</v>
      </c>
      <c r="C73" s="49">
        <v>26664354.295994278</v>
      </c>
      <c r="D73" s="42">
        <v>28293433.886979699</v>
      </c>
      <c r="E73" s="66"/>
      <c r="F73" s="64">
        <v>0.48798697000000002</v>
      </c>
      <c r="G73" s="44">
        <v>45137.714412408997</v>
      </c>
      <c r="H73" s="45">
        <v>4.5137714412408998E-2</v>
      </c>
      <c r="I73" s="46">
        <v>0.94242199100000001</v>
      </c>
    </row>
    <row r="74" spans="1:12" ht="12.6" customHeight="1">
      <c r="A74" s="40" t="s">
        <v>207</v>
      </c>
      <c r="B74" s="41">
        <v>24599421.97472629</v>
      </c>
      <c r="C74" s="60">
        <v>24599421.97472629</v>
      </c>
      <c r="D74" s="60">
        <v>25679670</v>
      </c>
      <c r="E74" s="66"/>
      <c r="F74" s="64">
        <v>0.747</v>
      </c>
      <c r="G74" s="44">
        <v>11800</v>
      </c>
      <c r="H74" s="45">
        <v>1.18E-2</v>
      </c>
      <c r="I74" s="46">
        <v>0.95793372635732044</v>
      </c>
      <c r="K74" s="83"/>
    </row>
    <row r="75" spans="1:12" ht="14.25">
      <c r="A75" s="40" t="s">
        <v>403</v>
      </c>
      <c r="B75" s="41">
        <v>28385750.368920002</v>
      </c>
      <c r="C75" s="60">
        <v>28385750.368920002</v>
      </c>
      <c r="D75" s="60">
        <v>30120000</v>
      </c>
      <c r="E75" s="49"/>
      <c r="F75" s="64">
        <v>0.8641323406231759</v>
      </c>
      <c r="G75" s="60">
        <v>45137.714412408997</v>
      </c>
      <c r="H75" s="45">
        <v>4.5137714412408998E-2</v>
      </c>
      <c r="I75" s="46">
        <v>0.94242199100000001</v>
      </c>
      <c r="K75" s="83"/>
    </row>
    <row r="76" spans="1:12" ht="14.25">
      <c r="A76" s="40" t="s">
        <v>208</v>
      </c>
      <c r="B76" s="41">
        <v>15396000</v>
      </c>
      <c r="C76" s="60">
        <v>15396000</v>
      </c>
      <c r="D76" s="42">
        <v>16524000</v>
      </c>
      <c r="E76" s="66"/>
      <c r="F76" s="43">
        <v>0.48699999999999999</v>
      </c>
      <c r="G76" s="44">
        <v>500</v>
      </c>
      <c r="H76" s="45">
        <v>5.0000000000000001E-4</v>
      </c>
      <c r="I76" s="46">
        <v>0.93173565722585328</v>
      </c>
    </row>
    <row r="77" spans="1:12" ht="14.25">
      <c r="A77" s="40" t="s">
        <v>209</v>
      </c>
      <c r="B77" s="41">
        <v>15929000</v>
      </c>
      <c r="C77" s="82">
        <v>15929000</v>
      </c>
      <c r="D77" s="42">
        <v>17062000</v>
      </c>
      <c r="E77" s="66"/>
      <c r="F77" s="43">
        <v>0.501</v>
      </c>
      <c r="G77" s="44">
        <v>200</v>
      </c>
      <c r="H77" s="45">
        <v>2.0000000000000001E-4</v>
      </c>
      <c r="I77" s="46">
        <v>0.93359512366662756</v>
      </c>
      <c r="K77" s="84"/>
    </row>
    <row r="78" spans="1:12" ht="14.25">
      <c r="A78" s="40" t="s">
        <v>210</v>
      </c>
      <c r="B78" s="41">
        <v>14447000</v>
      </c>
      <c r="C78" s="44">
        <v>14447000</v>
      </c>
      <c r="D78" s="44">
        <v>15583000</v>
      </c>
      <c r="E78" s="49"/>
      <c r="F78" s="61">
        <v>0.46600000000000003</v>
      </c>
      <c r="G78" s="44">
        <v>1100</v>
      </c>
      <c r="H78" s="45">
        <v>1.1000000000000001E-3</v>
      </c>
      <c r="I78" s="46">
        <v>0.92710004492074694</v>
      </c>
      <c r="K78" s="83"/>
    </row>
    <row r="79" spans="1:12" ht="14.25">
      <c r="A79" s="40" t="s">
        <v>211</v>
      </c>
      <c r="B79" s="41">
        <v>15342000</v>
      </c>
      <c r="C79" s="44">
        <v>15342000</v>
      </c>
      <c r="D79" s="44">
        <v>16377000</v>
      </c>
      <c r="E79" s="49"/>
      <c r="F79" s="61">
        <v>0.47599999999999998</v>
      </c>
      <c r="G79" s="44">
        <v>800</v>
      </c>
      <c r="H79" s="45">
        <v>8.0000000000000004E-4</v>
      </c>
      <c r="I79" s="46">
        <v>0.93680161201685286</v>
      </c>
    </row>
    <row r="80" spans="1:12" ht="14.25">
      <c r="A80" s="40" t="s">
        <v>212</v>
      </c>
      <c r="B80" s="41">
        <v>14716000</v>
      </c>
      <c r="C80" s="44">
        <v>14716000</v>
      </c>
      <c r="D80" s="49">
        <v>15774000</v>
      </c>
      <c r="E80" s="49"/>
      <c r="F80" s="61">
        <v>0.46700000000000003</v>
      </c>
      <c r="G80" s="44">
        <v>1000</v>
      </c>
      <c r="H80" s="45">
        <v>1E-3</v>
      </c>
      <c r="I80" s="46">
        <v>0.93292760238366934</v>
      </c>
    </row>
    <row r="81" spans="1:14" ht="14.25">
      <c r="A81" s="40" t="s">
        <v>213</v>
      </c>
      <c r="B81" s="41">
        <v>17289000</v>
      </c>
      <c r="C81" s="60">
        <v>17289000</v>
      </c>
      <c r="D81" s="49">
        <v>17906000</v>
      </c>
      <c r="E81" s="49"/>
      <c r="F81" s="61">
        <v>0.503</v>
      </c>
      <c r="G81" s="49">
        <v>400</v>
      </c>
      <c r="H81" s="45">
        <v>4.0000000000000002E-4</v>
      </c>
      <c r="I81" s="46">
        <v>0.96554227633195577</v>
      </c>
    </row>
    <row r="82" spans="1:14" ht="14.25">
      <c r="A82" s="40" t="s">
        <v>404</v>
      </c>
      <c r="B82" s="41">
        <v>15929000</v>
      </c>
      <c r="C82" s="44">
        <v>15929000</v>
      </c>
      <c r="D82" s="60">
        <v>17062000</v>
      </c>
      <c r="E82" s="49"/>
      <c r="F82" s="61">
        <v>0.501</v>
      </c>
      <c r="G82" s="49">
        <v>200</v>
      </c>
      <c r="H82" s="45">
        <v>2.0000000000000001E-4</v>
      </c>
      <c r="I82" s="46">
        <v>0.93359512366662756</v>
      </c>
    </row>
    <row r="83" spans="1:14" ht="14.25">
      <c r="A83" s="58" t="s">
        <v>214</v>
      </c>
      <c r="B83" s="41">
        <v>14999999.999999998</v>
      </c>
      <c r="C83" s="44">
        <v>14999999.999999998</v>
      </c>
      <c r="D83" s="44"/>
      <c r="E83" s="49"/>
      <c r="F83" s="85">
        <v>0.47799999999999998</v>
      </c>
      <c r="G83" s="44">
        <v>400</v>
      </c>
      <c r="H83" s="86">
        <v>4.0000000000000002E-4</v>
      </c>
      <c r="I83" s="87"/>
    </row>
    <row r="84" spans="1:14" ht="14.25">
      <c r="A84" s="88" t="s">
        <v>215</v>
      </c>
      <c r="B84" s="49">
        <v>13454048.892850777</v>
      </c>
      <c r="C84" s="60">
        <v>13454048.892850777</v>
      </c>
      <c r="D84" s="60">
        <v>15774000</v>
      </c>
      <c r="E84" s="49"/>
      <c r="F84" s="89">
        <v>0.5</v>
      </c>
      <c r="G84" s="44"/>
      <c r="H84" s="86"/>
      <c r="I84" s="87">
        <v>0.85292563033160751</v>
      </c>
    </row>
    <row r="85" spans="1:14" ht="14.25">
      <c r="A85" s="88" t="s">
        <v>216</v>
      </c>
      <c r="B85" s="49">
        <v>12381771.311916806</v>
      </c>
      <c r="C85" s="60">
        <v>12381771.311916806</v>
      </c>
      <c r="D85" s="60">
        <v>14062678</v>
      </c>
      <c r="E85" s="49"/>
      <c r="F85" s="89">
        <v>0.46300000000000002</v>
      </c>
      <c r="G85" s="44"/>
      <c r="H85" s="86"/>
      <c r="I85" s="87">
        <v>0.88047037071579148</v>
      </c>
    </row>
    <row r="86" spans="1:14" ht="14.25">
      <c r="A86" s="88" t="s">
        <v>217</v>
      </c>
      <c r="B86" s="49">
        <v>18916910.5715716</v>
      </c>
      <c r="C86" s="49">
        <v>18916910.5715716</v>
      </c>
      <c r="D86" s="49">
        <v>18916910.5715716</v>
      </c>
      <c r="E86" s="49"/>
      <c r="F86" s="90">
        <v>0.51200000000000001</v>
      </c>
      <c r="G86" s="60">
        <v>0</v>
      </c>
      <c r="H86" s="86">
        <v>0</v>
      </c>
      <c r="I86" s="87">
        <v>1</v>
      </c>
    </row>
    <row r="87" spans="1:14" ht="14.25">
      <c r="A87" s="91" t="s">
        <v>218</v>
      </c>
      <c r="B87" s="49">
        <v>12781599.343864119</v>
      </c>
      <c r="C87" s="60">
        <v>12781599.343864119</v>
      </c>
      <c r="D87" s="60">
        <v>14131556.354955051</v>
      </c>
      <c r="E87" s="49"/>
      <c r="F87" s="89">
        <v>0.39339999999999997</v>
      </c>
      <c r="G87" s="44">
        <v>0</v>
      </c>
      <c r="H87" s="86">
        <v>0</v>
      </c>
      <c r="I87" s="87">
        <v>0.90447216306662592</v>
      </c>
    </row>
    <row r="88" spans="1:14" ht="14.25">
      <c r="A88" s="92" t="s">
        <v>219</v>
      </c>
      <c r="B88" s="93">
        <v>14409931.248165678</v>
      </c>
      <c r="C88" s="94">
        <v>14409931.248165678</v>
      </c>
      <c r="D88" s="94">
        <v>15305245.093897162</v>
      </c>
      <c r="E88" s="93"/>
      <c r="F88" s="95">
        <v>0.41985</v>
      </c>
      <c r="G88" s="94">
        <v>0</v>
      </c>
      <c r="H88" s="96">
        <v>0</v>
      </c>
      <c r="I88" s="97">
        <v>0.94150280898876404</v>
      </c>
    </row>
    <row r="89" spans="1:14" ht="14.25">
      <c r="A89" t="s">
        <v>220</v>
      </c>
      <c r="B89" s="49">
        <v>14409931.248165678</v>
      </c>
      <c r="C89" s="98">
        <v>14409931.248165678</v>
      </c>
      <c r="D89" s="98">
        <v>15305245.093897162</v>
      </c>
      <c r="E89" s="99"/>
      <c r="F89" s="100">
        <v>0.41985</v>
      </c>
      <c r="G89" s="52">
        <v>0</v>
      </c>
      <c r="H89" s="86">
        <v>0</v>
      </c>
      <c r="I89" s="101">
        <v>0.94150280898876404</v>
      </c>
    </row>
    <row r="90" spans="1:14" ht="15">
      <c r="A90" s="19" t="s">
        <v>221</v>
      </c>
      <c r="B90" s="102">
        <v>11209638.734587256</v>
      </c>
      <c r="C90" s="102">
        <v>11209638.734587256</v>
      </c>
      <c r="D90" s="102">
        <v>13583444.58426456</v>
      </c>
      <c r="E90" s="102"/>
      <c r="F90" s="102">
        <v>0.49161518093556933</v>
      </c>
      <c r="G90">
        <v>1765.2250661959399</v>
      </c>
      <c r="H90">
        <v>1.7652250661959398E-3</v>
      </c>
      <c r="I90">
        <v>0.8252427184466018</v>
      </c>
    </row>
    <row r="91" spans="1:14" ht="14.25">
      <c r="A91" t="s">
        <v>222</v>
      </c>
      <c r="B91" s="102">
        <v>14155275.214870876</v>
      </c>
      <c r="C91" s="102">
        <v>14155275.214870876</v>
      </c>
      <c r="D91" s="102">
        <v>16144032.889687445</v>
      </c>
      <c r="E91" s="102"/>
      <c r="F91" s="102">
        <v>0.50491510277033058</v>
      </c>
      <c r="G91">
        <v>1787.3100983020554</v>
      </c>
      <c r="H91">
        <v>1.7873100983020554E-3</v>
      </c>
      <c r="I91">
        <v>0.87681159420289856</v>
      </c>
    </row>
    <row r="92" spans="1:14" ht="14.25">
      <c r="A92" s="103" t="s">
        <v>405</v>
      </c>
      <c r="B92" s="104">
        <v>152370.90134048002</v>
      </c>
      <c r="C92" s="105">
        <v>152370.90134048002</v>
      </c>
      <c r="D92" s="105">
        <v>162963.53084543315</v>
      </c>
      <c r="E92" s="105">
        <v>3839.6821254480283</v>
      </c>
      <c r="F92" s="105">
        <v>0.83</v>
      </c>
      <c r="G92" s="106">
        <v>48000</v>
      </c>
      <c r="H92" s="106">
        <v>4.8000000000000001E-2</v>
      </c>
      <c r="I92" s="106">
        <v>0.93500000000000016</v>
      </c>
      <c r="J92" s="106"/>
      <c r="K92" s="106"/>
      <c r="L92" s="106"/>
      <c r="M92" s="106"/>
      <c r="N92" s="107"/>
    </row>
    <row r="93" spans="1:14" ht="14.25">
      <c r="A93" s="108" t="s">
        <v>406</v>
      </c>
      <c r="B93" s="109">
        <v>144230</v>
      </c>
      <c r="C93" s="110"/>
      <c r="D93" s="110"/>
      <c r="E93" s="110">
        <v>3785.4109999999991</v>
      </c>
      <c r="F93" s="110">
        <v>0.80800504236780391</v>
      </c>
      <c r="G93" s="110">
        <v>3510</v>
      </c>
      <c r="H93" s="110"/>
      <c r="I93" s="110"/>
      <c r="J93" s="110"/>
      <c r="K93" s="110"/>
      <c r="L93" s="110"/>
      <c r="M93" s="110"/>
      <c r="N93" s="111"/>
    </row>
    <row r="94" spans="1:14">
      <c r="A94" s="112"/>
      <c r="B94" s="113"/>
      <c r="N94" s="114"/>
    </row>
    <row r="95" spans="1:14">
      <c r="A95" s="112" t="s">
        <v>223</v>
      </c>
      <c r="B95" s="113"/>
      <c r="N95" s="114"/>
    </row>
    <row r="96" spans="1:14">
      <c r="A96" s="108" t="s">
        <v>224</v>
      </c>
      <c r="B96" s="115"/>
      <c r="C96" s="116"/>
      <c r="D96" s="116"/>
      <c r="E96" s="116"/>
      <c r="F96" s="116"/>
      <c r="G96" s="116"/>
      <c r="H96" s="116"/>
      <c r="I96" s="116"/>
      <c r="J96" s="116"/>
      <c r="K96" s="116"/>
      <c r="L96" s="116"/>
      <c r="M96" s="116"/>
      <c r="N96" s="117"/>
    </row>
    <row r="97" spans="1:14">
      <c r="A97" s="118" t="s">
        <v>225</v>
      </c>
      <c r="B97" s="52" t="s">
        <v>226</v>
      </c>
      <c r="C97" t="s">
        <v>226</v>
      </c>
      <c r="D97" t="s">
        <v>226</v>
      </c>
      <c r="E97" t="s">
        <v>227</v>
      </c>
      <c r="F97" t="s">
        <v>227</v>
      </c>
      <c r="G97" t="s">
        <v>228</v>
      </c>
      <c r="H97" t="s">
        <v>228</v>
      </c>
      <c r="I97" t="s">
        <v>229</v>
      </c>
      <c r="J97" t="s">
        <v>229</v>
      </c>
      <c r="K97" t="s">
        <v>230</v>
      </c>
      <c r="L97" t="s">
        <v>230</v>
      </c>
      <c r="M97" t="s">
        <v>231</v>
      </c>
      <c r="N97" t="s">
        <v>231</v>
      </c>
    </row>
    <row r="98" spans="1:14">
      <c r="A98" s="2" t="s">
        <v>232</v>
      </c>
      <c r="B98" s="52">
        <v>100</v>
      </c>
      <c r="C98">
        <v>100</v>
      </c>
      <c r="D98">
        <v>20</v>
      </c>
      <c r="E98">
        <v>100</v>
      </c>
      <c r="F98">
        <v>20</v>
      </c>
      <c r="G98">
        <v>100</v>
      </c>
      <c r="H98">
        <v>20</v>
      </c>
      <c r="I98">
        <v>100</v>
      </c>
      <c r="J98">
        <v>20</v>
      </c>
      <c r="K98">
        <v>100</v>
      </c>
      <c r="L98">
        <v>20</v>
      </c>
      <c r="M98">
        <v>100</v>
      </c>
      <c r="N98">
        <v>20</v>
      </c>
    </row>
    <row r="99" spans="1:14">
      <c r="A99" s="119" t="s">
        <v>233</v>
      </c>
      <c r="B99" s="120">
        <v>1</v>
      </c>
      <c r="C99" s="121">
        <v>1</v>
      </c>
      <c r="D99" s="121">
        <v>1</v>
      </c>
      <c r="E99" s="121">
        <v>1</v>
      </c>
      <c r="F99" s="121">
        <v>1</v>
      </c>
      <c r="G99" s="122">
        <v>1</v>
      </c>
      <c r="H99">
        <v>1</v>
      </c>
      <c r="I99">
        <v>1</v>
      </c>
      <c r="J99">
        <v>1</v>
      </c>
      <c r="K99">
        <v>1</v>
      </c>
      <c r="L99">
        <v>1</v>
      </c>
      <c r="M99">
        <v>1</v>
      </c>
      <c r="N99">
        <v>1</v>
      </c>
    </row>
    <row r="100" spans="1:14" ht="14.25">
      <c r="A100" s="108" t="s">
        <v>234</v>
      </c>
      <c r="B100" s="109">
        <v>30</v>
      </c>
      <c r="C100" s="123">
        <v>30</v>
      </c>
      <c r="D100" s="123">
        <v>85</v>
      </c>
      <c r="E100" s="123">
        <v>6</v>
      </c>
      <c r="F100" s="123">
        <v>68</v>
      </c>
      <c r="G100" s="124">
        <v>25</v>
      </c>
      <c r="H100">
        <v>72</v>
      </c>
      <c r="I100">
        <v>23</v>
      </c>
      <c r="J100">
        <v>62</v>
      </c>
      <c r="K100">
        <v>21</v>
      </c>
      <c r="L100">
        <v>56</v>
      </c>
      <c r="M100">
        <v>21</v>
      </c>
      <c r="N100">
        <v>63</v>
      </c>
    </row>
    <row r="101" spans="1:14">
      <c r="A101" s="112" t="s">
        <v>235</v>
      </c>
      <c r="B101" s="113">
        <v>265</v>
      </c>
      <c r="C101">
        <v>265</v>
      </c>
      <c r="D101">
        <v>264</v>
      </c>
      <c r="E101" s="52">
        <v>234</v>
      </c>
      <c r="F101">
        <v>277</v>
      </c>
      <c r="G101" s="114">
        <v>298</v>
      </c>
      <c r="H101">
        <v>289</v>
      </c>
      <c r="I101">
        <v>296</v>
      </c>
      <c r="J101">
        <v>275</v>
      </c>
      <c r="K101">
        <v>310</v>
      </c>
      <c r="L101">
        <v>280</v>
      </c>
      <c r="M101">
        <v>290</v>
      </c>
      <c r="N101">
        <v>270</v>
      </c>
    </row>
    <row r="102" spans="1:14">
      <c r="A102" s="112"/>
      <c r="B102" s="113"/>
      <c r="G102" s="114"/>
    </row>
    <row r="103" spans="1:14">
      <c r="A103" s="112" t="s">
        <v>236</v>
      </c>
      <c r="B103" s="113"/>
      <c r="G103" s="114"/>
    </row>
    <row r="104" spans="1:14">
      <c r="A104" s="112" t="s">
        <v>237</v>
      </c>
      <c r="B104" s="113" t="s">
        <v>238</v>
      </c>
      <c r="C104" t="s">
        <v>238</v>
      </c>
      <c r="D104" s="125" t="s">
        <v>239</v>
      </c>
      <c r="E104" s="125" t="s">
        <v>239</v>
      </c>
      <c r="F104" s="125" t="s">
        <v>240</v>
      </c>
      <c r="G104" s="126" t="s">
        <v>240</v>
      </c>
    </row>
    <row r="105" spans="1:14">
      <c r="A105" s="108" t="s">
        <v>232</v>
      </c>
      <c r="B105" s="115">
        <v>100</v>
      </c>
      <c r="C105" s="116"/>
      <c r="D105" s="116">
        <v>100</v>
      </c>
      <c r="E105" s="116">
        <v>20</v>
      </c>
      <c r="F105" s="116">
        <v>100</v>
      </c>
      <c r="G105" s="117">
        <v>20</v>
      </c>
    </row>
    <row r="106" spans="1:14">
      <c r="A106" t="s">
        <v>241</v>
      </c>
      <c r="B106">
        <v>0</v>
      </c>
      <c r="C106">
        <v>0</v>
      </c>
      <c r="D106">
        <v>4.5</v>
      </c>
      <c r="E106">
        <v>14</v>
      </c>
      <c r="F106">
        <v>0.66</v>
      </c>
      <c r="G106">
        <v>7.5</v>
      </c>
    </row>
    <row r="107" spans="1:14" ht="15">
      <c r="A107" s="19" t="s">
        <v>242</v>
      </c>
      <c r="B107">
        <v>0</v>
      </c>
      <c r="C107">
        <v>0</v>
      </c>
      <c r="D107">
        <v>2.65</v>
      </c>
      <c r="E107">
        <v>7.65</v>
      </c>
      <c r="F107">
        <v>0.42</v>
      </c>
      <c r="G107">
        <v>4.9000000000000004</v>
      </c>
    </row>
    <row r="108" spans="1:14">
      <c r="A108" s="103" t="s">
        <v>243</v>
      </c>
      <c r="B108" s="127">
        <v>0</v>
      </c>
      <c r="C108">
        <v>0</v>
      </c>
      <c r="D108">
        <v>-11</v>
      </c>
      <c r="E108">
        <v>19</v>
      </c>
      <c r="F108">
        <v>-2.9</v>
      </c>
      <c r="G108">
        <v>-87</v>
      </c>
    </row>
    <row r="109" spans="1:14">
      <c r="A109" s="112" t="s">
        <v>244</v>
      </c>
      <c r="B109" s="128">
        <v>0</v>
      </c>
      <c r="C109">
        <v>0</v>
      </c>
      <c r="D109">
        <v>900</v>
      </c>
      <c r="E109">
        <v>3200</v>
      </c>
      <c r="F109">
        <v>130</v>
      </c>
      <c r="G109">
        <v>920</v>
      </c>
    </row>
    <row r="110" spans="1:14">
      <c r="A110" s="112" t="s">
        <v>245</v>
      </c>
      <c r="B110" s="128">
        <v>0</v>
      </c>
      <c r="C110">
        <v>0</v>
      </c>
      <c r="D110">
        <v>-69</v>
      </c>
      <c r="E110">
        <v>-240</v>
      </c>
      <c r="F110">
        <v>-10</v>
      </c>
      <c r="G110">
        <v>-71</v>
      </c>
    </row>
    <row r="111" spans="1:14">
      <c r="A111" s="112"/>
      <c r="B111" s="128"/>
    </row>
    <row r="112" spans="1:14">
      <c r="A112" s="108" t="s">
        <v>246</v>
      </c>
      <c r="B112" s="129"/>
    </row>
    <row r="113" spans="1:24">
      <c r="A113" t="s">
        <v>247</v>
      </c>
      <c r="B113">
        <v>0.85</v>
      </c>
    </row>
    <row r="114" spans="1:24" ht="15">
      <c r="A114" s="19" t="s">
        <v>248</v>
      </c>
      <c r="B114">
        <v>0.42857142857142855</v>
      </c>
    </row>
    <row r="115" spans="1:24">
      <c r="A115" t="s">
        <v>249</v>
      </c>
      <c r="B115">
        <v>0.75</v>
      </c>
    </row>
    <row r="116" spans="1:24">
      <c r="A116" t="s">
        <v>250</v>
      </c>
      <c r="B116" s="130">
        <v>0.27272727272727271</v>
      </c>
      <c r="F116" s="131"/>
      <c r="J116" s="131"/>
      <c r="N116" s="131"/>
      <c r="R116" s="132"/>
      <c r="V116" s="132"/>
    </row>
    <row r="117" spans="1:24">
      <c r="A117" t="s">
        <v>251</v>
      </c>
      <c r="B117" s="133">
        <v>0.5</v>
      </c>
      <c r="F117" s="134"/>
      <c r="J117" s="134"/>
      <c r="N117" s="134"/>
      <c r="R117" s="135"/>
      <c r="V117" s="135"/>
    </row>
    <row r="118" spans="1:24" ht="14.25">
      <c r="B118" s="136"/>
      <c r="C118" s="137"/>
      <c r="D118" s="138"/>
      <c r="F118" s="136"/>
      <c r="G118" s="137"/>
      <c r="H118" s="138"/>
      <c r="J118" s="136"/>
      <c r="K118" s="139"/>
      <c r="L118" s="138"/>
      <c r="N118" s="136"/>
      <c r="O118" s="139"/>
      <c r="P118" s="138"/>
      <c r="R118" s="136"/>
      <c r="S118" s="139"/>
      <c r="T118" s="138"/>
      <c r="V118" s="136"/>
      <c r="W118" s="139"/>
      <c r="X118" s="138"/>
    </row>
    <row r="119" spans="1:24">
      <c r="A119" t="s">
        <v>252</v>
      </c>
      <c r="B119" s="140"/>
      <c r="C119" s="141"/>
      <c r="D119" s="142"/>
      <c r="F119" s="140"/>
      <c r="G119" s="141"/>
      <c r="H119" s="142"/>
      <c r="J119" s="140"/>
      <c r="K119" s="141"/>
      <c r="L119" s="142"/>
      <c r="N119" s="140"/>
      <c r="O119" s="141"/>
      <c r="P119" s="142"/>
      <c r="R119" s="140"/>
      <c r="S119" s="141"/>
      <c r="T119" s="142"/>
      <c r="V119" s="140"/>
      <c r="W119" s="141"/>
      <c r="X119" s="142"/>
    </row>
    <row r="120" spans="1:24">
      <c r="B120" s="143"/>
      <c r="C120" s="135"/>
      <c r="D120" s="144"/>
      <c r="F120" s="143"/>
      <c r="G120" s="135"/>
      <c r="H120" s="144"/>
      <c r="J120" s="143"/>
      <c r="K120" s="135"/>
      <c r="L120" s="144"/>
      <c r="N120" s="143"/>
      <c r="O120" s="135"/>
      <c r="P120" s="144"/>
      <c r="R120" s="143"/>
      <c r="S120" s="135"/>
      <c r="T120" s="144"/>
      <c r="V120" s="143"/>
      <c r="W120" s="135"/>
      <c r="X120" s="144"/>
    </row>
    <row r="121" spans="1:24">
      <c r="B121" s="143">
        <v>10</v>
      </c>
      <c r="C121" s="135"/>
      <c r="D121" s="144"/>
      <c r="F121" s="143">
        <v>200</v>
      </c>
      <c r="G121" s="135"/>
      <c r="H121" s="144"/>
      <c r="J121" s="143">
        <v>11</v>
      </c>
      <c r="K121" s="135"/>
      <c r="L121" s="144"/>
      <c r="N121" s="143">
        <v>11</v>
      </c>
      <c r="O121" s="135"/>
      <c r="P121" s="144"/>
      <c r="R121" s="143">
        <v>27000</v>
      </c>
      <c r="S121" s="135"/>
      <c r="T121" s="144"/>
      <c r="V121" s="143">
        <v>1000</v>
      </c>
      <c r="W121" s="135"/>
      <c r="X121" s="144"/>
    </row>
    <row r="122" spans="1:24">
      <c r="B122" s="143">
        <v>10</v>
      </c>
      <c r="C122" s="135"/>
      <c r="D122" s="144"/>
      <c r="F122" s="143">
        <v>200</v>
      </c>
      <c r="G122" s="135"/>
      <c r="H122" s="144"/>
      <c r="J122" s="143">
        <v>11</v>
      </c>
      <c r="K122" s="135"/>
      <c r="L122" s="144"/>
      <c r="N122" s="143">
        <v>11</v>
      </c>
      <c r="O122" s="135"/>
      <c r="P122" s="144"/>
      <c r="R122" s="143">
        <v>27000</v>
      </c>
      <c r="S122" s="135"/>
      <c r="T122" s="144"/>
      <c r="V122" s="143">
        <v>1000</v>
      </c>
      <c r="W122" s="135"/>
      <c r="X122" s="144"/>
    </row>
    <row r="123" spans="1:24" ht="14.25">
      <c r="B123" s="143" t="s">
        <v>253</v>
      </c>
      <c r="C123" s="135" t="s">
        <v>254</v>
      </c>
      <c r="D123" s="144" t="s">
        <v>255</v>
      </c>
      <c r="F123" s="145" t="s">
        <v>253</v>
      </c>
      <c r="G123" s="146" t="s">
        <v>256</v>
      </c>
      <c r="H123" s="147" t="s">
        <v>255</v>
      </c>
      <c r="J123" s="145" t="s">
        <v>253</v>
      </c>
      <c r="K123" s="146" t="s">
        <v>257</v>
      </c>
      <c r="L123" s="147" t="s">
        <v>255</v>
      </c>
      <c r="N123" s="145" t="s">
        <v>253</v>
      </c>
      <c r="O123" s="146" t="s">
        <v>258</v>
      </c>
      <c r="P123" s="147" t="s">
        <v>255</v>
      </c>
      <c r="R123" s="145" t="s">
        <v>253</v>
      </c>
      <c r="S123" s="146" t="s">
        <v>259</v>
      </c>
      <c r="T123" s="147" t="s">
        <v>255</v>
      </c>
      <c r="V123" s="145" t="s">
        <v>253</v>
      </c>
      <c r="W123" s="146" t="s">
        <v>260</v>
      </c>
      <c r="X123" s="147" t="s">
        <v>255</v>
      </c>
    </row>
    <row r="124" spans="1:24">
      <c r="B124" s="143">
        <v>1990</v>
      </c>
      <c r="C124" s="135">
        <v>500</v>
      </c>
      <c r="D124" s="144">
        <v>19.607843137254903</v>
      </c>
      <c r="F124" s="143">
        <v>1990</v>
      </c>
      <c r="G124" s="135">
        <v>600</v>
      </c>
      <c r="H124" s="144">
        <v>3</v>
      </c>
      <c r="J124" s="143">
        <v>1990</v>
      </c>
      <c r="K124" s="135">
        <v>350</v>
      </c>
      <c r="L124" s="144">
        <v>31.818181818181817</v>
      </c>
      <c r="N124" s="143">
        <v>1990</v>
      </c>
      <c r="O124" s="135">
        <v>2283</v>
      </c>
      <c r="P124" s="144">
        <v>14.006134969325153</v>
      </c>
      <c r="R124" s="143">
        <v>1990</v>
      </c>
      <c r="S124" s="135">
        <v>27000</v>
      </c>
      <c r="T124" s="144">
        <v>1</v>
      </c>
      <c r="V124" s="143">
        <v>1990</v>
      </c>
      <c r="W124" s="135">
        <v>2000</v>
      </c>
      <c r="X124" s="144">
        <v>1</v>
      </c>
    </row>
    <row r="125" spans="1:24">
      <c r="B125" s="143">
        <v>1995</v>
      </c>
      <c r="C125" s="135">
        <v>340</v>
      </c>
      <c r="D125" s="144">
        <v>13.333333333333334</v>
      </c>
      <c r="F125" s="148">
        <v>1995</v>
      </c>
      <c r="G125" s="149">
        <v>350</v>
      </c>
      <c r="H125" s="150">
        <v>1.75</v>
      </c>
      <c r="J125" s="148">
        <v>1995</v>
      </c>
      <c r="K125" s="149">
        <v>200</v>
      </c>
      <c r="L125" s="150">
        <v>18.181818181818183</v>
      </c>
      <c r="N125" s="148">
        <v>1995</v>
      </c>
      <c r="O125" s="149">
        <v>2283</v>
      </c>
      <c r="P125" s="150">
        <v>14.006134969325153</v>
      </c>
      <c r="R125" s="148">
        <v>1995</v>
      </c>
      <c r="S125" s="149">
        <v>27000</v>
      </c>
      <c r="T125" s="150">
        <v>1</v>
      </c>
      <c r="V125" s="148">
        <v>1995</v>
      </c>
      <c r="W125" s="149">
        <v>2000</v>
      </c>
      <c r="X125" s="150">
        <v>1</v>
      </c>
    </row>
    <row r="126" spans="1:24">
      <c r="B126" s="148">
        <v>2000</v>
      </c>
      <c r="C126" s="149">
        <v>200</v>
      </c>
      <c r="D126" s="150">
        <v>7.8431372549019605</v>
      </c>
      <c r="F126">
        <v>2000</v>
      </c>
      <c r="G126">
        <v>200</v>
      </c>
      <c r="H126">
        <v>1</v>
      </c>
      <c r="J126">
        <v>2000</v>
      </c>
      <c r="K126">
        <v>120</v>
      </c>
      <c r="L126">
        <v>10.909090909090908</v>
      </c>
      <c r="N126">
        <v>2000</v>
      </c>
      <c r="O126">
        <v>2283</v>
      </c>
      <c r="P126">
        <v>14.006134969325153</v>
      </c>
      <c r="R126">
        <v>2000</v>
      </c>
      <c r="S126">
        <v>27000</v>
      </c>
      <c r="T126">
        <v>1</v>
      </c>
      <c r="V126">
        <v>2000</v>
      </c>
      <c r="W126">
        <v>2000</v>
      </c>
      <c r="X126">
        <v>1</v>
      </c>
    </row>
    <row r="127" spans="1:24">
      <c r="B127">
        <v>2005</v>
      </c>
      <c r="C127">
        <v>25.5</v>
      </c>
      <c r="D127">
        <v>1</v>
      </c>
      <c r="F127">
        <v>2005</v>
      </c>
      <c r="G127">
        <v>200</v>
      </c>
      <c r="H127">
        <v>1</v>
      </c>
      <c r="J127">
        <v>2005</v>
      </c>
      <c r="K127">
        <v>120</v>
      </c>
      <c r="L127">
        <v>10.909090909090908</v>
      </c>
      <c r="N127">
        <v>2005</v>
      </c>
      <c r="O127">
        <v>2283</v>
      </c>
      <c r="P127">
        <v>14.006134969325153</v>
      </c>
      <c r="R127">
        <v>2005</v>
      </c>
      <c r="S127">
        <v>27000</v>
      </c>
      <c r="T127">
        <v>1</v>
      </c>
      <c r="V127">
        <v>2005</v>
      </c>
      <c r="W127">
        <v>2000</v>
      </c>
      <c r="X127">
        <v>1</v>
      </c>
    </row>
    <row r="128" spans="1:24" ht="15">
      <c r="A128" s="19"/>
      <c r="B128">
        <v>2010</v>
      </c>
      <c r="C128">
        <v>25.5</v>
      </c>
      <c r="D128">
        <v>1</v>
      </c>
      <c r="F128">
        <v>2010</v>
      </c>
      <c r="G128">
        <v>200</v>
      </c>
      <c r="H128">
        <v>1</v>
      </c>
      <c r="J128">
        <v>2010</v>
      </c>
      <c r="K128">
        <v>11</v>
      </c>
      <c r="L128">
        <v>1</v>
      </c>
      <c r="N128">
        <v>2010</v>
      </c>
      <c r="O128">
        <v>163</v>
      </c>
      <c r="P128">
        <v>1</v>
      </c>
      <c r="R128">
        <v>2010</v>
      </c>
      <c r="S128">
        <v>27000</v>
      </c>
      <c r="T128">
        <v>1</v>
      </c>
      <c r="V128">
        <v>2010</v>
      </c>
      <c r="W128">
        <v>2000</v>
      </c>
      <c r="X128">
        <v>1</v>
      </c>
    </row>
    <row r="129" spans="1:24" ht="14.25">
      <c r="A129" s="151"/>
      <c r="B129" s="152">
        <v>2015</v>
      </c>
      <c r="C129" s="152">
        <v>25.5</v>
      </c>
      <c r="D129" s="152">
        <v>1</v>
      </c>
      <c r="E129" s="152"/>
      <c r="F129" s="153">
        <v>2015</v>
      </c>
      <c r="G129">
        <v>200</v>
      </c>
      <c r="H129">
        <v>1</v>
      </c>
      <c r="J129">
        <v>2015</v>
      </c>
      <c r="K129">
        <v>11</v>
      </c>
      <c r="L129">
        <v>1</v>
      </c>
      <c r="N129">
        <v>2015</v>
      </c>
      <c r="O129">
        <v>11</v>
      </c>
      <c r="P129">
        <v>6.7484662576687116E-2</v>
      </c>
      <c r="R129">
        <v>2015</v>
      </c>
      <c r="S129">
        <v>27000</v>
      </c>
      <c r="T129">
        <v>1</v>
      </c>
      <c r="V129">
        <v>2015</v>
      </c>
      <c r="W129">
        <v>1000</v>
      </c>
      <c r="X129">
        <v>0.5</v>
      </c>
    </row>
    <row r="130" spans="1:24">
      <c r="A130" s="154"/>
      <c r="B130" s="155">
        <v>2017</v>
      </c>
      <c r="C130" s="155">
        <v>10</v>
      </c>
      <c r="D130" s="155">
        <v>0.39215686274509803</v>
      </c>
      <c r="E130" s="156"/>
      <c r="F130" s="157">
        <v>2020</v>
      </c>
      <c r="G130">
        <v>200</v>
      </c>
      <c r="H130">
        <v>1</v>
      </c>
      <c r="J130">
        <v>2020</v>
      </c>
      <c r="K130">
        <v>11</v>
      </c>
      <c r="L130">
        <v>1</v>
      </c>
      <c r="N130">
        <v>2020</v>
      </c>
      <c r="O130">
        <v>11</v>
      </c>
      <c r="P130">
        <v>6.7484662576687116E-2</v>
      </c>
      <c r="R130">
        <v>2020</v>
      </c>
      <c r="S130">
        <v>5000</v>
      </c>
      <c r="T130">
        <v>0.185</v>
      </c>
      <c r="V130">
        <v>2020</v>
      </c>
      <c r="W130">
        <v>1000</v>
      </c>
      <c r="X130">
        <v>0.5</v>
      </c>
    </row>
    <row r="131" spans="1:24">
      <c r="A131" s="154"/>
      <c r="B131" s="158">
        <v>2020</v>
      </c>
      <c r="C131" s="155">
        <v>10</v>
      </c>
      <c r="D131" s="155">
        <v>0.39215686274509803</v>
      </c>
      <c r="E131" s="156"/>
      <c r="F131" s="159"/>
    </row>
    <row r="132" spans="1:24">
      <c r="A132" s="154"/>
      <c r="B132" s="158"/>
      <c r="C132" s="158"/>
      <c r="D132" s="155"/>
      <c r="E132" s="158"/>
      <c r="F132" s="159"/>
    </row>
    <row r="133" spans="1:24">
      <c r="A133" s="154" t="s">
        <v>261</v>
      </c>
      <c r="B133" s="158"/>
      <c r="C133" s="156"/>
      <c r="D133" s="155"/>
      <c r="E133" s="155"/>
      <c r="F133" s="157"/>
    </row>
    <row r="134" spans="1:24">
      <c r="A134" s="160" t="s">
        <v>262</v>
      </c>
      <c r="B134" s="161" t="s">
        <v>263</v>
      </c>
      <c r="C134" s="161" t="s">
        <v>264</v>
      </c>
      <c r="D134" s="162" t="s">
        <v>265</v>
      </c>
      <c r="E134" s="161" t="s">
        <v>266</v>
      </c>
      <c r="F134" s="163" t="s">
        <v>267</v>
      </c>
    </row>
    <row r="135" spans="1:24">
      <c r="A135" t="s">
        <v>268</v>
      </c>
      <c r="B135">
        <v>1</v>
      </c>
      <c r="C135">
        <v>1000</v>
      </c>
      <c r="D135">
        <v>1000000</v>
      </c>
      <c r="E135">
        <v>453.59237000000002</v>
      </c>
      <c r="F135">
        <v>907184.74</v>
      </c>
    </row>
    <row r="136" spans="1:24" ht="14.25">
      <c r="A136" s="151" t="s">
        <v>269</v>
      </c>
      <c r="B136" s="152">
        <v>1E-3</v>
      </c>
      <c r="C136" s="152">
        <v>1</v>
      </c>
      <c r="D136" s="152">
        <v>1000</v>
      </c>
      <c r="E136" s="152">
        <v>0.45359237000000002</v>
      </c>
      <c r="F136" s="153">
        <v>907.18474000000003</v>
      </c>
    </row>
    <row r="137" spans="1:24">
      <c r="A137" s="154" t="s">
        <v>270</v>
      </c>
      <c r="B137" s="133">
        <v>9.9999999999999995E-7</v>
      </c>
      <c r="C137" s="164">
        <v>1E-3</v>
      </c>
      <c r="D137" s="165">
        <v>1</v>
      </c>
      <c r="E137" s="166">
        <v>4.5359237000000004E-4</v>
      </c>
      <c r="F137" s="167">
        <v>0.90718474000000004</v>
      </c>
    </row>
    <row r="138" spans="1:24">
      <c r="A138" s="154" t="s">
        <v>271</v>
      </c>
      <c r="B138" s="155">
        <v>2.2046226218487759E-3</v>
      </c>
      <c r="C138" s="155">
        <v>2.2046226218487757</v>
      </c>
      <c r="D138" s="155">
        <v>2204.6226218487759</v>
      </c>
      <c r="E138" s="155">
        <v>1</v>
      </c>
      <c r="F138" s="157">
        <v>2000</v>
      </c>
    </row>
    <row r="139" spans="1:24">
      <c r="A139" s="154" t="s">
        <v>272</v>
      </c>
      <c r="B139" s="155">
        <v>1.102311310924388E-6</v>
      </c>
      <c r="C139" s="156">
        <v>1.1023113109243879E-3</v>
      </c>
      <c r="D139" s="155">
        <v>1.1023113109243878</v>
      </c>
      <c r="E139" s="156">
        <v>5.0000000000000001E-4</v>
      </c>
      <c r="F139" s="159">
        <v>1</v>
      </c>
    </row>
    <row r="140" spans="1:24">
      <c r="A140" s="154"/>
      <c r="B140" s="135"/>
      <c r="C140" s="158"/>
      <c r="D140" s="156"/>
      <c r="E140" s="155"/>
      <c r="F140" s="159"/>
    </row>
    <row r="141" spans="1:24">
      <c r="A141" s="160" t="s">
        <v>273</v>
      </c>
      <c r="B141" s="149" t="s">
        <v>274</v>
      </c>
      <c r="C141" s="161" t="s">
        <v>275</v>
      </c>
      <c r="D141" s="162" t="s">
        <v>276</v>
      </c>
      <c r="E141" s="162" t="s">
        <v>277</v>
      </c>
      <c r="F141" s="163" t="s">
        <v>278</v>
      </c>
    </row>
    <row r="142" spans="1:24">
      <c r="A142" t="s">
        <v>279</v>
      </c>
      <c r="B142">
        <v>1</v>
      </c>
      <c r="C142">
        <v>9.9999999999999995E-7</v>
      </c>
      <c r="D142">
        <v>1E-3</v>
      </c>
      <c r="E142">
        <v>3.7854109999999998E-3</v>
      </c>
      <c r="F142">
        <v>2.8316846999999999E-2</v>
      </c>
    </row>
    <row r="143" spans="1:24" ht="14.25">
      <c r="A143" s="151" t="s">
        <v>280</v>
      </c>
      <c r="B143" s="152">
        <v>1000000</v>
      </c>
      <c r="C143" s="152">
        <v>1</v>
      </c>
      <c r="D143" s="152">
        <v>1000.0000000000001</v>
      </c>
      <c r="E143" s="152">
        <v>3785.4110000000001</v>
      </c>
      <c r="F143" s="152">
        <v>28316.847000000002</v>
      </c>
      <c r="G143" s="152"/>
      <c r="H143" s="152"/>
      <c r="I143" s="153"/>
    </row>
    <row r="144" spans="1:24">
      <c r="A144" s="154" t="s">
        <v>281</v>
      </c>
      <c r="B144" s="155">
        <v>1000</v>
      </c>
      <c r="C144" s="155">
        <v>1E-3</v>
      </c>
      <c r="D144" s="155">
        <v>1</v>
      </c>
      <c r="E144" s="155">
        <v>3.7854109999999999</v>
      </c>
      <c r="F144" s="155">
        <v>28.316846999999999</v>
      </c>
      <c r="G144" s="155"/>
      <c r="H144" s="155"/>
      <c r="I144" s="114"/>
    </row>
    <row r="145" spans="1:9">
      <c r="A145" s="154" t="s">
        <v>282</v>
      </c>
      <c r="B145" s="156">
        <v>264.17210707106841</v>
      </c>
      <c r="C145" s="155">
        <v>2.6417210707106839E-4</v>
      </c>
      <c r="D145" s="155">
        <v>0.26417210707106842</v>
      </c>
      <c r="E145" s="135">
        <v>1</v>
      </c>
      <c r="F145" s="155">
        <v>7.4805211375990615</v>
      </c>
      <c r="G145" s="156"/>
      <c r="H145" s="155"/>
      <c r="I145" s="114"/>
    </row>
    <row r="146" spans="1:9">
      <c r="A146" s="154" t="s">
        <v>283</v>
      </c>
      <c r="B146" s="158">
        <v>35.314666212661322</v>
      </c>
      <c r="C146" s="156">
        <v>3.5314666212661319E-5</v>
      </c>
      <c r="D146" s="155">
        <v>3.5314666212661321E-2</v>
      </c>
      <c r="E146" s="168">
        <v>0.13368052594273649</v>
      </c>
      <c r="F146" s="135">
        <v>1</v>
      </c>
      <c r="G146" s="158"/>
      <c r="H146" s="155"/>
      <c r="I146" s="114"/>
    </row>
    <row r="147" spans="1:9">
      <c r="A147" s="154"/>
      <c r="B147" s="158"/>
      <c r="C147" s="156"/>
      <c r="D147" s="155"/>
      <c r="E147" s="155"/>
      <c r="F147" s="155"/>
      <c r="G147" s="156"/>
      <c r="H147" s="155"/>
      <c r="I147" s="114"/>
    </row>
    <row r="148" spans="1:9">
      <c r="A148" s="154" t="s">
        <v>284</v>
      </c>
      <c r="B148" s="169" t="s">
        <v>285</v>
      </c>
      <c r="C148" s="158" t="s">
        <v>286</v>
      </c>
      <c r="D148" s="156" t="s">
        <v>287</v>
      </c>
      <c r="E148" s="156" t="s">
        <v>288</v>
      </c>
      <c r="F148" s="155" t="s">
        <v>289</v>
      </c>
      <c r="G148" s="158" t="s">
        <v>290</v>
      </c>
      <c r="H148" s="155" t="s">
        <v>291</v>
      </c>
      <c r="I148" s="114" t="s">
        <v>292</v>
      </c>
    </row>
    <row r="149" spans="1:9">
      <c r="A149" s="154" t="s">
        <v>293</v>
      </c>
      <c r="B149" s="158">
        <v>1</v>
      </c>
      <c r="C149" s="156">
        <v>1000</v>
      </c>
      <c r="D149" s="155">
        <v>1000000</v>
      </c>
      <c r="E149" s="156">
        <v>3600</v>
      </c>
      <c r="F149" s="155">
        <v>3600000</v>
      </c>
      <c r="G149" s="155">
        <v>1055.05585</v>
      </c>
      <c r="H149" s="155">
        <v>1055055850</v>
      </c>
      <c r="I149" s="114">
        <v>2684519.5376862194</v>
      </c>
    </row>
    <row r="150" spans="1:9">
      <c r="A150" s="154" t="s">
        <v>294</v>
      </c>
      <c r="B150" s="170">
        <v>1E-3</v>
      </c>
      <c r="C150" s="158">
        <v>1</v>
      </c>
      <c r="D150" s="158">
        <v>1000</v>
      </c>
      <c r="E150" s="171">
        <v>3.6</v>
      </c>
      <c r="F150" s="158">
        <v>3600</v>
      </c>
      <c r="G150" s="158">
        <v>1.05505585</v>
      </c>
      <c r="H150" s="155">
        <v>1055055.8500000001</v>
      </c>
      <c r="I150" s="114">
        <v>2684.5195376862198</v>
      </c>
    </row>
    <row r="151" spans="1:9">
      <c r="A151" s="160" t="s">
        <v>295</v>
      </c>
      <c r="B151" s="116">
        <v>9.9999999999999995E-7</v>
      </c>
      <c r="C151" s="116">
        <v>1E-3</v>
      </c>
      <c r="D151" s="116">
        <v>1</v>
      </c>
      <c r="E151" s="116">
        <v>3.5999999999999999E-3</v>
      </c>
      <c r="F151" s="116">
        <v>3.6</v>
      </c>
      <c r="G151" s="116">
        <v>1.0550558499999999E-3</v>
      </c>
      <c r="H151" s="116">
        <v>1055.05585</v>
      </c>
      <c r="I151" s="117">
        <v>2.6845195376862194</v>
      </c>
    </row>
    <row r="152" spans="1:9">
      <c r="A152" t="s">
        <v>296</v>
      </c>
      <c r="B152">
        <v>2.7777777777777778E-4</v>
      </c>
      <c r="C152">
        <v>0.27777777777777779</v>
      </c>
      <c r="D152">
        <v>277.77777777777777</v>
      </c>
      <c r="E152">
        <v>1</v>
      </c>
      <c r="F152">
        <v>1000</v>
      </c>
      <c r="G152">
        <v>0.29307106944444444</v>
      </c>
      <c r="H152">
        <v>293071.06944444444</v>
      </c>
      <c r="I152">
        <v>745.69987157950538</v>
      </c>
    </row>
    <row r="153" spans="1:9">
      <c r="A153" t="s">
        <v>297</v>
      </c>
      <c r="B153">
        <v>2.7777777777777776E-7</v>
      </c>
      <c r="C153">
        <v>2.7777777777777778E-4</v>
      </c>
      <c r="D153">
        <v>0.27777777777777779</v>
      </c>
      <c r="E153">
        <v>1E-3</v>
      </c>
      <c r="F153">
        <v>1</v>
      </c>
      <c r="G153">
        <v>2.9307106944444444E-4</v>
      </c>
      <c r="H153">
        <v>293.07106944444445</v>
      </c>
      <c r="I153">
        <v>0.74569987157950535</v>
      </c>
    </row>
    <row r="154" spans="1:9">
      <c r="A154" t="s">
        <v>298</v>
      </c>
      <c r="B154">
        <v>9.4781712266701337E-4</v>
      </c>
      <c r="C154">
        <v>0.94781712266701335</v>
      </c>
      <c r="D154">
        <v>947.81712266701334</v>
      </c>
      <c r="E154">
        <v>3.4121416416012482</v>
      </c>
      <c r="F154">
        <v>3412.141641601248</v>
      </c>
      <c r="G154">
        <v>1</v>
      </c>
      <c r="H154">
        <v>1000000</v>
      </c>
      <c r="I154">
        <v>2544.4335839531336</v>
      </c>
    </row>
    <row r="155" spans="1:9">
      <c r="A155" t="s">
        <v>299</v>
      </c>
      <c r="B155">
        <v>9.4781712266701324E-10</v>
      </c>
      <c r="C155">
        <v>9.4781712266701326E-7</v>
      </c>
      <c r="D155">
        <v>9.4781712266701326E-4</v>
      </c>
      <c r="E155">
        <v>3.4121416416012478E-6</v>
      </c>
      <c r="F155">
        <v>3.4121416416012479E-3</v>
      </c>
      <c r="G155">
        <v>9.9999999999999995E-7</v>
      </c>
      <c r="H155">
        <v>1</v>
      </c>
      <c r="I155">
        <v>2.5444335839531337E-3</v>
      </c>
    </row>
    <row r="156" spans="1:9">
      <c r="A156" t="s">
        <v>300</v>
      </c>
      <c r="B156">
        <v>3.72506136E-7</v>
      </c>
      <c r="C156">
        <v>3.7250613599999999E-4</v>
      </c>
      <c r="D156">
        <v>0.37250613599999999</v>
      </c>
      <c r="E156">
        <v>1.3410220896E-3</v>
      </c>
      <c r="F156">
        <v>1.3410220896</v>
      </c>
      <c r="G156">
        <v>3.9301477794769559E-4</v>
      </c>
      <c r="H156">
        <v>393.01477794769556</v>
      </c>
      <c r="I156">
        <v>1</v>
      </c>
    </row>
    <row r="158" spans="1:9">
      <c r="A158" t="s">
        <v>407</v>
      </c>
      <c r="B158" t="s">
        <v>408</v>
      </c>
      <c r="C158" t="s">
        <v>409</v>
      </c>
      <c r="D158" t="s">
        <v>410</v>
      </c>
      <c r="E158" t="s">
        <v>411</v>
      </c>
      <c r="F158" t="s">
        <v>412</v>
      </c>
    </row>
    <row r="159" spans="1:9">
      <c r="A159" t="s">
        <v>408</v>
      </c>
      <c r="B159">
        <v>1</v>
      </c>
      <c r="C159">
        <v>1000</v>
      </c>
      <c r="D159">
        <v>1000000</v>
      </c>
      <c r="E159">
        <v>304.8</v>
      </c>
      <c r="F159">
        <v>1609340</v>
      </c>
    </row>
    <row r="160" spans="1:9">
      <c r="A160" t="s">
        <v>409</v>
      </c>
      <c r="B160">
        <v>1E-3</v>
      </c>
      <c r="C160">
        <v>1</v>
      </c>
      <c r="D160">
        <v>1000</v>
      </c>
      <c r="E160">
        <v>0.30480000000000002</v>
      </c>
      <c r="F160">
        <v>1609.34</v>
      </c>
    </row>
    <row r="161" spans="1:6">
      <c r="A161" t="s">
        <v>410</v>
      </c>
      <c r="B161">
        <v>9.9999999999999995E-7</v>
      </c>
      <c r="C161">
        <v>1E-3</v>
      </c>
      <c r="D161">
        <v>1</v>
      </c>
      <c r="E161">
        <v>3.0480000000000004E-4</v>
      </c>
      <c r="F161">
        <v>1.60934</v>
      </c>
    </row>
    <row r="162" spans="1:6">
      <c r="A162" t="s">
        <v>411</v>
      </c>
      <c r="B162">
        <v>3.2808398950131233E-3</v>
      </c>
      <c r="C162">
        <v>3.2808398950131235</v>
      </c>
      <c r="D162">
        <v>3280.8398950131236</v>
      </c>
      <c r="E162">
        <v>1</v>
      </c>
      <c r="F162">
        <v>5280</v>
      </c>
    </row>
    <row r="163" spans="1:6">
      <c r="A163" t="s">
        <v>412</v>
      </c>
      <c r="B163">
        <v>6.2137273664980671E-7</v>
      </c>
      <c r="C163">
        <v>6.2137273664980672E-4</v>
      </c>
      <c r="D163">
        <v>0.62137273664980675</v>
      </c>
      <c r="E163">
        <v>1.8939393939393939E-4</v>
      </c>
      <c r="F163">
        <v>1</v>
      </c>
    </row>
  </sheetData>
  <phoneticPr fontId="38" type="noConversion"/>
  <dataValidations count="5">
    <dataValidation type="list" allowBlank="1" showInputMessage="1" showErrorMessage="1" sqref="B100" xr:uid="{00000000-0002-0000-0200-000000000000}">
      <formula1>$D$100:$E$100</formula1>
    </dataValidation>
    <dataValidation type="list" allowBlank="1" showInputMessage="1" showErrorMessage="1" sqref="B99" xr:uid="{00000000-0002-0000-0200-000001000000}">
      <formula1>"None, GWP, GTP"</formula1>
    </dataValidation>
    <dataValidation type="list" allowBlank="1" showInputMessage="1" showErrorMessage="1" sqref="B93" xr:uid="{00000000-0002-0000-0200-000002000000}">
      <formula1>$C$93:$D$93</formula1>
    </dataValidation>
    <dataValidation type="list" allowBlank="1" showInputMessage="1" showErrorMessage="1" sqref="B92" xr:uid="{00000000-0002-0000-0200-000003000000}">
      <formula1>"AR5/GWP,AR5/GTP,AR4/GWP,AR3/GWP,AR2/GWP,AR1/GWP"</formula1>
    </dataValidation>
    <dataValidation type="list" allowBlank="1" showInputMessage="1" showErrorMessage="1" sqref="B5" xr:uid="{00000000-0002-0000-0200-000004000000}">
      <formula1>"1,2"</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67CCB-0B51-4AAC-A41F-7B9A5D23C0B3}">
  <dimension ref="A1:G38"/>
  <sheetViews>
    <sheetView workbookViewId="0">
      <selection activeCell="G24" sqref="G24"/>
    </sheetView>
  </sheetViews>
  <sheetFormatPr defaultColWidth="9.25" defaultRowHeight="13.5" customHeight="1"/>
  <cols>
    <col min="1" max="1" width="19" style="181" customWidth="1"/>
    <col min="2" max="2" width="26.5" style="181" customWidth="1"/>
    <col min="3" max="7" width="21.75" style="181" customWidth="1"/>
    <col min="8" max="16384" width="9.25" style="181"/>
  </cols>
  <sheetData>
    <row r="1" spans="1:7" ht="13.5" customHeight="1" thickBot="1">
      <c r="A1" s="249" t="s">
        <v>865</v>
      </c>
      <c r="B1" s="249" t="s">
        <v>884</v>
      </c>
      <c r="C1" s="250" t="s">
        <v>885</v>
      </c>
      <c r="D1" s="250" t="s">
        <v>866</v>
      </c>
      <c r="E1" s="250" t="s">
        <v>867</v>
      </c>
      <c r="F1" s="250" t="s">
        <v>868</v>
      </c>
      <c r="G1" s="250" t="s">
        <v>306</v>
      </c>
    </row>
    <row r="2" spans="1:7" ht="13.5" customHeight="1" thickTop="1" thickBot="1">
      <c r="A2" s="251" t="s">
        <v>457</v>
      </c>
      <c r="B2" s="251" t="s">
        <v>488</v>
      </c>
      <c r="C2" s="252" t="s">
        <v>466</v>
      </c>
      <c r="D2" s="252" t="s">
        <v>466</v>
      </c>
      <c r="E2" s="252" t="s">
        <v>466</v>
      </c>
      <c r="F2" s="253" t="s">
        <v>869</v>
      </c>
      <c r="G2" s="252" t="s">
        <v>466</v>
      </c>
    </row>
    <row r="3" spans="1:7" ht="13.5" customHeight="1" thickTop="1" thickBot="1">
      <c r="A3" s="254" t="s">
        <v>452</v>
      </c>
      <c r="B3" s="254" t="s">
        <v>485</v>
      </c>
      <c r="C3" s="255" t="s">
        <v>466</v>
      </c>
      <c r="D3" s="255" t="s">
        <v>466</v>
      </c>
      <c r="E3" s="255" t="s">
        <v>466</v>
      </c>
      <c r="F3" s="253" t="s">
        <v>869</v>
      </c>
      <c r="G3" s="255" t="s">
        <v>466</v>
      </c>
    </row>
    <row r="4" spans="1:7" ht="13.5" customHeight="1" thickTop="1" thickBot="1">
      <c r="A4" s="254" t="s">
        <v>896</v>
      </c>
      <c r="B4" s="254" t="s">
        <v>469</v>
      </c>
      <c r="C4" s="252" t="s">
        <v>466</v>
      </c>
      <c r="D4" s="252" t="s">
        <v>466</v>
      </c>
      <c r="E4" s="252" t="s">
        <v>466</v>
      </c>
      <c r="F4" s="253" t="s">
        <v>869</v>
      </c>
      <c r="G4" s="252" t="s">
        <v>466</v>
      </c>
    </row>
    <row r="5" spans="1:7" ht="13.5" customHeight="1" thickTop="1" thickBot="1">
      <c r="A5" s="254" t="s">
        <v>870</v>
      </c>
      <c r="B5" s="254" t="s">
        <v>469</v>
      </c>
      <c r="C5" s="252" t="s">
        <v>466</v>
      </c>
      <c r="D5" s="252" t="s">
        <v>466</v>
      </c>
      <c r="E5" s="252" t="s">
        <v>466</v>
      </c>
      <c r="F5" s="253" t="s">
        <v>869</v>
      </c>
      <c r="G5" s="252" t="s">
        <v>466</v>
      </c>
    </row>
    <row r="6" spans="1:7" ht="13.5" customHeight="1" thickTop="1" thickBot="1">
      <c r="A6" s="254" t="s">
        <v>440</v>
      </c>
      <c r="B6" s="254" t="s">
        <v>473</v>
      </c>
      <c r="C6" s="256" t="s">
        <v>886</v>
      </c>
      <c r="D6" s="256" t="s">
        <v>466</v>
      </c>
      <c r="E6" s="256" t="s">
        <v>466</v>
      </c>
      <c r="F6" s="253" t="s">
        <v>869</v>
      </c>
      <c r="G6" s="255" t="s">
        <v>325</v>
      </c>
    </row>
    <row r="7" spans="1:7" ht="13.5" customHeight="1" thickTop="1" thickBot="1">
      <c r="A7" s="254" t="s">
        <v>432</v>
      </c>
      <c r="B7" s="254" t="s">
        <v>875</v>
      </c>
      <c r="C7" s="256" t="s">
        <v>325</v>
      </c>
      <c r="D7" s="257" t="s">
        <v>466</v>
      </c>
      <c r="E7" s="257" t="s">
        <v>466</v>
      </c>
      <c r="F7" s="253" t="s">
        <v>869</v>
      </c>
      <c r="G7" s="252" t="s">
        <v>325</v>
      </c>
    </row>
    <row r="8" spans="1:7" ht="13.5" customHeight="1" thickTop="1" thickBot="1">
      <c r="A8" s="254" t="s">
        <v>430</v>
      </c>
      <c r="B8" s="254" t="s">
        <v>876</v>
      </c>
      <c r="C8" s="256" t="s">
        <v>574</v>
      </c>
      <c r="D8" s="256" t="s">
        <v>466</v>
      </c>
      <c r="E8" s="256" t="s">
        <v>466</v>
      </c>
      <c r="F8" s="253" t="s">
        <v>869</v>
      </c>
      <c r="G8" s="256" t="s">
        <v>466</v>
      </c>
    </row>
    <row r="9" spans="1:7" ht="13.5" customHeight="1" thickTop="1" thickBot="1">
      <c r="A9" s="254" t="s">
        <v>429</v>
      </c>
      <c r="B9" s="254" t="s">
        <v>464</v>
      </c>
      <c r="C9" s="256" t="s">
        <v>897</v>
      </c>
      <c r="D9" s="252" t="s">
        <v>363</v>
      </c>
      <c r="E9" s="252" t="s">
        <v>363</v>
      </c>
      <c r="F9" s="253" t="s">
        <v>869</v>
      </c>
      <c r="G9" s="257" t="s">
        <v>319</v>
      </c>
    </row>
    <row r="10" spans="1:7" ht="13.5" customHeight="1" thickTop="1" thickBot="1">
      <c r="A10" s="254" t="s">
        <v>427</v>
      </c>
      <c r="B10" s="254" t="s">
        <v>463</v>
      </c>
      <c r="C10" s="256" t="s">
        <v>897</v>
      </c>
      <c r="D10" s="255" t="s">
        <v>363</v>
      </c>
      <c r="E10" s="255" t="s">
        <v>363</v>
      </c>
      <c r="F10" s="253" t="s">
        <v>869</v>
      </c>
      <c r="G10" s="256" t="s">
        <v>319</v>
      </c>
    </row>
    <row r="11" spans="1:7" ht="13.5" customHeight="1" thickTop="1" thickBot="1">
      <c r="A11" s="254" t="s">
        <v>459</v>
      </c>
      <c r="B11" s="254" t="s">
        <v>877</v>
      </c>
      <c r="C11" s="256" t="s">
        <v>897</v>
      </c>
      <c r="D11" s="252" t="s">
        <v>363</v>
      </c>
      <c r="E11" s="252" t="s">
        <v>363</v>
      </c>
      <c r="F11" s="253" t="s">
        <v>869</v>
      </c>
      <c r="G11" s="257" t="s">
        <v>319</v>
      </c>
    </row>
    <row r="12" spans="1:7" ht="13.5" customHeight="1" thickTop="1" thickBot="1">
      <c r="A12" s="254" t="s">
        <v>436</v>
      </c>
      <c r="B12" s="254" t="s">
        <v>471</v>
      </c>
      <c r="C12" s="256" t="s">
        <v>897</v>
      </c>
      <c r="D12" s="255" t="s">
        <v>363</v>
      </c>
      <c r="E12" s="255" t="s">
        <v>363</v>
      </c>
      <c r="F12" s="253" t="s">
        <v>869</v>
      </c>
      <c r="G12" s="256" t="s">
        <v>319</v>
      </c>
    </row>
    <row r="13" spans="1:7" ht="13.5" customHeight="1" thickTop="1" thickBot="1">
      <c r="A13" s="254" t="s">
        <v>435</v>
      </c>
      <c r="B13" s="254" t="s">
        <v>470</v>
      </c>
      <c r="C13" s="252" t="s">
        <v>322</v>
      </c>
      <c r="D13" s="252" t="s">
        <v>322</v>
      </c>
      <c r="E13" s="252" t="s">
        <v>322</v>
      </c>
      <c r="F13" s="252" t="s">
        <v>322</v>
      </c>
      <c r="G13" s="252" t="s">
        <v>322</v>
      </c>
    </row>
    <row r="14" spans="1:7" ht="13.5" customHeight="1" thickTop="1" thickBot="1">
      <c r="A14" s="265" t="s">
        <v>458</v>
      </c>
      <c r="B14" s="265" t="s">
        <v>460</v>
      </c>
      <c r="C14" s="266" t="s">
        <v>361</v>
      </c>
      <c r="D14" s="253" t="s">
        <v>869</v>
      </c>
      <c r="E14" s="266" t="s">
        <v>361</v>
      </c>
      <c r="F14" s="253" t="s">
        <v>869</v>
      </c>
      <c r="G14" s="266" t="s">
        <v>361</v>
      </c>
    </row>
    <row r="15" spans="1:7" ht="13.5" customHeight="1" thickTop="1" thickBot="1">
      <c r="A15" s="265" t="s">
        <v>441</v>
      </c>
      <c r="B15" s="265" t="s">
        <v>150</v>
      </c>
      <c r="C15" s="267" t="s">
        <v>321</v>
      </c>
      <c r="D15" s="268" t="s">
        <v>322</v>
      </c>
      <c r="E15" s="268" t="s">
        <v>322</v>
      </c>
      <c r="F15" s="267" t="s">
        <v>321</v>
      </c>
      <c r="G15" s="268" t="s">
        <v>322</v>
      </c>
    </row>
    <row r="16" spans="1:7" ht="13.5" customHeight="1" thickTop="1" thickBot="1">
      <c r="A16" s="265" t="s">
        <v>423</v>
      </c>
      <c r="B16" s="265" t="s">
        <v>715</v>
      </c>
      <c r="C16" s="266" t="s">
        <v>322</v>
      </c>
      <c r="D16" s="266" t="s">
        <v>322</v>
      </c>
      <c r="E16" s="266" t="s">
        <v>322</v>
      </c>
      <c r="F16" s="266" t="s">
        <v>322</v>
      </c>
      <c r="G16" s="266" t="s">
        <v>322</v>
      </c>
    </row>
    <row r="17" spans="1:7" ht="13.5" customHeight="1" thickTop="1" thickBot="1">
      <c r="A17" s="265" t="s">
        <v>434</v>
      </c>
      <c r="B17" s="265" t="s">
        <v>468</v>
      </c>
      <c r="C17" s="267" t="s">
        <v>365</v>
      </c>
      <c r="D17" s="267" t="s">
        <v>468</v>
      </c>
      <c r="E17" s="267" t="s">
        <v>322</v>
      </c>
      <c r="F17" s="267" t="s">
        <v>874</v>
      </c>
      <c r="G17" s="253" t="s">
        <v>869</v>
      </c>
    </row>
    <row r="18" spans="1:7" ht="13.5" customHeight="1" thickTop="1" thickBot="1">
      <c r="A18" s="265" t="s">
        <v>442</v>
      </c>
      <c r="B18" s="265" t="s">
        <v>474</v>
      </c>
      <c r="C18" s="266" t="s">
        <v>362</v>
      </c>
      <c r="D18" s="266" t="s">
        <v>362</v>
      </c>
      <c r="E18" s="266" t="s">
        <v>362</v>
      </c>
      <c r="F18" s="266" t="s">
        <v>362</v>
      </c>
      <c r="G18" s="266" t="s">
        <v>362</v>
      </c>
    </row>
    <row r="19" spans="1:7" ht="13.5" customHeight="1" thickTop="1" thickBot="1">
      <c r="A19" s="265" t="s">
        <v>448</v>
      </c>
      <c r="B19" s="265" t="s">
        <v>482</v>
      </c>
      <c r="C19" s="267" t="s">
        <v>363</v>
      </c>
      <c r="D19" s="253" t="s">
        <v>869</v>
      </c>
      <c r="E19" s="267" t="s">
        <v>363</v>
      </c>
      <c r="F19" s="253" t="s">
        <v>869</v>
      </c>
      <c r="G19" s="268" t="s">
        <v>362</v>
      </c>
    </row>
    <row r="20" spans="1:7" ht="13.5" customHeight="1" thickTop="1" thickBot="1">
      <c r="A20" s="265" t="s">
        <v>446</v>
      </c>
      <c r="B20" s="265" t="s">
        <v>477</v>
      </c>
      <c r="C20" s="266" t="s">
        <v>363</v>
      </c>
      <c r="D20" s="253" t="s">
        <v>869</v>
      </c>
      <c r="E20" s="266" t="s">
        <v>363</v>
      </c>
      <c r="F20" s="253" t="s">
        <v>869</v>
      </c>
      <c r="G20" s="253" t="s">
        <v>869</v>
      </c>
    </row>
    <row r="21" spans="1:7" ht="13.5" customHeight="1" thickTop="1" thickBot="1">
      <c r="A21" s="265" t="s">
        <v>447</v>
      </c>
      <c r="B21" s="265" t="s">
        <v>481</v>
      </c>
      <c r="C21" s="267" t="s">
        <v>362</v>
      </c>
      <c r="D21" s="253" t="s">
        <v>869</v>
      </c>
      <c r="E21" s="267" t="s">
        <v>362</v>
      </c>
      <c r="F21" s="267" t="s">
        <v>362</v>
      </c>
      <c r="G21" s="267" t="s">
        <v>362</v>
      </c>
    </row>
    <row r="22" spans="1:7" ht="13.5" customHeight="1" thickTop="1" thickBot="1">
      <c r="A22" s="265" t="s">
        <v>445</v>
      </c>
      <c r="B22" s="265" t="s">
        <v>476</v>
      </c>
      <c r="C22" s="266" t="s">
        <v>362</v>
      </c>
      <c r="D22" s="266" t="s">
        <v>362</v>
      </c>
      <c r="E22" s="266" t="s">
        <v>362</v>
      </c>
      <c r="F22" s="266" t="s">
        <v>362</v>
      </c>
      <c r="G22" s="266" t="s">
        <v>362</v>
      </c>
    </row>
    <row r="23" spans="1:7" ht="13.5" customHeight="1" thickTop="1" thickBot="1">
      <c r="A23" s="265" t="s">
        <v>450</v>
      </c>
      <c r="B23" s="265" t="s">
        <v>484</v>
      </c>
      <c r="C23" s="267" t="s">
        <v>362</v>
      </c>
      <c r="D23" s="267" t="s">
        <v>362</v>
      </c>
      <c r="E23" s="267" t="s">
        <v>362</v>
      </c>
      <c r="F23" s="267" t="s">
        <v>362</v>
      </c>
      <c r="G23" s="267" t="s">
        <v>362</v>
      </c>
    </row>
    <row r="24" spans="1:7" ht="13.5" customHeight="1" thickTop="1" thickBot="1">
      <c r="A24" s="265" t="s">
        <v>449</v>
      </c>
      <c r="B24" s="265" t="s">
        <v>483</v>
      </c>
      <c r="C24" s="266" t="s">
        <v>362</v>
      </c>
      <c r="D24" s="266" t="s">
        <v>362</v>
      </c>
      <c r="E24" s="266" t="s">
        <v>362</v>
      </c>
      <c r="F24" s="266" t="s">
        <v>362</v>
      </c>
      <c r="G24" s="266" t="s">
        <v>362</v>
      </c>
    </row>
    <row r="25" spans="1:7" ht="13.5" customHeight="1" thickTop="1" thickBot="1">
      <c r="A25" s="265" t="s">
        <v>454</v>
      </c>
      <c r="B25" s="265" t="s">
        <v>486</v>
      </c>
      <c r="C25" s="267" t="s">
        <v>363</v>
      </c>
      <c r="D25" s="253" t="s">
        <v>869</v>
      </c>
      <c r="E25" s="267" t="s">
        <v>363</v>
      </c>
      <c r="F25" s="253" t="s">
        <v>869</v>
      </c>
      <c r="G25" s="253" t="s">
        <v>869</v>
      </c>
    </row>
    <row r="26" spans="1:7" ht="13.5" customHeight="1" thickTop="1" thickBot="1">
      <c r="A26" s="265" t="s">
        <v>431</v>
      </c>
      <c r="B26" s="265" t="s">
        <v>467</v>
      </c>
      <c r="C26" s="266" t="s">
        <v>363</v>
      </c>
      <c r="D26" s="266" t="s">
        <v>363</v>
      </c>
      <c r="E26" s="266" t="s">
        <v>363</v>
      </c>
      <c r="F26" s="253" t="s">
        <v>869</v>
      </c>
      <c r="G26" s="269" t="s">
        <v>362</v>
      </c>
    </row>
    <row r="27" spans="1:7" ht="13.5" customHeight="1" thickTop="1" thickBot="1">
      <c r="A27" s="265" t="s">
        <v>439</v>
      </c>
      <c r="B27" s="265" t="s">
        <v>472</v>
      </c>
      <c r="C27" s="267" t="s">
        <v>362</v>
      </c>
      <c r="D27" s="267" t="s">
        <v>362</v>
      </c>
      <c r="E27" s="267" t="s">
        <v>362</v>
      </c>
      <c r="F27" s="267" t="s">
        <v>362</v>
      </c>
      <c r="G27" s="267" t="s">
        <v>362</v>
      </c>
    </row>
    <row r="28" spans="1:7" ht="13.5" customHeight="1" thickTop="1" thickBot="1">
      <c r="A28" s="270" t="s">
        <v>451</v>
      </c>
      <c r="B28" s="270" t="s">
        <v>307</v>
      </c>
      <c r="C28" s="271" t="s">
        <v>319</v>
      </c>
      <c r="D28" s="271" t="s">
        <v>319</v>
      </c>
      <c r="E28" s="271" t="s">
        <v>319</v>
      </c>
      <c r="F28" s="271" t="s">
        <v>319</v>
      </c>
      <c r="G28" s="271" t="s">
        <v>319</v>
      </c>
    </row>
    <row r="29" spans="1:7" ht="13.5" customHeight="1" thickTop="1" thickBot="1">
      <c r="A29" s="270" t="s">
        <v>455</v>
      </c>
      <c r="B29" s="270" t="s">
        <v>487</v>
      </c>
      <c r="C29" s="272" t="s">
        <v>319</v>
      </c>
      <c r="D29" s="272" t="s">
        <v>319</v>
      </c>
      <c r="E29" s="272" t="s">
        <v>319</v>
      </c>
      <c r="F29" s="272" t="s">
        <v>319</v>
      </c>
      <c r="G29" s="272" t="s">
        <v>319</v>
      </c>
    </row>
    <row r="30" spans="1:7" ht="13.5" customHeight="1" thickTop="1" thickBot="1">
      <c r="A30" s="273" t="s">
        <v>443</v>
      </c>
      <c r="B30" s="273" t="s">
        <v>475</v>
      </c>
      <c r="C30" s="274" t="s">
        <v>348</v>
      </c>
      <c r="D30" s="274" t="s">
        <v>348</v>
      </c>
      <c r="E30" s="274" t="s">
        <v>348</v>
      </c>
      <c r="F30" s="253" t="s">
        <v>869</v>
      </c>
      <c r="G30" s="253" t="s">
        <v>869</v>
      </c>
    </row>
    <row r="31" spans="1:7" ht="13.5" customHeight="1" thickTop="1" thickBot="1">
      <c r="A31" s="275" t="s">
        <v>425</v>
      </c>
      <c r="B31" s="275" t="s">
        <v>878</v>
      </c>
      <c r="C31" s="276" t="s">
        <v>347</v>
      </c>
      <c r="D31" s="276" t="s">
        <v>347</v>
      </c>
      <c r="E31" s="276" t="s">
        <v>347</v>
      </c>
      <c r="F31" s="276" t="s">
        <v>347</v>
      </c>
      <c r="G31" s="276" t="s">
        <v>347</v>
      </c>
    </row>
    <row r="32" spans="1:7" ht="13.5" customHeight="1" thickTop="1" thickBot="1">
      <c r="A32" s="258" t="s">
        <v>871</v>
      </c>
      <c r="B32" s="258" t="s">
        <v>879</v>
      </c>
      <c r="C32" s="259" t="s">
        <v>872</v>
      </c>
      <c r="D32" s="259" t="s">
        <v>872</v>
      </c>
      <c r="E32" s="259" t="s">
        <v>872</v>
      </c>
      <c r="F32" s="259" t="s">
        <v>872</v>
      </c>
      <c r="G32" s="253" t="s">
        <v>869</v>
      </c>
    </row>
    <row r="33" spans="1:7" ht="13.5" customHeight="1" thickTop="1" thickBot="1">
      <c r="A33" s="260" t="s">
        <v>437</v>
      </c>
      <c r="B33" s="260" t="s">
        <v>880</v>
      </c>
      <c r="C33" s="261" t="s">
        <v>320</v>
      </c>
      <c r="D33" s="261" t="s">
        <v>320</v>
      </c>
      <c r="E33" s="261" t="s">
        <v>320</v>
      </c>
      <c r="F33" s="253" t="s">
        <v>869</v>
      </c>
      <c r="G33" s="261" t="s">
        <v>320</v>
      </c>
    </row>
    <row r="34" spans="1:7" ht="13.5" customHeight="1" thickTop="1" thickBot="1">
      <c r="A34" s="260" t="s">
        <v>478</v>
      </c>
      <c r="B34" s="260" t="s">
        <v>881</v>
      </c>
      <c r="C34" s="262" t="s">
        <v>320</v>
      </c>
      <c r="D34" s="262" t="s">
        <v>320</v>
      </c>
      <c r="E34" s="253" t="s">
        <v>869</v>
      </c>
      <c r="F34" s="253" t="s">
        <v>869</v>
      </c>
      <c r="G34" s="262" t="s">
        <v>320</v>
      </c>
    </row>
    <row r="35" spans="1:7" ht="13.5" customHeight="1" thickTop="1" thickBot="1">
      <c r="A35" s="260" t="s">
        <v>873</v>
      </c>
      <c r="B35" s="260" t="s">
        <v>882</v>
      </c>
      <c r="C35" s="261" t="s">
        <v>320</v>
      </c>
      <c r="D35" s="261" t="s">
        <v>320</v>
      </c>
      <c r="E35" s="261" t="s">
        <v>320</v>
      </c>
      <c r="F35" s="253" t="s">
        <v>869</v>
      </c>
      <c r="G35" s="261" t="s">
        <v>320</v>
      </c>
    </row>
    <row r="36" spans="1:7" ht="13.5" customHeight="1" thickTop="1" thickBot="1">
      <c r="A36" s="260" t="s">
        <v>461</v>
      </c>
      <c r="B36" s="260" t="s">
        <v>883</v>
      </c>
      <c r="C36" s="262" t="s">
        <v>887</v>
      </c>
      <c r="D36" s="253" t="s">
        <v>869</v>
      </c>
      <c r="E36" s="253" t="s">
        <v>869</v>
      </c>
      <c r="F36" s="253" t="s">
        <v>869</v>
      </c>
      <c r="G36" s="262" t="s">
        <v>887</v>
      </c>
    </row>
    <row r="37" spans="1:7" ht="13.5" customHeight="1" thickTop="1" thickBot="1">
      <c r="A37" s="260" t="s">
        <v>479</v>
      </c>
      <c r="B37" s="260" t="s">
        <v>324</v>
      </c>
      <c r="C37" s="261" t="s">
        <v>324</v>
      </c>
      <c r="D37" s="253" t="s">
        <v>869</v>
      </c>
      <c r="E37" s="253" t="s">
        <v>869</v>
      </c>
      <c r="F37" s="261" t="s">
        <v>324</v>
      </c>
      <c r="G37" s="253" t="s">
        <v>869</v>
      </c>
    </row>
    <row r="38" spans="1:7" ht="13.5" customHeight="1" thickTop="1" thickBot="1">
      <c r="A38" s="260" t="s">
        <v>480</v>
      </c>
      <c r="B38" s="260" t="s">
        <v>323</v>
      </c>
      <c r="C38" s="263" t="s">
        <v>323</v>
      </c>
      <c r="D38" s="264" t="s">
        <v>869</v>
      </c>
      <c r="E38" s="264" t="s">
        <v>869</v>
      </c>
      <c r="F38" s="263" t="s">
        <v>323</v>
      </c>
      <c r="G38" s="264" t="s">
        <v>869</v>
      </c>
    </row>
  </sheetData>
  <autoFilter ref="A1:F37" xr:uid="{0A5D0060-4A8F-488A-BD95-359A4BB45347}"/>
  <phoneticPr fontId="38"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5570D-0711-4876-81BD-6CFFC0E9DB7B}">
  <dimension ref="A1:R31"/>
  <sheetViews>
    <sheetView workbookViewId="0">
      <selection activeCell="D6" sqref="D6"/>
    </sheetView>
  </sheetViews>
  <sheetFormatPr defaultRowHeight="13.5"/>
  <cols>
    <col min="1" max="1" width="16.5" customWidth="1"/>
    <col min="2" max="2" width="11" bestFit="1" customWidth="1"/>
    <col min="3" max="3" width="12.5" customWidth="1"/>
    <col min="4" max="4" width="10.5" bestFit="1" customWidth="1"/>
    <col min="5" max="6" width="10.5" customWidth="1"/>
    <col min="7" max="13" width="15.25" customWidth="1"/>
    <col min="14" max="14" width="23.875" bestFit="1" customWidth="1"/>
    <col min="15" max="16" width="10.625" customWidth="1"/>
    <col min="17" max="17" width="10.5" bestFit="1" customWidth="1"/>
    <col min="18" max="18" width="11.625" bestFit="1" customWidth="1"/>
  </cols>
  <sheetData>
    <row r="1" spans="1:18" ht="67.5">
      <c r="A1" s="285"/>
      <c r="B1" s="286" t="s">
        <v>895</v>
      </c>
      <c r="C1" s="207" t="s">
        <v>893</v>
      </c>
      <c r="D1" s="287" t="s">
        <v>894</v>
      </c>
      <c r="E1" s="287" t="s">
        <v>898</v>
      </c>
      <c r="F1" s="287" t="s">
        <v>892</v>
      </c>
      <c r="G1" s="312" t="s">
        <v>888</v>
      </c>
      <c r="H1" s="312"/>
      <c r="I1" s="312"/>
      <c r="J1" s="312" t="s">
        <v>899</v>
      </c>
      <c r="K1" s="312"/>
      <c r="L1" s="312"/>
      <c r="M1" s="287"/>
      <c r="N1" s="287" t="s">
        <v>892</v>
      </c>
      <c r="O1" s="287" t="s">
        <v>906</v>
      </c>
      <c r="P1" s="287" t="s">
        <v>907</v>
      </c>
      <c r="Q1" s="287" t="s">
        <v>908</v>
      </c>
      <c r="R1" s="287" t="s">
        <v>909</v>
      </c>
    </row>
    <row r="2" spans="1:18">
      <c r="A2" s="191" t="s">
        <v>457</v>
      </c>
      <c r="B2" s="186" t="s">
        <v>424</v>
      </c>
      <c r="C2" s="278" cm="1">
        <f t="array" ref="C2:C11">TRANSPOSE('Start Year Energy Balance'!D41:M41)</f>
        <v>286650.58</v>
      </c>
      <c r="D2" s="277">
        <f>VLOOKUP(A2,'Heat Value'!$B$3:$F$34,5,0)</f>
        <v>198169604007.21915</v>
      </c>
      <c r="E2" s="277">
        <f>C2*D2</f>
        <v>5.6805431927039696E+16</v>
      </c>
      <c r="F2" s="277" t="str">
        <f>VLOOKUP(A2,'EPS Fuel Crosswalk'!A$2:JA$37,3,FALSE)</f>
        <v>coal</v>
      </c>
      <c r="G2" t="s">
        <v>901</v>
      </c>
      <c r="H2" t="s">
        <v>419</v>
      </c>
      <c r="I2" s="282">
        <f t="shared" ref="I2:I27" si="0">C2</f>
        <v>286650.58</v>
      </c>
      <c r="J2" t="s">
        <v>900</v>
      </c>
      <c r="K2" t="s">
        <v>602</v>
      </c>
      <c r="L2">
        <f>10000</f>
        <v>10000</v>
      </c>
      <c r="N2" t="s">
        <v>466</v>
      </c>
      <c r="O2">
        <f>SUMIFS(E$2:E$31,F$2:F$31,N2)</f>
        <v>6.9105343212399616E+16</v>
      </c>
      <c r="P2" s="282">
        <f>SUMIFS(I$2:I$31,F$2:F$31,N2)</f>
        <v>332877.29000000004</v>
      </c>
      <c r="Q2" s="288">
        <f>O2/P2</f>
        <v>207600053498.39157</v>
      </c>
      <c r="R2" s="288">
        <f>Q2/10000</f>
        <v>20760005.349839158</v>
      </c>
    </row>
    <row r="3" spans="1:18">
      <c r="A3" s="191" t="s">
        <v>452</v>
      </c>
      <c r="B3" s="186" t="s">
        <v>424</v>
      </c>
      <c r="C3" s="278">
        <v>0</v>
      </c>
      <c r="D3" s="277">
        <f>VLOOKUP(A3,'Heat Value'!$B$3:$F$34,5,0)</f>
        <v>249692942795.39801</v>
      </c>
      <c r="E3" s="277">
        <f t="shared" ref="E3:E31" si="1">C3*D3</f>
        <v>0</v>
      </c>
      <c r="F3" s="277" t="str">
        <f>VLOOKUP(A3,'EPS Fuel Crosswalk'!A$2:JA$37,3,FALSE)</f>
        <v>coal</v>
      </c>
      <c r="G3" t="s">
        <v>901</v>
      </c>
      <c r="H3" t="s">
        <v>419</v>
      </c>
      <c r="I3" s="282">
        <f t="shared" si="0"/>
        <v>0</v>
      </c>
      <c r="J3" t="s">
        <v>900</v>
      </c>
      <c r="K3" t="s">
        <v>602</v>
      </c>
      <c r="L3">
        <f>10000</f>
        <v>10000</v>
      </c>
      <c r="N3" t="s">
        <v>325</v>
      </c>
      <c r="O3">
        <f t="shared" ref="O3:O13" si="2">SUMIFS(E$2:E$31,F$2:F$31,N3)</f>
        <v>1627793975266807.3</v>
      </c>
      <c r="P3" s="282">
        <f>SUMIFS(I$2:I$31,F$2:F$31,N3)</f>
        <v>20531.760000000002</v>
      </c>
      <c r="Q3" s="288">
        <f t="shared" ref="Q3:Q13" si="3">O3/P3</f>
        <v>79281755449.450363</v>
      </c>
      <c r="R3" s="288">
        <f t="shared" ref="R3:R13" si="4">Q3/10000</f>
        <v>7928175.5449450361</v>
      </c>
    </row>
    <row r="4" spans="1:18">
      <c r="A4" s="191" t="s">
        <v>440</v>
      </c>
      <c r="B4" s="186" t="s">
        <v>424</v>
      </c>
      <c r="C4" s="278">
        <v>17418.420000000002</v>
      </c>
      <c r="D4" s="277">
        <f>VLOOKUP(A4,'Heat Value'!$B$3:$F$34,5,0)</f>
        <v>79265945968.642319</v>
      </c>
      <c r="E4" s="277">
        <f t="shared" si="1"/>
        <v>1380687538579119</v>
      </c>
      <c r="F4" s="277" t="str">
        <f>VLOOKUP(A4,'EPS Fuel Crosswalk'!A$2:JA$37,3,FALSE)</f>
        <v>lignite</v>
      </c>
      <c r="G4" t="s">
        <v>901</v>
      </c>
      <c r="H4" t="s">
        <v>419</v>
      </c>
      <c r="I4" s="282">
        <f t="shared" si="0"/>
        <v>17418.420000000002</v>
      </c>
      <c r="J4" t="s">
        <v>900</v>
      </c>
      <c r="K4" t="s">
        <v>602</v>
      </c>
      <c r="L4">
        <f>10000</f>
        <v>10000</v>
      </c>
      <c r="N4" t="s">
        <v>319</v>
      </c>
      <c r="O4">
        <f t="shared" si="2"/>
        <v>1.011044973609691E+16</v>
      </c>
      <c r="P4" s="282">
        <f t="shared" ref="P4:P13" si="5">SUMIFS(I$2:I$31,F$2:F$31,N4)</f>
        <v>2961.2316141622528</v>
      </c>
      <c r="Q4" s="288">
        <f t="shared" si="3"/>
        <v>3414271848153.6968</v>
      </c>
      <c r="R4" s="288">
        <f t="shared" si="4"/>
        <v>341427184.81536967</v>
      </c>
    </row>
    <row r="5" spans="1:18">
      <c r="A5" s="191" t="s">
        <v>453</v>
      </c>
      <c r="B5" s="186" t="s">
        <v>424</v>
      </c>
      <c r="C5" s="278">
        <v>1292.02</v>
      </c>
      <c r="D5" s="277">
        <f>VLOOKUP(A5,'Heat Value'!$B$3:$F$34,5,0)</f>
        <v>146655743390.26697</v>
      </c>
      <c r="E5" s="277">
        <f t="shared" si="1"/>
        <v>189482153575092.72</v>
      </c>
      <c r="F5" s="277" t="str">
        <f>VLOOKUP(A5,'EPS Fuel Crosswalk'!A$2:JA$37,3,FALSE)</f>
        <v>coal</v>
      </c>
      <c r="G5" t="s">
        <v>901</v>
      </c>
      <c r="H5" t="s">
        <v>419</v>
      </c>
      <c r="I5" s="282">
        <f t="shared" si="0"/>
        <v>1292.02</v>
      </c>
      <c r="J5" t="s">
        <v>900</v>
      </c>
      <c r="K5" t="s">
        <v>602</v>
      </c>
      <c r="L5">
        <f>10000</f>
        <v>10000</v>
      </c>
      <c r="N5" t="s">
        <v>322</v>
      </c>
      <c r="O5">
        <f t="shared" si="2"/>
        <v>6207467800306496</v>
      </c>
      <c r="P5" s="282">
        <f t="shared" si="5"/>
        <v>15502.78</v>
      </c>
      <c r="Q5" s="288">
        <f t="shared" si="3"/>
        <v>400409978101.12097</v>
      </c>
      <c r="R5" s="288">
        <f t="shared" si="4"/>
        <v>40040997.810112096</v>
      </c>
    </row>
    <row r="6" spans="1:18">
      <c r="A6" s="191" t="s">
        <v>432</v>
      </c>
      <c r="B6" s="186" t="s">
        <v>424</v>
      </c>
      <c r="C6" s="278">
        <v>3113.34</v>
      </c>
      <c r="D6" s="277">
        <f>VLOOKUP(A6,'Heat Value'!$B$3:$F$34,5,0)</f>
        <v>79370205852.135696</v>
      </c>
      <c r="E6" s="277">
        <f t="shared" si="1"/>
        <v>247106436687688.16</v>
      </c>
      <c r="F6" s="277" t="str">
        <f>VLOOKUP(A6,'EPS Fuel Crosswalk'!A$2:JA$37,3,FALSE)</f>
        <v>lignite</v>
      </c>
      <c r="G6" t="s">
        <v>901</v>
      </c>
      <c r="H6" t="s">
        <v>419</v>
      </c>
      <c r="I6" s="282">
        <f t="shared" si="0"/>
        <v>3113.34</v>
      </c>
      <c r="J6" t="s">
        <v>900</v>
      </c>
      <c r="K6" t="s">
        <v>602</v>
      </c>
      <c r="L6">
        <f>10000</f>
        <v>10000</v>
      </c>
      <c r="N6" t="s">
        <v>361</v>
      </c>
      <c r="O6">
        <f t="shared" si="2"/>
        <v>135750142137025.25</v>
      </c>
      <c r="P6" s="282">
        <f t="shared" si="5"/>
        <v>342.51</v>
      </c>
      <c r="Q6" s="288">
        <f t="shared" si="3"/>
        <v>396339208014.43829</v>
      </c>
      <c r="R6" s="288">
        <f t="shared" si="4"/>
        <v>39633920.80144383</v>
      </c>
    </row>
    <row r="7" spans="1:18">
      <c r="A7" s="191" t="s">
        <v>430</v>
      </c>
      <c r="B7" s="186" t="s">
        <v>424</v>
      </c>
      <c r="C7" s="278">
        <v>44934.689999999995</v>
      </c>
      <c r="D7" s="277">
        <f>VLOOKUP(A7,'Heat Value'!$B$3:$F$34,5,0)</f>
        <v>269511798830.36523</v>
      </c>
      <c r="E7" s="277">
        <f t="shared" si="1"/>
        <v>1.2110429131784824E+16</v>
      </c>
      <c r="F7" s="277" t="str">
        <f>VLOOKUP(A7,'EPS Fuel Crosswalk'!A$2:JA$37,3,FALSE)</f>
        <v>coal</v>
      </c>
      <c r="G7" t="s">
        <v>901</v>
      </c>
      <c r="H7" t="s">
        <v>419</v>
      </c>
      <c r="I7" s="282">
        <f t="shared" si="0"/>
        <v>44934.689999999995</v>
      </c>
      <c r="J7" t="s">
        <v>900</v>
      </c>
      <c r="K7" t="s">
        <v>602</v>
      </c>
      <c r="L7">
        <f>10000</f>
        <v>10000</v>
      </c>
      <c r="N7" t="s">
        <v>321</v>
      </c>
      <c r="O7">
        <f t="shared" si="2"/>
        <v>5550747380814011</v>
      </c>
      <c r="P7" s="282">
        <f t="shared" si="5"/>
        <v>13597.279999999999</v>
      </c>
      <c r="Q7" s="288">
        <f t="shared" si="3"/>
        <v>408224834732.68268</v>
      </c>
      <c r="R7" s="288">
        <f t="shared" si="4"/>
        <v>40822483.47326827</v>
      </c>
    </row>
    <row r="8" spans="1:18">
      <c r="A8" s="293" t="s">
        <v>429</v>
      </c>
      <c r="B8" s="294" t="s">
        <v>428</v>
      </c>
      <c r="C8" s="295">
        <v>981.15000000000009</v>
      </c>
      <c r="D8" s="296">
        <f>VLOOKUP(A8,'Heat Value'!$B$3:$F$34,5,0)</f>
        <v>1644794443820.2017</v>
      </c>
      <c r="E8" s="296">
        <f t="shared" si="1"/>
        <v>1613790068554191</v>
      </c>
      <c r="F8" s="296"/>
      <c r="G8" s="281" t="s">
        <v>607</v>
      </c>
      <c r="H8" s="281" t="s">
        <v>420</v>
      </c>
      <c r="I8" s="283">
        <f t="shared" si="0"/>
        <v>981.15000000000009</v>
      </c>
      <c r="J8" s="281" t="s">
        <v>904</v>
      </c>
      <c r="K8" s="281" t="s">
        <v>903</v>
      </c>
      <c r="L8" s="281">
        <f>10000</f>
        <v>10000</v>
      </c>
      <c r="N8" t="s">
        <v>365</v>
      </c>
      <c r="O8">
        <f t="shared" si="2"/>
        <v>1612104365849447.8</v>
      </c>
      <c r="P8" s="282">
        <f t="shared" si="5"/>
        <v>3949.06</v>
      </c>
      <c r="Q8" s="288">
        <f t="shared" si="3"/>
        <v>408224834732.68268</v>
      </c>
      <c r="R8" s="288">
        <f t="shared" si="4"/>
        <v>40822483.47326827</v>
      </c>
    </row>
    <row r="9" spans="1:18">
      <c r="A9" s="293" t="s">
        <v>427</v>
      </c>
      <c r="B9" s="294" t="s">
        <v>428</v>
      </c>
      <c r="C9" s="295">
        <v>11364.24</v>
      </c>
      <c r="D9" s="296">
        <f>VLOOKUP(A9,'Heat Value'!$B$3:$F$34,5,0)</f>
        <v>356663583259.59711</v>
      </c>
      <c r="E9" s="296">
        <f t="shared" si="1"/>
        <v>4053210559422043.5</v>
      </c>
      <c r="F9" s="296"/>
      <c r="G9" s="281" t="s">
        <v>607</v>
      </c>
      <c r="H9" s="281" t="s">
        <v>420</v>
      </c>
      <c r="I9" s="283">
        <f t="shared" si="0"/>
        <v>11364.24</v>
      </c>
      <c r="J9" s="281" t="s">
        <v>904</v>
      </c>
      <c r="K9" s="281" t="s">
        <v>903</v>
      </c>
      <c r="L9" s="281">
        <f>10000</f>
        <v>10000</v>
      </c>
      <c r="N9" t="s">
        <v>362</v>
      </c>
      <c r="O9">
        <f t="shared" si="2"/>
        <v>2758383106259256</v>
      </c>
      <c r="P9" s="282">
        <f t="shared" si="5"/>
        <v>7309.58</v>
      </c>
      <c r="Q9" s="288">
        <f t="shared" si="3"/>
        <v>377365471923.04565</v>
      </c>
      <c r="R9" s="288">
        <f t="shared" si="4"/>
        <v>37736547.192304567</v>
      </c>
    </row>
    <row r="10" spans="1:18">
      <c r="A10" s="293" t="s">
        <v>459</v>
      </c>
      <c r="B10" s="294" t="s">
        <v>428</v>
      </c>
      <c r="C10" s="295">
        <v>956.07999999999993</v>
      </c>
      <c r="D10" s="296">
        <f>VLOOKUP(A10,'Heat Value'!$B$3:$F$34,5,0)</f>
        <v>753040703958.94214</v>
      </c>
      <c r="E10" s="296">
        <f t="shared" si="1"/>
        <v>719967156241065.38</v>
      </c>
      <c r="F10" s="296"/>
      <c r="G10" s="281" t="s">
        <v>607</v>
      </c>
      <c r="H10" s="281" t="s">
        <v>420</v>
      </c>
      <c r="I10" s="283">
        <f t="shared" si="0"/>
        <v>956.07999999999993</v>
      </c>
      <c r="J10" s="281" t="s">
        <v>904</v>
      </c>
      <c r="K10" s="281" t="s">
        <v>903</v>
      </c>
      <c r="L10" s="281">
        <f>10000</f>
        <v>10000</v>
      </c>
      <c r="N10" t="s">
        <v>363</v>
      </c>
      <c r="O10">
        <f t="shared" si="2"/>
        <v>3417022364834998.5</v>
      </c>
      <c r="P10" s="282">
        <f t="shared" si="5"/>
        <v>7407.5999999999985</v>
      </c>
      <c r="Q10" s="288">
        <f t="shared" si="3"/>
        <v>461286025816.05365</v>
      </c>
      <c r="R10" s="288">
        <f t="shared" si="4"/>
        <v>46128602.581605367</v>
      </c>
    </row>
    <row r="11" spans="1:18">
      <c r="A11" s="297" t="s">
        <v>436</v>
      </c>
      <c r="B11" s="294" t="s">
        <v>428</v>
      </c>
      <c r="C11" s="295">
        <v>191.39000000000001</v>
      </c>
      <c r="D11" s="296">
        <f>VLOOKUP(A11,'Heat Value'!$B$3:$F$34,5,0)</f>
        <v>495424010018.04791</v>
      </c>
      <c r="E11" s="296">
        <f t="shared" si="1"/>
        <v>94819201277354.203</v>
      </c>
      <c r="F11" s="296"/>
      <c r="G11" s="281" t="s">
        <v>607</v>
      </c>
      <c r="H11" s="281" t="s">
        <v>420</v>
      </c>
      <c r="I11" s="283">
        <f t="shared" si="0"/>
        <v>191.39000000000001</v>
      </c>
      <c r="J11" s="281" t="s">
        <v>904</v>
      </c>
      <c r="K11" s="281" t="s">
        <v>903</v>
      </c>
      <c r="L11" s="281">
        <f>10000</f>
        <v>10000</v>
      </c>
      <c r="N11" t="s">
        <v>348</v>
      </c>
      <c r="O11">
        <f t="shared" si="2"/>
        <v>6221840388828706</v>
      </c>
      <c r="P11" s="282">
        <f t="shared" si="5"/>
        <v>1823.4414166666668</v>
      </c>
      <c r="Q11" s="288">
        <f t="shared" si="3"/>
        <v>3412141641601.248</v>
      </c>
      <c r="R11" s="288">
        <f>Q11/1000000</f>
        <v>3412141.6416012482</v>
      </c>
    </row>
    <row r="12" spans="1:18">
      <c r="A12" s="191" t="s">
        <v>435</v>
      </c>
      <c r="B12" s="186" t="s">
        <v>424</v>
      </c>
      <c r="C12" s="278">
        <f>'Start Year Energy Balance'!P41</f>
        <v>685.07999999999993</v>
      </c>
      <c r="D12" s="277">
        <f>VLOOKUP(A12,'Heat Value'!$B$3:$F$34,5,0)</f>
        <v>317073262045.79596</v>
      </c>
      <c r="E12" s="277">
        <f t="shared" si="1"/>
        <v>217220550362333.88</v>
      </c>
      <c r="F12" s="277" t="str">
        <f>VLOOKUP(A12,'EPS Fuel Crosswalk'!A$2:JA$37,3,FALSE)</f>
        <v>petroleum diesel</v>
      </c>
      <c r="G12" t="s">
        <v>901</v>
      </c>
      <c r="H12" t="s">
        <v>419</v>
      </c>
      <c r="I12" s="282">
        <f t="shared" si="0"/>
        <v>685.07999999999993</v>
      </c>
      <c r="J12" t="s">
        <v>900</v>
      </c>
      <c r="K12" t="s">
        <v>602</v>
      </c>
      <c r="L12">
        <f>10000</f>
        <v>10000</v>
      </c>
      <c r="N12" t="s">
        <v>347</v>
      </c>
      <c r="O12">
        <f t="shared" si="2"/>
        <v>2.4409103271641972E+16</v>
      </c>
      <c r="P12" s="282">
        <f t="shared" si="5"/>
        <v>7153.6020000000008</v>
      </c>
      <c r="Q12" s="288">
        <f t="shared" si="3"/>
        <v>3412141641601.2476</v>
      </c>
      <c r="R12" s="288">
        <f>Q12/1000000</f>
        <v>3412141.6416012477</v>
      </c>
    </row>
    <row r="13" spans="1:18">
      <c r="A13" s="191" t="s">
        <v>458</v>
      </c>
      <c r="B13" s="186" t="s">
        <v>424</v>
      </c>
      <c r="C13" s="278" cm="1">
        <f t="array" ref="C13:C21">TRANSPOSE('Start Year Energy Balance'!R41:Z41)</f>
        <v>342.51</v>
      </c>
      <c r="D13" s="277">
        <f>VLOOKUP(A13,'Heat Value'!$B$3:$F$34,5,0)</f>
        <v>396339208014.43829</v>
      </c>
      <c r="E13" s="277">
        <f t="shared" si="1"/>
        <v>135750142137025.25</v>
      </c>
      <c r="F13" s="277" t="str">
        <f>VLOOKUP(A13,'EPS Fuel Crosswalk'!A$2:JA$37,3,FALSE)</f>
        <v>crude oil</v>
      </c>
      <c r="G13" t="s">
        <v>901</v>
      </c>
      <c r="H13" t="s">
        <v>419</v>
      </c>
      <c r="I13" s="282">
        <f t="shared" si="0"/>
        <v>342.51</v>
      </c>
      <c r="J13" t="s">
        <v>900</v>
      </c>
      <c r="K13" t="s">
        <v>602</v>
      </c>
      <c r="L13">
        <f>10000</f>
        <v>10000</v>
      </c>
      <c r="N13" t="s">
        <v>320</v>
      </c>
      <c r="O13">
        <f t="shared" si="2"/>
        <v>2233622515433661.5</v>
      </c>
      <c r="P13" s="282">
        <f t="shared" si="5"/>
        <v>15651.166407465009</v>
      </c>
      <c r="Q13" s="288">
        <f t="shared" si="3"/>
        <v>142712846907.58313</v>
      </c>
      <c r="R13" s="288">
        <f t="shared" si="4"/>
        <v>14271284.690758312</v>
      </c>
    </row>
    <row r="14" spans="1:18">
      <c r="A14" s="191" t="s">
        <v>441</v>
      </c>
      <c r="B14" s="186" t="s">
        <v>424</v>
      </c>
      <c r="C14" s="278">
        <v>13597.279999999999</v>
      </c>
      <c r="D14" s="277">
        <f>VLOOKUP(A14,'Heat Value'!$B$3:$F$34,5,0)</f>
        <v>408224834732.68268</v>
      </c>
      <c r="E14" s="277">
        <f t="shared" si="1"/>
        <v>5550747380814011</v>
      </c>
      <c r="F14" s="277" t="str">
        <f>VLOOKUP(A14,'EPS Fuel Crosswalk'!A$2:JA$37,3,FALSE)</f>
        <v>petroleum gasoline</v>
      </c>
      <c r="G14" t="s">
        <v>901</v>
      </c>
      <c r="H14" t="s">
        <v>419</v>
      </c>
      <c r="I14" s="282">
        <f t="shared" si="0"/>
        <v>13597.279999999999</v>
      </c>
      <c r="J14" t="s">
        <v>900</v>
      </c>
      <c r="K14" t="s">
        <v>602</v>
      </c>
      <c r="L14">
        <f>10000</f>
        <v>10000</v>
      </c>
    </row>
    <row r="15" spans="1:18">
      <c r="A15" s="191" t="s">
        <v>434</v>
      </c>
      <c r="B15" s="186" t="s">
        <v>424</v>
      </c>
      <c r="C15" s="278">
        <v>3949.06</v>
      </c>
      <c r="D15" s="277">
        <f>VLOOKUP(A15,'Heat Value'!$B$3:$F$34,5,0)</f>
        <v>408224834732.68268</v>
      </c>
      <c r="E15" s="277">
        <f t="shared" si="1"/>
        <v>1612104365849447.8</v>
      </c>
      <c r="F15" s="277" t="str">
        <f>VLOOKUP(A15,'EPS Fuel Crosswalk'!A$2:JA$37,3,FALSE)</f>
        <v>jet fuel or kerosene</v>
      </c>
      <c r="G15" t="s">
        <v>901</v>
      </c>
      <c r="H15" t="s">
        <v>419</v>
      </c>
      <c r="I15" s="282">
        <f t="shared" si="0"/>
        <v>3949.06</v>
      </c>
      <c r="J15" t="s">
        <v>900</v>
      </c>
      <c r="K15" t="s">
        <v>602</v>
      </c>
      <c r="L15">
        <f>10000</f>
        <v>10000</v>
      </c>
    </row>
    <row r="16" spans="1:18">
      <c r="A16" s="191" t="s">
        <v>423</v>
      </c>
      <c r="B16" s="186" t="s">
        <v>424</v>
      </c>
      <c r="C16" s="278">
        <v>14817.7</v>
      </c>
      <c r="D16" s="277">
        <f>VLOOKUP(A16,'Heat Value'!$B$3:$F$34,5,0)</f>
        <v>404262959159.93451</v>
      </c>
      <c r="E16" s="277">
        <f t="shared" si="1"/>
        <v>5990247249944162</v>
      </c>
      <c r="F16" s="277" t="str">
        <f>VLOOKUP(A16,'EPS Fuel Crosswalk'!A$2:JA$37,3,FALSE)</f>
        <v>petroleum diesel</v>
      </c>
      <c r="G16" t="s">
        <v>901</v>
      </c>
      <c r="H16" t="s">
        <v>419</v>
      </c>
      <c r="I16" s="282">
        <f t="shared" si="0"/>
        <v>14817.7</v>
      </c>
      <c r="J16" t="s">
        <v>900</v>
      </c>
      <c r="K16" t="s">
        <v>602</v>
      </c>
      <c r="L16">
        <f>10000</f>
        <v>10000</v>
      </c>
    </row>
    <row r="17" spans="1:12">
      <c r="A17" s="191" t="s">
        <v>442</v>
      </c>
      <c r="B17" s="186" t="s">
        <v>424</v>
      </c>
      <c r="C17" s="278">
        <v>2338.2199999999998</v>
      </c>
      <c r="D17" s="277">
        <f>VLOOKUP(A17,'Heat Value'!$B$3:$F$34,5,0)</f>
        <v>396339208014.43829</v>
      </c>
      <c r="E17" s="277">
        <f t="shared" si="1"/>
        <v>926728262963519.88</v>
      </c>
      <c r="F17" s="277" t="str">
        <f>VLOOKUP(A17,'EPS Fuel Crosswalk'!A$2:JA$37,3,FALSE)</f>
        <v>heavy fuel oil</v>
      </c>
      <c r="G17" t="s">
        <v>901</v>
      </c>
      <c r="H17" t="s">
        <v>419</v>
      </c>
      <c r="I17" s="282">
        <f t="shared" si="0"/>
        <v>2338.2199999999998</v>
      </c>
      <c r="J17" t="s">
        <v>900</v>
      </c>
      <c r="K17" t="s">
        <v>602</v>
      </c>
      <c r="L17">
        <f>10000</f>
        <v>10000</v>
      </c>
    </row>
    <row r="18" spans="1:12">
      <c r="A18" s="191" t="s">
        <v>448</v>
      </c>
      <c r="B18" s="186" t="s">
        <v>424</v>
      </c>
      <c r="C18" s="278">
        <v>416.88999999999942</v>
      </c>
      <c r="D18" s="277">
        <f>VLOOKUP(A18,'Heat Value'!$B$3:$F$34,5,0)</f>
        <v>416158064049.40558</v>
      </c>
      <c r="E18" s="277">
        <f t="shared" si="1"/>
        <v>173492135321556.44</v>
      </c>
      <c r="F18" s="277" t="str">
        <f>VLOOKUP(A18,'EPS Fuel Crosswalk'!A$2:JA$37,3,FALSE)</f>
        <v>LPG propane or butane</v>
      </c>
      <c r="G18" t="s">
        <v>901</v>
      </c>
      <c r="H18" t="s">
        <v>419</v>
      </c>
      <c r="I18" s="282">
        <f t="shared" si="0"/>
        <v>416.88999999999942</v>
      </c>
      <c r="J18" t="s">
        <v>900</v>
      </c>
      <c r="K18" t="s">
        <v>602</v>
      </c>
      <c r="L18">
        <f>10000</f>
        <v>10000</v>
      </c>
    </row>
    <row r="19" spans="1:12">
      <c r="A19" s="191" t="s">
        <v>446</v>
      </c>
      <c r="B19" s="186" t="s">
        <v>424</v>
      </c>
      <c r="C19" s="278">
        <v>21.170000000000016</v>
      </c>
      <c r="D19" s="277">
        <f>VLOOKUP(A19,'Heat Value'!$B$3:$F$34,5,0)</f>
        <v>392377332441.69019</v>
      </c>
      <c r="E19" s="277">
        <f t="shared" si="1"/>
        <v>8306628127790.5879</v>
      </c>
      <c r="F19" s="277" t="str">
        <f>VLOOKUP(A19,'EPS Fuel Crosswalk'!A$2:JA$37,3,FALSE)</f>
        <v>LPG propane or butane</v>
      </c>
      <c r="G19" t="s">
        <v>901</v>
      </c>
      <c r="H19" t="s">
        <v>419</v>
      </c>
      <c r="I19" s="282">
        <f t="shared" si="0"/>
        <v>21.170000000000016</v>
      </c>
      <c r="J19" t="s">
        <v>900</v>
      </c>
      <c r="K19" t="s">
        <v>602</v>
      </c>
      <c r="L19">
        <f>10000</f>
        <v>10000</v>
      </c>
    </row>
    <row r="20" spans="1:12">
      <c r="A20" s="191" t="s">
        <v>447</v>
      </c>
      <c r="B20" s="186" t="s">
        <v>424</v>
      </c>
      <c r="C20" s="278">
        <v>4.3300000000000125</v>
      </c>
      <c r="D20" s="277">
        <f>VLOOKUP(A20,'Heat Value'!$B$3:$F$34,5,0)</f>
        <v>378415986224.80505</v>
      </c>
      <c r="E20" s="277">
        <f t="shared" si="1"/>
        <v>1638541220353.4106</v>
      </c>
      <c r="F20" s="277" t="str">
        <f>VLOOKUP(A20,'EPS Fuel Crosswalk'!A$2:JA$37,3,FALSE)</f>
        <v>heavy fuel oil</v>
      </c>
      <c r="G20" t="s">
        <v>901</v>
      </c>
      <c r="H20" t="s">
        <v>419</v>
      </c>
      <c r="I20" s="282">
        <f t="shared" si="0"/>
        <v>4.3300000000000125</v>
      </c>
      <c r="J20" t="s">
        <v>900</v>
      </c>
      <c r="K20" t="s">
        <v>602</v>
      </c>
      <c r="L20">
        <f>10000</f>
        <v>10000</v>
      </c>
    </row>
    <row r="21" spans="1:12">
      <c r="A21" s="192" t="s">
        <v>445</v>
      </c>
      <c r="B21" s="186" t="s">
        <v>424</v>
      </c>
      <c r="C21" s="278">
        <v>3.1299999999999955</v>
      </c>
      <c r="D21" s="277">
        <f>VLOOKUP(A21,'Heat Value'!$B$3:$F$34,5,0)</f>
        <v>407040063329.34888</v>
      </c>
      <c r="E21" s="277">
        <f t="shared" si="1"/>
        <v>1274035398220.8601</v>
      </c>
      <c r="F21" s="277" t="str">
        <f>VLOOKUP(A21,'EPS Fuel Crosswalk'!A$2:JA$37,3,FALSE)</f>
        <v>heavy fuel oil</v>
      </c>
      <c r="G21" t="s">
        <v>901</v>
      </c>
      <c r="H21" t="s">
        <v>419</v>
      </c>
      <c r="I21" s="282">
        <f t="shared" si="0"/>
        <v>3.1299999999999955</v>
      </c>
      <c r="J21" t="s">
        <v>900</v>
      </c>
      <c r="K21" t="s">
        <v>602</v>
      </c>
      <c r="L21">
        <f>10000</f>
        <v>10000</v>
      </c>
    </row>
    <row r="22" spans="1:12">
      <c r="A22" s="191" t="s">
        <v>450</v>
      </c>
      <c r="B22" s="186" t="s">
        <v>424</v>
      </c>
      <c r="C22" s="278"/>
      <c r="D22" s="277">
        <f>VLOOKUP(A22,'Heat Value'!$B$3:$F$34,5,0)</f>
        <v>368994684025.495</v>
      </c>
      <c r="E22" s="277">
        <f t="shared" si="1"/>
        <v>0</v>
      </c>
      <c r="F22" s="277" t="str">
        <f>VLOOKUP(A22,'EPS Fuel Crosswalk'!A$2:JA$37,3,FALSE)</f>
        <v>heavy fuel oil</v>
      </c>
      <c r="G22" t="s">
        <v>901</v>
      </c>
      <c r="H22" t="s">
        <v>419</v>
      </c>
      <c r="I22" s="282">
        <f t="shared" si="0"/>
        <v>0</v>
      </c>
      <c r="J22" t="s">
        <v>900</v>
      </c>
      <c r="K22" t="s">
        <v>602</v>
      </c>
      <c r="L22">
        <f>10000</f>
        <v>10000</v>
      </c>
    </row>
    <row r="23" spans="1:12">
      <c r="A23" s="191" t="s">
        <v>449</v>
      </c>
      <c r="B23" s="186" t="s">
        <v>424</v>
      </c>
      <c r="C23" s="279" cm="1">
        <f t="array" ref="C23:C31">TRANSPOSE('Start Year Energy Balance'!AD41:AL41)</f>
        <v>1159.98</v>
      </c>
      <c r="D23" s="277">
        <f>VLOOKUP(A23,'Heat Value'!$B$3:$F$34,5,0)</f>
        <v>302799136178.43073</v>
      </c>
      <c r="E23" s="277">
        <f t="shared" si="1"/>
        <v>351240941984256.06</v>
      </c>
      <c r="F23" s="277" t="str">
        <f>VLOOKUP(A23,'EPS Fuel Crosswalk'!A$2:JA$37,3,FALSE)</f>
        <v>heavy fuel oil</v>
      </c>
      <c r="G23" t="s">
        <v>901</v>
      </c>
      <c r="H23" t="s">
        <v>419</v>
      </c>
      <c r="I23" s="282">
        <f t="shared" si="0"/>
        <v>1159.98</v>
      </c>
      <c r="J23" t="s">
        <v>900</v>
      </c>
      <c r="K23" t="s">
        <v>602</v>
      </c>
      <c r="L23">
        <f>10000</f>
        <v>10000</v>
      </c>
    </row>
    <row r="24" spans="1:12">
      <c r="A24" s="191" t="s">
        <v>454</v>
      </c>
      <c r="B24" s="186" t="s">
        <v>424</v>
      </c>
      <c r="C24" s="278">
        <v>4962.7499999999991</v>
      </c>
      <c r="D24" s="277">
        <f>VLOOKUP(A24,'Heat Value'!$B$3:$F$34,5,0)</f>
        <v>475605153983.08063</v>
      </c>
      <c r="E24" s="277">
        <f t="shared" si="1"/>
        <v>2360309477929533</v>
      </c>
      <c r="F24" s="277" t="str">
        <f>VLOOKUP(A24,'EPS Fuel Crosswalk'!A$2:JA$37,3,FALSE)</f>
        <v>LPG propane or butane</v>
      </c>
      <c r="G24" t="s">
        <v>901</v>
      </c>
      <c r="H24" t="s">
        <v>419</v>
      </c>
      <c r="I24" s="282">
        <f t="shared" si="0"/>
        <v>4962.7499999999991</v>
      </c>
      <c r="J24" t="s">
        <v>900</v>
      </c>
      <c r="K24" t="s">
        <v>602</v>
      </c>
      <c r="L24">
        <f>10000</f>
        <v>10000</v>
      </c>
    </row>
    <row r="25" spans="1:12">
      <c r="A25" s="191" t="s">
        <v>431</v>
      </c>
      <c r="B25" s="186" t="s">
        <v>424</v>
      </c>
      <c r="C25" s="278">
        <v>2006.79</v>
      </c>
      <c r="D25" s="277">
        <f>VLOOKUP(A25,'Heat Value'!$B$3:$F$34,5,0)</f>
        <v>435976920084.3728</v>
      </c>
      <c r="E25" s="277">
        <f t="shared" si="1"/>
        <v>874914123456118.5</v>
      </c>
      <c r="F25" s="277" t="str">
        <f>VLOOKUP(A25,'EPS Fuel Crosswalk'!A$2:JA$37,3,FALSE)</f>
        <v>LPG propane or butane</v>
      </c>
      <c r="G25" t="s">
        <v>901</v>
      </c>
      <c r="H25" t="s">
        <v>419</v>
      </c>
      <c r="I25" s="282">
        <f t="shared" si="0"/>
        <v>2006.79</v>
      </c>
      <c r="J25" t="s">
        <v>900</v>
      </c>
      <c r="K25" t="s">
        <v>602</v>
      </c>
      <c r="L25">
        <f>10000</f>
        <v>10000</v>
      </c>
    </row>
    <row r="26" spans="1:12">
      <c r="A26" s="191" t="s">
        <v>439</v>
      </c>
      <c r="B26" s="186" t="s">
        <v>424</v>
      </c>
      <c r="C26" s="278">
        <v>3803.9199999999996</v>
      </c>
      <c r="D26" s="277">
        <f>VLOOKUP(A26,'Heat Value'!$B$3:$F$34,5,0)</f>
        <v>388415456868.94208</v>
      </c>
      <c r="E26" s="277">
        <f t="shared" si="1"/>
        <v>1477501324692906</v>
      </c>
      <c r="F26" s="277" t="str">
        <f>VLOOKUP(A26,'EPS Fuel Crosswalk'!A$2:JA$37,3,FALSE)</f>
        <v>heavy fuel oil</v>
      </c>
      <c r="G26" t="s">
        <v>901</v>
      </c>
      <c r="H26" t="s">
        <v>419</v>
      </c>
      <c r="I26" s="282">
        <f t="shared" si="0"/>
        <v>3803.9199999999996</v>
      </c>
      <c r="J26" t="s">
        <v>900</v>
      </c>
      <c r="K26" t="s">
        <v>602</v>
      </c>
      <c r="L26">
        <f>10000</f>
        <v>10000</v>
      </c>
    </row>
    <row r="27" spans="1:12">
      <c r="A27" s="191" t="s">
        <v>451</v>
      </c>
      <c r="B27" s="186" t="s">
        <v>428</v>
      </c>
      <c r="C27" s="278">
        <v>1974.4</v>
      </c>
      <c r="D27" s="277">
        <f>VLOOKUP(A27,'Heat Value'!$B$3:$F$34,5,0)</f>
        <v>3372759840154.4336</v>
      </c>
      <c r="E27" s="277">
        <f t="shared" si="1"/>
        <v>6659177028400914</v>
      </c>
      <c r="F27" s="277" t="str">
        <f>VLOOKUP(A27,'EPS Fuel Crosswalk'!A$2:JA$37,3,FALSE)</f>
        <v>natural gas</v>
      </c>
      <c r="G27" t="s">
        <v>607</v>
      </c>
      <c r="H27" t="s">
        <v>420</v>
      </c>
      <c r="I27" s="282">
        <f t="shared" si="0"/>
        <v>1974.4</v>
      </c>
      <c r="J27" t="s">
        <v>905</v>
      </c>
      <c r="K27" t="s">
        <v>903</v>
      </c>
      <c r="L27">
        <f>10000</f>
        <v>10000</v>
      </c>
    </row>
    <row r="28" spans="1:12">
      <c r="A28" s="191" t="s">
        <v>455</v>
      </c>
      <c r="B28" s="186" t="s">
        <v>424</v>
      </c>
      <c r="C28" s="278">
        <v>7079.53</v>
      </c>
      <c r="D28" s="277">
        <f>VLOOKUP(A28,'Heat Value'!$B$3:$F$34,5,0)</f>
        <v>487500258872.5517</v>
      </c>
      <c r="E28" s="277">
        <f t="shared" si="1"/>
        <v>3451272707695996</v>
      </c>
      <c r="F28" s="277" t="str">
        <f>VLOOKUP(A28,'EPS Fuel Crosswalk'!A$2:JA$37,3,FALSE)</f>
        <v>natural gas</v>
      </c>
      <c r="G28" s="280" t="s">
        <v>607</v>
      </c>
      <c r="H28" s="281" t="s">
        <v>420</v>
      </c>
      <c r="I28" s="282">
        <f>C28*10^7/About!A76/10^8</f>
        <v>986.83161416225255</v>
      </c>
      <c r="J28" t="s">
        <v>905</v>
      </c>
      <c r="K28" t="s">
        <v>903</v>
      </c>
      <c r="L28">
        <f>10000</f>
        <v>10000</v>
      </c>
    </row>
    <row r="29" spans="1:12">
      <c r="A29" s="191" t="s">
        <v>443</v>
      </c>
      <c r="B29" s="186" t="s">
        <v>444</v>
      </c>
      <c r="C29" s="278">
        <v>656438.91</v>
      </c>
      <c r="D29" s="277">
        <f>VLOOKUP(A29,'Heat Value'!$B$3:$F$34,5,0)</f>
        <v>9478171226.6701336</v>
      </c>
      <c r="E29" s="277">
        <f t="shared" si="1"/>
        <v>6221840388828706</v>
      </c>
      <c r="F29" s="277" t="str">
        <f>VLOOKUP(A29,'EPS Fuel Crosswalk'!A$2:JA$37,3,FALSE)</f>
        <v>heat</v>
      </c>
      <c r="G29" s="280" t="s">
        <v>610</v>
      </c>
      <c r="H29" s="281" t="s">
        <v>609</v>
      </c>
      <c r="I29" s="283">
        <f>C29*10^10/About!A74/10^9</f>
        <v>1823.4414166666668</v>
      </c>
      <c r="J29" t="s">
        <v>615</v>
      </c>
      <c r="K29" t="s">
        <v>616</v>
      </c>
      <c r="L29">
        <f>1000000</f>
        <v>1000000</v>
      </c>
    </row>
    <row r="30" spans="1:12">
      <c r="A30" s="191" t="s">
        <v>425</v>
      </c>
      <c r="B30" s="186" t="s">
        <v>462</v>
      </c>
      <c r="C30" s="278">
        <v>71536.02</v>
      </c>
      <c r="D30" s="277">
        <f>VLOOKUP(A30,'Heat Value'!$B$3:$F$34,5,0)</f>
        <v>341214164160.12482</v>
      </c>
      <c r="E30" s="277">
        <f t="shared" si="1"/>
        <v>2.4409103271641972E+16</v>
      </c>
      <c r="F30" s="277" t="str">
        <f>VLOOKUP(A30,'EPS Fuel Crosswalk'!A$2:JA$37,3,FALSE)</f>
        <v>electricity</v>
      </c>
      <c r="G30" s="281" t="s">
        <v>610</v>
      </c>
      <c r="H30" s="281" t="s">
        <v>609</v>
      </c>
      <c r="I30" s="283">
        <f>C30/10</f>
        <v>7153.6020000000008</v>
      </c>
      <c r="J30" t="s">
        <v>615</v>
      </c>
      <c r="K30" t="s">
        <v>616</v>
      </c>
      <c r="L30">
        <f>1000000</f>
        <v>1000000</v>
      </c>
    </row>
    <row r="31" spans="1:12">
      <c r="A31" s="192" t="s">
        <v>437</v>
      </c>
      <c r="B31" s="186" t="s">
        <v>438</v>
      </c>
      <c r="C31" s="278">
        <v>8050.96</v>
      </c>
      <c r="D31" s="277">
        <f>VLOOKUP(A31,'Heat Value'!$B$3:$F$34,5,0)</f>
        <v>277435549975.86145</v>
      </c>
      <c r="E31" s="277">
        <f t="shared" si="1"/>
        <v>2233622515433661.5</v>
      </c>
      <c r="F31" s="277" t="str">
        <f>VLOOKUP(A31,'EPS Fuel Crosswalk'!A$2:JA$37,3,FALSE)</f>
        <v>biomass</v>
      </c>
      <c r="G31" s="280" t="s">
        <v>901</v>
      </c>
      <c r="H31" s="281" t="s">
        <v>419</v>
      </c>
      <c r="I31" s="284">
        <f>C31/'Statistical Yearbook'!B48</f>
        <v>15651.166407465009</v>
      </c>
      <c r="J31" t="s">
        <v>900</v>
      </c>
      <c r="K31" t="s">
        <v>602</v>
      </c>
      <c r="L31">
        <f>10000</f>
        <v>10000</v>
      </c>
    </row>
  </sheetData>
  <mergeCells count="2">
    <mergeCell ref="G1:I1"/>
    <mergeCell ref="J1:L1"/>
  </mergeCells>
  <phoneticPr fontId="38"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2B4DF-8C18-4DB2-8B89-BC57CAD39A6D}">
  <dimension ref="A1:E12"/>
  <sheetViews>
    <sheetView workbookViewId="0">
      <selection activeCell="G16" sqref="G16"/>
    </sheetView>
  </sheetViews>
  <sheetFormatPr defaultRowHeight="13.5"/>
  <cols>
    <col min="1" max="1" width="17.25" customWidth="1"/>
  </cols>
  <sheetData>
    <row r="1" spans="1:5">
      <c r="A1" t="s">
        <v>948</v>
      </c>
    </row>
    <row r="2" spans="1:5">
      <c r="A2" t="s">
        <v>949</v>
      </c>
      <c r="C2" t="str">
        <f>About!C65</f>
        <v>KM/L</v>
      </c>
    </row>
    <row r="3" spans="1:5">
      <c r="A3" t="s">
        <v>950</v>
      </c>
      <c r="C3" t="s">
        <v>951</v>
      </c>
    </row>
    <row r="4" spans="1:5">
      <c r="A4" s="298">
        <f>About!A77</f>
        <v>1.6093440000000001</v>
      </c>
      <c r="B4" t="str">
        <f>About!B77</f>
        <v>km/mile</v>
      </c>
    </row>
    <row r="5" spans="1:5">
      <c r="A5" s="299"/>
      <c r="B5" s="313" t="s">
        <v>955</v>
      </c>
      <c r="C5" s="313"/>
      <c r="D5" s="313" t="str">
        <f>Calculation!Q1</f>
        <v>BpLFOU</v>
      </c>
      <c r="E5" s="313"/>
    </row>
    <row r="6" spans="1:5">
      <c r="A6" s="299" t="s">
        <v>952</v>
      </c>
      <c r="B6" s="299">
        <f>About!B86</f>
        <v>0.76</v>
      </c>
      <c r="C6" s="299" t="s">
        <v>911</v>
      </c>
      <c r="D6" s="300">
        <f>Calculation!R7</f>
        <v>40822483.47326827</v>
      </c>
      <c r="E6" s="299" t="s">
        <v>915</v>
      </c>
    </row>
    <row r="7" spans="1:5">
      <c r="A7" s="299" t="s">
        <v>953</v>
      </c>
      <c r="B7" s="299">
        <f>About!B87</f>
        <v>0.83</v>
      </c>
      <c r="C7" s="299" t="s">
        <v>911</v>
      </c>
      <c r="D7" s="300">
        <f>Calculation!R5</f>
        <v>40040997.810112096</v>
      </c>
      <c r="E7" s="299" t="s">
        <v>915</v>
      </c>
    </row>
    <row r="8" spans="1:5">
      <c r="A8" s="299" t="s">
        <v>954</v>
      </c>
      <c r="B8" s="299">
        <f>About!B88</f>
        <v>0.78</v>
      </c>
      <c r="C8" s="299" t="s">
        <v>911</v>
      </c>
      <c r="D8" s="300">
        <f>Calculation!R8</f>
        <v>40822483.47326827</v>
      </c>
      <c r="E8" s="299" t="s">
        <v>915</v>
      </c>
    </row>
    <row r="10" spans="1:5">
      <c r="A10" t="s">
        <v>952</v>
      </c>
      <c r="B10" s="288">
        <f>D6/1000*B6*A4</f>
        <v>49930.038320530628</v>
      </c>
      <c r="C10" t="s">
        <v>956</v>
      </c>
    </row>
    <row r="11" spans="1:5">
      <c r="A11" t="s">
        <v>953</v>
      </c>
      <c r="B11" s="288">
        <f>D7/1000*B7*A4</f>
        <v>53484.98385116514</v>
      </c>
      <c r="C11" t="s">
        <v>956</v>
      </c>
    </row>
    <row r="12" spans="1:5">
      <c r="A12" t="s">
        <v>954</v>
      </c>
      <c r="B12" s="288">
        <f>D8/1000*B8*A4</f>
        <v>51243.986697386696</v>
      </c>
      <c r="C12" t="s">
        <v>956</v>
      </c>
    </row>
  </sheetData>
  <mergeCells count="2">
    <mergeCell ref="B5:C5"/>
    <mergeCell ref="D5:E5"/>
  </mergeCells>
  <phoneticPr fontId="38"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Q22"/>
  <sheetViews>
    <sheetView workbookViewId="0"/>
  </sheetViews>
  <sheetFormatPr defaultRowHeight="13.5"/>
  <cols>
    <col min="1" max="1" width="37.5" customWidth="1"/>
    <col min="2" max="43" width="12.5" customWidth="1"/>
  </cols>
  <sheetData>
    <row r="1" spans="1:43">
      <c r="A1" s="1" t="s">
        <v>398</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row>
    <row r="2" spans="1:43">
      <c r="A2" s="183" t="s">
        <v>341</v>
      </c>
      <c r="B2" s="3">
        <f>About!$A$73*10^6</f>
        <v>3412420000000</v>
      </c>
      <c r="C2" s="3">
        <f>$B2</f>
        <v>3412420000000</v>
      </c>
      <c r="D2" s="3">
        <f t="shared" ref="D2:AQ8" si="0">$B2</f>
        <v>3412420000000</v>
      </c>
      <c r="E2" s="3">
        <f t="shared" si="0"/>
        <v>3412420000000</v>
      </c>
      <c r="F2" s="3">
        <f t="shared" si="0"/>
        <v>3412420000000</v>
      </c>
      <c r="G2" s="3">
        <f t="shared" si="0"/>
        <v>3412420000000</v>
      </c>
      <c r="H2" s="3">
        <f t="shared" si="0"/>
        <v>3412420000000</v>
      </c>
      <c r="I2" s="3">
        <f t="shared" si="0"/>
        <v>3412420000000</v>
      </c>
      <c r="J2" s="3">
        <f t="shared" si="0"/>
        <v>3412420000000</v>
      </c>
      <c r="K2" s="3">
        <f t="shared" si="0"/>
        <v>3412420000000</v>
      </c>
      <c r="L2" s="3">
        <f t="shared" si="0"/>
        <v>3412420000000</v>
      </c>
      <c r="M2" s="3">
        <f t="shared" si="0"/>
        <v>3412420000000</v>
      </c>
      <c r="N2" s="3">
        <f t="shared" si="0"/>
        <v>3412420000000</v>
      </c>
      <c r="O2" s="3">
        <f t="shared" si="0"/>
        <v>3412420000000</v>
      </c>
      <c r="P2" s="3">
        <f t="shared" si="0"/>
        <v>3412420000000</v>
      </c>
      <c r="Q2" s="3">
        <f t="shared" si="0"/>
        <v>3412420000000</v>
      </c>
      <c r="R2" s="3">
        <f t="shared" si="0"/>
        <v>3412420000000</v>
      </c>
      <c r="S2" s="3">
        <f t="shared" si="0"/>
        <v>3412420000000</v>
      </c>
      <c r="T2" s="3">
        <f t="shared" si="0"/>
        <v>3412420000000</v>
      </c>
      <c r="U2" s="3">
        <f t="shared" si="0"/>
        <v>3412420000000</v>
      </c>
      <c r="V2" s="3">
        <f t="shared" si="0"/>
        <v>3412420000000</v>
      </c>
      <c r="W2" s="3">
        <f t="shared" si="0"/>
        <v>3412420000000</v>
      </c>
      <c r="X2" s="3">
        <f t="shared" si="0"/>
        <v>3412420000000</v>
      </c>
      <c r="Y2" s="3">
        <f t="shared" si="0"/>
        <v>3412420000000</v>
      </c>
      <c r="Z2" s="3">
        <f t="shared" si="0"/>
        <v>3412420000000</v>
      </c>
      <c r="AA2" s="3">
        <f t="shared" si="0"/>
        <v>3412420000000</v>
      </c>
      <c r="AB2" s="3">
        <f t="shared" si="0"/>
        <v>3412420000000</v>
      </c>
      <c r="AC2" s="3">
        <f t="shared" si="0"/>
        <v>3412420000000</v>
      </c>
      <c r="AD2" s="3">
        <f t="shared" si="0"/>
        <v>3412420000000</v>
      </c>
      <c r="AE2" s="3">
        <f t="shared" si="0"/>
        <v>3412420000000</v>
      </c>
      <c r="AF2" s="3">
        <f t="shared" si="0"/>
        <v>3412420000000</v>
      </c>
      <c r="AG2" s="3">
        <f t="shared" si="0"/>
        <v>3412420000000</v>
      </c>
      <c r="AH2" s="3">
        <f t="shared" si="0"/>
        <v>3412420000000</v>
      </c>
      <c r="AI2" s="3">
        <f t="shared" si="0"/>
        <v>3412420000000</v>
      </c>
      <c r="AJ2" s="3">
        <f t="shared" si="0"/>
        <v>3412420000000</v>
      </c>
      <c r="AK2" s="3">
        <f t="shared" si="0"/>
        <v>3412420000000</v>
      </c>
      <c r="AL2" s="3">
        <f t="shared" si="0"/>
        <v>3412420000000</v>
      </c>
      <c r="AM2" s="3">
        <f t="shared" si="0"/>
        <v>3412420000000</v>
      </c>
      <c r="AN2" s="3">
        <f t="shared" si="0"/>
        <v>3412420000000</v>
      </c>
      <c r="AO2" s="3">
        <f t="shared" si="0"/>
        <v>3412420000000</v>
      </c>
      <c r="AP2" s="3">
        <f t="shared" si="0"/>
        <v>3412420000000</v>
      </c>
      <c r="AQ2" s="3">
        <f t="shared" si="0"/>
        <v>3412420000000</v>
      </c>
    </row>
    <row r="3" spans="1:43">
      <c r="A3" t="s">
        <v>318</v>
      </c>
      <c r="B3" s="3">
        <f>Calculation!Q2</f>
        <v>207600053498.39157</v>
      </c>
      <c r="C3" s="3">
        <f t="shared" ref="C3:R22" si="1">$B3</f>
        <v>207600053498.39157</v>
      </c>
      <c r="D3" s="3">
        <f t="shared" si="1"/>
        <v>207600053498.39157</v>
      </c>
      <c r="E3" s="3">
        <f t="shared" si="1"/>
        <v>207600053498.39157</v>
      </c>
      <c r="F3" s="3">
        <f t="shared" si="1"/>
        <v>207600053498.39157</v>
      </c>
      <c r="G3" s="3">
        <f t="shared" si="1"/>
        <v>207600053498.39157</v>
      </c>
      <c r="H3" s="3">
        <f t="shared" si="1"/>
        <v>207600053498.39157</v>
      </c>
      <c r="I3" s="3">
        <f t="shared" si="1"/>
        <v>207600053498.39157</v>
      </c>
      <c r="J3" s="3">
        <f t="shared" si="1"/>
        <v>207600053498.39157</v>
      </c>
      <c r="K3" s="3">
        <f t="shared" si="1"/>
        <v>207600053498.39157</v>
      </c>
      <c r="L3" s="3">
        <f t="shared" si="1"/>
        <v>207600053498.39157</v>
      </c>
      <c r="M3" s="3">
        <f t="shared" si="1"/>
        <v>207600053498.39157</v>
      </c>
      <c r="N3" s="3">
        <f t="shared" si="1"/>
        <v>207600053498.39157</v>
      </c>
      <c r="O3" s="3">
        <f t="shared" si="1"/>
        <v>207600053498.39157</v>
      </c>
      <c r="P3" s="3">
        <f t="shared" si="1"/>
        <v>207600053498.39157</v>
      </c>
      <c r="Q3" s="3">
        <f t="shared" si="1"/>
        <v>207600053498.39157</v>
      </c>
      <c r="R3" s="3">
        <f t="shared" si="1"/>
        <v>207600053498.39157</v>
      </c>
      <c r="S3" s="3">
        <f t="shared" si="0"/>
        <v>207600053498.39157</v>
      </c>
      <c r="T3" s="3">
        <f t="shared" si="0"/>
        <v>207600053498.39157</v>
      </c>
      <c r="U3" s="3">
        <f t="shared" si="0"/>
        <v>207600053498.39157</v>
      </c>
      <c r="V3" s="3">
        <f t="shared" si="0"/>
        <v>207600053498.39157</v>
      </c>
      <c r="W3" s="3">
        <f t="shared" si="0"/>
        <v>207600053498.39157</v>
      </c>
      <c r="X3" s="3">
        <f t="shared" si="0"/>
        <v>207600053498.39157</v>
      </c>
      <c r="Y3" s="3">
        <f t="shared" si="0"/>
        <v>207600053498.39157</v>
      </c>
      <c r="Z3" s="3">
        <f t="shared" si="0"/>
        <v>207600053498.39157</v>
      </c>
      <c r="AA3" s="3">
        <f t="shared" si="0"/>
        <v>207600053498.39157</v>
      </c>
      <c r="AB3" s="3">
        <f t="shared" si="0"/>
        <v>207600053498.39157</v>
      </c>
      <c r="AC3" s="3">
        <f t="shared" si="0"/>
        <v>207600053498.39157</v>
      </c>
      <c r="AD3" s="3">
        <f t="shared" si="0"/>
        <v>207600053498.39157</v>
      </c>
      <c r="AE3" s="3">
        <f t="shared" si="0"/>
        <v>207600053498.39157</v>
      </c>
      <c r="AF3" s="3">
        <f t="shared" si="0"/>
        <v>207600053498.39157</v>
      </c>
      <c r="AG3" s="3">
        <f t="shared" si="0"/>
        <v>207600053498.39157</v>
      </c>
      <c r="AH3" s="3">
        <f t="shared" si="0"/>
        <v>207600053498.39157</v>
      </c>
      <c r="AI3" s="3">
        <f t="shared" si="0"/>
        <v>207600053498.39157</v>
      </c>
      <c r="AJ3" s="3">
        <f t="shared" si="0"/>
        <v>207600053498.39157</v>
      </c>
      <c r="AK3" s="3">
        <f t="shared" si="0"/>
        <v>207600053498.39157</v>
      </c>
      <c r="AL3" s="3">
        <f t="shared" si="0"/>
        <v>207600053498.39157</v>
      </c>
      <c r="AM3" s="3">
        <f t="shared" si="0"/>
        <v>207600053498.39157</v>
      </c>
      <c r="AN3" s="3">
        <f t="shared" si="0"/>
        <v>207600053498.39157</v>
      </c>
      <c r="AO3" s="3">
        <f t="shared" si="0"/>
        <v>207600053498.39157</v>
      </c>
      <c r="AP3" s="3">
        <f t="shared" si="0"/>
        <v>207600053498.39157</v>
      </c>
      <c r="AQ3" s="3">
        <f t="shared" si="0"/>
        <v>207600053498.39157</v>
      </c>
    </row>
    <row r="4" spans="1:43">
      <c r="A4" t="s">
        <v>319</v>
      </c>
      <c r="B4" s="3">
        <f>Calculation!Q4</f>
        <v>3414271848153.6968</v>
      </c>
      <c r="C4" s="3">
        <f t="shared" si="1"/>
        <v>3414271848153.6968</v>
      </c>
      <c r="D4" s="3">
        <f t="shared" si="0"/>
        <v>3414271848153.6968</v>
      </c>
      <c r="E4" s="3">
        <f t="shared" si="0"/>
        <v>3414271848153.6968</v>
      </c>
      <c r="F4" s="3">
        <f t="shared" si="0"/>
        <v>3414271848153.6968</v>
      </c>
      <c r="G4" s="3">
        <f t="shared" si="0"/>
        <v>3414271848153.6968</v>
      </c>
      <c r="H4" s="3">
        <f t="shared" si="0"/>
        <v>3414271848153.6968</v>
      </c>
      <c r="I4" s="3">
        <f t="shared" si="0"/>
        <v>3414271848153.6968</v>
      </c>
      <c r="J4" s="3">
        <f t="shared" si="0"/>
        <v>3414271848153.6968</v>
      </c>
      <c r="K4" s="3">
        <f t="shared" si="0"/>
        <v>3414271848153.6968</v>
      </c>
      <c r="L4" s="3">
        <f t="shared" si="0"/>
        <v>3414271848153.6968</v>
      </c>
      <c r="M4" s="3">
        <f t="shared" si="0"/>
        <v>3414271848153.6968</v>
      </c>
      <c r="N4" s="3">
        <f t="shared" si="0"/>
        <v>3414271848153.6968</v>
      </c>
      <c r="O4" s="3">
        <f t="shared" si="0"/>
        <v>3414271848153.6968</v>
      </c>
      <c r="P4" s="3">
        <f t="shared" si="0"/>
        <v>3414271848153.6968</v>
      </c>
      <c r="Q4" s="3">
        <f t="shared" si="0"/>
        <v>3414271848153.6968</v>
      </c>
      <c r="R4" s="3">
        <f t="shared" si="0"/>
        <v>3414271848153.6968</v>
      </c>
      <c r="S4" s="3">
        <f t="shared" si="0"/>
        <v>3414271848153.6968</v>
      </c>
      <c r="T4" s="3">
        <f t="shared" si="0"/>
        <v>3414271848153.6968</v>
      </c>
      <c r="U4" s="3">
        <f t="shared" si="0"/>
        <v>3414271848153.6968</v>
      </c>
      <c r="V4" s="3">
        <f t="shared" si="0"/>
        <v>3414271848153.6968</v>
      </c>
      <c r="W4" s="3">
        <f t="shared" si="0"/>
        <v>3414271848153.6968</v>
      </c>
      <c r="X4" s="3">
        <f t="shared" si="0"/>
        <v>3414271848153.6968</v>
      </c>
      <c r="Y4" s="3">
        <f t="shared" si="0"/>
        <v>3414271848153.6968</v>
      </c>
      <c r="Z4" s="3">
        <f t="shared" si="0"/>
        <v>3414271848153.6968</v>
      </c>
      <c r="AA4" s="3">
        <f t="shared" si="0"/>
        <v>3414271848153.6968</v>
      </c>
      <c r="AB4" s="3">
        <f t="shared" si="0"/>
        <v>3414271848153.6968</v>
      </c>
      <c r="AC4" s="3">
        <f t="shared" si="0"/>
        <v>3414271848153.6968</v>
      </c>
      <c r="AD4" s="3">
        <f t="shared" si="0"/>
        <v>3414271848153.6968</v>
      </c>
      <c r="AE4" s="3">
        <f t="shared" si="0"/>
        <v>3414271848153.6968</v>
      </c>
      <c r="AF4" s="3">
        <f t="shared" si="0"/>
        <v>3414271848153.6968</v>
      </c>
      <c r="AG4" s="3">
        <f t="shared" si="0"/>
        <v>3414271848153.6968</v>
      </c>
      <c r="AH4" s="3">
        <f t="shared" si="0"/>
        <v>3414271848153.6968</v>
      </c>
      <c r="AI4" s="3">
        <f t="shared" si="0"/>
        <v>3414271848153.6968</v>
      </c>
      <c r="AJ4" s="3">
        <f t="shared" si="0"/>
        <v>3414271848153.6968</v>
      </c>
      <c r="AK4" s="3">
        <f t="shared" si="0"/>
        <v>3414271848153.6968</v>
      </c>
      <c r="AL4" s="3">
        <f t="shared" si="0"/>
        <v>3414271848153.6968</v>
      </c>
      <c r="AM4" s="3">
        <f t="shared" si="0"/>
        <v>3414271848153.6968</v>
      </c>
      <c r="AN4" s="3">
        <f t="shared" si="0"/>
        <v>3414271848153.6968</v>
      </c>
      <c r="AO4" s="3">
        <f t="shared" si="0"/>
        <v>3414271848153.6968</v>
      </c>
      <c r="AP4" s="3">
        <f t="shared" si="0"/>
        <v>3414271848153.6968</v>
      </c>
      <c r="AQ4" s="3">
        <f t="shared" si="0"/>
        <v>3414271848153.6968</v>
      </c>
    </row>
    <row r="5" spans="1:43">
      <c r="A5" s="183" t="s">
        <v>335</v>
      </c>
      <c r="B5" s="3">
        <f t="shared" ref="B5" si="2">10^12</f>
        <v>1000000000000</v>
      </c>
      <c r="C5" s="3">
        <f t="shared" si="1"/>
        <v>1000000000000</v>
      </c>
      <c r="D5" s="3">
        <f t="shared" si="0"/>
        <v>1000000000000</v>
      </c>
      <c r="E5" s="3">
        <f t="shared" si="0"/>
        <v>1000000000000</v>
      </c>
      <c r="F5" s="3">
        <f t="shared" si="0"/>
        <v>1000000000000</v>
      </c>
      <c r="G5" s="3">
        <f t="shared" si="0"/>
        <v>1000000000000</v>
      </c>
      <c r="H5" s="3">
        <f t="shared" si="0"/>
        <v>1000000000000</v>
      </c>
      <c r="I5" s="3">
        <f t="shared" si="0"/>
        <v>1000000000000</v>
      </c>
      <c r="J5" s="3">
        <f t="shared" si="0"/>
        <v>1000000000000</v>
      </c>
      <c r="K5" s="3">
        <f t="shared" si="0"/>
        <v>1000000000000</v>
      </c>
      <c r="L5" s="3">
        <f t="shared" si="0"/>
        <v>1000000000000</v>
      </c>
      <c r="M5" s="3">
        <f t="shared" si="0"/>
        <v>1000000000000</v>
      </c>
      <c r="N5" s="3">
        <f t="shared" si="0"/>
        <v>1000000000000</v>
      </c>
      <c r="O5" s="3">
        <f t="shared" si="0"/>
        <v>1000000000000</v>
      </c>
      <c r="P5" s="3">
        <f t="shared" si="0"/>
        <v>1000000000000</v>
      </c>
      <c r="Q5" s="3">
        <f t="shared" si="0"/>
        <v>1000000000000</v>
      </c>
      <c r="R5" s="3">
        <f t="shared" si="0"/>
        <v>1000000000000</v>
      </c>
      <c r="S5" s="3">
        <f t="shared" si="0"/>
        <v>1000000000000</v>
      </c>
      <c r="T5" s="3">
        <f t="shared" si="0"/>
        <v>1000000000000</v>
      </c>
      <c r="U5" s="3">
        <f t="shared" si="0"/>
        <v>1000000000000</v>
      </c>
      <c r="V5" s="3">
        <f t="shared" si="0"/>
        <v>1000000000000</v>
      </c>
      <c r="W5" s="3">
        <f t="shared" si="0"/>
        <v>1000000000000</v>
      </c>
      <c r="X5" s="3">
        <f t="shared" si="0"/>
        <v>1000000000000</v>
      </c>
      <c r="Y5" s="3">
        <f t="shared" si="0"/>
        <v>1000000000000</v>
      </c>
      <c r="Z5" s="3">
        <f t="shared" si="0"/>
        <v>1000000000000</v>
      </c>
      <c r="AA5" s="3">
        <f t="shared" si="0"/>
        <v>1000000000000</v>
      </c>
      <c r="AB5" s="3">
        <f t="shared" si="0"/>
        <v>1000000000000</v>
      </c>
      <c r="AC5" s="3">
        <f t="shared" si="0"/>
        <v>1000000000000</v>
      </c>
      <c r="AD5" s="3">
        <f t="shared" si="0"/>
        <v>1000000000000</v>
      </c>
      <c r="AE5" s="3">
        <f t="shared" si="0"/>
        <v>1000000000000</v>
      </c>
      <c r="AF5" s="3">
        <f t="shared" si="0"/>
        <v>1000000000000</v>
      </c>
      <c r="AG5" s="3">
        <f t="shared" si="0"/>
        <v>1000000000000</v>
      </c>
      <c r="AH5" s="3">
        <f t="shared" si="0"/>
        <v>1000000000000</v>
      </c>
      <c r="AI5" s="3">
        <f t="shared" si="0"/>
        <v>1000000000000</v>
      </c>
      <c r="AJ5" s="3">
        <f t="shared" si="0"/>
        <v>1000000000000</v>
      </c>
      <c r="AK5" s="3">
        <f t="shared" si="0"/>
        <v>1000000000000</v>
      </c>
      <c r="AL5" s="3">
        <f t="shared" si="0"/>
        <v>1000000000000</v>
      </c>
      <c r="AM5" s="3">
        <f t="shared" si="0"/>
        <v>1000000000000</v>
      </c>
      <c r="AN5" s="3">
        <f t="shared" si="0"/>
        <v>1000000000000</v>
      </c>
      <c r="AO5" s="3">
        <f t="shared" si="0"/>
        <v>1000000000000</v>
      </c>
      <c r="AP5" s="3">
        <f t="shared" si="0"/>
        <v>1000000000000</v>
      </c>
      <c r="AQ5" s="3">
        <f t="shared" si="0"/>
        <v>1000000000000</v>
      </c>
    </row>
    <row r="6" spans="1:43">
      <c r="A6" s="183" t="s">
        <v>336</v>
      </c>
      <c r="B6" s="3">
        <f>B2</f>
        <v>3412420000000</v>
      </c>
      <c r="C6" s="3">
        <f t="shared" si="1"/>
        <v>3412420000000</v>
      </c>
      <c r="D6" s="3">
        <f t="shared" si="0"/>
        <v>3412420000000</v>
      </c>
      <c r="E6" s="3">
        <f t="shared" si="0"/>
        <v>3412420000000</v>
      </c>
      <c r="F6" s="3">
        <f t="shared" si="0"/>
        <v>3412420000000</v>
      </c>
      <c r="G6" s="3">
        <f t="shared" si="0"/>
        <v>3412420000000</v>
      </c>
      <c r="H6" s="3">
        <f t="shared" si="0"/>
        <v>3412420000000</v>
      </c>
      <c r="I6" s="3">
        <f t="shared" si="0"/>
        <v>3412420000000</v>
      </c>
      <c r="J6" s="3">
        <f t="shared" si="0"/>
        <v>3412420000000</v>
      </c>
      <c r="K6" s="3">
        <f t="shared" si="0"/>
        <v>3412420000000</v>
      </c>
      <c r="L6" s="3">
        <f t="shared" si="0"/>
        <v>3412420000000</v>
      </c>
      <c r="M6" s="3">
        <f t="shared" si="0"/>
        <v>3412420000000</v>
      </c>
      <c r="N6" s="3">
        <f t="shared" si="0"/>
        <v>3412420000000</v>
      </c>
      <c r="O6" s="3">
        <f t="shared" si="0"/>
        <v>3412420000000</v>
      </c>
      <c r="P6" s="3">
        <f t="shared" si="0"/>
        <v>3412420000000</v>
      </c>
      <c r="Q6" s="3">
        <f t="shared" si="0"/>
        <v>3412420000000</v>
      </c>
      <c r="R6" s="3">
        <f t="shared" si="0"/>
        <v>3412420000000</v>
      </c>
      <c r="S6" s="3">
        <f t="shared" si="0"/>
        <v>3412420000000</v>
      </c>
      <c r="T6" s="3">
        <f t="shared" si="0"/>
        <v>3412420000000</v>
      </c>
      <c r="U6" s="3">
        <f t="shared" si="0"/>
        <v>3412420000000</v>
      </c>
      <c r="V6" s="3">
        <f t="shared" si="0"/>
        <v>3412420000000</v>
      </c>
      <c r="W6" s="3">
        <f t="shared" si="0"/>
        <v>3412420000000</v>
      </c>
      <c r="X6" s="3">
        <f t="shared" si="0"/>
        <v>3412420000000</v>
      </c>
      <c r="Y6" s="3">
        <f t="shared" si="0"/>
        <v>3412420000000</v>
      </c>
      <c r="Z6" s="3">
        <f t="shared" si="0"/>
        <v>3412420000000</v>
      </c>
      <c r="AA6" s="3">
        <f t="shared" si="0"/>
        <v>3412420000000</v>
      </c>
      <c r="AB6" s="3">
        <f t="shared" si="0"/>
        <v>3412420000000</v>
      </c>
      <c r="AC6" s="3">
        <f t="shared" si="0"/>
        <v>3412420000000</v>
      </c>
      <c r="AD6" s="3">
        <f t="shared" si="0"/>
        <v>3412420000000</v>
      </c>
      <c r="AE6" s="3">
        <f t="shared" si="0"/>
        <v>3412420000000</v>
      </c>
      <c r="AF6" s="3">
        <f t="shared" si="0"/>
        <v>3412420000000</v>
      </c>
      <c r="AG6" s="3">
        <f t="shared" si="0"/>
        <v>3412420000000</v>
      </c>
      <c r="AH6" s="3">
        <f t="shared" si="0"/>
        <v>3412420000000</v>
      </c>
      <c r="AI6" s="3">
        <f t="shared" si="0"/>
        <v>3412420000000</v>
      </c>
      <c r="AJ6" s="3">
        <f t="shared" si="0"/>
        <v>3412420000000</v>
      </c>
      <c r="AK6" s="3">
        <f t="shared" si="0"/>
        <v>3412420000000</v>
      </c>
      <c r="AL6" s="3">
        <f t="shared" si="0"/>
        <v>3412420000000</v>
      </c>
      <c r="AM6" s="3">
        <f t="shared" si="0"/>
        <v>3412420000000</v>
      </c>
      <c r="AN6" s="3">
        <f t="shared" si="0"/>
        <v>3412420000000</v>
      </c>
      <c r="AO6" s="3">
        <f t="shared" si="0"/>
        <v>3412420000000</v>
      </c>
      <c r="AP6" s="3">
        <f t="shared" si="0"/>
        <v>3412420000000</v>
      </c>
      <c r="AQ6" s="3">
        <f t="shared" si="0"/>
        <v>3412420000000</v>
      </c>
    </row>
    <row r="7" spans="1:43">
      <c r="A7" s="183" t="s">
        <v>337</v>
      </c>
      <c r="B7" s="3">
        <f>B2</f>
        <v>3412420000000</v>
      </c>
      <c r="C7" s="3">
        <f t="shared" si="1"/>
        <v>3412420000000</v>
      </c>
      <c r="D7" s="3">
        <f t="shared" si="0"/>
        <v>3412420000000</v>
      </c>
      <c r="E7" s="3">
        <f t="shared" si="0"/>
        <v>3412420000000</v>
      </c>
      <c r="F7" s="3">
        <f t="shared" si="0"/>
        <v>3412420000000</v>
      </c>
      <c r="G7" s="3">
        <f t="shared" si="0"/>
        <v>3412420000000</v>
      </c>
      <c r="H7" s="3">
        <f t="shared" si="0"/>
        <v>3412420000000</v>
      </c>
      <c r="I7" s="3">
        <f t="shared" si="0"/>
        <v>3412420000000</v>
      </c>
      <c r="J7" s="3">
        <f t="shared" si="0"/>
        <v>3412420000000</v>
      </c>
      <c r="K7" s="3">
        <f t="shared" si="0"/>
        <v>3412420000000</v>
      </c>
      <c r="L7" s="3">
        <f t="shared" si="0"/>
        <v>3412420000000</v>
      </c>
      <c r="M7" s="3">
        <f t="shared" si="0"/>
        <v>3412420000000</v>
      </c>
      <c r="N7" s="3">
        <f t="shared" si="0"/>
        <v>3412420000000</v>
      </c>
      <c r="O7" s="3">
        <f t="shared" si="0"/>
        <v>3412420000000</v>
      </c>
      <c r="P7" s="3">
        <f t="shared" si="0"/>
        <v>3412420000000</v>
      </c>
      <c r="Q7" s="3">
        <f t="shared" si="0"/>
        <v>3412420000000</v>
      </c>
      <c r="R7" s="3">
        <f t="shared" si="0"/>
        <v>3412420000000</v>
      </c>
      <c r="S7" s="3">
        <f t="shared" si="0"/>
        <v>3412420000000</v>
      </c>
      <c r="T7" s="3">
        <f t="shared" si="0"/>
        <v>3412420000000</v>
      </c>
      <c r="U7" s="3">
        <f t="shared" si="0"/>
        <v>3412420000000</v>
      </c>
      <c r="V7" s="3">
        <f t="shared" si="0"/>
        <v>3412420000000</v>
      </c>
      <c r="W7" s="3">
        <f t="shared" si="0"/>
        <v>3412420000000</v>
      </c>
      <c r="X7" s="3">
        <f t="shared" si="0"/>
        <v>3412420000000</v>
      </c>
      <c r="Y7" s="3">
        <f t="shared" si="0"/>
        <v>3412420000000</v>
      </c>
      <c r="Z7" s="3">
        <f t="shared" si="0"/>
        <v>3412420000000</v>
      </c>
      <c r="AA7" s="3">
        <f t="shared" si="0"/>
        <v>3412420000000</v>
      </c>
      <c r="AB7" s="3">
        <f t="shared" si="0"/>
        <v>3412420000000</v>
      </c>
      <c r="AC7" s="3">
        <f t="shared" si="0"/>
        <v>3412420000000</v>
      </c>
      <c r="AD7" s="3">
        <f t="shared" si="0"/>
        <v>3412420000000</v>
      </c>
      <c r="AE7" s="3">
        <f t="shared" si="0"/>
        <v>3412420000000</v>
      </c>
      <c r="AF7" s="3">
        <f t="shared" si="0"/>
        <v>3412420000000</v>
      </c>
      <c r="AG7" s="3">
        <f t="shared" si="0"/>
        <v>3412420000000</v>
      </c>
      <c r="AH7" s="3">
        <f t="shared" si="0"/>
        <v>3412420000000</v>
      </c>
      <c r="AI7" s="3">
        <f t="shared" si="0"/>
        <v>3412420000000</v>
      </c>
      <c r="AJ7" s="3">
        <f t="shared" si="0"/>
        <v>3412420000000</v>
      </c>
      <c r="AK7" s="3">
        <f t="shared" si="0"/>
        <v>3412420000000</v>
      </c>
      <c r="AL7" s="3">
        <f t="shared" si="0"/>
        <v>3412420000000</v>
      </c>
      <c r="AM7" s="3">
        <f t="shared" si="0"/>
        <v>3412420000000</v>
      </c>
      <c r="AN7" s="3">
        <f t="shared" si="0"/>
        <v>3412420000000</v>
      </c>
      <c r="AO7" s="3">
        <f t="shared" si="0"/>
        <v>3412420000000</v>
      </c>
      <c r="AP7" s="3">
        <f t="shared" si="0"/>
        <v>3412420000000</v>
      </c>
      <c r="AQ7" s="3">
        <f t="shared" si="0"/>
        <v>3412420000000</v>
      </c>
    </row>
    <row r="8" spans="1:43">
      <c r="A8" s="183" t="s">
        <v>338</v>
      </c>
      <c r="B8" s="3">
        <f>B2</f>
        <v>3412420000000</v>
      </c>
      <c r="C8" s="3">
        <f t="shared" si="1"/>
        <v>3412420000000</v>
      </c>
      <c r="D8" s="3">
        <f t="shared" si="0"/>
        <v>3412420000000</v>
      </c>
      <c r="E8" s="3">
        <f t="shared" si="0"/>
        <v>3412420000000</v>
      </c>
      <c r="F8" s="3">
        <f t="shared" si="0"/>
        <v>3412420000000</v>
      </c>
      <c r="G8" s="3">
        <f t="shared" si="0"/>
        <v>3412420000000</v>
      </c>
      <c r="H8" s="3">
        <f t="shared" si="0"/>
        <v>3412420000000</v>
      </c>
      <c r="I8" s="3">
        <f t="shared" si="0"/>
        <v>3412420000000</v>
      </c>
      <c r="J8" s="3">
        <f t="shared" si="0"/>
        <v>3412420000000</v>
      </c>
      <c r="K8" s="3">
        <f t="shared" si="0"/>
        <v>3412420000000</v>
      </c>
      <c r="L8" s="3">
        <f t="shared" si="0"/>
        <v>3412420000000</v>
      </c>
      <c r="M8" s="3">
        <f t="shared" si="0"/>
        <v>3412420000000</v>
      </c>
      <c r="N8" s="3">
        <f t="shared" si="0"/>
        <v>3412420000000</v>
      </c>
      <c r="O8" s="3">
        <f t="shared" si="0"/>
        <v>3412420000000</v>
      </c>
      <c r="P8" s="3">
        <f t="shared" si="0"/>
        <v>3412420000000</v>
      </c>
      <c r="Q8" s="3">
        <f t="shared" si="0"/>
        <v>3412420000000</v>
      </c>
      <c r="R8" s="3">
        <f t="shared" si="0"/>
        <v>3412420000000</v>
      </c>
      <c r="S8" s="3">
        <f t="shared" si="0"/>
        <v>3412420000000</v>
      </c>
      <c r="T8" s="3">
        <f t="shared" si="0"/>
        <v>3412420000000</v>
      </c>
      <c r="U8" s="3">
        <f t="shared" si="0"/>
        <v>3412420000000</v>
      </c>
      <c r="V8" s="3">
        <f t="shared" si="0"/>
        <v>3412420000000</v>
      </c>
      <c r="W8" s="3">
        <f t="shared" si="0"/>
        <v>3412420000000</v>
      </c>
      <c r="X8" s="3">
        <f t="shared" si="0"/>
        <v>3412420000000</v>
      </c>
      <c r="Y8" s="3">
        <f t="shared" si="0"/>
        <v>3412420000000</v>
      </c>
      <c r="Z8" s="3">
        <f t="shared" si="0"/>
        <v>3412420000000</v>
      </c>
      <c r="AA8" s="3">
        <f t="shared" si="0"/>
        <v>3412420000000</v>
      </c>
      <c r="AB8" s="3">
        <f t="shared" si="0"/>
        <v>3412420000000</v>
      </c>
      <c r="AC8" s="3">
        <f t="shared" si="0"/>
        <v>3412420000000</v>
      </c>
      <c r="AD8" s="3">
        <f t="shared" si="0"/>
        <v>3412420000000</v>
      </c>
      <c r="AE8" s="3">
        <f t="shared" si="0"/>
        <v>3412420000000</v>
      </c>
      <c r="AF8" s="3">
        <f t="shared" si="0"/>
        <v>3412420000000</v>
      </c>
      <c r="AG8" s="3">
        <f t="shared" si="0"/>
        <v>3412420000000</v>
      </c>
      <c r="AH8" s="3">
        <f t="shared" ref="D8:AQ15" si="3">$B8</f>
        <v>3412420000000</v>
      </c>
      <c r="AI8" s="3">
        <f t="shared" si="3"/>
        <v>3412420000000</v>
      </c>
      <c r="AJ8" s="3">
        <f t="shared" si="3"/>
        <v>3412420000000</v>
      </c>
      <c r="AK8" s="3">
        <f t="shared" si="3"/>
        <v>3412420000000</v>
      </c>
      <c r="AL8" s="3">
        <f t="shared" si="3"/>
        <v>3412420000000</v>
      </c>
      <c r="AM8" s="3">
        <f t="shared" si="3"/>
        <v>3412420000000</v>
      </c>
      <c r="AN8" s="3">
        <f t="shared" si="3"/>
        <v>3412420000000</v>
      </c>
      <c r="AO8" s="3">
        <f t="shared" si="3"/>
        <v>3412420000000</v>
      </c>
      <c r="AP8" s="3">
        <f t="shared" si="3"/>
        <v>3412420000000</v>
      </c>
      <c r="AQ8" s="3">
        <f t="shared" si="3"/>
        <v>3412420000000</v>
      </c>
    </row>
    <row r="9" spans="1:43">
      <c r="A9" t="s">
        <v>320</v>
      </c>
      <c r="B9" s="3">
        <f>Calculation!Q13</f>
        <v>142712846907.58313</v>
      </c>
      <c r="C9" s="3">
        <f t="shared" si="1"/>
        <v>142712846907.58313</v>
      </c>
      <c r="D9" s="3">
        <f t="shared" si="3"/>
        <v>142712846907.58313</v>
      </c>
      <c r="E9" s="3">
        <f t="shared" si="3"/>
        <v>142712846907.58313</v>
      </c>
      <c r="F9" s="3">
        <f t="shared" si="3"/>
        <v>142712846907.58313</v>
      </c>
      <c r="G9" s="3">
        <f t="shared" si="3"/>
        <v>142712846907.58313</v>
      </c>
      <c r="H9" s="3">
        <f t="shared" si="3"/>
        <v>142712846907.58313</v>
      </c>
      <c r="I9" s="3">
        <f t="shared" si="3"/>
        <v>142712846907.58313</v>
      </c>
      <c r="J9" s="3">
        <f t="shared" si="3"/>
        <v>142712846907.58313</v>
      </c>
      <c r="K9" s="3">
        <f t="shared" si="3"/>
        <v>142712846907.58313</v>
      </c>
      <c r="L9" s="3">
        <f t="shared" si="3"/>
        <v>142712846907.58313</v>
      </c>
      <c r="M9" s="3">
        <f t="shared" si="3"/>
        <v>142712846907.58313</v>
      </c>
      <c r="N9" s="3">
        <f t="shared" si="3"/>
        <v>142712846907.58313</v>
      </c>
      <c r="O9" s="3">
        <f t="shared" si="3"/>
        <v>142712846907.58313</v>
      </c>
      <c r="P9" s="3">
        <f t="shared" si="3"/>
        <v>142712846907.58313</v>
      </c>
      <c r="Q9" s="3">
        <f t="shared" si="3"/>
        <v>142712846907.58313</v>
      </c>
      <c r="R9" s="3">
        <f t="shared" si="3"/>
        <v>142712846907.58313</v>
      </c>
      <c r="S9" s="3">
        <f t="shared" si="3"/>
        <v>142712846907.58313</v>
      </c>
      <c r="T9" s="3">
        <f t="shared" si="3"/>
        <v>142712846907.58313</v>
      </c>
      <c r="U9" s="3">
        <f t="shared" si="3"/>
        <v>142712846907.58313</v>
      </c>
      <c r="V9" s="3">
        <f t="shared" si="3"/>
        <v>142712846907.58313</v>
      </c>
      <c r="W9" s="3">
        <f t="shared" si="3"/>
        <v>142712846907.58313</v>
      </c>
      <c r="X9" s="3">
        <f t="shared" si="3"/>
        <v>142712846907.58313</v>
      </c>
      <c r="Y9" s="3">
        <f t="shared" si="3"/>
        <v>142712846907.58313</v>
      </c>
      <c r="Z9" s="3">
        <f t="shared" si="3"/>
        <v>142712846907.58313</v>
      </c>
      <c r="AA9" s="3">
        <f t="shared" si="3"/>
        <v>142712846907.58313</v>
      </c>
      <c r="AB9" s="3">
        <f t="shared" si="3"/>
        <v>142712846907.58313</v>
      </c>
      <c r="AC9" s="3">
        <f t="shared" si="3"/>
        <v>142712846907.58313</v>
      </c>
      <c r="AD9" s="3">
        <f t="shared" si="3"/>
        <v>142712846907.58313</v>
      </c>
      <c r="AE9" s="3">
        <f t="shared" si="3"/>
        <v>142712846907.58313</v>
      </c>
      <c r="AF9" s="3">
        <f t="shared" si="3"/>
        <v>142712846907.58313</v>
      </c>
      <c r="AG9" s="3">
        <f t="shared" si="3"/>
        <v>142712846907.58313</v>
      </c>
      <c r="AH9" s="3">
        <f t="shared" si="3"/>
        <v>142712846907.58313</v>
      </c>
      <c r="AI9" s="3">
        <f t="shared" si="3"/>
        <v>142712846907.58313</v>
      </c>
      <c r="AJ9" s="3">
        <f t="shared" si="3"/>
        <v>142712846907.58313</v>
      </c>
      <c r="AK9" s="3">
        <f t="shared" si="3"/>
        <v>142712846907.58313</v>
      </c>
      <c r="AL9" s="3">
        <f t="shared" si="3"/>
        <v>142712846907.58313</v>
      </c>
      <c r="AM9" s="3">
        <f t="shared" si="3"/>
        <v>142712846907.58313</v>
      </c>
      <c r="AN9" s="3">
        <f t="shared" si="3"/>
        <v>142712846907.58313</v>
      </c>
      <c r="AO9" s="3">
        <f t="shared" si="3"/>
        <v>142712846907.58313</v>
      </c>
      <c r="AP9" s="3">
        <f t="shared" si="3"/>
        <v>142712846907.58313</v>
      </c>
      <c r="AQ9" s="3">
        <f t="shared" si="3"/>
        <v>142712846907.58313</v>
      </c>
    </row>
    <row r="10" spans="1:43">
      <c r="A10" t="s">
        <v>321</v>
      </c>
      <c r="B10" s="3">
        <f>Calculation!Q7</f>
        <v>408224834732.68268</v>
      </c>
      <c r="C10" s="3">
        <f t="shared" si="1"/>
        <v>408224834732.68268</v>
      </c>
      <c r="D10" s="3">
        <f t="shared" si="3"/>
        <v>408224834732.68268</v>
      </c>
      <c r="E10" s="3">
        <f t="shared" si="3"/>
        <v>408224834732.68268</v>
      </c>
      <c r="F10" s="3">
        <f t="shared" si="3"/>
        <v>408224834732.68268</v>
      </c>
      <c r="G10" s="3">
        <f t="shared" si="3"/>
        <v>408224834732.68268</v>
      </c>
      <c r="H10" s="3">
        <f t="shared" si="3"/>
        <v>408224834732.68268</v>
      </c>
      <c r="I10" s="3">
        <f t="shared" si="3"/>
        <v>408224834732.68268</v>
      </c>
      <c r="J10" s="3">
        <f t="shared" si="3"/>
        <v>408224834732.68268</v>
      </c>
      <c r="K10" s="3">
        <f t="shared" si="3"/>
        <v>408224834732.68268</v>
      </c>
      <c r="L10" s="3">
        <f t="shared" si="3"/>
        <v>408224834732.68268</v>
      </c>
      <c r="M10" s="3">
        <f t="shared" si="3"/>
        <v>408224834732.68268</v>
      </c>
      <c r="N10" s="3">
        <f t="shared" si="3"/>
        <v>408224834732.68268</v>
      </c>
      <c r="O10" s="3">
        <f t="shared" si="3"/>
        <v>408224834732.68268</v>
      </c>
      <c r="P10" s="3">
        <f t="shared" si="3"/>
        <v>408224834732.68268</v>
      </c>
      <c r="Q10" s="3">
        <f t="shared" si="3"/>
        <v>408224834732.68268</v>
      </c>
      <c r="R10" s="3">
        <f t="shared" si="3"/>
        <v>408224834732.68268</v>
      </c>
      <c r="S10" s="3">
        <f t="shared" si="3"/>
        <v>408224834732.68268</v>
      </c>
      <c r="T10" s="3">
        <f t="shared" si="3"/>
        <v>408224834732.68268</v>
      </c>
      <c r="U10" s="3">
        <f t="shared" si="3"/>
        <v>408224834732.68268</v>
      </c>
      <c r="V10" s="3">
        <f t="shared" si="3"/>
        <v>408224834732.68268</v>
      </c>
      <c r="W10" s="3">
        <f t="shared" si="3"/>
        <v>408224834732.68268</v>
      </c>
      <c r="X10" s="3">
        <f t="shared" si="3"/>
        <v>408224834732.68268</v>
      </c>
      <c r="Y10" s="3">
        <f t="shared" si="3"/>
        <v>408224834732.68268</v>
      </c>
      <c r="Z10" s="3">
        <f t="shared" si="3"/>
        <v>408224834732.68268</v>
      </c>
      <c r="AA10" s="3">
        <f t="shared" si="3"/>
        <v>408224834732.68268</v>
      </c>
      <c r="AB10" s="3">
        <f t="shared" si="3"/>
        <v>408224834732.68268</v>
      </c>
      <c r="AC10" s="3">
        <f t="shared" si="3"/>
        <v>408224834732.68268</v>
      </c>
      <c r="AD10" s="3">
        <f t="shared" si="3"/>
        <v>408224834732.68268</v>
      </c>
      <c r="AE10" s="3">
        <f t="shared" si="3"/>
        <v>408224834732.68268</v>
      </c>
      <c r="AF10" s="3">
        <f t="shared" si="3"/>
        <v>408224834732.68268</v>
      </c>
      <c r="AG10" s="3">
        <f t="shared" si="3"/>
        <v>408224834732.68268</v>
      </c>
      <c r="AH10" s="3">
        <f t="shared" si="3"/>
        <v>408224834732.68268</v>
      </c>
      <c r="AI10" s="3">
        <f t="shared" si="3"/>
        <v>408224834732.68268</v>
      </c>
      <c r="AJ10" s="3">
        <f t="shared" si="3"/>
        <v>408224834732.68268</v>
      </c>
      <c r="AK10" s="3">
        <f t="shared" si="3"/>
        <v>408224834732.68268</v>
      </c>
      <c r="AL10" s="3">
        <f t="shared" si="3"/>
        <v>408224834732.68268</v>
      </c>
      <c r="AM10" s="3">
        <f t="shared" si="3"/>
        <v>408224834732.68268</v>
      </c>
      <c r="AN10" s="3">
        <f t="shared" si="3"/>
        <v>408224834732.68268</v>
      </c>
      <c r="AO10" s="3">
        <f t="shared" si="3"/>
        <v>408224834732.68268</v>
      </c>
      <c r="AP10" s="3">
        <f t="shared" si="3"/>
        <v>408224834732.68268</v>
      </c>
      <c r="AQ10" s="3">
        <f t="shared" si="3"/>
        <v>408224834732.68268</v>
      </c>
    </row>
    <row r="11" spans="1:43">
      <c r="A11" t="s">
        <v>322</v>
      </c>
      <c r="B11" s="3">
        <f>Calculation!Q5</f>
        <v>400409978101.12097</v>
      </c>
      <c r="C11" s="3">
        <f t="shared" si="1"/>
        <v>400409978101.12097</v>
      </c>
      <c r="D11" s="3">
        <f t="shared" si="3"/>
        <v>400409978101.12097</v>
      </c>
      <c r="E11" s="3">
        <f t="shared" si="3"/>
        <v>400409978101.12097</v>
      </c>
      <c r="F11" s="3">
        <f t="shared" si="3"/>
        <v>400409978101.12097</v>
      </c>
      <c r="G11" s="3">
        <f t="shared" si="3"/>
        <v>400409978101.12097</v>
      </c>
      <c r="H11" s="3">
        <f t="shared" si="3"/>
        <v>400409978101.12097</v>
      </c>
      <c r="I11" s="3">
        <f t="shared" si="3"/>
        <v>400409978101.12097</v>
      </c>
      <c r="J11" s="3">
        <f t="shared" si="3"/>
        <v>400409978101.12097</v>
      </c>
      <c r="K11" s="3">
        <f t="shared" si="3"/>
        <v>400409978101.12097</v>
      </c>
      <c r="L11" s="3">
        <f t="shared" si="3"/>
        <v>400409978101.12097</v>
      </c>
      <c r="M11" s="3">
        <f t="shared" si="3"/>
        <v>400409978101.12097</v>
      </c>
      <c r="N11" s="3">
        <f t="shared" si="3"/>
        <v>400409978101.12097</v>
      </c>
      <c r="O11" s="3">
        <f t="shared" si="3"/>
        <v>400409978101.12097</v>
      </c>
      <c r="P11" s="3">
        <f t="shared" si="3"/>
        <v>400409978101.12097</v>
      </c>
      <c r="Q11" s="3">
        <f t="shared" si="3"/>
        <v>400409978101.12097</v>
      </c>
      <c r="R11" s="3">
        <f t="shared" si="3"/>
        <v>400409978101.12097</v>
      </c>
      <c r="S11" s="3">
        <f t="shared" si="3"/>
        <v>400409978101.12097</v>
      </c>
      <c r="T11" s="3">
        <f t="shared" si="3"/>
        <v>400409978101.12097</v>
      </c>
      <c r="U11" s="3">
        <f t="shared" si="3"/>
        <v>400409978101.12097</v>
      </c>
      <c r="V11" s="3">
        <f t="shared" si="3"/>
        <v>400409978101.12097</v>
      </c>
      <c r="W11" s="3">
        <f t="shared" si="3"/>
        <v>400409978101.12097</v>
      </c>
      <c r="X11" s="3">
        <f t="shared" si="3"/>
        <v>400409978101.12097</v>
      </c>
      <c r="Y11" s="3">
        <f t="shared" si="3"/>
        <v>400409978101.12097</v>
      </c>
      <c r="Z11" s="3">
        <f t="shared" si="3"/>
        <v>400409978101.12097</v>
      </c>
      <c r="AA11" s="3">
        <f t="shared" si="3"/>
        <v>400409978101.12097</v>
      </c>
      <c r="AB11" s="3">
        <f t="shared" si="3"/>
        <v>400409978101.12097</v>
      </c>
      <c r="AC11" s="3">
        <f t="shared" si="3"/>
        <v>400409978101.12097</v>
      </c>
      <c r="AD11" s="3">
        <f t="shared" si="3"/>
        <v>400409978101.12097</v>
      </c>
      <c r="AE11" s="3">
        <f t="shared" si="3"/>
        <v>400409978101.12097</v>
      </c>
      <c r="AF11" s="3">
        <f t="shared" si="3"/>
        <v>400409978101.12097</v>
      </c>
      <c r="AG11" s="3">
        <f t="shared" si="3"/>
        <v>400409978101.12097</v>
      </c>
      <c r="AH11" s="3">
        <f t="shared" si="3"/>
        <v>400409978101.12097</v>
      </c>
      <c r="AI11" s="3">
        <f t="shared" si="3"/>
        <v>400409978101.12097</v>
      </c>
      <c r="AJ11" s="3">
        <f t="shared" si="3"/>
        <v>400409978101.12097</v>
      </c>
      <c r="AK11" s="3">
        <f t="shared" si="3"/>
        <v>400409978101.12097</v>
      </c>
      <c r="AL11" s="3">
        <f t="shared" si="3"/>
        <v>400409978101.12097</v>
      </c>
      <c r="AM11" s="3">
        <f t="shared" si="3"/>
        <v>400409978101.12097</v>
      </c>
      <c r="AN11" s="3">
        <f t="shared" si="3"/>
        <v>400409978101.12097</v>
      </c>
      <c r="AO11" s="3">
        <f t="shared" si="3"/>
        <v>400409978101.12097</v>
      </c>
      <c r="AP11" s="3">
        <f t="shared" si="3"/>
        <v>400409978101.12097</v>
      </c>
      <c r="AQ11" s="3">
        <f t="shared" si="3"/>
        <v>400409978101.12097</v>
      </c>
    </row>
    <row r="12" spans="1:43">
      <c r="A12" t="s">
        <v>323</v>
      </c>
      <c r="B12" s="3">
        <f>B13/AVERAGE('GREET1 Fuel_Specs'!B42:B44)*AVERAGE('GREET1 Fuel_Specs'!B45:B47)</f>
        <v>355027299815.58264</v>
      </c>
      <c r="C12" s="3">
        <f t="shared" si="1"/>
        <v>355027299815.58264</v>
      </c>
      <c r="D12" s="3">
        <f t="shared" si="3"/>
        <v>355027299815.58264</v>
      </c>
      <c r="E12" s="3">
        <f t="shared" si="3"/>
        <v>355027299815.58264</v>
      </c>
      <c r="F12" s="3">
        <f t="shared" si="3"/>
        <v>355027299815.58264</v>
      </c>
      <c r="G12" s="3">
        <f t="shared" si="3"/>
        <v>355027299815.58264</v>
      </c>
      <c r="H12" s="3">
        <f t="shared" si="3"/>
        <v>355027299815.58264</v>
      </c>
      <c r="I12" s="3">
        <f t="shared" si="3"/>
        <v>355027299815.58264</v>
      </c>
      <c r="J12" s="3">
        <f t="shared" si="3"/>
        <v>355027299815.58264</v>
      </c>
      <c r="K12" s="3">
        <f t="shared" si="3"/>
        <v>355027299815.58264</v>
      </c>
      <c r="L12" s="3">
        <f t="shared" si="3"/>
        <v>355027299815.58264</v>
      </c>
      <c r="M12" s="3">
        <f t="shared" si="3"/>
        <v>355027299815.58264</v>
      </c>
      <c r="N12" s="3">
        <f t="shared" si="3"/>
        <v>355027299815.58264</v>
      </c>
      <c r="O12" s="3">
        <f t="shared" si="3"/>
        <v>355027299815.58264</v>
      </c>
      <c r="P12" s="3">
        <f t="shared" si="3"/>
        <v>355027299815.58264</v>
      </c>
      <c r="Q12" s="3">
        <f t="shared" si="3"/>
        <v>355027299815.58264</v>
      </c>
      <c r="R12" s="3">
        <f t="shared" si="3"/>
        <v>355027299815.58264</v>
      </c>
      <c r="S12" s="3">
        <f t="shared" si="3"/>
        <v>355027299815.58264</v>
      </c>
      <c r="T12" s="3">
        <f t="shared" si="3"/>
        <v>355027299815.58264</v>
      </c>
      <c r="U12" s="3">
        <f t="shared" si="3"/>
        <v>355027299815.58264</v>
      </c>
      <c r="V12" s="3">
        <f t="shared" si="3"/>
        <v>355027299815.58264</v>
      </c>
      <c r="W12" s="3">
        <f t="shared" si="3"/>
        <v>355027299815.58264</v>
      </c>
      <c r="X12" s="3">
        <f t="shared" si="3"/>
        <v>355027299815.58264</v>
      </c>
      <c r="Y12" s="3">
        <f t="shared" si="3"/>
        <v>355027299815.58264</v>
      </c>
      <c r="Z12" s="3">
        <f t="shared" si="3"/>
        <v>355027299815.58264</v>
      </c>
      <c r="AA12" s="3">
        <f t="shared" si="3"/>
        <v>355027299815.58264</v>
      </c>
      <c r="AB12" s="3">
        <f t="shared" si="3"/>
        <v>355027299815.58264</v>
      </c>
      <c r="AC12" s="3">
        <f t="shared" si="3"/>
        <v>355027299815.58264</v>
      </c>
      <c r="AD12" s="3">
        <f t="shared" si="3"/>
        <v>355027299815.58264</v>
      </c>
      <c r="AE12" s="3">
        <f t="shared" si="3"/>
        <v>355027299815.58264</v>
      </c>
      <c r="AF12" s="3">
        <f t="shared" si="3"/>
        <v>355027299815.58264</v>
      </c>
      <c r="AG12" s="3">
        <f t="shared" si="3"/>
        <v>355027299815.58264</v>
      </c>
      <c r="AH12" s="3">
        <f t="shared" si="3"/>
        <v>355027299815.58264</v>
      </c>
      <c r="AI12" s="3">
        <f t="shared" si="3"/>
        <v>355027299815.58264</v>
      </c>
      <c r="AJ12" s="3">
        <f t="shared" si="3"/>
        <v>355027299815.58264</v>
      </c>
      <c r="AK12" s="3">
        <f t="shared" si="3"/>
        <v>355027299815.58264</v>
      </c>
      <c r="AL12" s="3">
        <f t="shared" si="3"/>
        <v>355027299815.58264</v>
      </c>
      <c r="AM12" s="3">
        <f t="shared" si="3"/>
        <v>355027299815.58264</v>
      </c>
      <c r="AN12" s="3">
        <f t="shared" si="3"/>
        <v>355027299815.58264</v>
      </c>
      <c r="AO12" s="3">
        <f t="shared" si="3"/>
        <v>355027299815.58264</v>
      </c>
      <c r="AP12" s="3">
        <f t="shared" si="3"/>
        <v>355027299815.58264</v>
      </c>
      <c r="AQ12" s="3">
        <f t="shared" si="3"/>
        <v>355027299815.58264</v>
      </c>
    </row>
    <row r="13" spans="1:43">
      <c r="A13" t="s">
        <v>324</v>
      </c>
      <c r="B13" s="3">
        <f>About!B84*10^4</f>
        <v>378049784154.68378</v>
      </c>
      <c r="C13" s="3">
        <f t="shared" si="1"/>
        <v>378049784154.68378</v>
      </c>
      <c r="D13" s="3">
        <f t="shared" si="3"/>
        <v>378049784154.68378</v>
      </c>
      <c r="E13" s="3">
        <f t="shared" si="3"/>
        <v>378049784154.68378</v>
      </c>
      <c r="F13" s="3">
        <f t="shared" si="3"/>
        <v>378049784154.68378</v>
      </c>
      <c r="G13" s="3">
        <f t="shared" si="3"/>
        <v>378049784154.68378</v>
      </c>
      <c r="H13" s="3">
        <f t="shared" si="3"/>
        <v>378049784154.68378</v>
      </c>
      <c r="I13" s="3">
        <f t="shared" si="3"/>
        <v>378049784154.68378</v>
      </c>
      <c r="J13" s="3">
        <f t="shared" si="3"/>
        <v>378049784154.68378</v>
      </c>
      <c r="K13" s="3">
        <f t="shared" si="3"/>
        <v>378049784154.68378</v>
      </c>
      <c r="L13" s="3">
        <f t="shared" si="3"/>
        <v>378049784154.68378</v>
      </c>
      <c r="M13" s="3">
        <f t="shared" si="3"/>
        <v>378049784154.68378</v>
      </c>
      <c r="N13" s="3">
        <f t="shared" si="3"/>
        <v>378049784154.68378</v>
      </c>
      <c r="O13" s="3">
        <f t="shared" si="3"/>
        <v>378049784154.68378</v>
      </c>
      <c r="P13" s="3">
        <f t="shared" si="3"/>
        <v>378049784154.68378</v>
      </c>
      <c r="Q13" s="3">
        <f t="shared" si="3"/>
        <v>378049784154.68378</v>
      </c>
      <c r="R13" s="3">
        <f t="shared" si="3"/>
        <v>378049784154.68378</v>
      </c>
      <c r="S13" s="3">
        <f t="shared" si="3"/>
        <v>378049784154.68378</v>
      </c>
      <c r="T13" s="3">
        <f t="shared" si="3"/>
        <v>378049784154.68378</v>
      </c>
      <c r="U13" s="3">
        <f t="shared" si="3"/>
        <v>378049784154.68378</v>
      </c>
      <c r="V13" s="3">
        <f t="shared" si="3"/>
        <v>378049784154.68378</v>
      </c>
      <c r="W13" s="3">
        <f t="shared" si="3"/>
        <v>378049784154.68378</v>
      </c>
      <c r="X13" s="3">
        <f t="shared" si="3"/>
        <v>378049784154.68378</v>
      </c>
      <c r="Y13" s="3">
        <f t="shared" si="3"/>
        <v>378049784154.68378</v>
      </c>
      <c r="Z13" s="3">
        <f t="shared" si="3"/>
        <v>378049784154.68378</v>
      </c>
      <c r="AA13" s="3">
        <f t="shared" si="3"/>
        <v>378049784154.68378</v>
      </c>
      <c r="AB13" s="3">
        <f t="shared" si="3"/>
        <v>378049784154.68378</v>
      </c>
      <c r="AC13" s="3">
        <f t="shared" si="3"/>
        <v>378049784154.68378</v>
      </c>
      <c r="AD13" s="3">
        <f t="shared" si="3"/>
        <v>378049784154.68378</v>
      </c>
      <c r="AE13" s="3">
        <f t="shared" si="3"/>
        <v>378049784154.68378</v>
      </c>
      <c r="AF13" s="3">
        <f t="shared" si="3"/>
        <v>378049784154.68378</v>
      </c>
      <c r="AG13" s="3">
        <f t="shared" si="3"/>
        <v>378049784154.68378</v>
      </c>
      <c r="AH13" s="3">
        <f t="shared" si="3"/>
        <v>378049784154.68378</v>
      </c>
      <c r="AI13" s="3">
        <f t="shared" si="3"/>
        <v>378049784154.68378</v>
      </c>
      <c r="AJ13" s="3">
        <f t="shared" si="3"/>
        <v>378049784154.68378</v>
      </c>
      <c r="AK13" s="3">
        <f t="shared" si="3"/>
        <v>378049784154.68378</v>
      </c>
      <c r="AL13" s="3">
        <f t="shared" si="3"/>
        <v>378049784154.68378</v>
      </c>
      <c r="AM13" s="3">
        <f t="shared" si="3"/>
        <v>378049784154.68378</v>
      </c>
      <c r="AN13" s="3">
        <f t="shared" si="3"/>
        <v>378049784154.68378</v>
      </c>
      <c r="AO13" s="3">
        <f t="shared" si="3"/>
        <v>378049784154.68378</v>
      </c>
      <c r="AP13" s="3">
        <f t="shared" si="3"/>
        <v>378049784154.68378</v>
      </c>
      <c r="AQ13" s="3">
        <f t="shared" si="3"/>
        <v>378049784154.68378</v>
      </c>
    </row>
    <row r="14" spans="1:43">
      <c r="A14" t="s">
        <v>365</v>
      </c>
      <c r="B14" s="3">
        <f>Calculation!Q8</f>
        <v>408224834732.68268</v>
      </c>
      <c r="C14" s="3">
        <f t="shared" si="1"/>
        <v>408224834732.68268</v>
      </c>
      <c r="D14" s="3">
        <f t="shared" si="3"/>
        <v>408224834732.68268</v>
      </c>
      <c r="E14" s="3">
        <f t="shared" si="3"/>
        <v>408224834732.68268</v>
      </c>
      <c r="F14" s="3">
        <f t="shared" si="3"/>
        <v>408224834732.68268</v>
      </c>
      <c r="G14" s="3">
        <f t="shared" si="3"/>
        <v>408224834732.68268</v>
      </c>
      <c r="H14" s="3">
        <f t="shared" si="3"/>
        <v>408224834732.68268</v>
      </c>
      <c r="I14" s="3">
        <f t="shared" si="3"/>
        <v>408224834732.68268</v>
      </c>
      <c r="J14" s="3">
        <f t="shared" si="3"/>
        <v>408224834732.68268</v>
      </c>
      <c r="K14" s="3">
        <f t="shared" si="3"/>
        <v>408224834732.68268</v>
      </c>
      <c r="L14" s="3">
        <f t="shared" si="3"/>
        <v>408224834732.68268</v>
      </c>
      <c r="M14" s="3">
        <f t="shared" si="3"/>
        <v>408224834732.68268</v>
      </c>
      <c r="N14" s="3">
        <f t="shared" si="3"/>
        <v>408224834732.68268</v>
      </c>
      <c r="O14" s="3">
        <f t="shared" si="3"/>
        <v>408224834732.68268</v>
      </c>
      <c r="P14" s="3">
        <f t="shared" si="3"/>
        <v>408224834732.68268</v>
      </c>
      <c r="Q14" s="3">
        <f t="shared" si="3"/>
        <v>408224834732.68268</v>
      </c>
      <c r="R14" s="3">
        <f t="shared" si="3"/>
        <v>408224834732.68268</v>
      </c>
      <c r="S14" s="3">
        <f t="shared" si="3"/>
        <v>408224834732.68268</v>
      </c>
      <c r="T14" s="3">
        <f t="shared" si="3"/>
        <v>408224834732.68268</v>
      </c>
      <c r="U14" s="3">
        <f t="shared" si="3"/>
        <v>408224834732.68268</v>
      </c>
      <c r="V14" s="3">
        <f t="shared" si="3"/>
        <v>408224834732.68268</v>
      </c>
      <c r="W14" s="3">
        <f t="shared" si="3"/>
        <v>408224834732.68268</v>
      </c>
      <c r="X14" s="3">
        <f t="shared" si="3"/>
        <v>408224834732.68268</v>
      </c>
      <c r="Y14" s="3">
        <f t="shared" si="3"/>
        <v>408224834732.68268</v>
      </c>
      <c r="Z14" s="3">
        <f t="shared" si="3"/>
        <v>408224834732.68268</v>
      </c>
      <c r="AA14" s="3">
        <f t="shared" si="3"/>
        <v>408224834732.68268</v>
      </c>
      <c r="AB14" s="3">
        <f t="shared" si="3"/>
        <v>408224834732.68268</v>
      </c>
      <c r="AC14" s="3">
        <f t="shared" si="3"/>
        <v>408224834732.68268</v>
      </c>
      <c r="AD14" s="3">
        <f t="shared" si="3"/>
        <v>408224834732.68268</v>
      </c>
      <c r="AE14" s="3">
        <f t="shared" si="3"/>
        <v>408224834732.68268</v>
      </c>
      <c r="AF14" s="3">
        <f t="shared" si="3"/>
        <v>408224834732.68268</v>
      </c>
      <c r="AG14" s="3">
        <f t="shared" si="3"/>
        <v>408224834732.68268</v>
      </c>
      <c r="AH14" s="3">
        <f t="shared" si="3"/>
        <v>408224834732.68268</v>
      </c>
      <c r="AI14" s="3">
        <f t="shared" si="3"/>
        <v>408224834732.68268</v>
      </c>
      <c r="AJ14" s="3">
        <f t="shared" si="3"/>
        <v>408224834732.68268</v>
      </c>
      <c r="AK14" s="3">
        <f t="shared" si="3"/>
        <v>408224834732.68268</v>
      </c>
      <c r="AL14" s="3">
        <f t="shared" si="3"/>
        <v>408224834732.68268</v>
      </c>
      <c r="AM14" s="3">
        <f t="shared" si="3"/>
        <v>408224834732.68268</v>
      </c>
      <c r="AN14" s="3">
        <f t="shared" si="3"/>
        <v>408224834732.68268</v>
      </c>
      <c r="AO14" s="3">
        <f t="shared" si="3"/>
        <v>408224834732.68268</v>
      </c>
      <c r="AP14" s="3">
        <f t="shared" si="3"/>
        <v>408224834732.68268</v>
      </c>
      <c r="AQ14" s="3">
        <f t="shared" si="3"/>
        <v>408224834732.68268</v>
      </c>
    </row>
    <row r="15" spans="1:43">
      <c r="A15" s="183" t="s">
        <v>342</v>
      </c>
      <c r="B15" s="3">
        <f>About!$A$73*10^6</f>
        <v>3412420000000</v>
      </c>
      <c r="C15" s="3">
        <f t="shared" si="1"/>
        <v>3412420000000</v>
      </c>
      <c r="D15" s="3">
        <f t="shared" si="3"/>
        <v>3412420000000</v>
      </c>
      <c r="E15" s="3">
        <f t="shared" si="3"/>
        <v>3412420000000</v>
      </c>
      <c r="F15" s="3">
        <f t="shared" si="3"/>
        <v>3412420000000</v>
      </c>
      <c r="G15" s="3">
        <f t="shared" si="3"/>
        <v>3412420000000</v>
      </c>
      <c r="H15" s="3">
        <f t="shared" si="3"/>
        <v>3412420000000</v>
      </c>
      <c r="I15" s="3">
        <f t="shared" ref="D15:AQ21" si="4">$B15</f>
        <v>3412420000000</v>
      </c>
      <c r="J15" s="3">
        <f t="shared" si="4"/>
        <v>3412420000000</v>
      </c>
      <c r="K15" s="3">
        <f t="shared" si="4"/>
        <v>3412420000000</v>
      </c>
      <c r="L15" s="3">
        <f t="shared" si="4"/>
        <v>3412420000000</v>
      </c>
      <c r="M15" s="3">
        <f t="shared" si="4"/>
        <v>3412420000000</v>
      </c>
      <c r="N15" s="3">
        <f t="shared" si="4"/>
        <v>3412420000000</v>
      </c>
      <c r="O15" s="3">
        <f t="shared" si="4"/>
        <v>3412420000000</v>
      </c>
      <c r="P15" s="3">
        <f t="shared" si="4"/>
        <v>3412420000000</v>
      </c>
      <c r="Q15" s="3">
        <f t="shared" si="4"/>
        <v>3412420000000</v>
      </c>
      <c r="R15" s="3">
        <f t="shared" si="4"/>
        <v>3412420000000</v>
      </c>
      <c r="S15" s="3">
        <f t="shared" si="4"/>
        <v>3412420000000</v>
      </c>
      <c r="T15" s="3">
        <f t="shared" si="4"/>
        <v>3412420000000</v>
      </c>
      <c r="U15" s="3">
        <f t="shared" si="4"/>
        <v>3412420000000</v>
      </c>
      <c r="V15" s="3">
        <f t="shared" si="4"/>
        <v>3412420000000</v>
      </c>
      <c r="W15" s="3">
        <f t="shared" si="4"/>
        <v>3412420000000</v>
      </c>
      <c r="X15" s="3">
        <f t="shared" si="4"/>
        <v>3412420000000</v>
      </c>
      <c r="Y15" s="3">
        <f t="shared" si="4"/>
        <v>3412420000000</v>
      </c>
      <c r="Z15" s="3">
        <f t="shared" si="4"/>
        <v>3412420000000</v>
      </c>
      <c r="AA15" s="3">
        <f t="shared" si="4"/>
        <v>3412420000000</v>
      </c>
      <c r="AB15" s="3">
        <f t="shared" si="4"/>
        <v>3412420000000</v>
      </c>
      <c r="AC15" s="3">
        <f t="shared" si="4"/>
        <v>3412420000000</v>
      </c>
      <c r="AD15" s="3">
        <f t="shared" si="4"/>
        <v>3412420000000</v>
      </c>
      <c r="AE15" s="3">
        <f t="shared" si="4"/>
        <v>3412420000000</v>
      </c>
      <c r="AF15" s="3">
        <f t="shared" si="4"/>
        <v>3412420000000</v>
      </c>
      <c r="AG15" s="3">
        <f t="shared" si="4"/>
        <v>3412420000000</v>
      </c>
      <c r="AH15" s="3">
        <f t="shared" si="4"/>
        <v>3412420000000</v>
      </c>
      <c r="AI15" s="3">
        <f t="shared" si="4"/>
        <v>3412420000000</v>
      </c>
      <c r="AJ15" s="3">
        <f t="shared" si="4"/>
        <v>3412420000000</v>
      </c>
      <c r="AK15" s="3">
        <f t="shared" si="4"/>
        <v>3412420000000</v>
      </c>
      <c r="AL15" s="3">
        <f t="shared" si="4"/>
        <v>3412420000000</v>
      </c>
      <c r="AM15" s="3">
        <f t="shared" si="4"/>
        <v>3412420000000</v>
      </c>
      <c r="AN15" s="3">
        <f t="shared" si="4"/>
        <v>3412420000000</v>
      </c>
      <c r="AO15" s="3">
        <f t="shared" si="4"/>
        <v>3412420000000</v>
      </c>
      <c r="AP15" s="3">
        <f t="shared" si="4"/>
        <v>3412420000000</v>
      </c>
      <c r="AQ15" s="3">
        <f t="shared" si="4"/>
        <v>3412420000000</v>
      </c>
    </row>
    <row r="16" spans="1:43">
      <c r="A16" s="183" t="s">
        <v>339</v>
      </c>
      <c r="B16" s="3">
        <f>B2</f>
        <v>3412420000000</v>
      </c>
      <c r="C16" s="3">
        <f t="shared" si="1"/>
        <v>3412420000000</v>
      </c>
      <c r="D16" s="3">
        <f t="shared" si="4"/>
        <v>3412420000000</v>
      </c>
      <c r="E16" s="3">
        <f t="shared" si="4"/>
        <v>3412420000000</v>
      </c>
      <c r="F16" s="3">
        <f t="shared" si="4"/>
        <v>3412420000000</v>
      </c>
      <c r="G16" s="3">
        <f t="shared" si="4"/>
        <v>3412420000000</v>
      </c>
      <c r="H16" s="3">
        <f t="shared" si="4"/>
        <v>3412420000000</v>
      </c>
      <c r="I16" s="3">
        <f t="shared" si="4"/>
        <v>3412420000000</v>
      </c>
      <c r="J16" s="3">
        <f t="shared" si="4"/>
        <v>3412420000000</v>
      </c>
      <c r="K16" s="3">
        <f t="shared" si="4"/>
        <v>3412420000000</v>
      </c>
      <c r="L16" s="3">
        <f t="shared" si="4"/>
        <v>3412420000000</v>
      </c>
      <c r="M16" s="3">
        <f t="shared" si="4"/>
        <v>3412420000000</v>
      </c>
      <c r="N16" s="3">
        <f t="shared" si="4"/>
        <v>3412420000000</v>
      </c>
      <c r="O16" s="3">
        <f t="shared" si="4"/>
        <v>3412420000000</v>
      </c>
      <c r="P16" s="3">
        <f t="shared" si="4"/>
        <v>3412420000000</v>
      </c>
      <c r="Q16" s="3">
        <f t="shared" si="4"/>
        <v>3412420000000</v>
      </c>
      <c r="R16" s="3">
        <f t="shared" si="4"/>
        <v>3412420000000</v>
      </c>
      <c r="S16" s="3">
        <f t="shared" si="4"/>
        <v>3412420000000</v>
      </c>
      <c r="T16" s="3">
        <f t="shared" si="4"/>
        <v>3412420000000</v>
      </c>
      <c r="U16" s="3">
        <f t="shared" si="4"/>
        <v>3412420000000</v>
      </c>
      <c r="V16" s="3">
        <f t="shared" si="4"/>
        <v>3412420000000</v>
      </c>
      <c r="W16" s="3">
        <f t="shared" si="4"/>
        <v>3412420000000</v>
      </c>
      <c r="X16" s="3">
        <f t="shared" si="4"/>
        <v>3412420000000</v>
      </c>
      <c r="Y16" s="3">
        <f t="shared" si="4"/>
        <v>3412420000000</v>
      </c>
      <c r="Z16" s="3">
        <f t="shared" si="4"/>
        <v>3412420000000</v>
      </c>
      <c r="AA16" s="3">
        <f t="shared" si="4"/>
        <v>3412420000000</v>
      </c>
      <c r="AB16" s="3">
        <f t="shared" si="4"/>
        <v>3412420000000</v>
      </c>
      <c r="AC16" s="3">
        <f t="shared" si="4"/>
        <v>3412420000000</v>
      </c>
      <c r="AD16" s="3">
        <f t="shared" si="4"/>
        <v>3412420000000</v>
      </c>
      <c r="AE16" s="3">
        <f t="shared" si="4"/>
        <v>3412420000000</v>
      </c>
      <c r="AF16" s="3">
        <f t="shared" si="4"/>
        <v>3412420000000</v>
      </c>
      <c r="AG16" s="3">
        <f t="shared" si="4"/>
        <v>3412420000000</v>
      </c>
      <c r="AH16" s="3">
        <f t="shared" si="4"/>
        <v>3412420000000</v>
      </c>
      <c r="AI16" s="3">
        <f t="shared" si="4"/>
        <v>3412420000000</v>
      </c>
      <c r="AJ16" s="3">
        <f t="shared" si="4"/>
        <v>3412420000000</v>
      </c>
      <c r="AK16" s="3">
        <f t="shared" si="4"/>
        <v>3412420000000</v>
      </c>
      <c r="AL16" s="3">
        <f t="shared" si="4"/>
        <v>3412420000000</v>
      </c>
      <c r="AM16" s="3">
        <f t="shared" si="4"/>
        <v>3412420000000</v>
      </c>
      <c r="AN16" s="3">
        <f t="shared" si="4"/>
        <v>3412420000000</v>
      </c>
      <c r="AO16" s="3">
        <f t="shared" si="4"/>
        <v>3412420000000</v>
      </c>
      <c r="AP16" s="3">
        <f t="shared" si="4"/>
        <v>3412420000000</v>
      </c>
      <c r="AQ16" s="3">
        <f t="shared" si="4"/>
        <v>3412420000000</v>
      </c>
    </row>
    <row r="17" spans="1:43">
      <c r="A17" t="s">
        <v>325</v>
      </c>
      <c r="B17" s="3">
        <f>Calculation!Q3</f>
        <v>79281755449.450363</v>
      </c>
      <c r="C17" s="3">
        <f t="shared" si="1"/>
        <v>79281755449.450363</v>
      </c>
      <c r="D17" s="3">
        <f t="shared" si="4"/>
        <v>79281755449.450363</v>
      </c>
      <c r="E17" s="3">
        <f t="shared" si="4"/>
        <v>79281755449.450363</v>
      </c>
      <c r="F17" s="3">
        <f t="shared" si="4"/>
        <v>79281755449.450363</v>
      </c>
      <c r="G17" s="3">
        <f t="shared" si="4"/>
        <v>79281755449.450363</v>
      </c>
      <c r="H17" s="3">
        <f t="shared" si="4"/>
        <v>79281755449.450363</v>
      </c>
      <c r="I17" s="3">
        <f t="shared" si="4"/>
        <v>79281755449.450363</v>
      </c>
      <c r="J17" s="3">
        <f t="shared" si="4"/>
        <v>79281755449.450363</v>
      </c>
      <c r="K17" s="3">
        <f t="shared" si="4"/>
        <v>79281755449.450363</v>
      </c>
      <c r="L17" s="3">
        <f t="shared" si="4"/>
        <v>79281755449.450363</v>
      </c>
      <c r="M17" s="3">
        <f t="shared" si="4"/>
        <v>79281755449.450363</v>
      </c>
      <c r="N17" s="3">
        <f t="shared" si="4"/>
        <v>79281755449.450363</v>
      </c>
      <c r="O17" s="3">
        <f t="shared" si="4"/>
        <v>79281755449.450363</v>
      </c>
      <c r="P17" s="3">
        <f t="shared" si="4"/>
        <v>79281755449.450363</v>
      </c>
      <c r="Q17" s="3">
        <f t="shared" si="4"/>
        <v>79281755449.450363</v>
      </c>
      <c r="R17" s="3">
        <f t="shared" si="4"/>
        <v>79281755449.450363</v>
      </c>
      <c r="S17" s="3">
        <f t="shared" si="4"/>
        <v>79281755449.450363</v>
      </c>
      <c r="T17" s="3">
        <f t="shared" si="4"/>
        <v>79281755449.450363</v>
      </c>
      <c r="U17" s="3">
        <f t="shared" si="4"/>
        <v>79281755449.450363</v>
      </c>
      <c r="V17" s="3">
        <f t="shared" si="4"/>
        <v>79281755449.450363</v>
      </c>
      <c r="W17" s="3">
        <f t="shared" si="4"/>
        <v>79281755449.450363</v>
      </c>
      <c r="X17" s="3">
        <f t="shared" si="4"/>
        <v>79281755449.450363</v>
      </c>
      <c r="Y17" s="3">
        <f t="shared" si="4"/>
        <v>79281755449.450363</v>
      </c>
      <c r="Z17" s="3">
        <f t="shared" si="4"/>
        <v>79281755449.450363</v>
      </c>
      <c r="AA17" s="3">
        <f t="shared" si="4"/>
        <v>79281755449.450363</v>
      </c>
      <c r="AB17" s="3">
        <f t="shared" si="4"/>
        <v>79281755449.450363</v>
      </c>
      <c r="AC17" s="3">
        <f t="shared" si="4"/>
        <v>79281755449.450363</v>
      </c>
      <c r="AD17" s="3">
        <f t="shared" si="4"/>
        <v>79281755449.450363</v>
      </c>
      <c r="AE17" s="3">
        <f t="shared" si="4"/>
        <v>79281755449.450363</v>
      </c>
      <c r="AF17" s="3">
        <f t="shared" si="4"/>
        <v>79281755449.450363</v>
      </c>
      <c r="AG17" s="3">
        <f t="shared" si="4"/>
        <v>79281755449.450363</v>
      </c>
      <c r="AH17" s="3">
        <f t="shared" si="4"/>
        <v>79281755449.450363</v>
      </c>
      <c r="AI17" s="3">
        <f t="shared" si="4"/>
        <v>79281755449.450363</v>
      </c>
      <c r="AJ17" s="3">
        <f t="shared" si="4"/>
        <v>79281755449.450363</v>
      </c>
      <c r="AK17" s="3">
        <f t="shared" si="4"/>
        <v>79281755449.450363</v>
      </c>
      <c r="AL17" s="3">
        <f t="shared" si="4"/>
        <v>79281755449.450363</v>
      </c>
      <c r="AM17" s="3">
        <f t="shared" si="4"/>
        <v>79281755449.450363</v>
      </c>
      <c r="AN17" s="3">
        <f t="shared" si="4"/>
        <v>79281755449.450363</v>
      </c>
      <c r="AO17" s="3">
        <f t="shared" si="4"/>
        <v>79281755449.450363</v>
      </c>
      <c r="AP17" s="3">
        <f t="shared" si="4"/>
        <v>79281755449.450363</v>
      </c>
      <c r="AQ17" s="3">
        <f t="shared" si="4"/>
        <v>79281755449.450363</v>
      </c>
    </row>
    <row r="18" spans="1:43">
      <c r="A18" t="s">
        <v>361</v>
      </c>
      <c r="B18" s="3">
        <f>Calculation!Q6</f>
        <v>396339208014.43829</v>
      </c>
      <c r="C18" s="3">
        <f t="shared" si="1"/>
        <v>396339208014.43829</v>
      </c>
      <c r="D18" s="3">
        <f t="shared" si="4"/>
        <v>396339208014.43829</v>
      </c>
      <c r="E18" s="3">
        <f t="shared" si="4"/>
        <v>396339208014.43829</v>
      </c>
      <c r="F18" s="3">
        <f t="shared" si="4"/>
        <v>396339208014.43829</v>
      </c>
      <c r="G18" s="3">
        <f t="shared" si="4"/>
        <v>396339208014.43829</v>
      </c>
      <c r="H18" s="3">
        <f t="shared" si="4"/>
        <v>396339208014.43829</v>
      </c>
      <c r="I18" s="3">
        <f t="shared" si="4"/>
        <v>396339208014.43829</v>
      </c>
      <c r="J18" s="3">
        <f t="shared" si="4"/>
        <v>396339208014.43829</v>
      </c>
      <c r="K18" s="3">
        <f t="shared" si="4"/>
        <v>396339208014.43829</v>
      </c>
      <c r="L18" s="3">
        <f t="shared" si="4"/>
        <v>396339208014.43829</v>
      </c>
      <c r="M18" s="3">
        <f t="shared" si="4"/>
        <v>396339208014.43829</v>
      </c>
      <c r="N18" s="3">
        <f t="shared" si="4"/>
        <v>396339208014.43829</v>
      </c>
      <c r="O18" s="3">
        <f t="shared" si="4"/>
        <v>396339208014.43829</v>
      </c>
      <c r="P18" s="3">
        <f t="shared" si="4"/>
        <v>396339208014.43829</v>
      </c>
      <c r="Q18" s="3">
        <f t="shared" si="4"/>
        <v>396339208014.43829</v>
      </c>
      <c r="R18" s="3">
        <f t="shared" si="4"/>
        <v>396339208014.43829</v>
      </c>
      <c r="S18" s="3">
        <f t="shared" si="4"/>
        <v>396339208014.43829</v>
      </c>
      <c r="T18" s="3">
        <f t="shared" si="4"/>
        <v>396339208014.43829</v>
      </c>
      <c r="U18" s="3">
        <f t="shared" si="4"/>
        <v>396339208014.43829</v>
      </c>
      <c r="V18" s="3">
        <f t="shared" si="4"/>
        <v>396339208014.43829</v>
      </c>
      <c r="W18" s="3">
        <f t="shared" si="4"/>
        <v>396339208014.43829</v>
      </c>
      <c r="X18" s="3">
        <f t="shared" si="4"/>
        <v>396339208014.43829</v>
      </c>
      <c r="Y18" s="3">
        <f t="shared" si="4"/>
        <v>396339208014.43829</v>
      </c>
      <c r="Z18" s="3">
        <f t="shared" si="4"/>
        <v>396339208014.43829</v>
      </c>
      <c r="AA18" s="3">
        <f t="shared" si="4"/>
        <v>396339208014.43829</v>
      </c>
      <c r="AB18" s="3">
        <f t="shared" si="4"/>
        <v>396339208014.43829</v>
      </c>
      <c r="AC18" s="3">
        <f t="shared" si="4"/>
        <v>396339208014.43829</v>
      </c>
      <c r="AD18" s="3">
        <f t="shared" si="4"/>
        <v>396339208014.43829</v>
      </c>
      <c r="AE18" s="3">
        <f t="shared" si="4"/>
        <v>396339208014.43829</v>
      </c>
      <c r="AF18" s="3">
        <f t="shared" si="4"/>
        <v>396339208014.43829</v>
      </c>
      <c r="AG18" s="3">
        <f t="shared" si="4"/>
        <v>396339208014.43829</v>
      </c>
      <c r="AH18" s="3">
        <f t="shared" si="4"/>
        <v>396339208014.43829</v>
      </c>
      <c r="AI18" s="3">
        <f t="shared" si="4"/>
        <v>396339208014.43829</v>
      </c>
      <c r="AJ18" s="3">
        <f t="shared" si="4"/>
        <v>396339208014.43829</v>
      </c>
      <c r="AK18" s="3">
        <f t="shared" si="4"/>
        <v>396339208014.43829</v>
      </c>
      <c r="AL18" s="3">
        <f t="shared" si="4"/>
        <v>396339208014.43829</v>
      </c>
      <c r="AM18" s="3">
        <f t="shared" si="4"/>
        <v>396339208014.43829</v>
      </c>
      <c r="AN18" s="3">
        <f t="shared" si="4"/>
        <v>396339208014.43829</v>
      </c>
      <c r="AO18" s="3">
        <f t="shared" si="4"/>
        <v>396339208014.43829</v>
      </c>
      <c r="AP18" s="3">
        <f t="shared" si="4"/>
        <v>396339208014.43829</v>
      </c>
      <c r="AQ18" s="3">
        <f t="shared" si="4"/>
        <v>396339208014.43829</v>
      </c>
    </row>
    <row r="19" spans="1:43">
      <c r="A19" t="s">
        <v>362</v>
      </c>
      <c r="B19" s="3">
        <f>Calculation!Q9</f>
        <v>377365471923.04565</v>
      </c>
      <c r="C19" s="3">
        <f t="shared" si="1"/>
        <v>377365471923.04565</v>
      </c>
      <c r="D19" s="3">
        <f t="shared" si="4"/>
        <v>377365471923.04565</v>
      </c>
      <c r="E19" s="3">
        <f t="shared" si="4"/>
        <v>377365471923.04565</v>
      </c>
      <c r="F19" s="3">
        <f t="shared" si="4"/>
        <v>377365471923.04565</v>
      </c>
      <c r="G19" s="3">
        <f t="shared" si="4"/>
        <v>377365471923.04565</v>
      </c>
      <c r="H19" s="3">
        <f t="shared" si="4"/>
        <v>377365471923.04565</v>
      </c>
      <c r="I19" s="3">
        <f t="shared" si="4"/>
        <v>377365471923.04565</v>
      </c>
      <c r="J19" s="3">
        <f t="shared" si="4"/>
        <v>377365471923.04565</v>
      </c>
      <c r="K19" s="3">
        <f t="shared" si="4"/>
        <v>377365471923.04565</v>
      </c>
      <c r="L19" s="3">
        <f t="shared" si="4"/>
        <v>377365471923.04565</v>
      </c>
      <c r="M19" s="3">
        <f t="shared" si="4"/>
        <v>377365471923.04565</v>
      </c>
      <c r="N19" s="3">
        <f t="shared" si="4"/>
        <v>377365471923.04565</v>
      </c>
      <c r="O19" s="3">
        <f t="shared" si="4"/>
        <v>377365471923.04565</v>
      </c>
      <c r="P19" s="3">
        <f t="shared" si="4"/>
        <v>377365471923.04565</v>
      </c>
      <c r="Q19" s="3">
        <f t="shared" si="4"/>
        <v>377365471923.04565</v>
      </c>
      <c r="R19" s="3">
        <f t="shared" si="4"/>
        <v>377365471923.04565</v>
      </c>
      <c r="S19" s="3">
        <f t="shared" si="4"/>
        <v>377365471923.04565</v>
      </c>
      <c r="T19" s="3">
        <f t="shared" si="4"/>
        <v>377365471923.04565</v>
      </c>
      <c r="U19" s="3">
        <f t="shared" si="4"/>
        <v>377365471923.04565</v>
      </c>
      <c r="V19" s="3">
        <f t="shared" si="4"/>
        <v>377365471923.04565</v>
      </c>
      <c r="W19" s="3">
        <f t="shared" si="4"/>
        <v>377365471923.04565</v>
      </c>
      <c r="X19" s="3">
        <f t="shared" si="4"/>
        <v>377365471923.04565</v>
      </c>
      <c r="Y19" s="3">
        <f t="shared" si="4"/>
        <v>377365471923.04565</v>
      </c>
      <c r="Z19" s="3">
        <f t="shared" si="4"/>
        <v>377365471923.04565</v>
      </c>
      <c r="AA19" s="3">
        <f t="shared" si="4"/>
        <v>377365471923.04565</v>
      </c>
      <c r="AB19" s="3">
        <f t="shared" si="4"/>
        <v>377365471923.04565</v>
      </c>
      <c r="AC19" s="3">
        <f t="shared" si="4"/>
        <v>377365471923.04565</v>
      </c>
      <c r="AD19" s="3">
        <f t="shared" si="4"/>
        <v>377365471923.04565</v>
      </c>
      <c r="AE19" s="3">
        <f t="shared" si="4"/>
        <v>377365471923.04565</v>
      </c>
      <c r="AF19" s="3">
        <f t="shared" si="4"/>
        <v>377365471923.04565</v>
      </c>
      <c r="AG19" s="3">
        <f t="shared" si="4"/>
        <v>377365471923.04565</v>
      </c>
      <c r="AH19" s="3">
        <f t="shared" si="4"/>
        <v>377365471923.04565</v>
      </c>
      <c r="AI19" s="3">
        <f t="shared" si="4"/>
        <v>377365471923.04565</v>
      </c>
      <c r="AJ19" s="3">
        <f t="shared" si="4"/>
        <v>377365471923.04565</v>
      </c>
      <c r="AK19" s="3">
        <f t="shared" si="4"/>
        <v>377365471923.04565</v>
      </c>
      <c r="AL19" s="3">
        <f t="shared" si="4"/>
        <v>377365471923.04565</v>
      </c>
      <c r="AM19" s="3">
        <f t="shared" si="4"/>
        <v>377365471923.04565</v>
      </c>
      <c r="AN19" s="3">
        <f t="shared" si="4"/>
        <v>377365471923.04565</v>
      </c>
      <c r="AO19" s="3">
        <f t="shared" si="4"/>
        <v>377365471923.04565</v>
      </c>
      <c r="AP19" s="3">
        <f t="shared" si="4"/>
        <v>377365471923.04565</v>
      </c>
      <c r="AQ19" s="3">
        <f t="shared" si="4"/>
        <v>377365471923.04565</v>
      </c>
    </row>
    <row r="20" spans="1:43">
      <c r="A20" t="s">
        <v>363</v>
      </c>
      <c r="B20" s="3">
        <f>Calculation!Q10</f>
        <v>461286025816.05365</v>
      </c>
      <c r="C20" s="3">
        <f t="shared" si="1"/>
        <v>461286025816.05365</v>
      </c>
      <c r="D20" s="3">
        <f t="shared" si="4"/>
        <v>461286025816.05365</v>
      </c>
      <c r="E20" s="3">
        <f t="shared" si="4"/>
        <v>461286025816.05365</v>
      </c>
      <c r="F20" s="3">
        <f t="shared" si="4"/>
        <v>461286025816.05365</v>
      </c>
      <c r="G20" s="3">
        <f t="shared" si="4"/>
        <v>461286025816.05365</v>
      </c>
      <c r="H20" s="3">
        <f t="shared" si="4"/>
        <v>461286025816.05365</v>
      </c>
      <c r="I20" s="3">
        <f t="shared" si="4"/>
        <v>461286025816.05365</v>
      </c>
      <c r="J20" s="3">
        <f t="shared" si="4"/>
        <v>461286025816.05365</v>
      </c>
      <c r="K20" s="3">
        <f t="shared" si="4"/>
        <v>461286025816.05365</v>
      </c>
      <c r="L20" s="3">
        <f t="shared" si="4"/>
        <v>461286025816.05365</v>
      </c>
      <c r="M20" s="3">
        <f t="shared" si="4"/>
        <v>461286025816.05365</v>
      </c>
      <c r="N20" s="3">
        <f t="shared" si="4"/>
        <v>461286025816.05365</v>
      </c>
      <c r="O20" s="3">
        <f t="shared" si="4"/>
        <v>461286025816.05365</v>
      </c>
      <c r="P20" s="3">
        <f t="shared" si="4"/>
        <v>461286025816.05365</v>
      </c>
      <c r="Q20" s="3">
        <f t="shared" si="4"/>
        <v>461286025816.05365</v>
      </c>
      <c r="R20" s="3">
        <f t="shared" si="4"/>
        <v>461286025816.05365</v>
      </c>
      <c r="S20" s="3">
        <f t="shared" si="4"/>
        <v>461286025816.05365</v>
      </c>
      <c r="T20" s="3">
        <f t="shared" si="4"/>
        <v>461286025816.05365</v>
      </c>
      <c r="U20" s="3">
        <f t="shared" si="4"/>
        <v>461286025816.05365</v>
      </c>
      <c r="V20" s="3">
        <f t="shared" si="4"/>
        <v>461286025816.05365</v>
      </c>
      <c r="W20" s="3">
        <f t="shared" si="4"/>
        <v>461286025816.05365</v>
      </c>
      <c r="X20" s="3">
        <f t="shared" si="4"/>
        <v>461286025816.05365</v>
      </c>
      <c r="Y20" s="3">
        <f t="shared" si="4"/>
        <v>461286025816.05365</v>
      </c>
      <c r="Z20" s="3">
        <f t="shared" si="4"/>
        <v>461286025816.05365</v>
      </c>
      <c r="AA20" s="3">
        <f t="shared" si="4"/>
        <v>461286025816.05365</v>
      </c>
      <c r="AB20" s="3">
        <f t="shared" si="4"/>
        <v>461286025816.05365</v>
      </c>
      <c r="AC20" s="3">
        <f t="shared" si="4"/>
        <v>461286025816.05365</v>
      </c>
      <c r="AD20" s="3">
        <f t="shared" si="4"/>
        <v>461286025816.05365</v>
      </c>
      <c r="AE20" s="3">
        <f t="shared" si="4"/>
        <v>461286025816.05365</v>
      </c>
      <c r="AF20" s="3">
        <f t="shared" si="4"/>
        <v>461286025816.05365</v>
      </c>
      <c r="AG20" s="3">
        <f t="shared" si="4"/>
        <v>461286025816.05365</v>
      </c>
      <c r="AH20" s="3">
        <f t="shared" si="4"/>
        <v>461286025816.05365</v>
      </c>
      <c r="AI20" s="3">
        <f t="shared" si="4"/>
        <v>461286025816.05365</v>
      </c>
      <c r="AJ20" s="3">
        <f t="shared" si="4"/>
        <v>461286025816.05365</v>
      </c>
      <c r="AK20" s="3">
        <f t="shared" si="4"/>
        <v>461286025816.05365</v>
      </c>
      <c r="AL20" s="3">
        <f t="shared" si="4"/>
        <v>461286025816.05365</v>
      </c>
      <c r="AM20" s="3">
        <f t="shared" si="4"/>
        <v>461286025816.05365</v>
      </c>
      <c r="AN20" s="3">
        <f t="shared" si="4"/>
        <v>461286025816.05365</v>
      </c>
      <c r="AO20" s="3">
        <f t="shared" si="4"/>
        <v>461286025816.05365</v>
      </c>
      <c r="AP20" s="3">
        <f t="shared" si="4"/>
        <v>461286025816.05365</v>
      </c>
      <c r="AQ20" s="3">
        <f t="shared" si="4"/>
        <v>461286025816.05365</v>
      </c>
    </row>
    <row r="21" spans="1:43">
      <c r="A21" s="183" t="s">
        <v>364</v>
      </c>
      <c r="B21" s="3">
        <f>'GREET1 Fuel_Specs'!$D$90*10^4</f>
        <v>135834445842.6456</v>
      </c>
      <c r="C21" s="3">
        <f t="shared" si="1"/>
        <v>135834445842.6456</v>
      </c>
      <c r="D21" s="3">
        <f t="shared" si="4"/>
        <v>135834445842.6456</v>
      </c>
      <c r="E21" s="3">
        <f t="shared" si="4"/>
        <v>135834445842.6456</v>
      </c>
      <c r="F21" s="3">
        <f t="shared" si="4"/>
        <v>135834445842.6456</v>
      </c>
      <c r="G21" s="3">
        <f t="shared" si="4"/>
        <v>135834445842.6456</v>
      </c>
      <c r="H21" s="3">
        <f t="shared" si="4"/>
        <v>135834445842.6456</v>
      </c>
      <c r="I21" s="3">
        <f t="shared" si="4"/>
        <v>135834445842.6456</v>
      </c>
      <c r="J21" s="3">
        <f t="shared" si="4"/>
        <v>135834445842.6456</v>
      </c>
      <c r="K21" s="3">
        <f t="shared" si="4"/>
        <v>135834445842.6456</v>
      </c>
      <c r="L21" s="3">
        <f t="shared" si="4"/>
        <v>135834445842.6456</v>
      </c>
      <c r="M21" s="3">
        <f t="shared" si="4"/>
        <v>135834445842.6456</v>
      </c>
      <c r="N21" s="3">
        <f t="shared" si="4"/>
        <v>135834445842.6456</v>
      </c>
      <c r="O21" s="3">
        <f t="shared" si="4"/>
        <v>135834445842.6456</v>
      </c>
      <c r="P21" s="3">
        <f t="shared" si="4"/>
        <v>135834445842.6456</v>
      </c>
      <c r="Q21" s="3">
        <f t="shared" si="4"/>
        <v>135834445842.6456</v>
      </c>
      <c r="R21" s="3">
        <f t="shared" si="4"/>
        <v>135834445842.6456</v>
      </c>
      <c r="S21" s="3">
        <f t="shared" si="4"/>
        <v>135834445842.6456</v>
      </c>
      <c r="T21" s="3">
        <f t="shared" si="4"/>
        <v>135834445842.6456</v>
      </c>
      <c r="U21" s="3">
        <f t="shared" si="4"/>
        <v>135834445842.6456</v>
      </c>
      <c r="V21" s="3">
        <f t="shared" si="4"/>
        <v>135834445842.6456</v>
      </c>
      <c r="W21" s="3">
        <f t="shared" si="4"/>
        <v>135834445842.6456</v>
      </c>
      <c r="X21" s="3">
        <f t="shared" ref="D21:AQ22" si="5">$B21</f>
        <v>135834445842.6456</v>
      </c>
      <c r="Y21" s="3">
        <f t="shared" si="5"/>
        <v>135834445842.6456</v>
      </c>
      <c r="Z21" s="3">
        <f t="shared" si="5"/>
        <v>135834445842.6456</v>
      </c>
      <c r="AA21" s="3">
        <f t="shared" si="5"/>
        <v>135834445842.6456</v>
      </c>
      <c r="AB21" s="3">
        <f t="shared" si="5"/>
        <v>135834445842.6456</v>
      </c>
      <c r="AC21" s="3">
        <f t="shared" si="5"/>
        <v>135834445842.6456</v>
      </c>
      <c r="AD21" s="3">
        <f t="shared" si="5"/>
        <v>135834445842.6456</v>
      </c>
      <c r="AE21" s="3">
        <f t="shared" si="5"/>
        <v>135834445842.6456</v>
      </c>
      <c r="AF21" s="3">
        <f t="shared" si="5"/>
        <v>135834445842.6456</v>
      </c>
      <c r="AG21" s="3">
        <f t="shared" si="5"/>
        <v>135834445842.6456</v>
      </c>
      <c r="AH21" s="3">
        <f t="shared" si="5"/>
        <v>135834445842.6456</v>
      </c>
      <c r="AI21" s="3">
        <f t="shared" si="5"/>
        <v>135834445842.6456</v>
      </c>
      <c r="AJ21" s="3">
        <f t="shared" si="5"/>
        <v>135834445842.6456</v>
      </c>
      <c r="AK21" s="3">
        <f t="shared" si="5"/>
        <v>135834445842.6456</v>
      </c>
      <c r="AL21" s="3">
        <f t="shared" si="5"/>
        <v>135834445842.6456</v>
      </c>
      <c r="AM21" s="3">
        <f t="shared" si="5"/>
        <v>135834445842.6456</v>
      </c>
      <c r="AN21" s="3">
        <f t="shared" si="5"/>
        <v>135834445842.6456</v>
      </c>
      <c r="AO21" s="3">
        <f t="shared" si="5"/>
        <v>135834445842.6456</v>
      </c>
      <c r="AP21" s="3">
        <f t="shared" si="5"/>
        <v>135834445842.6456</v>
      </c>
      <c r="AQ21" s="3">
        <f t="shared" si="5"/>
        <v>135834445842.6456</v>
      </c>
    </row>
    <row r="22" spans="1:43">
      <c r="A22" s="183" t="s">
        <v>360</v>
      </c>
      <c r="B22" s="3">
        <f>'GREET1 Fuel_Specs'!$D$62/'GREET1 Fuel_Specs'!$E$62*10^10</f>
        <v>1345098039215.6865</v>
      </c>
      <c r="C22" s="3">
        <f t="shared" si="1"/>
        <v>1345098039215.6865</v>
      </c>
      <c r="D22" s="3">
        <f t="shared" si="5"/>
        <v>1345098039215.6865</v>
      </c>
      <c r="E22" s="3">
        <f t="shared" si="5"/>
        <v>1345098039215.6865</v>
      </c>
      <c r="F22" s="3">
        <f t="shared" si="5"/>
        <v>1345098039215.6865</v>
      </c>
      <c r="G22" s="3">
        <f t="shared" si="5"/>
        <v>1345098039215.6865</v>
      </c>
      <c r="H22" s="3">
        <f t="shared" si="5"/>
        <v>1345098039215.6865</v>
      </c>
      <c r="I22" s="3">
        <f t="shared" si="5"/>
        <v>1345098039215.6865</v>
      </c>
      <c r="J22" s="3">
        <f t="shared" si="5"/>
        <v>1345098039215.6865</v>
      </c>
      <c r="K22" s="3">
        <f t="shared" si="5"/>
        <v>1345098039215.6865</v>
      </c>
      <c r="L22" s="3">
        <f t="shared" si="5"/>
        <v>1345098039215.6865</v>
      </c>
      <c r="M22" s="3">
        <f t="shared" si="5"/>
        <v>1345098039215.6865</v>
      </c>
      <c r="N22" s="3">
        <f t="shared" si="5"/>
        <v>1345098039215.6865</v>
      </c>
      <c r="O22" s="3">
        <f t="shared" si="5"/>
        <v>1345098039215.6865</v>
      </c>
      <c r="P22" s="3">
        <f t="shared" si="5"/>
        <v>1345098039215.6865</v>
      </c>
      <c r="Q22" s="3">
        <f t="shared" si="5"/>
        <v>1345098039215.6865</v>
      </c>
      <c r="R22" s="3">
        <f t="shared" si="5"/>
        <v>1345098039215.6865</v>
      </c>
      <c r="S22" s="3">
        <f t="shared" si="5"/>
        <v>1345098039215.6865</v>
      </c>
      <c r="T22" s="3">
        <f t="shared" si="5"/>
        <v>1345098039215.6865</v>
      </c>
      <c r="U22" s="3">
        <f t="shared" si="5"/>
        <v>1345098039215.6865</v>
      </c>
      <c r="V22" s="3">
        <f t="shared" si="5"/>
        <v>1345098039215.6865</v>
      </c>
      <c r="W22" s="3">
        <f t="shared" si="5"/>
        <v>1345098039215.6865</v>
      </c>
      <c r="X22" s="3">
        <f t="shared" si="5"/>
        <v>1345098039215.6865</v>
      </c>
      <c r="Y22" s="3">
        <f t="shared" si="5"/>
        <v>1345098039215.6865</v>
      </c>
      <c r="Z22" s="3">
        <f t="shared" si="5"/>
        <v>1345098039215.6865</v>
      </c>
      <c r="AA22" s="3">
        <f t="shared" si="5"/>
        <v>1345098039215.6865</v>
      </c>
      <c r="AB22" s="3">
        <f t="shared" si="5"/>
        <v>1345098039215.6865</v>
      </c>
      <c r="AC22" s="3">
        <f t="shared" si="5"/>
        <v>1345098039215.6865</v>
      </c>
      <c r="AD22" s="3">
        <f t="shared" si="5"/>
        <v>1345098039215.6865</v>
      </c>
      <c r="AE22" s="3">
        <f t="shared" si="5"/>
        <v>1345098039215.6865</v>
      </c>
      <c r="AF22" s="3">
        <f t="shared" si="5"/>
        <v>1345098039215.6865</v>
      </c>
      <c r="AG22" s="3">
        <f t="shared" si="5"/>
        <v>1345098039215.6865</v>
      </c>
      <c r="AH22" s="3">
        <f t="shared" si="5"/>
        <v>1345098039215.6865</v>
      </c>
      <c r="AI22" s="3">
        <f t="shared" si="5"/>
        <v>1345098039215.6865</v>
      </c>
      <c r="AJ22" s="3">
        <f t="shared" si="5"/>
        <v>1345098039215.6865</v>
      </c>
      <c r="AK22" s="3">
        <f t="shared" si="5"/>
        <v>1345098039215.6865</v>
      </c>
      <c r="AL22" s="3">
        <f t="shared" si="5"/>
        <v>1345098039215.6865</v>
      </c>
      <c r="AM22" s="3">
        <f t="shared" si="5"/>
        <v>1345098039215.6865</v>
      </c>
      <c r="AN22" s="3">
        <f t="shared" si="5"/>
        <v>1345098039215.6865</v>
      </c>
      <c r="AO22" s="3">
        <f t="shared" si="5"/>
        <v>1345098039215.6865</v>
      </c>
      <c r="AP22" s="3">
        <f t="shared" si="5"/>
        <v>1345098039215.6865</v>
      </c>
      <c r="AQ22" s="3">
        <f t="shared" si="5"/>
        <v>1345098039215.6865</v>
      </c>
    </row>
  </sheetData>
  <phoneticPr fontId="38"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sheetPr>
  <dimension ref="A1:AQ22"/>
  <sheetViews>
    <sheetView workbookViewId="0">
      <selection activeCell="E24" sqref="E24"/>
    </sheetView>
  </sheetViews>
  <sheetFormatPr defaultColWidth="9.125" defaultRowHeight="13.5"/>
  <cols>
    <col min="1" max="1" width="37.5" customWidth="1"/>
    <col min="2" max="43" width="12.5" customWidth="1"/>
  </cols>
  <sheetData>
    <row r="1" spans="1:43">
      <c r="A1" s="1" t="s">
        <v>399</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row>
    <row r="2" spans="1:43">
      <c r="A2" s="183" t="s">
        <v>341</v>
      </c>
      <c r="B2" s="3">
        <f>About!$A$73</f>
        <v>3412420</v>
      </c>
      <c r="C2" s="3">
        <f>$B2</f>
        <v>3412420</v>
      </c>
      <c r="D2" s="3">
        <f t="shared" ref="D2:AQ8" si="0">$B2</f>
        <v>3412420</v>
      </c>
      <c r="E2" s="3">
        <f t="shared" si="0"/>
        <v>3412420</v>
      </c>
      <c r="F2" s="3">
        <f t="shared" si="0"/>
        <v>3412420</v>
      </c>
      <c r="G2" s="3">
        <f t="shared" si="0"/>
        <v>3412420</v>
      </c>
      <c r="H2" s="3">
        <f t="shared" si="0"/>
        <v>3412420</v>
      </c>
      <c r="I2" s="3">
        <f t="shared" si="0"/>
        <v>3412420</v>
      </c>
      <c r="J2" s="3">
        <f t="shared" si="0"/>
        <v>3412420</v>
      </c>
      <c r="K2" s="3">
        <f t="shared" si="0"/>
        <v>3412420</v>
      </c>
      <c r="L2" s="3">
        <f t="shared" si="0"/>
        <v>3412420</v>
      </c>
      <c r="M2" s="3">
        <f t="shared" si="0"/>
        <v>3412420</v>
      </c>
      <c r="N2" s="3">
        <f t="shared" si="0"/>
        <v>3412420</v>
      </c>
      <c r="O2" s="3">
        <f t="shared" si="0"/>
        <v>3412420</v>
      </c>
      <c r="P2" s="3">
        <f t="shared" si="0"/>
        <v>3412420</v>
      </c>
      <c r="Q2" s="3">
        <f t="shared" si="0"/>
        <v>3412420</v>
      </c>
      <c r="R2" s="3">
        <f t="shared" si="0"/>
        <v>3412420</v>
      </c>
      <c r="S2" s="3">
        <f t="shared" si="0"/>
        <v>3412420</v>
      </c>
      <c r="T2" s="3">
        <f t="shared" si="0"/>
        <v>3412420</v>
      </c>
      <c r="U2" s="3">
        <f t="shared" si="0"/>
        <v>3412420</v>
      </c>
      <c r="V2" s="3">
        <f t="shared" si="0"/>
        <v>3412420</v>
      </c>
      <c r="W2" s="3">
        <f t="shared" si="0"/>
        <v>3412420</v>
      </c>
      <c r="X2" s="3">
        <f t="shared" si="0"/>
        <v>3412420</v>
      </c>
      <c r="Y2" s="3">
        <f t="shared" si="0"/>
        <v>3412420</v>
      </c>
      <c r="Z2" s="3">
        <f t="shared" si="0"/>
        <v>3412420</v>
      </c>
      <c r="AA2" s="3">
        <f t="shared" si="0"/>
        <v>3412420</v>
      </c>
      <c r="AB2" s="3">
        <f t="shared" si="0"/>
        <v>3412420</v>
      </c>
      <c r="AC2" s="3">
        <f t="shared" si="0"/>
        <v>3412420</v>
      </c>
      <c r="AD2" s="3">
        <f t="shared" si="0"/>
        <v>3412420</v>
      </c>
      <c r="AE2" s="3">
        <f t="shared" si="0"/>
        <v>3412420</v>
      </c>
      <c r="AF2" s="3">
        <f t="shared" si="0"/>
        <v>3412420</v>
      </c>
      <c r="AG2" s="3">
        <f t="shared" si="0"/>
        <v>3412420</v>
      </c>
      <c r="AH2" s="3">
        <f t="shared" si="0"/>
        <v>3412420</v>
      </c>
      <c r="AI2" s="3">
        <f t="shared" si="0"/>
        <v>3412420</v>
      </c>
      <c r="AJ2" s="3">
        <f t="shared" si="0"/>
        <v>3412420</v>
      </c>
      <c r="AK2" s="3">
        <f t="shared" si="0"/>
        <v>3412420</v>
      </c>
      <c r="AL2" s="3">
        <f t="shared" si="0"/>
        <v>3412420</v>
      </c>
      <c r="AM2" s="3">
        <f t="shared" si="0"/>
        <v>3412420</v>
      </c>
      <c r="AN2" s="3">
        <f t="shared" si="0"/>
        <v>3412420</v>
      </c>
      <c r="AO2" s="3">
        <f t="shared" si="0"/>
        <v>3412420</v>
      </c>
      <c r="AP2" s="3">
        <f t="shared" si="0"/>
        <v>3412420</v>
      </c>
      <c r="AQ2" s="3">
        <f t="shared" si="0"/>
        <v>3412420</v>
      </c>
    </row>
    <row r="3" spans="1:43">
      <c r="A3" t="s">
        <v>318</v>
      </c>
      <c r="B3" s="3">
        <f>Calculation!R2</f>
        <v>20760005.349839158</v>
      </c>
      <c r="C3" s="3">
        <f t="shared" ref="C3:R22" si="1">$B3</f>
        <v>20760005.349839158</v>
      </c>
      <c r="D3" s="3">
        <f t="shared" si="1"/>
        <v>20760005.349839158</v>
      </c>
      <c r="E3" s="3">
        <f t="shared" si="1"/>
        <v>20760005.349839158</v>
      </c>
      <c r="F3" s="3">
        <f t="shared" si="1"/>
        <v>20760005.349839158</v>
      </c>
      <c r="G3" s="3">
        <f t="shared" si="1"/>
        <v>20760005.349839158</v>
      </c>
      <c r="H3" s="3">
        <f t="shared" si="1"/>
        <v>20760005.349839158</v>
      </c>
      <c r="I3" s="3">
        <f t="shared" si="1"/>
        <v>20760005.349839158</v>
      </c>
      <c r="J3" s="3">
        <f t="shared" si="1"/>
        <v>20760005.349839158</v>
      </c>
      <c r="K3" s="3">
        <f t="shared" si="1"/>
        <v>20760005.349839158</v>
      </c>
      <c r="L3" s="3">
        <f t="shared" si="1"/>
        <v>20760005.349839158</v>
      </c>
      <c r="M3" s="3">
        <f t="shared" si="1"/>
        <v>20760005.349839158</v>
      </c>
      <c r="N3" s="3">
        <f t="shared" si="1"/>
        <v>20760005.349839158</v>
      </c>
      <c r="O3" s="3">
        <f t="shared" si="1"/>
        <v>20760005.349839158</v>
      </c>
      <c r="P3" s="3">
        <f t="shared" si="1"/>
        <v>20760005.349839158</v>
      </c>
      <c r="Q3" s="3">
        <f t="shared" si="1"/>
        <v>20760005.349839158</v>
      </c>
      <c r="R3" s="3">
        <f t="shared" si="1"/>
        <v>20760005.349839158</v>
      </c>
      <c r="S3" s="3">
        <f t="shared" si="0"/>
        <v>20760005.349839158</v>
      </c>
      <c r="T3" s="3">
        <f t="shared" si="0"/>
        <v>20760005.349839158</v>
      </c>
      <c r="U3" s="3">
        <f t="shared" si="0"/>
        <v>20760005.349839158</v>
      </c>
      <c r="V3" s="3">
        <f t="shared" si="0"/>
        <v>20760005.349839158</v>
      </c>
      <c r="W3" s="3">
        <f t="shared" si="0"/>
        <v>20760005.349839158</v>
      </c>
      <c r="X3" s="3">
        <f t="shared" si="0"/>
        <v>20760005.349839158</v>
      </c>
      <c r="Y3" s="3">
        <f t="shared" si="0"/>
        <v>20760005.349839158</v>
      </c>
      <c r="Z3" s="3">
        <f t="shared" si="0"/>
        <v>20760005.349839158</v>
      </c>
      <c r="AA3" s="3">
        <f t="shared" si="0"/>
        <v>20760005.349839158</v>
      </c>
      <c r="AB3" s="3">
        <f t="shared" si="0"/>
        <v>20760005.349839158</v>
      </c>
      <c r="AC3" s="3">
        <f t="shared" si="0"/>
        <v>20760005.349839158</v>
      </c>
      <c r="AD3" s="3">
        <f t="shared" si="0"/>
        <v>20760005.349839158</v>
      </c>
      <c r="AE3" s="3">
        <f t="shared" si="0"/>
        <v>20760005.349839158</v>
      </c>
      <c r="AF3" s="3">
        <f t="shared" si="0"/>
        <v>20760005.349839158</v>
      </c>
      <c r="AG3" s="3">
        <f t="shared" si="0"/>
        <v>20760005.349839158</v>
      </c>
      <c r="AH3" s="3">
        <f t="shared" si="0"/>
        <v>20760005.349839158</v>
      </c>
      <c r="AI3" s="3">
        <f t="shared" si="0"/>
        <v>20760005.349839158</v>
      </c>
      <c r="AJ3" s="3">
        <f t="shared" si="0"/>
        <v>20760005.349839158</v>
      </c>
      <c r="AK3" s="3">
        <f t="shared" si="0"/>
        <v>20760005.349839158</v>
      </c>
      <c r="AL3" s="3">
        <f t="shared" si="0"/>
        <v>20760005.349839158</v>
      </c>
      <c r="AM3" s="3">
        <f t="shared" si="0"/>
        <v>20760005.349839158</v>
      </c>
      <c r="AN3" s="3">
        <f t="shared" si="0"/>
        <v>20760005.349839158</v>
      </c>
      <c r="AO3" s="3">
        <f t="shared" si="0"/>
        <v>20760005.349839158</v>
      </c>
      <c r="AP3" s="3">
        <f t="shared" si="0"/>
        <v>20760005.349839158</v>
      </c>
      <c r="AQ3" s="3">
        <f t="shared" si="0"/>
        <v>20760005.349839158</v>
      </c>
    </row>
    <row r="4" spans="1:43">
      <c r="A4" t="s">
        <v>319</v>
      </c>
      <c r="B4" s="3">
        <f>Calculation!R4</f>
        <v>341427184.81536967</v>
      </c>
      <c r="C4" s="3">
        <f t="shared" si="1"/>
        <v>341427184.81536967</v>
      </c>
      <c r="D4" s="3">
        <f t="shared" si="0"/>
        <v>341427184.81536967</v>
      </c>
      <c r="E4" s="3">
        <f t="shared" si="0"/>
        <v>341427184.81536967</v>
      </c>
      <c r="F4" s="3">
        <f t="shared" si="0"/>
        <v>341427184.81536967</v>
      </c>
      <c r="G4" s="3">
        <f t="shared" si="0"/>
        <v>341427184.81536967</v>
      </c>
      <c r="H4" s="3">
        <f t="shared" si="0"/>
        <v>341427184.81536967</v>
      </c>
      <c r="I4" s="3">
        <f t="shared" si="0"/>
        <v>341427184.81536967</v>
      </c>
      <c r="J4" s="3">
        <f t="shared" si="0"/>
        <v>341427184.81536967</v>
      </c>
      <c r="K4" s="3">
        <f t="shared" si="0"/>
        <v>341427184.81536967</v>
      </c>
      <c r="L4" s="3">
        <f t="shared" si="0"/>
        <v>341427184.81536967</v>
      </c>
      <c r="M4" s="3">
        <f t="shared" si="0"/>
        <v>341427184.81536967</v>
      </c>
      <c r="N4" s="3">
        <f t="shared" si="0"/>
        <v>341427184.81536967</v>
      </c>
      <c r="O4" s="3">
        <f t="shared" si="0"/>
        <v>341427184.81536967</v>
      </c>
      <c r="P4" s="3">
        <f t="shared" si="0"/>
        <v>341427184.81536967</v>
      </c>
      <c r="Q4" s="3">
        <f t="shared" si="0"/>
        <v>341427184.81536967</v>
      </c>
      <c r="R4" s="3">
        <f t="shared" si="0"/>
        <v>341427184.81536967</v>
      </c>
      <c r="S4" s="3">
        <f t="shared" si="0"/>
        <v>341427184.81536967</v>
      </c>
      <c r="T4" s="3">
        <f t="shared" si="0"/>
        <v>341427184.81536967</v>
      </c>
      <c r="U4" s="3">
        <f t="shared" si="0"/>
        <v>341427184.81536967</v>
      </c>
      <c r="V4" s="3">
        <f t="shared" si="0"/>
        <v>341427184.81536967</v>
      </c>
      <c r="W4" s="3">
        <f t="shared" si="0"/>
        <v>341427184.81536967</v>
      </c>
      <c r="X4" s="3">
        <f t="shared" si="0"/>
        <v>341427184.81536967</v>
      </c>
      <c r="Y4" s="3">
        <f t="shared" si="0"/>
        <v>341427184.81536967</v>
      </c>
      <c r="Z4" s="3">
        <f t="shared" si="0"/>
        <v>341427184.81536967</v>
      </c>
      <c r="AA4" s="3">
        <f t="shared" si="0"/>
        <v>341427184.81536967</v>
      </c>
      <c r="AB4" s="3">
        <f t="shared" si="0"/>
        <v>341427184.81536967</v>
      </c>
      <c r="AC4" s="3">
        <f t="shared" si="0"/>
        <v>341427184.81536967</v>
      </c>
      <c r="AD4" s="3">
        <f t="shared" si="0"/>
        <v>341427184.81536967</v>
      </c>
      <c r="AE4" s="3">
        <f t="shared" si="0"/>
        <v>341427184.81536967</v>
      </c>
      <c r="AF4" s="3">
        <f t="shared" si="0"/>
        <v>341427184.81536967</v>
      </c>
      <c r="AG4" s="3">
        <f t="shared" si="0"/>
        <v>341427184.81536967</v>
      </c>
      <c r="AH4" s="3">
        <f t="shared" si="0"/>
        <v>341427184.81536967</v>
      </c>
      <c r="AI4" s="3">
        <f t="shared" si="0"/>
        <v>341427184.81536967</v>
      </c>
      <c r="AJ4" s="3">
        <f t="shared" si="0"/>
        <v>341427184.81536967</v>
      </c>
      <c r="AK4" s="3">
        <f t="shared" si="0"/>
        <v>341427184.81536967</v>
      </c>
      <c r="AL4" s="3">
        <f t="shared" si="0"/>
        <v>341427184.81536967</v>
      </c>
      <c r="AM4" s="3">
        <f t="shared" si="0"/>
        <v>341427184.81536967</v>
      </c>
      <c r="AN4" s="3">
        <f t="shared" si="0"/>
        <v>341427184.81536967</v>
      </c>
      <c r="AO4" s="3">
        <f t="shared" si="0"/>
        <v>341427184.81536967</v>
      </c>
      <c r="AP4" s="3">
        <f t="shared" si="0"/>
        <v>341427184.81536967</v>
      </c>
      <c r="AQ4" s="3">
        <f t="shared" si="0"/>
        <v>341427184.81536967</v>
      </c>
    </row>
    <row r="5" spans="1:43">
      <c r="A5" s="183" t="s">
        <v>335</v>
      </c>
      <c r="B5" s="3">
        <f t="shared" ref="B5" si="2">10^6</f>
        <v>1000000</v>
      </c>
      <c r="C5" s="3">
        <f t="shared" si="1"/>
        <v>1000000</v>
      </c>
      <c r="D5" s="3">
        <f t="shared" si="0"/>
        <v>1000000</v>
      </c>
      <c r="E5" s="3">
        <f t="shared" si="0"/>
        <v>1000000</v>
      </c>
      <c r="F5" s="3">
        <f t="shared" si="0"/>
        <v>1000000</v>
      </c>
      <c r="G5" s="3">
        <f t="shared" si="0"/>
        <v>1000000</v>
      </c>
      <c r="H5" s="3">
        <f t="shared" si="0"/>
        <v>1000000</v>
      </c>
      <c r="I5" s="3">
        <f t="shared" si="0"/>
        <v>1000000</v>
      </c>
      <c r="J5" s="3">
        <f t="shared" si="0"/>
        <v>1000000</v>
      </c>
      <c r="K5" s="3">
        <f t="shared" si="0"/>
        <v>1000000</v>
      </c>
      <c r="L5" s="3">
        <f t="shared" si="0"/>
        <v>1000000</v>
      </c>
      <c r="M5" s="3">
        <f t="shared" si="0"/>
        <v>1000000</v>
      </c>
      <c r="N5" s="3">
        <f t="shared" si="0"/>
        <v>1000000</v>
      </c>
      <c r="O5" s="3">
        <f t="shared" si="0"/>
        <v>1000000</v>
      </c>
      <c r="P5" s="3">
        <f t="shared" si="0"/>
        <v>1000000</v>
      </c>
      <c r="Q5" s="3">
        <f t="shared" si="0"/>
        <v>1000000</v>
      </c>
      <c r="R5" s="3">
        <f t="shared" si="0"/>
        <v>1000000</v>
      </c>
      <c r="S5" s="3">
        <f t="shared" si="0"/>
        <v>1000000</v>
      </c>
      <c r="T5" s="3">
        <f t="shared" si="0"/>
        <v>1000000</v>
      </c>
      <c r="U5" s="3">
        <f t="shared" si="0"/>
        <v>1000000</v>
      </c>
      <c r="V5" s="3">
        <f t="shared" si="0"/>
        <v>1000000</v>
      </c>
      <c r="W5" s="3">
        <f t="shared" si="0"/>
        <v>1000000</v>
      </c>
      <c r="X5" s="3">
        <f t="shared" si="0"/>
        <v>1000000</v>
      </c>
      <c r="Y5" s="3">
        <f t="shared" si="0"/>
        <v>1000000</v>
      </c>
      <c r="Z5" s="3">
        <f t="shared" si="0"/>
        <v>1000000</v>
      </c>
      <c r="AA5" s="3">
        <f t="shared" si="0"/>
        <v>1000000</v>
      </c>
      <c r="AB5" s="3">
        <f t="shared" si="0"/>
        <v>1000000</v>
      </c>
      <c r="AC5" s="3">
        <f t="shared" si="0"/>
        <v>1000000</v>
      </c>
      <c r="AD5" s="3">
        <f t="shared" si="0"/>
        <v>1000000</v>
      </c>
      <c r="AE5" s="3">
        <f t="shared" si="0"/>
        <v>1000000</v>
      </c>
      <c r="AF5" s="3">
        <f t="shared" si="0"/>
        <v>1000000</v>
      </c>
      <c r="AG5" s="3">
        <f t="shared" si="0"/>
        <v>1000000</v>
      </c>
      <c r="AH5" s="3">
        <f t="shared" si="0"/>
        <v>1000000</v>
      </c>
      <c r="AI5" s="3">
        <f t="shared" si="0"/>
        <v>1000000</v>
      </c>
      <c r="AJ5" s="3">
        <f t="shared" si="0"/>
        <v>1000000</v>
      </c>
      <c r="AK5" s="3">
        <f t="shared" si="0"/>
        <v>1000000</v>
      </c>
      <c r="AL5" s="3">
        <f t="shared" si="0"/>
        <v>1000000</v>
      </c>
      <c r="AM5" s="3">
        <f t="shared" si="0"/>
        <v>1000000</v>
      </c>
      <c r="AN5" s="3">
        <f t="shared" si="0"/>
        <v>1000000</v>
      </c>
      <c r="AO5" s="3">
        <f t="shared" si="0"/>
        <v>1000000</v>
      </c>
      <c r="AP5" s="3">
        <f t="shared" si="0"/>
        <v>1000000</v>
      </c>
      <c r="AQ5" s="3">
        <f t="shared" si="0"/>
        <v>1000000</v>
      </c>
    </row>
    <row r="6" spans="1:43">
      <c r="A6" s="183" t="s">
        <v>336</v>
      </c>
      <c r="B6" s="3">
        <f>B2</f>
        <v>3412420</v>
      </c>
      <c r="C6" s="3">
        <f t="shared" si="1"/>
        <v>3412420</v>
      </c>
      <c r="D6" s="3">
        <f t="shared" si="0"/>
        <v>3412420</v>
      </c>
      <c r="E6" s="3">
        <f t="shared" si="0"/>
        <v>3412420</v>
      </c>
      <c r="F6" s="3">
        <f t="shared" si="0"/>
        <v>3412420</v>
      </c>
      <c r="G6" s="3">
        <f t="shared" si="0"/>
        <v>3412420</v>
      </c>
      <c r="H6" s="3">
        <f t="shared" si="0"/>
        <v>3412420</v>
      </c>
      <c r="I6" s="3">
        <f t="shared" si="0"/>
        <v>3412420</v>
      </c>
      <c r="J6" s="3">
        <f t="shared" si="0"/>
        <v>3412420</v>
      </c>
      <c r="K6" s="3">
        <f t="shared" si="0"/>
        <v>3412420</v>
      </c>
      <c r="L6" s="3">
        <f t="shared" si="0"/>
        <v>3412420</v>
      </c>
      <c r="M6" s="3">
        <f t="shared" si="0"/>
        <v>3412420</v>
      </c>
      <c r="N6" s="3">
        <f t="shared" si="0"/>
        <v>3412420</v>
      </c>
      <c r="O6" s="3">
        <f t="shared" si="0"/>
        <v>3412420</v>
      </c>
      <c r="P6" s="3">
        <f t="shared" si="0"/>
        <v>3412420</v>
      </c>
      <c r="Q6" s="3">
        <f t="shared" si="0"/>
        <v>3412420</v>
      </c>
      <c r="R6" s="3">
        <f t="shared" si="0"/>
        <v>3412420</v>
      </c>
      <c r="S6" s="3">
        <f t="shared" si="0"/>
        <v>3412420</v>
      </c>
      <c r="T6" s="3">
        <f t="shared" si="0"/>
        <v>3412420</v>
      </c>
      <c r="U6" s="3">
        <f t="shared" si="0"/>
        <v>3412420</v>
      </c>
      <c r="V6" s="3">
        <f t="shared" si="0"/>
        <v>3412420</v>
      </c>
      <c r="W6" s="3">
        <f t="shared" si="0"/>
        <v>3412420</v>
      </c>
      <c r="X6" s="3">
        <f t="shared" si="0"/>
        <v>3412420</v>
      </c>
      <c r="Y6" s="3">
        <f t="shared" si="0"/>
        <v>3412420</v>
      </c>
      <c r="Z6" s="3">
        <f t="shared" si="0"/>
        <v>3412420</v>
      </c>
      <c r="AA6" s="3">
        <f t="shared" si="0"/>
        <v>3412420</v>
      </c>
      <c r="AB6" s="3">
        <f t="shared" si="0"/>
        <v>3412420</v>
      </c>
      <c r="AC6" s="3">
        <f t="shared" si="0"/>
        <v>3412420</v>
      </c>
      <c r="AD6" s="3">
        <f t="shared" si="0"/>
        <v>3412420</v>
      </c>
      <c r="AE6" s="3">
        <f t="shared" si="0"/>
        <v>3412420</v>
      </c>
      <c r="AF6" s="3">
        <f t="shared" si="0"/>
        <v>3412420</v>
      </c>
      <c r="AG6" s="3">
        <f t="shared" si="0"/>
        <v>3412420</v>
      </c>
      <c r="AH6" s="3">
        <f t="shared" si="0"/>
        <v>3412420</v>
      </c>
      <c r="AI6" s="3">
        <f t="shared" si="0"/>
        <v>3412420</v>
      </c>
      <c r="AJ6" s="3">
        <f t="shared" si="0"/>
        <v>3412420</v>
      </c>
      <c r="AK6" s="3">
        <f t="shared" si="0"/>
        <v>3412420</v>
      </c>
      <c r="AL6" s="3">
        <f t="shared" si="0"/>
        <v>3412420</v>
      </c>
      <c r="AM6" s="3">
        <f t="shared" si="0"/>
        <v>3412420</v>
      </c>
      <c r="AN6" s="3">
        <f t="shared" si="0"/>
        <v>3412420</v>
      </c>
      <c r="AO6" s="3">
        <f t="shared" si="0"/>
        <v>3412420</v>
      </c>
      <c r="AP6" s="3">
        <f t="shared" si="0"/>
        <v>3412420</v>
      </c>
      <c r="AQ6" s="3">
        <f t="shared" si="0"/>
        <v>3412420</v>
      </c>
    </row>
    <row r="7" spans="1:43">
      <c r="A7" s="183" t="s">
        <v>337</v>
      </c>
      <c r="B7" s="3">
        <f>B2</f>
        <v>3412420</v>
      </c>
      <c r="C7" s="3">
        <f t="shared" si="1"/>
        <v>3412420</v>
      </c>
      <c r="D7" s="3">
        <f t="shared" si="0"/>
        <v>3412420</v>
      </c>
      <c r="E7" s="3">
        <f t="shared" si="0"/>
        <v>3412420</v>
      </c>
      <c r="F7" s="3">
        <f t="shared" si="0"/>
        <v>3412420</v>
      </c>
      <c r="G7" s="3">
        <f t="shared" si="0"/>
        <v>3412420</v>
      </c>
      <c r="H7" s="3">
        <f t="shared" si="0"/>
        <v>3412420</v>
      </c>
      <c r="I7" s="3">
        <f t="shared" si="0"/>
        <v>3412420</v>
      </c>
      <c r="J7" s="3">
        <f t="shared" si="0"/>
        <v>3412420</v>
      </c>
      <c r="K7" s="3">
        <f t="shared" si="0"/>
        <v>3412420</v>
      </c>
      <c r="L7" s="3">
        <f t="shared" si="0"/>
        <v>3412420</v>
      </c>
      <c r="M7" s="3">
        <f t="shared" si="0"/>
        <v>3412420</v>
      </c>
      <c r="N7" s="3">
        <f t="shared" si="0"/>
        <v>3412420</v>
      </c>
      <c r="O7" s="3">
        <f t="shared" si="0"/>
        <v>3412420</v>
      </c>
      <c r="P7" s="3">
        <f t="shared" si="0"/>
        <v>3412420</v>
      </c>
      <c r="Q7" s="3">
        <f t="shared" si="0"/>
        <v>3412420</v>
      </c>
      <c r="R7" s="3">
        <f t="shared" si="0"/>
        <v>3412420</v>
      </c>
      <c r="S7" s="3">
        <f t="shared" si="0"/>
        <v>3412420</v>
      </c>
      <c r="T7" s="3">
        <f t="shared" si="0"/>
        <v>3412420</v>
      </c>
      <c r="U7" s="3">
        <f t="shared" si="0"/>
        <v>3412420</v>
      </c>
      <c r="V7" s="3">
        <f t="shared" si="0"/>
        <v>3412420</v>
      </c>
      <c r="W7" s="3">
        <f t="shared" si="0"/>
        <v>3412420</v>
      </c>
      <c r="X7" s="3">
        <f t="shared" si="0"/>
        <v>3412420</v>
      </c>
      <c r="Y7" s="3">
        <f t="shared" si="0"/>
        <v>3412420</v>
      </c>
      <c r="Z7" s="3">
        <f t="shared" si="0"/>
        <v>3412420</v>
      </c>
      <c r="AA7" s="3">
        <f t="shared" si="0"/>
        <v>3412420</v>
      </c>
      <c r="AB7" s="3">
        <f t="shared" si="0"/>
        <v>3412420</v>
      </c>
      <c r="AC7" s="3">
        <f t="shared" si="0"/>
        <v>3412420</v>
      </c>
      <c r="AD7" s="3">
        <f t="shared" si="0"/>
        <v>3412420</v>
      </c>
      <c r="AE7" s="3">
        <f t="shared" si="0"/>
        <v>3412420</v>
      </c>
      <c r="AF7" s="3">
        <f t="shared" si="0"/>
        <v>3412420</v>
      </c>
      <c r="AG7" s="3">
        <f t="shared" si="0"/>
        <v>3412420</v>
      </c>
      <c r="AH7" s="3">
        <f t="shared" si="0"/>
        <v>3412420</v>
      </c>
      <c r="AI7" s="3">
        <f t="shared" si="0"/>
        <v>3412420</v>
      </c>
      <c r="AJ7" s="3">
        <f t="shared" si="0"/>
        <v>3412420</v>
      </c>
      <c r="AK7" s="3">
        <f t="shared" si="0"/>
        <v>3412420</v>
      </c>
      <c r="AL7" s="3">
        <f t="shared" si="0"/>
        <v>3412420</v>
      </c>
      <c r="AM7" s="3">
        <f t="shared" si="0"/>
        <v>3412420</v>
      </c>
      <c r="AN7" s="3">
        <f t="shared" si="0"/>
        <v>3412420</v>
      </c>
      <c r="AO7" s="3">
        <f t="shared" si="0"/>
        <v>3412420</v>
      </c>
      <c r="AP7" s="3">
        <f t="shared" si="0"/>
        <v>3412420</v>
      </c>
      <c r="AQ7" s="3">
        <f t="shared" si="0"/>
        <v>3412420</v>
      </c>
    </row>
    <row r="8" spans="1:43">
      <c r="A8" s="183" t="s">
        <v>338</v>
      </c>
      <c r="B8" s="3">
        <f>B2</f>
        <v>3412420</v>
      </c>
      <c r="C8" s="3">
        <f t="shared" si="1"/>
        <v>3412420</v>
      </c>
      <c r="D8" s="3">
        <f t="shared" si="0"/>
        <v>3412420</v>
      </c>
      <c r="E8" s="3">
        <f t="shared" si="0"/>
        <v>3412420</v>
      </c>
      <c r="F8" s="3">
        <f t="shared" si="0"/>
        <v>3412420</v>
      </c>
      <c r="G8" s="3">
        <f t="shared" si="0"/>
        <v>3412420</v>
      </c>
      <c r="H8" s="3">
        <f t="shared" si="0"/>
        <v>3412420</v>
      </c>
      <c r="I8" s="3">
        <f t="shared" si="0"/>
        <v>3412420</v>
      </c>
      <c r="J8" s="3">
        <f t="shared" si="0"/>
        <v>3412420</v>
      </c>
      <c r="K8" s="3">
        <f t="shared" si="0"/>
        <v>3412420</v>
      </c>
      <c r="L8" s="3">
        <f t="shared" si="0"/>
        <v>3412420</v>
      </c>
      <c r="M8" s="3">
        <f t="shared" si="0"/>
        <v>3412420</v>
      </c>
      <c r="N8" s="3">
        <f t="shared" si="0"/>
        <v>3412420</v>
      </c>
      <c r="O8" s="3">
        <f t="shared" si="0"/>
        <v>3412420</v>
      </c>
      <c r="P8" s="3">
        <f t="shared" si="0"/>
        <v>3412420</v>
      </c>
      <c r="Q8" s="3">
        <f t="shared" si="0"/>
        <v>3412420</v>
      </c>
      <c r="R8" s="3">
        <f t="shared" si="0"/>
        <v>3412420</v>
      </c>
      <c r="S8" s="3">
        <f t="shared" si="0"/>
        <v>3412420</v>
      </c>
      <c r="T8" s="3">
        <f t="shared" si="0"/>
        <v>3412420</v>
      </c>
      <c r="U8" s="3">
        <f t="shared" si="0"/>
        <v>3412420</v>
      </c>
      <c r="V8" s="3">
        <f t="shared" si="0"/>
        <v>3412420</v>
      </c>
      <c r="W8" s="3">
        <f t="shared" si="0"/>
        <v>3412420</v>
      </c>
      <c r="X8" s="3">
        <f t="shared" si="0"/>
        <v>3412420</v>
      </c>
      <c r="Y8" s="3">
        <f t="shared" si="0"/>
        <v>3412420</v>
      </c>
      <c r="Z8" s="3">
        <f t="shared" si="0"/>
        <v>3412420</v>
      </c>
      <c r="AA8" s="3">
        <f t="shared" si="0"/>
        <v>3412420</v>
      </c>
      <c r="AB8" s="3">
        <f t="shared" si="0"/>
        <v>3412420</v>
      </c>
      <c r="AC8" s="3">
        <f t="shared" si="0"/>
        <v>3412420</v>
      </c>
      <c r="AD8" s="3">
        <f t="shared" si="0"/>
        <v>3412420</v>
      </c>
      <c r="AE8" s="3">
        <f t="shared" si="0"/>
        <v>3412420</v>
      </c>
      <c r="AF8" s="3">
        <f t="shared" si="0"/>
        <v>3412420</v>
      </c>
      <c r="AG8" s="3">
        <f t="shared" si="0"/>
        <v>3412420</v>
      </c>
      <c r="AH8" s="3">
        <f t="shared" ref="D8:AQ15" si="3">$B8</f>
        <v>3412420</v>
      </c>
      <c r="AI8" s="3">
        <f t="shared" si="3"/>
        <v>3412420</v>
      </c>
      <c r="AJ8" s="3">
        <f t="shared" si="3"/>
        <v>3412420</v>
      </c>
      <c r="AK8" s="3">
        <f t="shared" si="3"/>
        <v>3412420</v>
      </c>
      <c r="AL8" s="3">
        <f t="shared" si="3"/>
        <v>3412420</v>
      </c>
      <c r="AM8" s="3">
        <f t="shared" si="3"/>
        <v>3412420</v>
      </c>
      <c r="AN8" s="3">
        <f t="shared" si="3"/>
        <v>3412420</v>
      </c>
      <c r="AO8" s="3">
        <f t="shared" si="3"/>
        <v>3412420</v>
      </c>
      <c r="AP8" s="3">
        <f t="shared" si="3"/>
        <v>3412420</v>
      </c>
      <c r="AQ8" s="3">
        <f t="shared" si="3"/>
        <v>3412420</v>
      </c>
    </row>
    <row r="9" spans="1:43">
      <c r="A9" t="s">
        <v>320</v>
      </c>
      <c r="B9" s="3">
        <f>Calculation!R13</f>
        <v>14271284.690758312</v>
      </c>
      <c r="C9" s="3">
        <f t="shared" si="1"/>
        <v>14271284.690758312</v>
      </c>
      <c r="D9" s="3">
        <f t="shared" si="3"/>
        <v>14271284.690758312</v>
      </c>
      <c r="E9" s="3">
        <f t="shared" si="3"/>
        <v>14271284.690758312</v>
      </c>
      <c r="F9" s="3">
        <f t="shared" si="3"/>
        <v>14271284.690758312</v>
      </c>
      <c r="G9" s="3">
        <f t="shared" si="3"/>
        <v>14271284.690758312</v>
      </c>
      <c r="H9" s="3">
        <f t="shared" si="3"/>
        <v>14271284.690758312</v>
      </c>
      <c r="I9" s="3">
        <f t="shared" si="3"/>
        <v>14271284.690758312</v>
      </c>
      <c r="J9" s="3">
        <f t="shared" si="3"/>
        <v>14271284.690758312</v>
      </c>
      <c r="K9" s="3">
        <f t="shared" si="3"/>
        <v>14271284.690758312</v>
      </c>
      <c r="L9" s="3">
        <f t="shared" si="3"/>
        <v>14271284.690758312</v>
      </c>
      <c r="M9" s="3">
        <f t="shared" si="3"/>
        <v>14271284.690758312</v>
      </c>
      <c r="N9" s="3">
        <f t="shared" si="3"/>
        <v>14271284.690758312</v>
      </c>
      <c r="O9" s="3">
        <f t="shared" si="3"/>
        <v>14271284.690758312</v>
      </c>
      <c r="P9" s="3">
        <f t="shared" si="3"/>
        <v>14271284.690758312</v>
      </c>
      <c r="Q9" s="3">
        <f t="shared" si="3"/>
        <v>14271284.690758312</v>
      </c>
      <c r="R9" s="3">
        <f t="shared" si="3"/>
        <v>14271284.690758312</v>
      </c>
      <c r="S9" s="3">
        <f t="shared" si="3"/>
        <v>14271284.690758312</v>
      </c>
      <c r="T9" s="3">
        <f t="shared" si="3"/>
        <v>14271284.690758312</v>
      </c>
      <c r="U9" s="3">
        <f t="shared" si="3"/>
        <v>14271284.690758312</v>
      </c>
      <c r="V9" s="3">
        <f t="shared" si="3"/>
        <v>14271284.690758312</v>
      </c>
      <c r="W9" s="3">
        <f t="shared" si="3"/>
        <v>14271284.690758312</v>
      </c>
      <c r="X9" s="3">
        <f t="shared" si="3"/>
        <v>14271284.690758312</v>
      </c>
      <c r="Y9" s="3">
        <f t="shared" si="3"/>
        <v>14271284.690758312</v>
      </c>
      <c r="Z9" s="3">
        <f t="shared" si="3"/>
        <v>14271284.690758312</v>
      </c>
      <c r="AA9" s="3">
        <f t="shared" si="3"/>
        <v>14271284.690758312</v>
      </c>
      <c r="AB9" s="3">
        <f t="shared" si="3"/>
        <v>14271284.690758312</v>
      </c>
      <c r="AC9" s="3">
        <f t="shared" si="3"/>
        <v>14271284.690758312</v>
      </c>
      <c r="AD9" s="3">
        <f t="shared" si="3"/>
        <v>14271284.690758312</v>
      </c>
      <c r="AE9" s="3">
        <f t="shared" si="3"/>
        <v>14271284.690758312</v>
      </c>
      <c r="AF9" s="3">
        <f t="shared" si="3"/>
        <v>14271284.690758312</v>
      </c>
      <c r="AG9" s="3">
        <f t="shared" si="3"/>
        <v>14271284.690758312</v>
      </c>
      <c r="AH9" s="3">
        <f t="shared" si="3"/>
        <v>14271284.690758312</v>
      </c>
      <c r="AI9" s="3">
        <f t="shared" si="3"/>
        <v>14271284.690758312</v>
      </c>
      <c r="AJ9" s="3">
        <f t="shared" si="3"/>
        <v>14271284.690758312</v>
      </c>
      <c r="AK9" s="3">
        <f t="shared" si="3"/>
        <v>14271284.690758312</v>
      </c>
      <c r="AL9" s="3">
        <f t="shared" si="3"/>
        <v>14271284.690758312</v>
      </c>
      <c r="AM9" s="3">
        <f t="shared" si="3"/>
        <v>14271284.690758312</v>
      </c>
      <c r="AN9" s="3">
        <f t="shared" si="3"/>
        <v>14271284.690758312</v>
      </c>
      <c r="AO9" s="3">
        <f t="shared" si="3"/>
        <v>14271284.690758312</v>
      </c>
      <c r="AP9" s="3">
        <f t="shared" si="3"/>
        <v>14271284.690758312</v>
      </c>
      <c r="AQ9" s="3">
        <f t="shared" si="3"/>
        <v>14271284.690758312</v>
      </c>
    </row>
    <row r="10" spans="1:43">
      <c r="A10" t="s">
        <v>321</v>
      </c>
      <c r="B10" s="3">
        <f>Calculation!R7</f>
        <v>40822483.47326827</v>
      </c>
      <c r="C10" s="3">
        <f t="shared" si="1"/>
        <v>40822483.47326827</v>
      </c>
      <c r="D10" s="3">
        <f t="shared" si="3"/>
        <v>40822483.47326827</v>
      </c>
      <c r="E10" s="3">
        <f t="shared" si="3"/>
        <v>40822483.47326827</v>
      </c>
      <c r="F10" s="3">
        <f t="shared" si="3"/>
        <v>40822483.47326827</v>
      </c>
      <c r="G10" s="3">
        <f t="shared" si="3"/>
        <v>40822483.47326827</v>
      </c>
      <c r="H10" s="3">
        <f t="shared" si="3"/>
        <v>40822483.47326827</v>
      </c>
      <c r="I10" s="3">
        <f t="shared" si="3"/>
        <v>40822483.47326827</v>
      </c>
      <c r="J10" s="3">
        <f t="shared" si="3"/>
        <v>40822483.47326827</v>
      </c>
      <c r="K10" s="3">
        <f t="shared" si="3"/>
        <v>40822483.47326827</v>
      </c>
      <c r="L10" s="3">
        <f t="shared" si="3"/>
        <v>40822483.47326827</v>
      </c>
      <c r="M10" s="3">
        <f t="shared" si="3"/>
        <v>40822483.47326827</v>
      </c>
      <c r="N10" s="3">
        <f t="shared" si="3"/>
        <v>40822483.47326827</v>
      </c>
      <c r="O10" s="3">
        <f t="shared" si="3"/>
        <v>40822483.47326827</v>
      </c>
      <c r="P10" s="3">
        <f t="shared" si="3"/>
        <v>40822483.47326827</v>
      </c>
      <c r="Q10" s="3">
        <f t="shared" si="3"/>
        <v>40822483.47326827</v>
      </c>
      <c r="R10" s="3">
        <f t="shared" si="3"/>
        <v>40822483.47326827</v>
      </c>
      <c r="S10" s="3">
        <f t="shared" si="3"/>
        <v>40822483.47326827</v>
      </c>
      <c r="T10" s="3">
        <f t="shared" si="3"/>
        <v>40822483.47326827</v>
      </c>
      <c r="U10" s="3">
        <f t="shared" si="3"/>
        <v>40822483.47326827</v>
      </c>
      <c r="V10" s="3">
        <f t="shared" si="3"/>
        <v>40822483.47326827</v>
      </c>
      <c r="W10" s="3">
        <f t="shared" si="3"/>
        <v>40822483.47326827</v>
      </c>
      <c r="X10" s="3">
        <f t="shared" si="3"/>
        <v>40822483.47326827</v>
      </c>
      <c r="Y10" s="3">
        <f t="shared" si="3"/>
        <v>40822483.47326827</v>
      </c>
      <c r="Z10" s="3">
        <f t="shared" si="3"/>
        <v>40822483.47326827</v>
      </c>
      <c r="AA10" s="3">
        <f t="shared" si="3"/>
        <v>40822483.47326827</v>
      </c>
      <c r="AB10" s="3">
        <f t="shared" si="3"/>
        <v>40822483.47326827</v>
      </c>
      <c r="AC10" s="3">
        <f t="shared" si="3"/>
        <v>40822483.47326827</v>
      </c>
      <c r="AD10" s="3">
        <f t="shared" si="3"/>
        <v>40822483.47326827</v>
      </c>
      <c r="AE10" s="3">
        <f t="shared" si="3"/>
        <v>40822483.47326827</v>
      </c>
      <c r="AF10" s="3">
        <f t="shared" si="3"/>
        <v>40822483.47326827</v>
      </c>
      <c r="AG10" s="3">
        <f t="shared" si="3"/>
        <v>40822483.47326827</v>
      </c>
      <c r="AH10" s="3">
        <f t="shared" si="3"/>
        <v>40822483.47326827</v>
      </c>
      <c r="AI10" s="3">
        <f t="shared" si="3"/>
        <v>40822483.47326827</v>
      </c>
      <c r="AJ10" s="3">
        <f t="shared" si="3"/>
        <v>40822483.47326827</v>
      </c>
      <c r="AK10" s="3">
        <f t="shared" si="3"/>
        <v>40822483.47326827</v>
      </c>
      <c r="AL10" s="3">
        <f t="shared" si="3"/>
        <v>40822483.47326827</v>
      </c>
      <c r="AM10" s="3">
        <f t="shared" si="3"/>
        <v>40822483.47326827</v>
      </c>
      <c r="AN10" s="3">
        <f t="shared" si="3"/>
        <v>40822483.47326827</v>
      </c>
      <c r="AO10" s="3">
        <f t="shared" si="3"/>
        <v>40822483.47326827</v>
      </c>
      <c r="AP10" s="3">
        <f t="shared" si="3"/>
        <v>40822483.47326827</v>
      </c>
      <c r="AQ10" s="3">
        <f t="shared" si="3"/>
        <v>40822483.47326827</v>
      </c>
    </row>
    <row r="11" spans="1:43">
      <c r="A11" t="s">
        <v>322</v>
      </c>
      <c r="B11" s="3">
        <f>Calculation!R5</f>
        <v>40040997.810112096</v>
      </c>
      <c r="C11" s="3">
        <f t="shared" si="1"/>
        <v>40040997.810112096</v>
      </c>
      <c r="D11" s="3">
        <f t="shared" si="3"/>
        <v>40040997.810112096</v>
      </c>
      <c r="E11" s="3">
        <f t="shared" si="3"/>
        <v>40040997.810112096</v>
      </c>
      <c r="F11" s="3">
        <f t="shared" si="3"/>
        <v>40040997.810112096</v>
      </c>
      <c r="G11" s="3">
        <f t="shared" si="3"/>
        <v>40040997.810112096</v>
      </c>
      <c r="H11" s="3">
        <f t="shared" si="3"/>
        <v>40040997.810112096</v>
      </c>
      <c r="I11" s="3">
        <f t="shared" si="3"/>
        <v>40040997.810112096</v>
      </c>
      <c r="J11" s="3">
        <f t="shared" si="3"/>
        <v>40040997.810112096</v>
      </c>
      <c r="K11" s="3">
        <f t="shared" si="3"/>
        <v>40040997.810112096</v>
      </c>
      <c r="L11" s="3">
        <f t="shared" si="3"/>
        <v>40040997.810112096</v>
      </c>
      <c r="M11" s="3">
        <f t="shared" si="3"/>
        <v>40040997.810112096</v>
      </c>
      <c r="N11" s="3">
        <f t="shared" si="3"/>
        <v>40040997.810112096</v>
      </c>
      <c r="O11" s="3">
        <f t="shared" si="3"/>
        <v>40040997.810112096</v>
      </c>
      <c r="P11" s="3">
        <f t="shared" si="3"/>
        <v>40040997.810112096</v>
      </c>
      <c r="Q11" s="3">
        <f t="shared" si="3"/>
        <v>40040997.810112096</v>
      </c>
      <c r="R11" s="3">
        <f t="shared" si="3"/>
        <v>40040997.810112096</v>
      </c>
      <c r="S11" s="3">
        <f t="shared" si="3"/>
        <v>40040997.810112096</v>
      </c>
      <c r="T11" s="3">
        <f t="shared" si="3"/>
        <v>40040997.810112096</v>
      </c>
      <c r="U11" s="3">
        <f t="shared" si="3"/>
        <v>40040997.810112096</v>
      </c>
      <c r="V11" s="3">
        <f t="shared" si="3"/>
        <v>40040997.810112096</v>
      </c>
      <c r="W11" s="3">
        <f t="shared" si="3"/>
        <v>40040997.810112096</v>
      </c>
      <c r="X11" s="3">
        <f t="shared" si="3"/>
        <v>40040997.810112096</v>
      </c>
      <c r="Y11" s="3">
        <f t="shared" si="3"/>
        <v>40040997.810112096</v>
      </c>
      <c r="Z11" s="3">
        <f t="shared" si="3"/>
        <v>40040997.810112096</v>
      </c>
      <c r="AA11" s="3">
        <f t="shared" si="3"/>
        <v>40040997.810112096</v>
      </c>
      <c r="AB11" s="3">
        <f t="shared" si="3"/>
        <v>40040997.810112096</v>
      </c>
      <c r="AC11" s="3">
        <f t="shared" si="3"/>
        <v>40040997.810112096</v>
      </c>
      <c r="AD11" s="3">
        <f t="shared" si="3"/>
        <v>40040997.810112096</v>
      </c>
      <c r="AE11" s="3">
        <f t="shared" si="3"/>
        <v>40040997.810112096</v>
      </c>
      <c r="AF11" s="3">
        <f t="shared" si="3"/>
        <v>40040997.810112096</v>
      </c>
      <c r="AG11" s="3">
        <f t="shared" si="3"/>
        <v>40040997.810112096</v>
      </c>
      <c r="AH11" s="3">
        <f t="shared" si="3"/>
        <v>40040997.810112096</v>
      </c>
      <c r="AI11" s="3">
        <f t="shared" si="3"/>
        <v>40040997.810112096</v>
      </c>
      <c r="AJ11" s="3">
        <f t="shared" si="3"/>
        <v>40040997.810112096</v>
      </c>
      <c r="AK11" s="3">
        <f t="shared" si="3"/>
        <v>40040997.810112096</v>
      </c>
      <c r="AL11" s="3">
        <f t="shared" si="3"/>
        <v>40040997.810112096</v>
      </c>
      <c r="AM11" s="3">
        <f t="shared" si="3"/>
        <v>40040997.810112096</v>
      </c>
      <c r="AN11" s="3">
        <f t="shared" si="3"/>
        <v>40040997.810112096</v>
      </c>
      <c r="AO11" s="3">
        <f t="shared" si="3"/>
        <v>40040997.810112096</v>
      </c>
      <c r="AP11" s="3">
        <f t="shared" si="3"/>
        <v>40040997.810112096</v>
      </c>
      <c r="AQ11" s="3">
        <f t="shared" si="3"/>
        <v>40040997.810112096</v>
      </c>
    </row>
    <row r="12" spans="1:43">
      <c r="A12" t="s">
        <v>323</v>
      </c>
      <c r="B12" s="3">
        <f>B13/AVERAGE('GREET1 Fuel_Specs'!B42:B44)*AVERAGE('GREET1 Fuel_Specs'!B45:B47)</f>
        <v>35502729.981558271</v>
      </c>
      <c r="C12" s="3">
        <f t="shared" si="1"/>
        <v>35502729.981558271</v>
      </c>
      <c r="D12" s="3">
        <f t="shared" si="3"/>
        <v>35502729.981558271</v>
      </c>
      <c r="E12" s="3">
        <f t="shared" si="3"/>
        <v>35502729.981558271</v>
      </c>
      <c r="F12" s="3">
        <f t="shared" si="3"/>
        <v>35502729.981558271</v>
      </c>
      <c r="G12" s="3">
        <f t="shared" si="3"/>
        <v>35502729.981558271</v>
      </c>
      <c r="H12" s="3">
        <f t="shared" si="3"/>
        <v>35502729.981558271</v>
      </c>
      <c r="I12" s="3">
        <f t="shared" si="3"/>
        <v>35502729.981558271</v>
      </c>
      <c r="J12" s="3">
        <f t="shared" si="3"/>
        <v>35502729.981558271</v>
      </c>
      <c r="K12" s="3">
        <f t="shared" si="3"/>
        <v>35502729.981558271</v>
      </c>
      <c r="L12" s="3">
        <f t="shared" si="3"/>
        <v>35502729.981558271</v>
      </c>
      <c r="M12" s="3">
        <f t="shared" si="3"/>
        <v>35502729.981558271</v>
      </c>
      <c r="N12" s="3">
        <f t="shared" si="3"/>
        <v>35502729.981558271</v>
      </c>
      <c r="O12" s="3">
        <f t="shared" si="3"/>
        <v>35502729.981558271</v>
      </c>
      <c r="P12" s="3">
        <f t="shared" si="3"/>
        <v>35502729.981558271</v>
      </c>
      <c r="Q12" s="3">
        <f t="shared" si="3"/>
        <v>35502729.981558271</v>
      </c>
      <c r="R12" s="3">
        <f t="shared" si="3"/>
        <v>35502729.981558271</v>
      </c>
      <c r="S12" s="3">
        <f t="shared" si="3"/>
        <v>35502729.981558271</v>
      </c>
      <c r="T12" s="3">
        <f t="shared" si="3"/>
        <v>35502729.981558271</v>
      </c>
      <c r="U12" s="3">
        <f t="shared" si="3"/>
        <v>35502729.981558271</v>
      </c>
      <c r="V12" s="3">
        <f t="shared" si="3"/>
        <v>35502729.981558271</v>
      </c>
      <c r="W12" s="3">
        <f t="shared" si="3"/>
        <v>35502729.981558271</v>
      </c>
      <c r="X12" s="3">
        <f t="shared" si="3"/>
        <v>35502729.981558271</v>
      </c>
      <c r="Y12" s="3">
        <f t="shared" si="3"/>
        <v>35502729.981558271</v>
      </c>
      <c r="Z12" s="3">
        <f t="shared" si="3"/>
        <v>35502729.981558271</v>
      </c>
      <c r="AA12" s="3">
        <f t="shared" si="3"/>
        <v>35502729.981558271</v>
      </c>
      <c r="AB12" s="3">
        <f t="shared" si="3"/>
        <v>35502729.981558271</v>
      </c>
      <c r="AC12" s="3">
        <f t="shared" si="3"/>
        <v>35502729.981558271</v>
      </c>
      <c r="AD12" s="3">
        <f t="shared" si="3"/>
        <v>35502729.981558271</v>
      </c>
      <c r="AE12" s="3">
        <f t="shared" si="3"/>
        <v>35502729.981558271</v>
      </c>
      <c r="AF12" s="3">
        <f t="shared" si="3"/>
        <v>35502729.981558271</v>
      </c>
      <c r="AG12" s="3">
        <f t="shared" si="3"/>
        <v>35502729.981558271</v>
      </c>
      <c r="AH12" s="3">
        <f t="shared" si="3"/>
        <v>35502729.981558271</v>
      </c>
      <c r="AI12" s="3">
        <f t="shared" si="3"/>
        <v>35502729.981558271</v>
      </c>
      <c r="AJ12" s="3">
        <f t="shared" si="3"/>
        <v>35502729.981558271</v>
      </c>
      <c r="AK12" s="3">
        <f t="shared" si="3"/>
        <v>35502729.981558271</v>
      </c>
      <c r="AL12" s="3">
        <f t="shared" si="3"/>
        <v>35502729.981558271</v>
      </c>
      <c r="AM12" s="3">
        <f t="shared" si="3"/>
        <v>35502729.981558271</v>
      </c>
      <c r="AN12" s="3">
        <f t="shared" si="3"/>
        <v>35502729.981558271</v>
      </c>
      <c r="AO12" s="3">
        <f t="shared" si="3"/>
        <v>35502729.981558271</v>
      </c>
      <c r="AP12" s="3">
        <f t="shared" si="3"/>
        <v>35502729.981558271</v>
      </c>
      <c r="AQ12" s="3">
        <f t="shared" si="3"/>
        <v>35502729.981558271</v>
      </c>
    </row>
    <row r="13" spans="1:43">
      <c r="A13" t="s">
        <v>324</v>
      </c>
      <c r="B13" s="3">
        <f>About!B84</f>
        <v>37804978.41546838</v>
      </c>
      <c r="C13" s="3">
        <f t="shared" si="1"/>
        <v>37804978.41546838</v>
      </c>
      <c r="D13" s="3">
        <f t="shared" si="3"/>
        <v>37804978.41546838</v>
      </c>
      <c r="E13" s="3">
        <f t="shared" si="3"/>
        <v>37804978.41546838</v>
      </c>
      <c r="F13" s="3">
        <f t="shared" si="3"/>
        <v>37804978.41546838</v>
      </c>
      <c r="G13" s="3">
        <f t="shared" si="3"/>
        <v>37804978.41546838</v>
      </c>
      <c r="H13" s="3">
        <f t="shared" si="3"/>
        <v>37804978.41546838</v>
      </c>
      <c r="I13" s="3">
        <f t="shared" si="3"/>
        <v>37804978.41546838</v>
      </c>
      <c r="J13" s="3">
        <f t="shared" si="3"/>
        <v>37804978.41546838</v>
      </c>
      <c r="K13" s="3">
        <f t="shared" si="3"/>
        <v>37804978.41546838</v>
      </c>
      <c r="L13" s="3">
        <f t="shared" si="3"/>
        <v>37804978.41546838</v>
      </c>
      <c r="M13" s="3">
        <f t="shared" si="3"/>
        <v>37804978.41546838</v>
      </c>
      <c r="N13" s="3">
        <f t="shared" si="3"/>
        <v>37804978.41546838</v>
      </c>
      <c r="O13" s="3">
        <f t="shared" si="3"/>
        <v>37804978.41546838</v>
      </c>
      <c r="P13" s="3">
        <f t="shared" si="3"/>
        <v>37804978.41546838</v>
      </c>
      <c r="Q13" s="3">
        <f t="shared" si="3"/>
        <v>37804978.41546838</v>
      </c>
      <c r="R13" s="3">
        <f t="shared" si="3"/>
        <v>37804978.41546838</v>
      </c>
      <c r="S13" s="3">
        <f t="shared" si="3"/>
        <v>37804978.41546838</v>
      </c>
      <c r="T13" s="3">
        <f t="shared" si="3"/>
        <v>37804978.41546838</v>
      </c>
      <c r="U13" s="3">
        <f t="shared" si="3"/>
        <v>37804978.41546838</v>
      </c>
      <c r="V13" s="3">
        <f t="shared" si="3"/>
        <v>37804978.41546838</v>
      </c>
      <c r="W13" s="3">
        <f t="shared" si="3"/>
        <v>37804978.41546838</v>
      </c>
      <c r="X13" s="3">
        <f t="shared" si="3"/>
        <v>37804978.41546838</v>
      </c>
      <c r="Y13" s="3">
        <f t="shared" si="3"/>
        <v>37804978.41546838</v>
      </c>
      <c r="Z13" s="3">
        <f t="shared" si="3"/>
        <v>37804978.41546838</v>
      </c>
      <c r="AA13" s="3">
        <f t="shared" si="3"/>
        <v>37804978.41546838</v>
      </c>
      <c r="AB13" s="3">
        <f t="shared" si="3"/>
        <v>37804978.41546838</v>
      </c>
      <c r="AC13" s="3">
        <f t="shared" si="3"/>
        <v>37804978.41546838</v>
      </c>
      <c r="AD13" s="3">
        <f t="shared" si="3"/>
        <v>37804978.41546838</v>
      </c>
      <c r="AE13" s="3">
        <f t="shared" si="3"/>
        <v>37804978.41546838</v>
      </c>
      <c r="AF13" s="3">
        <f t="shared" si="3"/>
        <v>37804978.41546838</v>
      </c>
      <c r="AG13" s="3">
        <f t="shared" si="3"/>
        <v>37804978.41546838</v>
      </c>
      <c r="AH13" s="3">
        <f t="shared" si="3"/>
        <v>37804978.41546838</v>
      </c>
      <c r="AI13" s="3">
        <f t="shared" si="3"/>
        <v>37804978.41546838</v>
      </c>
      <c r="AJ13" s="3">
        <f t="shared" si="3"/>
        <v>37804978.41546838</v>
      </c>
      <c r="AK13" s="3">
        <f t="shared" si="3"/>
        <v>37804978.41546838</v>
      </c>
      <c r="AL13" s="3">
        <f t="shared" si="3"/>
        <v>37804978.41546838</v>
      </c>
      <c r="AM13" s="3">
        <f t="shared" si="3"/>
        <v>37804978.41546838</v>
      </c>
      <c r="AN13" s="3">
        <f t="shared" si="3"/>
        <v>37804978.41546838</v>
      </c>
      <c r="AO13" s="3">
        <f t="shared" si="3"/>
        <v>37804978.41546838</v>
      </c>
      <c r="AP13" s="3">
        <f t="shared" si="3"/>
        <v>37804978.41546838</v>
      </c>
      <c r="AQ13" s="3">
        <f t="shared" si="3"/>
        <v>37804978.41546838</v>
      </c>
    </row>
    <row r="14" spans="1:43">
      <c r="A14" t="s">
        <v>365</v>
      </c>
      <c r="B14" s="3">
        <f>Calculation!R8</f>
        <v>40822483.47326827</v>
      </c>
      <c r="C14" s="3">
        <f t="shared" si="1"/>
        <v>40822483.47326827</v>
      </c>
      <c r="D14" s="3">
        <f t="shared" si="3"/>
        <v>40822483.47326827</v>
      </c>
      <c r="E14" s="3">
        <f t="shared" si="3"/>
        <v>40822483.47326827</v>
      </c>
      <c r="F14" s="3">
        <f t="shared" si="3"/>
        <v>40822483.47326827</v>
      </c>
      <c r="G14" s="3">
        <f t="shared" si="3"/>
        <v>40822483.47326827</v>
      </c>
      <c r="H14" s="3">
        <f t="shared" si="3"/>
        <v>40822483.47326827</v>
      </c>
      <c r="I14" s="3">
        <f t="shared" si="3"/>
        <v>40822483.47326827</v>
      </c>
      <c r="J14" s="3">
        <f t="shared" si="3"/>
        <v>40822483.47326827</v>
      </c>
      <c r="K14" s="3">
        <f t="shared" si="3"/>
        <v>40822483.47326827</v>
      </c>
      <c r="L14" s="3">
        <f t="shared" si="3"/>
        <v>40822483.47326827</v>
      </c>
      <c r="M14" s="3">
        <f t="shared" si="3"/>
        <v>40822483.47326827</v>
      </c>
      <c r="N14" s="3">
        <f t="shared" si="3"/>
        <v>40822483.47326827</v>
      </c>
      <c r="O14" s="3">
        <f t="shared" si="3"/>
        <v>40822483.47326827</v>
      </c>
      <c r="P14" s="3">
        <f t="shared" si="3"/>
        <v>40822483.47326827</v>
      </c>
      <c r="Q14" s="3">
        <f t="shared" si="3"/>
        <v>40822483.47326827</v>
      </c>
      <c r="R14" s="3">
        <f t="shared" si="3"/>
        <v>40822483.47326827</v>
      </c>
      <c r="S14" s="3">
        <f t="shared" si="3"/>
        <v>40822483.47326827</v>
      </c>
      <c r="T14" s="3">
        <f t="shared" si="3"/>
        <v>40822483.47326827</v>
      </c>
      <c r="U14" s="3">
        <f t="shared" si="3"/>
        <v>40822483.47326827</v>
      </c>
      <c r="V14" s="3">
        <f t="shared" si="3"/>
        <v>40822483.47326827</v>
      </c>
      <c r="W14" s="3">
        <f t="shared" si="3"/>
        <v>40822483.47326827</v>
      </c>
      <c r="X14" s="3">
        <f t="shared" si="3"/>
        <v>40822483.47326827</v>
      </c>
      <c r="Y14" s="3">
        <f t="shared" si="3"/>
        <v>40822483.47326827</v>
      </c>
      <c r="Z14" s="3">
        <f t="shared" si="3"/>
        <v>40822483.47326827</v>
      </c>
      <c r="AA14" s="3">
        <f t="shared" si="3"/>
        <v>40822483.47326827</v>
      </c>
      <c r="AB14" s="3">
        <f t="shared" si="3"/>
        <v>40822483.47326827</v>
      </c>
      <c r="AC14" s="3">
        <f t="shared" si="3"/>
        <v>40822483.47326827</v>
      </c>
      <c r="AD14" s="3">
        <f t="shared" si="3"/>
        <v>40822483.47326827</v>
      </c>
      <c r="AE14" s="3">
        <f t="shared" si="3"/>
        <v>40822483.47326827</v>
      </c>
      <c r="AF14" s="3">
        <f t="shared" si="3"/>
        <v>40822483.47326827</v>
      </c>
      <c r="AG14" s="3">
        <f t="shared" si="3"/>
        <v>40822483.47326827</v>
      </c>
      <c r="AH14" s="3">
        <f t="shared" si="3"/>
        <v>40822483.47326827</v>
      </c>
      <c r="AI14" s="3">
        <f t="shared" si="3"/>
        <v>40822483.47326827</v>
      </c>
      <c r="AJ14" s="3">
        <f t="shared" si="3"/>
        <v>40822483.47326827</v>
      </c>
      <c r="AK14" s="3">
        <f t="shared" si="3"/>
        <v>40822483.47326827</v>
      </c>
      <c r="AL14" s="3">
        <f t="shared" si="3"/>
        <v>40822483.47326827</v>
      </c>
      <c r="AM14" s="3">
        <f t="shared" si="3"/>
        <v>40822483.47326827</v>
      </c>
      <c r="AN14" s="3">
        <f t="shared" si="3"/>
        <v>40822483.47326827</v>
      </c>
      <c r="AO14" s="3">
        <f t="shared" si="3"/>
        <v>40822483.47326827</v>
      </c>
      <c r="AP14" s="3">
        <f t="shared" si="3"/>
        <v>40822483.47326827</v>
      </c>
      <c r="AQ14" s="3">
        <f t="shared" si="3"/>
        <v>40822483.47326827</v>
      </c>
    </row>
    <row r="15" spans="1:43">
      <c r="A15" s="183" t="s">
        <v>342</v>
      </c>
      <c r="B15" s="3">
        <f>About!$A$73</f>
        <v>3412420</v>
      </c>
      <c r="C15" s="3">
        <f t="shared" si="1"/>
        <v>3412420</v>
      </c>
      <c r="D15" s="3">
        <f t="shared" si="3"/>
        <v>3412420</v>
      </c>
      <c r="E15" s="3">
        <f t="shared" si="3"/>
        <v>3412420</v>
      </c>
      <c r="F15" s="3">
        <f t="shared" si="3"/>
        <v>3412420</v>
      </c>
      <c r="G15" s="3">
        <f t="shared" si="3"/>
        <v>3412420</v>
      </c>
      <c r="H15" s="3">
        <f t="shared" si="3"/>
        <v>3412420</v>
      </c>
      <c r="I15" s="3">
        <f t="shared" ref="D15:AQ21" si="4">$B15</f>
        <v>3412420</v>
      </c>
      <c r="J15" s="3">
        <f t="shared" si="4"/>
        <v>3412420</v>
      </c>
      <c r="K15" s="3">
        <f t="shared" si="4"/>
        <v>3412420</v>
      </c>
      <c r="L15" s="3">
        <f t="shared" si="4"/>
        <v>3412420</v>
      </c>
      <c r="M15" s="3">
        <f t="shared" si="4"/>
        <v>3412420</v>
      </c>
      <c r="N15" s="3">
        <f t="shared" si="4"/>
        <v>3412420</v>
      </c>
      <c r="O15" s="3">
        <f t="shared" si="4"/>
        <v>3412420</v>
      </c>
      <c r="P15" s="3">
        <f t="shared" si="4"/>
        <v>3412420</v>
      </c>
      <c r="Q15" s="3">
        <f t="shared" si="4"/>
        <v>3412420</v>
      </c>
      <c r="R15" s="3">
        <f t="shared" si="4"/>
        <v>3412420</v>
      </c>
      <c r="S15" s="3">
        <f t="shared" si="4"/>
        <v>3412420</v>
      </c>
      <c r="T15" s="3">
        <f t="shared" si="4"/>
        <v>3412420</v>
      </c>
      <c r="U15" s="3">
        <f t="shared" si="4"/>
        <v>3412420</v>
      </c>
      <c r="V15" s="3">
        <f t="shared" si="4"/>
        <v>3412420</v>
      </c>
      <c r="W15" s="3">
        <f t="shared" si="4"/>
        <v>3412420</v>
      </c>
      <c r="X15" s="3">
        <f t="shared" si="4"/>
        <v>3412420</v>
      </c>
      <c r="Y15" s="3">
        <f t="shared" si="4"/>
        <v>3412420</v>
      </c>
      <c r="Z15" s="3">
        <f t="shared" si="4"/>
        <v>3412420</v>
      </c>
      <c r="AA15" s="3">
        <f t="shared" si="4"/>
        <v>3412420</v>
      </c>
      <c r="AB15" s="3">
        <f t="shared" si="4"/>
        <v>3412420</v>
      </c>
      <c r="AC15" s="3">
        <f t="shared" si="4"/>
        <v>3412420</v>
      </c>
      <c r="AD15" s="3">
        <f t="shared" si="4"/>
        <v>3412420</v>
      </c>
      <c r="AE15" s="3">
        <f t="shared" si="4"/>
        <v>3412420</v>
      </c>
      <c r="AF15" s="3">
        <f t="shared" si="4"/>
        <v>3412420</v>
      </c>
      <c r="AG15" s="3">
        <f t="shared" si="4"/>
        <v>3412420</v>
      </c>
      <c r="AH15" s="3">
        <f t="shared" si="4"/>
        <v>3412420</v>
      </c>
      <c r="AI15" s="3">
        <f t="shared" si="4"/>
        <v>3412420</v>
      </c>
      <c r="AJ15" s="3">
        <f t="shared" si="4"/>
        <v>3412420</v>
      </c>
      <c r="AK15" s="3">
        <f t="shared" si="4"/>
        <v>3412420</v>
      </c>
      <c r="AL15" s="3">
        <f t="shared" si="4"/>
        <v>3412420</v>
      </c>
      <c r="AM15" s="3">
        <f t="shared" si="4"/>
        <v>3412420</v>
      </c>
      <c r="AN15" s="3">
        <f t="shared" si="4"/>
        <v>3412420</v>
      </c>
      <c r="AO15" s="3">
        <f t="shared" si="4"/>
        <v>3412420</v>
      </c>
      <c r="AP15" s="3">
        <f t="shared" si="4"/>
        <v>3412420</v>
      </c>
      <c r="AQ15" s="3">
        <f t="shared" si="4"/>
        <v>3412420</v>
      </c>
    </row>
    <row r="16" spans="1:43">
      <c r="A16" s="183" t="s">
        <v>339</v>
      </c>
      <c r="B16" s="3">
        <f>B2</f>
        <v>3412420</v>
      </c>
      <c r="C16" s="3">
        <f t="shared" si="1"/>
        <v>3412420</v>
      </c>
      <c r="D16" s="3">
        <f t="shared" si="4"/>
        <v>3412420</v>
      </c>
      <c r="E16" s="3">
        <f t="shared" si="4"/>
        <v>3412420</v>
      </c>
      <c r="F16" s="3">
        <f t="shared" si="4"/>
        <v>3412420</v>
      </c>
      <c r="G16" s="3">
        <f t="shared" si="4"/>
        <v>3412420</v>
      </c>
      <c r="H16" s="3">
        <f t="shared" si="4"/>
        <v>3412420</v>
      </c>
      <c r="I16" s="3">
        <f t="shared" si="4"/>
        <v>3412420</v>
      </c>
      <c r="J16" s="3">
        <f t="shared" si="4"/>
        <v>3412420</v>
      </c>
      <c r="K16" s="3">
        <f t="shared" si="4"/>
        <v>3412420</v>
      </c>
      <c r="L16" s="3">
        <f t="shared" si="4"/>
        <v>3412420</v>
      </c>
      <c r="M16" s="3">
        <f t="shared" si="4"/>
        <v>3412420</v>
      </c>
      <c r="N16" s="3">
        <f t="shared" si="4"/>
        <v>3412420</v>
      </c>
      <c r="O16" s="3">
        <f t="shared" si="4"/>
        <v>3412420</v>
      </c>
      <c r="P16" s="3">
        <f t="shared" si="4"/>
        <v>3412420</v>
      </c>
      <c r="Q16" s="3">
        <f t="shared" si="4"/>
        <v>3412420</v>
      </c>
      <c r="R16" s="3">
        <f t="shared" si="4"/>
        <v>3412420</v>
      </c>
      <c r="S16" s="3">
        <f t="shared" si="4"/>
        <v>3412420</v>
      </c>
      <c r="T16" s="3">
        <f t="shared" si="4"/>
        <v>3412420</v>
      </c>
      <c r="U16" s="3">
        <f t="shared" si="4"/>
        <v>3412420</v>
      </c>
      <c r="V16" s="3">
        <f t="shared" si="4"/>
        <v>3412420</v>
      </c>
      <c r="W16" s="3">
        <f t="shared" si="4"/>
        <v>3412420</v>
      </c>
      <c r="X16" s="3">
        <f t="shared" si="4"/>
        <v>3412420</v>
      </c>
      <c r="Y16" s="3">
        <f t="shared" si="4"/>
        <v>3412420</v>
      </c>
      <c r="Z16" s="3">
        <f t="shared" si="4"/>
        <v>3412420</v>
      </c>
      <c r="AA16" s="3">
        <f t="shared" si="4"/>
        <v>3412420</v>
      </c>
      <c r="AB16" s="3">
        <f t="shared" si="4"/>
        <v>3412420</v>
      </c>
      <c r="AC16" s="3">
        <f t="shared" si="4"/>
        <v>3412420</v>
      </c>
      <c r="AD16" s="3">
        <f t="shared" si="4"/>
        <v>3412420</v>
      </c>
      <c r="AE16" s="3">
        <f t="shared" si="4"/>
        <v>3412420</v>
      </c>
      <c r="AF16" s="3">
        <f t="shared" si="4"/>
        <v>3412420</v>
      </c>
      <c r="AG16" s="3">
        <f t="shared" si="4"/>
        <v>3412420</v>
      </c>
      <c r="AH16" s="3">
        <f t="shared" si="4"/>
        <v>3412420</v>
      </c>
      <c r="AI16" s="3">
        <f t="shared" si="4"/>
        <v>3412420</v>
      </c>
      <c r="AJ16" s="3">
        <f t="shared" si="4"/>
        <v>3412420</v>
      </c>
      <c r="AK16" s="3">
        <f t="shared" si="4"/>
        <v>3412420</v>
      </c>
      <c r="AL16" s="3">
        <f t="shared" si="4"/>
        <v>3412420</v>
      </c>
      <c r="AM16" s="3">
        <f t="shared" si="4"/>
        <v>3412420</v>
      </c>
      <c r="AN16" s="3">
        <f t="shared" si="4"/>
        <v>3412420</v>
      </c>
      <c r="AO16" s="3">
        <f t="shared" si="4"/>
        <v>3412420</v>
      </c>
      <c r="AP16" s="3">
        <f t="shared" si="4"/>
        <v>3412420</v>
      </c>
      <c r="AQ16" s="3">
        <f t="shared" si="4"/>
        <v>3412420</v>
      </c>
    </row>
    <row r="17" spans="1:43">
      <c r="A17" t="s">
        <v>325</v>
      </c>
      <c r="B17" s="3">
        <f>Calculation!R3</f>
        <v>7928175.5449450361</v>
      </c>
      <c r="C17" s="3">
        <f t="shared" si="1"/>
        <v>7928175.5449450361</v>
      </c>
      <c r="D17" s="3">
        <f t="shared" si="4"/>
        <v>7928175.5449450361</v>
      </c>
      <c r="E17" s="3">
        <f t="shared" si="4"/>
        <v>7928175.5449450361</v>
      </c>
      <c r="F17" s="3">
        <f t="shared" si="4"/>
        <v>7928175.5449450361</v>
      </c>
      <c r="G17" s="3">
        <f t="shared" si="4"/>
        <v>7928175.5449450361</v>
      </c>
      <c r="H17" s="3">
        <f t="shared" si="4"/>
        <v>7928175.5449450361</v>
      </c>
      <c r="I17" s="3">
        <f t="shared" si="4"/>
        <v>7928175.5449450361</v>
      </c>
      <c r="J17" s="3">
        <f t="shared" si="4"/>
        <v>7928175.5449450361</v>
      </c>
      <c r="K17" s="3">
        <f t="shared" si="4"/>
        <v>7928175.5449450361</v>
      </c>
      <c r="L17" s="3">
        <f t="shared" si="4"/>
        <v>7928175.5449450361</v>
      </c>
      <c r="M17" s="3">
        <f t="shared" si="4"/>
        <v>7928175.5449450361</v>
      </c>
      <c r="N17" s="3">
        <f t="shared" si="4"/>
        <v>7928175.5449450361</v>
      </c>
      <c r="O17" s="3">
        <f t="shared" si="4"/>
        <v>7928175.5449450361</v>
      </c>
      <c r="P17" s="3">
        <f t="shared" si="4"/>
        <v>7928175.5449450361</v>
      </c>
      <c r="Q17" s="3">
        <f t="shared" si="4"/>
        <v>7928175.5449450361</v>
      </c>
      <c r="R17" s="3">
        <f t="shared" si="4"/>
        <v>7928175.5449450361</v>
      </c>
      <c r="S17" s="3">
        <f t="shared" si="4"/>
        <v>7928175.5449450361</v>
      </c>
      <c r="T17" s="3">
        <f t="shared" si="4"/>
        <v>7928175.5449450361</v>
      </c>
      <c r="U17" s="3">
        <f t="shared" si="4"/>
        <v>7928175.5449450361</v>
      </c>
      <c r="V17" s="3">
        <f t="shared" si="4"/>
        <v>7928175.5449450361</v>
      </c>
      <c r="W17" s="3">
        <f t="shared" si="4"/>
        <v>7928175.5449450361</v>
      </c>
      <c r="X17" s="3">
        <f t="shared" si="4"/>
        <v>7928175.5449450361</v>
      </c>
      <c r="Y17" s="3">
        <f t="shared" si="4"/>
        <v>7928175.5449450361</v>
      </c>
      <c r="Z17" s="3">
        <f t="shared" si="4"/>
        <v>7928175.5449450361</v>
      </c>
      <c r="AA17" s="3">
        <f t="shared" si="4"/>
        <v>7928175.5449450361</v>
      </c>
      <c r="AB17" s="3">
        <f t="shared" si="4"/>
        <v>7928175.5449450361</v>
      </c>
      <c r="AC17" s="3">
        <f t="shared" si="4"/>
        <v>7928175.5449450361</v>
      </c>
      <c r="AD17" s="3">
        <f t="shared" si="4"/>
        <v>7928175.5449450361</v>
      </c>
      <c r="AE17" s="3">
        <f t="shared" si="4"/>
        <v>7928175.5449450361</v>
      </c>
      <c r="AF17" s="3">
        <f t="shared" si="4"/>
        <v>7928175.5449450361</v>
      </c>
      <c r="AG17" s="3">
        <f t="shared" si="4"/>
        <v>7928175.5449450361</v>
      </c>
      <c r="AH17" s="3">
        <f t="shared" si="4"/>
        <v>7928175.5449450361</v>
      </c>
      <c r="AI17" s="3">
        <f t="shared" si="4"/>
        <v>7928175.5449450361</v>
      </c>
      <c r="AJ17" s="3">
        <f t="shared" si="4"/>
        <v>7928175.5449450361</v>
      </c>
      <c r="AK17" s="3">
        <f t="shared" si="4"/>
        <v>7928175.5449450361</v>
      </c>
      <c r="AL17" s="3">
        <f t="shared" si="4"/>
        <v>7928175.5449450361</v>
      </c>
      <c r="AM17" s="3">
        <f t="shared" si="4"/>
        <v>7928175.5449450361</v>
      </c>
      <c r="AN17" s="3">
        <f t="shared" si="4"/>
        <v>7928175.5449450361</v>
      </c>
      <c r="AO17" s="3">
        <f t="shared" si="4"/>
        <v>7928175.5449450361</v>
      </c>
      <c r="AP17" s="3">
        <f t="shared" si="4"/>
        <v>7928175.5449450361</v>
      </c>
      <c r="AQ17" s="3">
        <f t="shared" si="4"/>
        <v>7928175.5449450361</v>
      </c>
    </row>
    <row r="18" spans="1:43">
      <c r="A18" t="s">
        <v>361</v>
      </c>
      <c r="B18" s="3">
        <f>Calculation!R6</f>
        <v>39633920.80144383</v>
      </c>
      <c r="C18" s="3">
        <f t="shared" si="1"/>
        <v>39633920.80144383</v>
      </c>
      <c r="D18" s="3">
        <f t="shared" si="4"/>
        <v>39633920.80144383</v>
      </c>
      <c r="E18" s="3">
        <f t="shared" si="4"/>
        <v>39633920.80144383</v>
      </c>
      <c r="F18" s="3">
        <f t="shared" si="4"/>
        <v>39633920.80144383</v>
      </c>
      <c r="G18" s="3">
        <f t="shared" si="4"/>
        <v>39633920.80144383</v>
      </c>
      <c r="H18" s="3">
        <f t="shared" si="4"/>
        <v>39633920.80144383</v>
      </c>
      <c r="I18" s="3">
        <f t="shared" si="4"/>
        <v>39633920.80144383</v>
      </c>
      <c r="J18" s="3">
        <f t="shared" si="4"/>
        <v>39633920.80144383</v>
      </c>
      <c r="K18" s="3">
        <f t="shared" si="4"/>
        <v>39633920.80144383</v>
      </c>
      <c r="L18" s="3">
        <f t="shared" si="4"/>
        <v>39633920.80144383</v>
      </c>
      <c r="M18" s="3">
        <f t="shared" si="4"/>
        <v>39633920.80144383</v>
      </c>
      <c r="N18" s="3">
        <f t="shared" si="4"/>
        <v>39633920.80144383</v>
      </c>
      <c r="O18" s="3">
        <f t="shared" si="4"/>
        <v>39633920.80144383</v>
      </c>
      <c r="P18" s="3">
        <f t="shared" si="4"/>
        <v>39633920.80144383</v>
      </c>
      <c r="Q18" s="3">
        <f t="shared" si="4"/>
        <v>39633920.80144383</v>
      </c>
      <c r="R18" s="3">
        <f t="shared" si="4"/>
        <v>39633920.80144383</v>
      </c>
      <c r="S18" s="3">
        <f t="shared" si="4"/>
        <v>39633920.80144383</v>
      </c>
      <c r="T18" s="3">
        <f t="shared" si="4"/>
        <v>39633920.80144383</v>
      </c>
      <c r="U18" s="3">
        <f t="shared" si="4"/>
        <v>39633920.80144383</v>
      </c>
      <c r="V18" s="3">
        <f t="shared" si="4"/>
        <v>39633920.80144383</v>
      </c>
      <c r="W18" s="3">
        <f t="shared" si="4"/>
        <v>39633920.80144383</v>
      </c>
      <c r="X18" s="3">
        <f t="shared" si="4"/>
        <v>39633920.80144383</v>
      </c>
      <c r="Y18" s="3">
        <f t="shared" si="4"/>
        <v>39633920.80144383</v>
      </c>
      <c r="Z18" s="3">
        <f t="shared" si="4"/>
        <v>39633920.80144383</v>
      </c>
      <c r="AA18" s="3">
        <f t="shared" si="4"/>
        <v>39633920.80144383</v>
      </c>
      <c r="AB18" s="3">
        <f t="shared" si="4"/>
        <v>39633920.80144383</v>
      </c>
      <c r="AC18" s="3">
        <f t="shared" si="4"/>
        <v>39633920.80144383</v>
      </c>
      <c r="AD18" s="3">
        <f t="shared" si="4"/>
        <v>39633920.80144383</v>
      </c>
      <c r="AE18" s="3">
        <f t="shared" si="4"/>
        <v>39633920.80144383</v>
      </c>
      <c r="AF18" s="3">
        <f t="shared" si="4"/>
        <v>39633920.80144383</v>
      </c>
      <c r="AG18" s="3">
        <f t="shared" si="4"/>
        <v>39633920.80144383</v>
      </c>
      <c r="AH18" s="3">
        <f t="shared" si="4"/>
        <v>39633920.80144383</v>
      </c>
      <c r="AI18" s="3">
        <f t="shared" si="4"/>
        <v>39633920.80144383</v>
      </c>
      <c r="AJ18" s="3">
        <f t="shared" si="4"/>
        <v>39633920.80144383</v>
      </c>
      <c r="AK18" s="3">
        <f t="shared" si="4"/>
        <v>39633920.80144383</v>
      </c>
      <c r="AL18" s="3">
        <f t="shared" si="4"/>
        <v>39633920.80144383</v>
      </c>
      <c r="AM18" s="3">
        <f t="shared" si="4"/>
        <v>39633920.80144383</v>
      </c>
      <c r="AN18" s="3">
        <f t="shared" si="4"/>
        <v>39633920.80144383</v>
      </c>
      <c r="AO18" s="3">
        <f t="shared" si="4"/>
        <v>39633920.80144383</v>
      </c>
      <c r="AP18" s="3">
        <f t="shared" si="4"/>
        <v>39633920.80144383</v>
      </c>
      <c r="AQ18" s="3">
        <f t="shared" si="4"/>
        <v>39633920.80144383</v>
      </c>
    </row>
    <row r="19" spans="1:43">
      <c r="A19" t="s">
        <v>362</v>
      </c>
      <c r="B19" s="3">
        <f>Calculation!R9</f>
        <v>37736547.192304567</v>
      </c>
      <c r="C19" s="3">
        <f t="shared" si="1"/>
        <v>37736547.192304567</v>
      </c>
      <c r="D19" s="3">
        <f t="shared" si="4"/>
        <v>37736547.192304567</v>
      </c>
      <c r="E19" s="3">
        <f t="shared" si="4"/>
        <v>37736547.192304567</v>
      </c>
      <c r="F19" s="3">
        <f t="shared" si="4"/>
        <v>37736547.192304567</v>
      </c>
      <c r="G19" s="3">
        <f t="shared" si="4"/>
        <v>37736547.192304567</v>
      </c>
      <c r="H19" s="3">
        <f t="shared" si="4"/>
        <v>37736547.192304567</v>
      </c>
      <c r="I19" s="3">
        <f t="shared" si="4"/>
        <v>37736547.192304567</v>
      </c>
      <c r="J19" s="3">
        <f t="shared" si="4"/>
        <v>37736547.192304567</v>
      </c>
      <c r="K19" s="3">
        <f t="shared" si="4"/>
        <v>37736547.192304567</v>
      </c>
      <c r="L19" s="3">
        <f t="shared" si="4"/>
        <v>37736547.192304567</v>
      </c>
      <c r="M19" s="3">
        <f t="shared" si="4"/>
        <v>37736547.192304567</v>
      </c>
      <c r="N19" s="3">
        <f t="shared" si="4"/>
        <v>37736547.192304567</v>
      </c>
      <c r="O19" s="3">
        <f t="shared" si="4"/>
        <v>37736547.192304567</v>
      </c>
      <c r="P19" s="3">
        <f t="shared" si="4"/>
        <v>37736547.192304567</v>
      </c>
      <c r="Q19" s="3">
        <f t="shared" si="4"/>
        <v>37736547.192304567</v>
      </c>
      <c r="R19" s="3">
        <f t="shared" si="4"/>
        <v>37736547.192304567</v>
      </c>
      <c r="S19" s="3">
        <f t="shared" si="4"/>
        <v>37736547.192304567</v>
      </c>
      <c r="T19" s="3">
        <f t="shared" si="4"/>
        <v>37736547.192304567</v>
      </c>
      <c r="U19" s="3">
        <f t="shared" si="4"/>
        <v>37736547.192304567</v>
      </c>
      <c r="V19" s="3">
        <f t="shared" si="4"/>
        <v>37736547.192304567</v>
      </c>
      <c r="W19" s="3">
        <f t="shared" si="4"/>
        <v>37736547.192304567</v>
      </c>
      <c r="X19" s="3">
        <f t="shared" si="4"/>
        <v>37736547.192304567</v>
      </c>
      <c r="Y19" s="3">
        <f t="shared" si="4"/>
        <v>37736547.192304567</v>
      </c>
      <c r="Z19" s="3">
        <f t="shared" si="4"/>
        <v>37736547.192304567</v>
      </c>
      <c r="AA19" s="3">
        <f t="shared" si="4"/>
        <v>37736547.192304567</v>
      </c>
      <c r="AB19" s="3">
        <f t="shared" si="4"/>
        <v>37736547.192304567</v>
      </c>
      <c r="AC19" s="3">
        <f t="shared" si="4"/>
        <v>37736547.192304567</v>
      </c>
      <c r="AD19" s="3">
        <f t="shared" si="4"/>
        <v>37736547.192304567</v>
      </c>
      <c r="AE19" s="3">
        <f t="shared" si="4"/>
        <v>37736547.192304567</v>
      </c>
      <c r="AF19" s="3">
        <f t="shared" si="4"/>
        <v>37736547.192304567</v>
      </c>
      <c r="AG19" s="3">
        <f t="shared" si="4"/>
        <v>37736547.192304567</v>
      </c>
      <c r="AH19" s="3">
        <f t="shared" si="4"/>
        <v>37736547.192304567</v>
      </c>
      <c r="AI19" s="3">
        <f t="shared" si="4"/>
        <v>37736547.192304567</v>
      </c>
      <c r="AJ19" s="3">
        <f t="shared" si="4"/>
        <v>37736547.192304567</v>
      </c>
      <c r="AK19" s="3">
        <f t="shared" si="4"/>
        <v>37736547.192304567</v>
      </c>
      <c r="AL19" s="3">
        <f t="shared" si="4"/>
        <v>37736547.192304567</v>
      </c>
      <c r="AM19" s="3">
        <f t="shared" si="4"/>
        <v>37736547.192304567</v>
      </c>
      <c r="AN19" s="3">
        <f t="shared" si="4"/>
        <v>37736547.192304567</v>
      </c>
      <c r="AO19" s="3">
        <f t="shared" si="4"/>
        <v>37736547.192304567</v>
      </c>
      <c r="AP19" s="3">
        <f t="shared" si="4"/>
        <v>37736547.192304567</v>
      </c>
      <c r="AQ19" s="3">
        <f t="shared" si="4"/>
        <v>37736547.192304567</v>
      </c>
    </row>
    <row r="20" spans="1:43">
      <c r="A20" t="s">
        <v>363</v>
      </c>
      <c r="B20" s="3">
        <f>Calculation!R10</f>
        <v>46128602.581605367</v>
      </c>
      <c r="C20" s="3">
        <f t="shared" si="1"/>
        <v>46128602.581605367</v>
      </c>
      <c r="D20" s="3">
        <f t="shared" si="4"/>
        <v>46128602.581605367</v>
      </c>
      <c r="E20" s="3">
        <f t="shared" si="4"/>
        <v>46128602.581605367</v>
      </c>
      <c r="F20" s="3">
        <f t="shared" si="4"/>
        <v>46128602.581605367</v>
      </c>
      <c r="G20" s="3">
        <f t="shared" si="4"/>
        <v>46128602.581605367</v>
      </c>
      <c r="H20" s="3">
        <f t="shared" si="4"/>
        <v>46128602.581605367</v>
      </c>
      <c r="I20" s="3">
        <f t="shared" si="4"/>
        <v>46128602.581605367</v>
      </c>
      <c r="J20" s="3">
        <f t="shared" si="4"/>
        <v>46128602.581605367</v>
      </c>
      <c r="K20" s="3">
        <f t="shared" si="4"/>
        <v>46128602.581605367</v>
      </c>
      <c r="L20" s="3">
        <f t="shared" si="4"/>
        <v>46128602.581605367</v>
      </c>
      <c r="M20" s="3">
        <f t="shared" si="4"/>
        <v>46128602.581605367</v>
      </c>
      <c r="N20" s="3">
        <f t="shared" si="4"/>
        <v>46128602.581605367</v>
      </c>
      <c r="O20" s="3">
        <f t="shared" si="4"/>
        <v>46128602.581605367</v>
      </c>
      <c r="P20" s="3">
        <f t="shared" si="4"/>
        <v>46128602.581605367</v>
      </c>
      <c r="Q20" s="3">
        <f t="shared" si="4"/>
        <v>46128602.581605367</v>
      </c>
      <c r="R20" s="3">
        <f t="shared" si="4"/>
        <v>46128602.581605367</v>
      </c>
      <c r="S20" s="3">
        <f t="shared" si="4"/>
        <v>46128602.581605367</v>
      </c>
      <c r="T20" s="3">
        <f t="shared" si="4"/>
        <v>46128602.581605367</v>
      </c>
      <c r="U20" s="3">
        <f t="shared" si="4"/>
        <v>46128602.581605367</v>
      </c>
      <c r="V20" s="3">
        <f t="shared" si="4"/>
        <v>46128602.581605367</v>
      </c>
      <c r="W20" s="3">
        <f t="shared" si="4"/>
        <v>46128602.581605367</v>
      </c>
      <c r="X20" s="3">
        <f t="shared" si="4"/>
        <v>46128602.581605367</v>
      </c>
      <c r="Y20" s="3">
        <f t="shared" si="4"/>
        <v>46128602.581605367</v>
      </c>
      <c r="Z20" s="3">
        <f t="shared" si="4"/>
        <v>46128602.581605367</v>
      </c>
      <c r="AA20" s="3">
        <f t="shared" si="4"/>
        <v>46128602.581605367</v>
      </c>
      <c r="AB20" s="3">
        <f t="shared" si="4"/>
        <v>46128602.581605367</v>
      </c>
      <c r="AC20" s="3">
        <f t="shared" si="4"/>
        <v>46128602.581605367</v>
      </c>
      <c r="AD20" s="3">
        <f t="shared" si="4"/>
        <v>46128602.581605367</v>
      </c>
      <c r="AE20" s="3">
        <f t="shared" si="4"/>
        <v>46128602.581605367</v>
      </c>
      <c r="AF20" s="3">
        <f t="shared" si="4"/>
        <v>46128602.581605367</v>
      </c>
      <c r="AG20" s="3">
        <f t="shared" si="4"/>
        <v>46128602.581605367</v>
      </c>
      <c r="AH20" s="3">
        <f t="shared" si="4"/>
        <v>46128602.581605367</v>
      </c>
      <c r="AI20" s="3">
        <f t="shared" si="4"/>
        <v>46128602.581605367</v>
      </c>
      <c r="AJ20" s="3">
        <f t="shared" si="4"/>
        <v>46128602.581605367</v>
      </c>
      <c r="AK20" s="3">
        <f t="shared" si="4"/>
        <v>46128602.581605367</v>
      </c>
      <c r="AL20" s="3">
        <f t="shared" si="4"/>
        <v>46128602.581605367</v>
      </c>
      <c r="AM20" s="3">
        <f t="shared" si="4"/>
        <v>46128602.581605367</v>
      </c>
      <c r="AN20" s="3">
        <f t="shared" si="4"/>
        <v>46128602.581605367</v>
      </c>
      <c r="AO20" s="3">
        <f t="shared" si="4"/>
        <v>46128602.581605367</v>
      </c>
      <c r="AP20" s="3">
        <f t="shared" si="4"/>
        <v>46128602.581605367</v>
      </c>
      <c r="AQ20" s="3">
        <f t="shared" si="4"/>
        <v>46128602.581605367</v>
      </c>
    </row>
    <row r="21" spans="1:43">
      <c r="A21" s="183" t="s">
        <v>364</v>
      </c>
      <c r="B21" s="3">
        <f>'GREET1 Fuel_Specs'!$D$90</f>
        <v>13583444.58426456</v>
      </c>
      <c r="C21" s="3">
        <f t="shared" si="1"/>
        <v>13583444.58426456</v>
      </c>
      <c r="D21" s="3">
        <f t="shared" si="4"/>
        <v>13583444.58426456</v>
      </c>
      <c r="E21" s="3">
        <f t="shared" si="4"/>
        <v>13583444.58426456</v>
      </c>
      <c r="F21" s="3">
        <f t="shared" si="4"/>
        <v>13583444.58426456</v>
      </c>
      <c r="G21" s="3">
        <f t="shared" si="4"/>
        <v>13583444.58426456</v>
      </c>
      <c r="H21" s="3">
        <f t="shared" si="4"/>
        <v>13583444.58426456</v>
      </c>
      <c r="I21" s="3">
        <f t="shared" si="4"/>
        <v>13583444.58426456</v>
      </c>
      <c r="J21" s="3">
        <f t="shared" si="4"/>
        <v>13583444.58426456</v>
      </c>
      <c r="K21" s="3">
        <f t="shared" si="4"/>
        <v>13583444.58426456</v>
      </c>
      <c r="L21" s="3">
        <f t="shared" si="4"/>
        <v>13583444.58426456</v>
      </c>
      <c r="M21" s="3">
        <f t="shared" si="4"/>
        <v>13583444.58426456</v>
      </c>
      <c r="N21" s="3">
        <f t="shared" si="4"/>
        <v>13583444.58426456</v>
      </c>
      <c r="O21" s="3">
        <f t="shared" si="4"/>
        <v>13583444.58426456</v>
      </c>
      <c r="P21" s="3">
        <f t="shared" si="4"/>
        <v>13583444.58426456</v>
      </c>
      <c r="Q21" s="3">
        <f t="shared" si="4"/>
        <v>13583444.58426456</v>
      </c>
      <c r="R21" s="3">
        <f t="shared" si="4"/>
        <v>13583444.58426456</v>
      </c>
      <c r="S21" s="3">
        <f t="shared" si="4"/>
        <v>13583444.58426456</v>
      </c>
      <c r="T21" s="3">
        <f t="shared" si="4"/>
        <v>13583444.58426456</v>
      </c>
      <c r="U21" s="3">
        <f t="shared" si="4"/>
        <v>13583444.58426456</v>
      </c>
      <c r="V21" s="3">
        <f t="shared" si="4"/>
        <v>13583444.58426456</v>
      </c>
      <c r="W21" s="3">
        <f t="shared" si="4"/>
        <v>13583444.58426456</v>
      </c>
      <c r="X21" s="3">
        <f t="shared" ref="D21:AQ22" si="5">$B21</f>
        <v>13583444.58426456</v>
      </c>
      <c r="Y21" s="3">
        <f t="shared" si="5"/>
        <v>13583444.58426456</v>
      </c>
      <c r="Z21" s="3">
        <f t="shared" si="5"/>
        <v>13583444.58426456</v>
      </c>
      <c r="AA21" s="3">
        <f t="shared" si="5"/>
        <v>13583444.58426456</v>
      </c>
      <c r="AB21" s="3">
        <f t="shared" si="5"/>
        <v>13583444.58426456</v>
      </c>
      <c r="AC21" s="3">
        <f t="shared" si="5"/>
        <v>13583444.58426456</v>
      </c>
      <c r="AD21" s="3">
        <f t="shared" si="5"/>
        <v>13583444.58426456</v>
      </c>
      <c r="AE21" s="3">
        <f t="shared" si="5"/>
        <v>13583444.58426456</v>
      </c>
      <c r="AF21" s="3">
        <f t="shared" si="5"/>
        <v>13583444.58426456</v>
      </c>
      <c r="AG21" s="3">
        <f t="shared" si="5"/>
        <v>13583444.58426456</v>
      </c>
      <c r="AH21" s="3">
        <f t="shared" si="5"/>
        <v>13583444.58426456</v>
      </c>
      <c r="AI21" s="3">
        <f t="shared" si="5"/>
        <v>13583444.58426456</v>
      </c>
      <c r="AJ21" s="3">
        <f t="shared" si="5"/>
        <v>13583444.58426456</v>
      </c>
      <c r="AK21" s="3">
        <f t="shared" si="5"/>
        <v>13583444.58426456</v>
      </c>
      <c r="AL21" s="3">
        <f t="shared" si="5"/>
        <v>13583444.58426456</v>
      </c>
      <c r="AM21" s="3">
        <f t="shared" si="5"/>
        <v>13583444.58426456</v>
      </c>
      <c r="AN21" s="3">
        <f t="shared" si="5"/>
        <v>13583444.58426456</v>
      </c>
      <c r="AO21" s="3">
        <f t="shared" si="5"/>
        <v>13583444.58426456</v>
      </c>
      <c r="AP21" s="3">
        <f t="shared" si="5"/>
        <v>13583444.58426456</v>
      </c>
      <c r="AQ21" s="3">
        <f t="shared" si="5"/>
        <v>13583444.58426456</v>
      </c>
    </row>
    <row r="22" spans="1:43">
      <c r="A22" s="183" t="s">
        <v>360</v>
      </c>
      <c r="B22" s="3">
        <f>'GREET1 Fuel_Specs'!$D$62/'GREET1 Fuel_Specs'!$E$62*10^3</f>
        <v>134509.80392156864</v>
      </c>
      <c r="C22" s="3">
        <f t="shared" si="1"/>
        <v>134509.80392156864</v>
      </c>
      <c r="D22" s="3">
        <f t="shared" si="5"/>
        <v>134509.80392156864</v>
      </c>
      <c r="E22" s="3">
        <f t="shared" si="5"/>
        <v>134509.80392156864</v>
      </c>
      <c r="F22" s="3">
        <f t="shared" si="5"/>
        <v>134509.80392156864</v>
      </c>
      <c r="G22" s="3">
        <f t="shared" si="5"/>
        <v>134509.80392156864</v>
      </c>
      <c r="H22" s="3">
        <f t="shared" si="5"/>
        <v>134509.80392156864</v>
      </c>
      <c r="I22" s="3">
        <f t="shared" si="5"/>
        <v>134509.80392156864</v>
      </c>
      <c r="J22" s="3">
        <f t="shared" si="5"/>
        <v>134509.80392156864</v>
      </c>
      <c r="K22" s="3">
        <f t="shared" si="5"/>
        <v>134509.80392156864</v>
      </c>
      <c r="L22" s="3">
        <f t="shared" si="5"/>
        <v>134509.80392156864</v>
      </c>
      <c r="M22" s="3">
        <f t="shared" si="5"/>
        <v>134509.80392156864</v>
      </c>
      <c r="N22" s="3">
        <f t="shared" si="5"/>
        <v>134509.80392156864</v>
      </c>
      <c r="O22" s="3">
        <f t="shared" si="5"/>
        <v>134509.80392156864</v>
      </c>
      <c r="P22" s="3">
        <f t="shared" si="5"/>
        <v>134509.80392156864</v>
      </c>
      <c r="Q22" s="3">
        <f t="shared" si="5"/>
        <v>134509.80392156864</v>
      </c>
      <c r="R22" s="3">
        <f t="shared" si="5"/>
        <v>134509.80392156864</v>
      </c>
      <c r="S22" s="3">
        <f t="shared" si="5"/>
        <v>134509.80392156864</v>
      </c>
      <c r="T22" s="3">
        <f t="shared" si="5"/>
        <v>134509.80392156864</v>
      </c>
      <c r="U22" s="3">
        <f t="shared" si="5"/>
        <v>134509.80392156864</v>
      </c>
      <c r="V22" s="3">
        <f t="shared" si="5"/>
        <v>134509.80392156864</v>
      </c>
      <c r="W22" s="3">
        <f t="shared" si="5"/>
        <v>134509.80392156864</v>
      </c>
      <c r="X22" s="3">
        <f t="shared" si="5"/>
        <v>134509.80392156864</v>
      </c>
      <c r="Y22" s="3">
        <f t="shared" si="5"/>
        <v>134509.80392156864</v>
      </c>
      <c r="Z22" s="3">
        <f t="shared" si="5"/>
        <v>134509.80392156864</v>
      </c>
      <c r="AA22" s="3">
        <f t="shared" si="5"/>
        <v>134509.80392156864</v>
      </c>
      <c r="AB22" s="3">
        <f t="shared" si="5"/>
        <v>134509.80392156864</v>
      </c>
      <c r="AC22" s="3">
        <f t="shared" si="5"/>
        <v>134509.80392156864</v>
      </c>
      <c r="AD22" s="3">
        <f t="shared" si="5"/>
        <v>134509.80392156864</v>
      </c>
      <c r="AE22" s="3">
        <f t="shared" si="5"/>
        <v>134509.80392156864</v>
      </c>
      <c r="AF22" s="3">
        <f t="shared" si="5"/>
        <v>134509.80392156864</v>
      </c>
      <c r="AG22" s="3">
        <f t="shared" si="5"/>
        <v>134509.80392156864</v>
      </c>
      <c r="AH22" s="3">
        <f t="shared" si="5"/>
        <v>134509.80392156864</v>
      </c>
      <c r="AI22" s="3">
        <f t="shared" si="5"/>
        <v>134509.80392156864</v>
      </c>
      <c r="AJ22" s="3">
        <f t="shared" si="5"/>
        <v>134509.80392156864</v>
      </c>
      <c r="AK22" s="3">
        <f t="shared" si="5"/>
        <v>134509.80392156864</v>
      </c>
      <c r="AL22" s="3">
        <f t="shared" si="5"/>
        <v>134509.80392156864</v>
      </c>
      <c r="AM22" s="3">
        <f t="shared" si="5"/>
        <v>134509.80392156864</v>
      </c>
      <c r="AN22" s="3">
        <f t="shared" si="5"/>
        <v>134509.80392156864</v>
      </c>
      <c r="AO22" s="3">
        <f t="shared" si="5"/>
        <v>134509.80392156864</v>
      </c>
      <c r="AP22" s="3">
        <f t="shared" si="5"/>
        <v>134509.80392156864</v>
      </c>
      <c r="AQ22" s="3">
        <f t="shared" si="5"/>
        <v>134509.80392156864</v>
      </c>
    </row>
  </sheetData>
  <phoneticPr fontId="38"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Q19"/>
  <sheetViews>
    <sheetView workbookViewId="0">
      <selection activeCell="H24" sqref="H24"/>
    </sheetView>
  </sheetViews>
  <sheetFormatPr defaultRowHeight="13.5"/>
  <cols>
    <col min="1" max="1" width="37.5" customWidth="1"/>
    <col min="2" max="43" width="12.5" customWidth="1"/>
  </cols>
  <sheetData>
    <row r="1" spans="1:43">
      <c r="A1" s="1" t="s">
        <v>397</v>
      </c>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c r="AH1">
        <v>2051</v>
      </c>
      <c r="AI1">
        <v>2052</v>
      </c>
      <c r="AJ1">
        <v>2053</v>
      </c>
      <c r="AK1">
        <v>2054</v>
      </c>
      <c r="AL1">
        <v>2055</v>
      </c>
      <c r="AM1">
        <v>2056</v>
      </c>
      <c r="AN1">
        <v>2057</v>
      </c>
      <c r="AO1">
        <v>2058</v>
      </c>
      <c r="AP1">
        <v>2059</v>
      </c>
      <c r="AQ1">
        <v>2060</v>
      </c>
    </row>
    <row r="2" spans="1:43">
      <c r="A2" t="s">
        <v>306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f>AI2</f>
        <v>0</v>
      </c>
      <c r="AK2">
        <f t="shared" ref="AK2:AQ2" si="0">AJ2</f>
        <v>0</v>
      </c>
      <c r="AL2">
        <f t="shared" si="0"/>
        <v>0</v>
      </c>
      <c r="AM2">
        <f t="shared" si="0"/>
        <v>0</v>
      </c>
      <c r="AN2">
        <f t="shared" si="0"/>
        <v>0</v>
      </c>
      <c r="AO2">
        <f t="shared" si="0"/>
        <v>0</v>
      </c>
      <c r="AP2">
        <f t="shared" si="0"/>
        <v>0</v>
      </c>
      <c r="AQ2">
        <f t="shared" si="0"/>
        <v>0</v>
      </c>
    </row>
    <row r="3" spans="1:43">
      <c r="A3" t="s">
        <v>307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f t="shared" ref="AJ3:AQ11" si="1">AI3</f>
        <v>0</v>
      </c>
      <c r="AK3">
        <f t="shared" si="1"/>
        <v>0</v>
      </c>
      <c r="AL3">
        <f t="shared" si="1"/>
        <v>0</v>
      </c>
      <c r="AM3">
        <f t="shared" si="1"/>
        <v>0</v>
      </c>
      <c r="AN3">
        <f t="shared" si="1"/>
        <v>0</v>
      </c>
      <c r="AO3">
        <f t="shared" si="1"/>
        <v>0</v>
      </c>
      <c r="AP3">
        <f t="shared" si="1"/>
        <v>0</v>
      </c>
      <c r="AQ3">
        <f t="shared" si="1"/>
        <v>0</v>
      </c>
    </row>
    <row r="4" spans="1:43">
      <c r="A4" t="s">
        <v>313</v>
      </c>
      <c r="B4" s="3">
        <f>'Fuel Economy Calculation'!B10</f>
        <v>49930.038320530628</v>
      </c>
      <c r="C4" s="3">
        <f>$B4</f>
        <v>49930.038320530628</v>
      </c>
      <c r="D4" s="3">
        <f t="shared" ref="D4:AQ5" si="2">$B4</f>
        <v>49930.038320530628</v>
      </c>
      <c r="E4" s="3">
        <f t="shared" si="2"/>
        <v>49930.038320530628</v>
      </c>
      <c r="F4" s="3">
        <f t="shared" si="2"/>
        <v>49930.038320530628</v>
      </c>
      <c r="G4" s="3">
        <f t="shared" si="2"/>
        <v>49930.038320530628</v>
      </c>
      <c r="H4" s="3">
        <f t="shared" si="2"/>
        <v>49930.038320530628</v>
      </c>
      <c r="I4" s="3">
        <f t="shared" si="2"/>
        <v>49930.038320530628</v>
      </c>
      <c r="J4" s="3">
        <f t="shared" si="2"/>
        <v>49930.038320530628</v>
      </c>
      <c r="K4" s="3">
        <f t="shared" si="2"/>
        <v>49930.038320530628</v>
      </c>
      <c r="L4" s="3">
        <f t="shared" si="2"/>
        <v>49930.038320530628</v>
      </c>
      <c r="M4" s="3">
        <f t="shared" si="2"/>
        <v>49930.038320530628</v>
      </c>
      <c r="N4" s="3">
        <f t="shared" si="2"/>
        <v>49930.038320530628</v>
      </c>
      <c r="O4" s="3">
        <f t="shared" si="2"/>
        <v>49930.038320530628</v>
      </c>
      <c r="P4" s="3">
        <f t="shared" si="2"/>
        <v>49930.038320530628</v>
      </c>
      <c r="Q4" s="3">
        <f t="shared" si="2"/>
        <v>49930.038320530628</v>
      </c>
      <c r="R4" s="3">
        <f t="shared" si="2"/>
        <v>49930.038320530628</v>
      </c>
      <c r="S4" s="3">
        <f t="shared" si="2"/>
        <v>49930.038320530628</v>
      </c>
      <c r="T4" s="3">
        <f t="shared" si="2"/>
        <v>49930.038320530628</v>
      </c>
      <c r="U4" s="3">
        <f t="shared" si="2"/>
        <v>49930.038320530628</v>
      </c>
      <c r="V4" s="3">
        <f t="shared" si="2"/>
        <v>49930.038320530628</v>
      </c>
      <c r="W4" s="3">
        <f t="shared" si="2"/>
        <v>49930.038320530628</v>
      </c>
      <c r="X4" s="3">
        <f t="shared" si="2"/>
        <v>49930.038320530628</v>
      </c>
      <c r="Y4" s="3">
        <f t="shared" si="2"/>
        <v>49930.038320530628</v>
      </c>
      <c r="Z4" s="3">
        <f t="shared" si="2"/>
        <v>49930.038320530628</v>
      </c>
      <c r="AA4" s="3">
        <f t="shared" si="2"/>
        <v>49930.038320530628</v>
      </c>
      <c r="AB4" s="3">
        <f t="shared" si="2"/>
        <v>49930.038320530628</v>
      </c>
      <c r="AC4" s="3">
        <f t="shared" si="2"/>
        <v>49930.038320530628</v>
      </c>
      <c r="AD4" s="3">
        <f t="shared" si="2"/>
        <v>49930.038320530628</v>
      </c>
      <c r="AE4" s="3">
        <f t="shared" si="2"/>
        <v>49930.038320530628</v>
      </c>
      <c r="AF4" s="3">
        <f t="shared" si="2"/>
        <v>49930.038320530628</v>
      </c>
      <c r="AG4" s="3">
        <f t="shared" si="2"/>
        <v>49930.038320530628</v>
      </c>
      <c r="AH4" s="3">
        <f t="shared" si="2"/>
        <v>49930.038320530628</v>
      </c>
      <c r="AI4" s="3">
        <f t="shared" si="2"/>
        <v>49930.038320530628</v>
      </c>
      <c r="AJ4" s="3">
        <f t="shared" si="2"/>
        <v>49930.038320530628</v>
      </c>
      <c r="AK4" s="3">
        <f t="shared" si="2"/>
        <v>49930.038320530628</v>
      </c>
      <c r="AL4" s="3">
        <f t="shared" si="2"/>
        <v>49930.038320530628</v>
      </c>
      <c r="AM4" s="3">
        <f t="shared" si="2"/>
        <v>49930.038320530628</v>
      </c>
      <c r="AN4" s="3">
        <f t="shared" si="2"/>
        <v>49930.038320530628</v>
      </c>
      <c r="AO4" s="3">
        <f t="shared" si="2"/>
        <v>49930.038320530628</v>
      </c>
      <c r="AP4" s="3">
        <f t="shared" si="2"/>
        <v>49930.038320530628</v>
      </c>
      <c r="AQ4" s="3">
        <f t="shared" si="2"/>
        <v>49930.038320530628</v>
      </c>
    </row>
    <row r="5" spans="1:43">
      <c r="A5" t="s">
        <v>314</v>
      </c>
      <c r="B5" s="3">
        <f>'Fuel Economy Calculation'!B11</f>
        <v>53484.98385116514</v>
      </c>
      <c r="C5" s="3">
        <f>$B5</f>
        <v>53484.98385116514</v>
      </c>
      <c r="D5" s="3">
        <f t="shared" si="2"/>
        <v>53484.98385116514</v>
      </c>
      <c r="E5" s="3">
        <f t="shared" si="2"/>
        <v>53484.98385116514</v>
      </c>
      <c r="F5" s="3">
        <f t="shared" si="2"/>
        <v>53484.98385116514</v>
      </c>
      <c r="G5" s="3">
        <f t="shared" si="2"/>
        <v>53484.98385116514</v>
      </c>
      <c r="H5" s="3">
        <f t="shared" si="2"/>
        <v>53484.98385116514</v>
      </c>
      <c r="I5" s="3">
        <f t="shared" si="2"/>
        <v>53484.98385116514</v>
      </c>
      <c r="J5" s="3">
        <f t="shared" si="2"/>
        <v>53484.98385116514</v>
      </c>
      <c r="K5" s="3">
        <f t="shared" si="2"/>
        <v>53484.98385116514</v>
      </c>
      <c r="L5" s="3">
        <f t="shared" si="2"/>
        <v>53484.98385116514</v>
      </c>
      <c r="M5" s="3">
        <f t="shared" si="2"/>
        <v>53484.98385116514</v>
      </c>
      <c r="N5" s="3">
        <f t="shared" si="2"/>
        <v>53484.98385116514</v>
      </c>
      <c r="O5" s="3">
        <f t="shared" si="2"/>
        <v>53484.98385116514</v>
      </c>
      <c r="P5" s="3">
        <f t="shared" si="2"/>
        <v>53484.98385116514</v>
      </c>
      <c r="Q5" s="3">
        <f t="shared" si="2"/>
        <v>53484.98385116514</v>
      </c>
      <c r="R5" s="3">
        <f t="shared" si="2"/>
        <v>53484.98385116514</v>
      </c>
      <c r="S5" s="3">
        <f t="shared" si="2"/>
        <v>53484.98385116514</v>
      </c>
      <c r="T5" s="3">
        <f t="shared" si="2"/>
        <v>53484.98385116514</v>
      </c>
      <c r="U5" s="3">
        <f t="shared" si="2"/>
        <v>53484.98385116514</v>
      </c>
      <c r="V5" s="3">
        <f t="shared" si="2"/>
        <v>53484.98385116514</v>
      </c>
      <c r="W5" s="3">
        <f t="shared" si="2"/>
        <v>53484.98385116514</v>
      </c>
      <c r="X5" s="3">
        <f t="shared" si="2"/>
        <v>53484.98385116514</v>
      </c>
      <c r="Y5" s="3">
        <f t="shared" si="2"/>
        <v>53484.98385116514</v>
      </c>
      <c r="Z5" s="3">
        <f t="shared" si="2"/>
        <v>53484.98385116514</v>
      </c>
      <c r="AA5" s="3">
        <f t="shared" si="2"/>
        <v>53484.98385116514</v>
      </c>
      <c r="AB5" s="3">
        <f t="shared" si="2"/>
        <v>53484.98385116514</v>
      </c>
      <c r="AC5" s="3">
        <f t="shared" si="2"/>
        <v>53484.98385116514</v>
      </c>
      <c r="AD5" s="3">
        <f t="shared" si="2"/>
        <v>53484.98385116514</v>
      </c>
      <c r="AE5" s="3">
        <f t="shared" si="2"/>
        <v>53484.98385116514</v>
      </c>
      <c r="AF5" s="3">
        <f t="shared" si="2"/>
        <v>53484.98385116514</v>
      </c>
      <c r="AG5" s="3">
        <f t="shared" si="2"/>
        <v>53484.98385116514</v>
      </c>
      <c r="AH5" s="3">
        <f t="shared" si="2"/>
        <v>53484.98385116514</v>
      </c>
      <c r="AI5" s="3">
        <f t="shared" si="2"/>
        <v>53484.98385116514</v>
      </c>
      <c r="AJ5" s="3">
        <f t="shared" si="2"/>
        <v>53484.98385116514</v>
      </c>
      <c r="AK5" s="3">
        <f t="shared" si="2"/>
        <v>53484.98385116514</v>
      </c>
      <c r="AL5" s="3">
        <f t="shared" si="2"/>
        <v>53484.98385116514</v>
      </c>
      <c r="AM5" s="3">
        <f t="shared" si="2"/>
        <v>53484.98385116514</v>
      </c>
      <c r="AN5" s="3">
        <f t="shared" si="2"/>
        <v>53484.98385116514</v>
      </c>
      <c r="AO5" s="3">
        <f t="shared" si="2"/>
        <v>53484.98385116514</v>
      </c>
      <c r="AP5" s="3">
        <f t="shared" si="2"/>
        <v>53484.98385116514</v>
      </c>
      <c r="AQ5" s="3">
        <f t="shared" si="2"/>
        <v>53484.98385116514</v>
      </c>
    </row>
    <row r="6" spans="1:43">
      <c r="A6" t="s">
        <v>308</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row>
    <row r="7" spans="1:43">
      <c r="A7" t="s">
        <v>309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row>
    <row r="8" spans="1:43">
      <c r="A8" t="s">
        <v>315</v>
      </c>
      <c r="B8" s="3">
        <f>'Fuel Economy Calculation'!B12</f>
        <v>51243.986697386696</v>
      </c>
      <c r="C8" s="3">
        <f>$B8</f>
        <v>51243.986697386696</v>
      </c>
      <c r="D8" s="3">
        <f t="shared" ref="D8:AQ8" si="3">$B8</f>
        <v>51243.986697386696</v>
      </c>
      <c r="E8" s="3">
        <f t="shared" si="3"/>
        <v>51243.986697386696</v>
      </c>
      <c r="F8" s="3">
        <f t="shared" si="3"/>
        <v>51243.986697386696</v>
      </c>
      <c r="G8" s="3">
        <f t="shared" si="3"/>
        <v>51243.986697386696</v>
      </c>
      <c r="H8" s="3">
        <f t="shared" si="3"/>
        <v>51243.986697386696</v>
      </c>
      <c r="I8" s="3">
        <f t="shared" si="3"/>
        <v>51243.986697386696</v>
      </c>
      <c r="J8" s="3">
        <f t="shared" si="3"/>
        <v>51243.986697386696</v>
      </c>
      <c r="K8" s="3">
        <f t="shared" si="3"/>
        <v>51243.986697386696</v>
      </c>
      <c r="L8" s="3">
        <f t="shared" si="3"/>
        <v>51243.986697386696</v>
      </c>
      <c r="M8" s="3">
        <f t="shared" si="3"/>
        <v>51243.986697386696</v>
      </c>
      <c r="N8" s="3">
        <f t="shared" si="3"/>
        <v>51243.986697386696</v>
      </c>
      <c r="O8" s="3">
        <f t="shared" si="3"/>
        <v>51243.986697386696</v>
      </c>
      <c r="P8" s="3">
        <f t="shared" si="3"/>
        <v>51243.986697386696</v>
      </c>
      <c r="Q8" s="3">
        <f t="shared" si="3"/>
        <v>51243.986697386696</v>
      </c>
      <c r="R8" s="3">
        <f t="shared" si="3"/>
        <v>51243.986697386696</v>
      </c>
      <c r="S8" s="3">
        <f t="shared" si="3"/>
        <v>51243.986697386696</v>
      </c>
      <c r="T8" s="3">
        <f t="shared" si="3"/>
        <v>51243.986697386696</v>
      </c>
      <c r="U8" s="3">
        <f t="shared" si="3"/>
        <v>51243.986697386696</v>
      </c>
      <c r="V8" s="3">
        <f t="shared" si="3"/>
        <v>51243.986697386696</v>
      </c>
      <c r="W8" s="3">
        <f t="shared" si="3"/>
        <v>51243.986697386696</v>
      </c>
      <c r="X8" s="3">
        <f t="shared" si="3"/>
        <v>51243.986697386696</v>
      </c>
      <c r="Y8" s="3">
        <f t="shared" si="3"/>
        <v>51243.986697386696</v>
      </c>
      <c r="Z8" s="3">
        <f t="shared" si="3"/>
        <v>51243.986697386696</v>
      </c>
      <c r="AA8" s="3">
        <f t="shared" si="3"/>
        <v>51243.986697386696</v>
      </c>
      <c r="AB8" s="3">
        <f t="shared" si="3"/>
        <v>51243.986697386696</v>
      </c>
      <c r="AC8" s="3">
        <f t="shared" si="3"/>
        <v>51243.986697386696</v>
      </c>
      <c r="AD8" s="3">
        <f t="shared" si="3"/>
        <v>51243.986697386696</v>
      </c>
      <c r="AE8" s="3">
        <f t="shared" si="3"/>
        <v>51243.986697386696</v>
      </c>
      <c r="AF8" s="3">
        <f t="shared" si="3"/>
        <v>51243.986697386696</v>
      </c>
      <c r="AG8" s="3">
        <f t="shared" si="3"/>
        <v>51243.986697386696</v>
      </c>
      <c r="AH8" s="3">
        <f t="shared" si="3"/>
        <v>51243.986697386696</v>
      </c>
      <c r="AI8" s="3">
        <f t="shared" si="3"/>
        <v>51243.986697386696</v>
      </c>
      <c r="AJ8" s="3">
        <f t="shared" si="3"/>
        <v>51243.986697386696</v>
      </c>
      <c r="AK8" s="3">
        <f t="shared" si="3"/>
        <v>51243.986697386696</v>
      </c>
      <c r="AL8" s="3">
        <f t="shared" si="3"/>
        <v>51243.986697386696</v>
      </c>
      <c r="AM8" s="3">
        <f t="shared" si="3"/>
        <v>51243.986697386696</v>
      </c>
      <c r="AN8" s="3">
        <f t="shared" si="3"/>
        <v>51243.986697386696</v>
      </c>
      <c r="AO8" s="3">
        <f t="shared" si="3"/>
        <v>51243.986697386696</v>
      </c>
      <c r="AP8" s="3">
        <f t="shared" si="3"/>
        <v>51243.986697386696</v>
      </c>
      <c r="AQ8" s="3">
        <f t="shared" si="3"/>
        <v>51243.986697386696</v>
      </c>
    </row>
    <row r="9" spans="1:43">
      <c r="A9" t="s">
        <v>394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f t="shared" si="1"/>
        <v>0</v>
      </c>
      <c r="AK9">
        <f t="shared" si="1"/>
        <v>0</v>
      </c>
      <c r="AL9">
        <f t="shared" si="1"/>
        <v>0</v>
      </c>
      <c r="AM9">
        <f t="shared" si="1"/>
        <v>0</v>
      </c>
      <c r="AN9">
        <f t="shared" si="1"/>
        <v>0</v>
      </c>
      <c r="AO9">
        <f t="shared" si="1"/>
        <v>0</v>
      </c>
      <c r="AP9">
        <f t="shared" si="1"/>
        <v>0</v>
      </c>
      <c r="AQ9">
        <f t="shared" si="1"/>
        <v>0</v>
      </c>
    </row>
    <row r="10" spans="1:43">
      <c r="A10" t="s">
        <v>363</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f t="shared" si="1"/>
        <v>0</v>
      </c>
      <c r="AK10">
        <f t="shared" si="1"/>
        <v>0</v>
      </c>
      <c r="AL10">
        <f t="shared" si="1"/>
        <v>0</v>
      </c>
      <c r="AM10">
        <f t="shared" si="1"/>
        <v>0</v>
      </c>
      <c r="AN10">
        <f t="shared" si="1"/>
        <v>0</v>
      </c>
      <c r="AO10">
        <f t="shared" si="1"/>
        <v>0</v>
      </c>
      <c r="AP10">
        <f t="shared" si="1"/>
        <v>0</v>
      </c>
      <c r="AQ10">
        <f t="shared" si="1"/>
        <v>0</v>
      </c>
    </row>
    <row r="11" spans="1:43">
      <c r="A11" t="s">
        <v>360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f t="shared" si="1"/>
        <v>0</v>
      </c>
      <c r="AK11">
        <f t="shared" si="1"/>
        <v>0</v>
      </c>
      <c r="AL11">
        <f t="shared" si="1"/>
        <v>0</v>
      </c>
      <c r="AM11">
        <f t="shared" si="1"/>
        <v>0</v>
      </c>
      <c r="AN11">
        <f t="shared" si="1"/>
        <v>0</v>
      </c>
      <c r="AO11">
        <f t="shared" si="1"/>
        <v>0</v>
      </c>
      <c r="AP11">
        <f t="shared" si="1"/>
        <v>0</v>
      </c>
      <c r="AQ11">
        <f t="shared" si="1"/>
        <v>0</v>
      </c>
    </row>
    <row r="17" spans="2:2">
      <c r="B17" s="3"/>
    </row>
    <row r="18" spans="2:2">
      <c r="B18" s="3"/>
    </row>
    <row r="19" spans="2:2">
      <c r="B19" s="3"/>
    </row>
  </sheetData>
  <phoneticPr fontId="38"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B2"/>
  <sheetViews>
    <sheetView workbookViewId="0"/>
  </sheetViews>
  <sheetFormatPr defaultRowHeight="13.5"/>
  <cols>
    <col min="2" max="2" width="12.75" bestFit="1" customWidth="1"/>
  </cols>
  <sheetData>
    <row r="1" spans="1:2">
      <c r="B1" t="s">
        <v>396</v>
      </c>
    </row>
    <row r="2" spans="1:2">
      <c r="A2" t="s">
        <v>298</v>
      </c>
      <c r="B2">
        <f>About!A79/About!A75*10^10</f>
        <v>277782451042.75757</v>
      </c>
    </row>
  </sheetData>
  <phoneticPr fontId="3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14</vt:i4>
      </vt:variant>
      <vt:variant>
        <vt:lpstr>命名范围</vt:lpstr>
      </vt:variant>
      <vt:variant>
        <vt:i4>1</vt:i4>
      </vt:variant>
    </vt:vector>
  </HeadingPairs>
  <TitlesOfParts>
    <vt:vector size="15" baseType="lpstr">
      <vt:lpstr>About</vt:lpstr>
      <vt:lpstr>GBT2589</vt:lpstr>
      <vt:lpstr>Statistical Yearbook</vt:lpstr>
      <vt:lpstr>Heat Value</vt:lpstr>
      <vt:lpstr>Start Year Energy Balance</vt:lpstr>
      <vt:lpstr>AEO Table 73</vt:lpstr>
      <vt:lpstr>GREET1 Fuel_Specs</vt:lpstr>
      <vt:lpstr>EPS Fuel Crosswalk</vt:lpstr>
      <vt:lpstr>Calculation</vt:lpstr>
      <vt:lpstr>Fuel Economy Calculation</vt:lpstr>
      <vt:lpstr>BCF-BpLFOU</vt:lpstr>
      <vt:lpstr>BCF-BpSFOU</vt:lpstr>
      <vt:lpstr>BCF-VFEUCF</vt:lpstr>
      <vt:lpstr>BCF-BpEIEOU</vt:lpstr>
      <vt:lpstr>gal_per_barrel</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Rui Wang</cp:lastModifiedBy>
  <dcterms:created xsi:type="dcterms:W3CDTF">2014-08-06T22:04:45Z</dcterms:created>
  <dcterms:modified xsi:type="dcterms:W3CDTF">2024-03-14T10:42:54Z</dcterms:modified>
</cp:coreProperties>
</file>