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EPS\Github Push\China\eps-china2019-smart-trans\InputData\web-app\OCCF\"/>
    </mc:Choice>
  </mc:AlternateContent>
  <xr:revisionPtr revIDLastSave="0" documentId="13_ncr:1_{952291CA-0533-4EEC-9AB1-A83931E0F013}" xr6:coauthVersionLast="47" xr6:coauthVersionMax="47" xr10:uidLastSave="{00000000-0000-0000-0000-000000000000}"/>
  <bookViews>
    <workbookView xWindow="-28920" yWindow="-120" windowWidth="29040" windowHeight="15840" activeTab="4" xr2:uid="{A2F89D52-807B-49C5-987A-45E854BC78DF}"/>
  </bookViews>
  <sheets>
    <sheet name="About" sheetId="1" r:id="rId1"/>
    <sheet name="Exchange Rate" sheetId="5" r:id="rId2"/>
    <sheet name="Worldbank Data" sheetId="7" r:id="rId3"/>
    <sheet name="NBS Data" sheetId="9" r:id="rId4"/>
    <sheet name="OCCF-DpLOCU" sheetId="2" r:id="rId5"/>
    <sheet name="OCCF-DpMOCU" sheetId="4" r:id="rId6"/>
    <sheet name="OCCF-DpSOCU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7" l="1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I3" i="5" a="1"/>
  <c r="I3" i="5" s="1"/>
  <c r="F4" i="5"/>
  <c r="F3" i="5"/>
  <c r="S70" i="7"/>
  <c r="R70" i="7"/>
  <c r="F41" i="7"/>
  <c r="I41" i="7"/>
  <c r="F36" i="7"/>
  <c r="F37" i="7"/>
  <c r="F38" i="7"/>
  <c r="F39" i="7"/>
  <c r="F40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D70" i="7"/>
  <c r="D65" i="7"/>
  <c r="D5" i="7"/>
  <c r="E5" i="7"/>
  <c r="G5" i="7" s="1"/>
  <c r="H5" i="7" s="1"/>
  <c r="F5" i="7"/>
  <c r="I5" i="7" s="1"/>
  <c r="J5" i="7" s="1"/>
  <c r="K5" i="7"/>
  <c r="C6" i="7"/>
  <c r="D6" i="7"/>
  <c r="E6" i="7"/>
  <c r="G6" i="7" s="1"/>
  <c r="H6" i="7" s="1"/>
  <c r="F6" i="7"/>
  <c r="I6" i="7"/>
  <c r="J6" i="7" s="1"/>
  <c r="K6" i="7"/>
  <c r="C7" i="7"/>
  <c r="D7" i="7"/>
  <c r="E7" i="7"/>
  <c r="F7" i="7"/>
  <c r="G7" i="7"/>
  <c r="H7" i="7" s="1"/>
  <c r="I7" i="7"/>
  <c r="J7" i="7" s="1"/>
  <c r="K7" i="7"/>
  <c r="C8" i="7"/>
  <c r="D8" i="7"/>
  <c r="E8" i="7"/>
  <c r="F8" i="7"/>
  <c r="I8" i="7" s="1"/>
  <c r="J8" i="7" s="1"/>
  <c r="G8" i="7"/>
  <c r="H8" i="7" s="1"/>
  <c r="K8" i="7"/>
  <c r="C9" i="7"/>
  <c r="D9" i="7"/>
  <c r="E9" i="7"/>
  <c r="F9" i="7"/>
  <c r="K9" i="7"/>
  <c r="C10" i="7"/>
  <c r="D10" i="7"/>
  <c r="E10" i="7"/>
  <c r="F10" i="7"/>
  <c r="K10" i="7"/>
  <c r="C11" i="7"/>
  <c r="D11" i="7"/>
  <c r="E11" i="7"/>
  <c r="F11" i="7"/>
  <c r="K11" i="7"/>
  <c r="C12" i="7"/>
  <c r="D12" i="7"/>
  <c r="E12" i="7"/>
  <c r="F12" i="7"/>
  <c r="K12" i="7"/>
  <c r="C13" i="7"/>
  <c r="D13" i="7"/>
  <c r="E13" i="7"/>
  <c r="F13" i="7"/>
  <c r="K13" i="7"/>
  <c r="C14" i="7"/>
  <c r="D14" i="7"/>
  <c r="E14" i="7"/>
  <c r="F14" i="7"/>
  <c r="K14" i="7"/>
  <c r="C15" i="7"/>
  <c r="D15" i="7"/>
  <c r="E15" i="7"/>
  <c r="F15" i="7"/>
  <c r="K15" i="7"/>
  <c r="C16" i="7"/>
  <c r="D16" i="7"/>
  <c r="E16" i="7"/>
  <c r="F16" i="7"/>
  <c r="K16" i="7"/>
  <c r="C17" i="7"/>
  <c r="D17" i="7"/>
  <c r="E17" i="7"/>
  <c r="F17" i="7"/>
  <c r="K17" i="7"/>
  <c r="C18" i="7"/>
  <c r="D18" i="7"/>
  <c r="E18" i="7"/>
  <c r="F18" i="7"/>
  <c r="K18" i="7"/>
  <c r="C19" i="7"/>
  <c r="D19" i="7"/>
  <c r="E19" i="7"/>
  <c r="F19" i="7"/>
  <c r="K19" i="7"/>
  <c r="C20" i="7"/>
  <c r="D20" i="7"/>
  <c r="E20" i="7"/>
  <c r="F20" i="7"/>
  <c r="K20" i="7"/>
  <c r="C21" i="7"/>
  <c r="D21" i="7"/>
  <c r="E21" i="7"/>
  <c r="F21" i="7"/>
  <c r="K21" i="7"/>
  <c r="C22" i="7"/>
  <c r="D22" i="7"/>
  <c r="E22" i="7"/>
  <c r="F22" i="7"/>
  <c r="K22" i="7"/>
  <c r="C23" i="7"/>
  <c r="D23" i="7"/>
  <c r="E23" i="7"/>
  <c r="F23" i="7"/>
  <c r="K23" i="7"/>
  <c r="C24" i="7"/>
  <c r="D24" i="7"/>
  <c r="E24" i="7"/>
  <c r="F24" i="7"/>
  <c r="K24" i="7"/>
  <c r="C25" i="7"/>
  <c r="D25" i="7"/>
  <c r="E25" i="7"/>
  <c r="F25" i="7"/>
  <c r="K25" i="7"/>
  <c r="C26" i="7"/>
  <c r="D26" i="7"/>
  <c r="E26" i="7"/>
  <c r="F26" i="7"/>
  <c r="K26" i="7"/>
  <c r="C27" i="7"/>
  <c r="D27" i="7"/>
  <c r="E27" i="7"/>
  <c r="F27" i="7"/>
  <c r="K27" i="7"/>
  <c r="C28" i="7"/>
  <c r="D28" i="7"/>
  <c r="E28" i="7"/>
  <c r="F28" i="7"/>
  <c r="K28" i="7"/>
  <c r="C29" i="7"/>
  <c r="D29" i="7"/>
  <c r="E29" i="7"/>
  <c r="F29" i="7"/>
  <c r="K29" i="7"/>
  <c r="C30" i="7"/>
  <c r="D30" i="7"/>
  <c r="E30" i="7"/>
  <c r="F30" i="7"/>
  <c r="K30" i="7"/>
  <c r="C31" i="7"/>
  <c r="D31" i="7"/>
  <c r="E31" i="7"/>
  <c r="F31" i="7"/>
  <c r="K31" i="7"/>
  <c r="C32" i="7"/>
  <c r="D32" i="7"/>
  <c r="E32" i="7"/>
  <c r="F32" i="7"/>
  <c r="I32" i="7"/>
  <c r="J32" i="7" s="1"/>
  <c r="K32" i="7"/>
  <c r="C33" i="7"/>
  <c r="D33" i="7"/>
  <c r="E33" i="7"/>
  <c r="F33" i="7"/>
  <c r="G33" i="7"/>
  <c r="H33" i="7" s="1"/>
  <c r="I33" i="7"/>
  <c r="J33" i="7" s="1"/>
  <c r="K33" i="7"/>
  <c r="C34" i="7"/>
  <c r="D34" i="7"/>
  <c r="E34" i="7"/>
  <c r="G34" i="7" s="1"/>
  <c r="H34" i="7" s="1"/>
  <c r="F34" i="7"/>
  <c r="I34" i="7"/>
  <c r="J34" i="7"/>
  <c r="K34" i="7"/>
  <c r="C35" i="7"/>
  <c r="D35" i="7"/>
  <c r="E35" i="7"/>
  <c r="F35" i="7"/>
  <c r="I35" i="7" s="1"/>
  <c r="J35" i="7" s="1"/>
  <c r="G35" i="7"/>
  <c r="H35" i="7" s="1"/>
  <c r="K35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36" i="7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G25" i="9"/>
  <c r="F25" i="9"/>
  <c r="E25" i="9"/>
  <c r="D25" i="9"/>
  <c r="C25" i="9"/>
  <c r="B25" i="9"/>
  <c r="E66" i="7"/>
  <c r="D68" i="7"/>
  <c r="S76" i="7"/>
  <c r="E69" i="7"/>
  <c r="D69" i="7"/>
  <c r="D36" i="7"/>
  <c r="E37" i="7"/>
  <c r="D61" i="7"/>
  <c r="E68" i="7"/>
  <c r="E67" i="7"/>
  <c r="D67" i="7"/>
  <c r="D66" i="7"/>
  <c r="E65" i="7"/>
  <c r="E64" i="7"/>
  <c r="D64" i="7"/>
  <c r="E63" i="7"/>
  <c r="D63" i="7"/>
  <c r="E62" i="7"/>
  <c r="D62" i="7"/>
  <c r="E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D37" i="7"/>
  <c r="E36" i="7"/>
  <c r="G18" i="7" l="1"/>
  <c r="H18" i="7" s="1"/>
  <c r="G32" i="7"/>
  <c r="H32" i="7" s="1"/>
  <c r="G9" i="7"/>
  <c r="H9" i="7" s="1"/>
  <c r="I9" i="7"/>
  <c r="J9" i="7" s="1"/>
  <c r="G10" i="7"/>
  <c r="H10" i="7" s="1"/>
  <c r="I10" i="7"/>
  <c r="J10" i="7" s="1"/>
  <c r="G11" i="7"/>
  <c r="H11" i="7" s="1"/>
  <c r="I11" i="7"/>
  <c r="J11" i="7" s="1"/>
  <c r="G12" i="7"/>
  <c r="H12" i="7" s="1"/>
  <c r="I12" i="7"/>
  <c r="J12" i="7" s="1"/>
  <c r="G13" i="7"/>
  <c r="H13" i="7" s="1"/>
  <c r="I13" i="7"/>
  <c r="J13" i="7" s="1"/>
  <c r="G14" i="7"/>
  <c r="H14" i="7" s="1"/>
  <c r="I14" i="7"/>
  <c r="J14" i="7" s="1"/>
  <c r="G15" i="7"/>
  <c r="H15" i="7" s="1"/>
  <c r="I15" i="7"/>
  <c r="J15" i="7" s="1"/>
  <c r="G16" i="7"/>
  <c r="H16" i="7" s="1"/>
  <c r="I16" i="7"/>
  <c r="J16" i="7" s="1"/>
  <c r="G17" i="7"/>
  <c r="H17" i="7" s="1"/>
  <c r="I17" i="7"/>
  <c r="J17" i="7" s="1"/>
  <c r="I18" i="7"/>
  <c r="J18" i="7" s="1"/>
  <c r="G19" i="7"/>
  <c r="H19" i="7" s="1"/>
  <c r="I19" i="7"/>
  <c r="J19" i="7" s="1"/>
  <c r="G20" i="7"/>
  <c r="H20" i="7" s="1"/>
  <c r="I20" i="7"/>
  <c r="J20" i="7" s="1"/>
  <c r="G21" i="7"/>
  <c r="H21" i="7" s="1"/>
  <c r="I21" i="7"/>
  <c r="J21" i="7" s="1"/>
  <c r="G22" i="7"/>
  <c r="H22" i="7" s="1"/>
  <c r="I22" i="7"/>
  <c r="J22" i="7" s="1"/>
  <c r="G23" i="7"/>
  <c r="H23" i="7" s="1"/>
  <c r="I23" i="7"/>
  <c r="J23" i="7" s="1"/>
  <c r="G24" i="7"/>
  <c r="H24" i="7" s="1"/>
  <c r="I24" i="7"/>
  <c r="J24" i="7" s="1"/>
  <c r="G25" i="7"/>
  <c r="H25" i="7" s="1"/>
  <c r="I25" i="7"/>
  <c r="J25" i="7" s="1"/>
  <c r="G26" i="7"/>
  <c r="H26" i="7" s="1"/>
  <c r="I26" i="7"/>
  <c r="J26" i="7" s="1"/>
  <c r="G27" i="7"/>
  <c r="H27" i="7" s="1"/>
  <c r="I27" i="7"/>
  <c r="J27" i="7" s="1"/>
  <c r="G28" i="7"/>
  <c r="H28" i="7" s="1"/>
  <c r="I28" i="7"/>
  <c r="J28" i="7" s="1"/>
  <c r="G29" i="7"/>
  <c r="H29" i="7" s="1"/>
  <c r="I29" i="7"/>
  <c r="J29" i="7" s="1"/>
  <c r="G30" i="7"/>
  <c r="H30" i="7" s="1"/>
  <c r="I30" i="7"/>
  <c r="J30" i="7" s="1"/>
  <c r="G31" i="7"/>
  <c r="H31" i="7" s="1"/>
  <c r="I31" i="7"/>
  <c r="J31" i="7" s="1"/>
  <c r="G69" i="7"/>
  <c r="B27" i="5" s="1"/>
  <c r="E70" i="7"/>
  <c r="T70" i="7" s="1"/>
  <c r="G70" i="7"/>
  <c r="G36" i="7"/>
  <c r="H36" i="7" s="1"/>
  <c r="G68" i="7"/>
  <c r="J41" i="7"/>
  <c r="G57" i="7"/>
  <c r="B15" i="5" s="1"/>
  <c r="I69" i="7"/>
  <c r="J69" i="7" s="1"/>
  <c r="I68" i="7"/>
  <c r="J68" i="7" s="1"/>
  <c r="H69" i="7"/>
  <c r="C27" i="5" s="1"/>
  <c r="H57" i="7"/>
  <c r="C15" i="5" s="1"/>
  <c r="G41" i="7"/>
  <c r="H41" i="7" s="1"/>
  <c r="I62" i="7"/>
  <c r="J62" i="7" s="1"/>
  <c r="G52" i="7"/>
  <c r="I46" i="7"/>
  <c r="J46" i="7" s="1"/>
  <c r="G53" i="7"/>
  <c r="G63" i="7"/>
  <c r="I37" i="7"/>
  <c r="J37" i="7" s="1"/>
  <c r="G54" i="7"/>
  <c r="G42" i="7"/>
  <c r="H42" i="7" s="1"/>
  <c r="G66" i="7"/>
  <c r="G48" i="7"/>
  <c r="I66" i="7"/>
  <c r="J66" i="7" s="1"/>
  <c r="G47" i="7"/>
  <c r="I61" i="7"/>
  <c r="J61" i="7" s="1"/>
  <c r="I52" i="7"/>
  <c r="J52" i="7" s="1"/>
  <c r="I63" i="7"/>
  <c r="J63" i="7" s="1"/>
  <c r="I58" i="7"/>
  <c r="J58" i="7" s="1"/>
  <c r="I53" i="7"/>
  <c r="J53" i="7" s="1"/>
  <c r="I64" i="7"/>
  <c r="J64" i="7" s="1"/>
  <c r="I38" i="7"/>
  <c r="J38" i="7" s="1"/>
  <c r="I54" i="7"/>
  <c r="J54" i="7" s="1"/>
  <c r="I49" i="7"/>
  <c r="J49" i="7" s="1"/>
  <c r="G60" i="7"/>
  <c r="I44" i="7"/>
  <c r="J44" i="7" s="1"/>
  <c r="G55" i="7"/>
  <c r="I55" i="7"/>
  <c r="J55" i="7" s="1"/>
  <c r="I50" i="7"/>
  <c r="J50" i="7" s="1"/>
  <c r="G40" i="7"/>
  <c r="H40" i="7" s="1"/>
  <c r="G56" i="7"/>
  <c r="I40" i="7"/>
  <c r="J40" i="7" s="1"/>
  <c r="G51" i="7"/>
  <c r="I56" i="7"/>
  <c r="J56" i="7" s="1"/>
  <c r="I36" i="7"/>
  <c r="J36" i="7" s="1"/>
  <c r="I42" i="7"/>
  <c r="J42" i="7" s="1"/>
  <c r="G64" i="7"/>
  <c r="G59" i="7"/>
  <c r="I59" i="7"/>
  <c r="J59" i="7" s="1"/>
  <c r="G49" i="7"/>
  <c r="G65" i="7"/>
  <c r="G44" i="7"/>
  <c r="H44" i="7" s="1"/>
  <c r="I65" i="7"/>
  <c r="J65" i="7" s="1"/>
  <c r="G39" i="7"/>
  <c r="H39" i="7" s="1"/>
  <c r="I60" i="7"/>
  <c r="J60" i="7" s="1"/>
  <c r="I39" i="7"/>
  <c r="J39" i="7" s="1"/>
  <c r="G50" i="7"/>
  <c r="G45" i="7"/>
  <c r="G61" i="7"/>
  <c r="I45" i="7"/>
  <c r="J45" i="7" s="1"/>
  <c r="I51" i="7"/>
  <c r="J51" i="7" s="1"/>
  <c r="G43" i="7"/>
  <c r="H43" i="7" s="1"/>
  <c r="I47" i="7"/>
  <c r="J47" i="7" s="1"/>
  <c r="G67" i="7"/>
  <c r="G38" i="7"/>
  <c r="H38" i="7" s="1"/>
  <c r="I43" i="7"/>
  <c r="J43" i="7" s="1"/>
  <c r="G58" i="7"/>
  <c r="I67" i="7"/>
  <c r="J67" i="7" s="1"/>
  <c r="I57" i="7"/>
  <c r="J57" i="7" s="1"/>
  <c r="G46" i="7"/>
  <c r="I48" i="7"/>
  <c r="J48" i="7" s="1"/>
  <c r="G62" i="7"/>
  <c r="G37" i="7"/>
  <c r="H37" i="7" s="1"/>
  <c r="H68" i="7" l="1"/>
  <c r="C26" i="5" s="1"/>
  <c r="B26" i="5"/>
  <c r="H52" i="7"/>
  <c r="C10" i="5" s="1"/>
  <c r="B10" i="5"/>
  <c r="H53" i="7"/>
  <c r="C11" i="5" s="1"/>
  <c r="B11" i="5"/>
  <c r="H63" i="7"/>
  <c r="C21" i="5" s="1"/>
  <c r="B21" i="5"/>
  <c r="H54" i="7"/>
  <c r="C12" i="5" s="1"/>
  <c r="B12" i="5"/>
  <c r="H66" i="7"/>
  <c r="C24" i="5" s="1"/>
  <c r="B24" i="5"/>
  <c r="H48" i="7"/>
  <c r="C6" i="5" s="1"/>
  <c r="B6" i="5"/>
  <c r="H47" i="7"/>
  <c r="C5" i="5" s="1"/>
  <c r="B5" i="5"/>
  <c r="H60" i="7"/>
  <c r="C18" i="5" s="1"/>
  <c r="B18" i="5"/>
  <c r="H55" i="7"/>
  <c r="C13" i="5" s="1"/>
  <c r="B13" i="5"/>
  <c r="H56" i="7"/>
  <c r="C14" i="5" s="1"/>
  <c r="B14" i="5"/>
  <c r="H51" i="7"/>
  <c r="C9" i="5" s="1"/>
  <c r="B9" i="5"/>
  <c r="H64" i="7"/>
  <c r="C22" i="5" s="1"/>
  <c r="B22" i="5"/>
  <c r="H59" i="7"/>
  <c r="C17" i="5" s="1"/>
  <c r="B17" i="5"/>
  <c r="H49" i="7"/>
  <c r="C7" i="5" s="1"/>
  <c r="B7" i="5"/>
  <c r="H65" i="7"/>
  <c r="C23" i="5" s="1"/>
  <c r="B23" i="5"/>
  <c r="H50" i="7"/>
  <c r="C8" i="5" s="1"/>
  <c r="B8" i="5"/>
  <c r="H45" i="7"/>
  <c r="C3" i="5" s="1"/>
  <c r="B3" i="5"/>
  <c r="H61" i="7"/>
  <c r="C19" i="5" s="1"/>
  <c r="B19" i="5"/>
  <c r="H67" i="7"/>
  <c r="C25" i="5" s="1"/>
  <c r="B25" i="5"/>
  <c r="H58" i="7"/>
  <c r="C16" i="5" s="1"/>
  <c r="B16" i="5"/>
  <c r="H46" i="7"/>
  <c r="C4" i="5" s="1"/>
  <c r="B4" i="5"/>
  <c r="H62" i="7"/>
  <c r="C20" i="5" s="1"/>
  <c r="B20" i="5"/>
  <c r="A30" i="1" l="1"/>
  <c r="G4" i="5" l="1"/>
  <c r="G3" i="5"/>
  <c r="B2" i="4"/>
  <c r="B2" i="2"/>
  <c r="F5" i="5"/>
  <c r="B2" i="3"/>
  <c r="G5" i="5" l="1"/>
  <c r="F6" i="5"/>
  <c r="G6" i="5" l="1"/>
  <c r="F7" i="5"/>
  <c r="G7" i="5" l="1"/>
  <c r="F8" i="5"/>
  <c r="F9" i="5" l="1"/>
  <c r="G8" i="5"/>
  <c r="F10" i="5" l="1"/>
  <c r="G9" i="5"/>
  <c r="F11" i="5" l="1"/>
  <c r="G10" i="5"/>
  <c r="G11" i="5" l="1"/>
  <c r="F12" i="5"/>
  <c r="F13" i="5" l="1"/>
  <c r="G12" i="5"/>
  <c r="F14" i="5" l="1"/>
  <c r="G13" i="5"/>
  <c r="F15" i="5" l="1"/>
  <c r="G14" i="5"/>
  <c r="G15" i="5" l="1"/>
  <c r="F16" i="5"/>
  <c r="G16" i="5" l="1"/>
  <c r="F17" i="5"/>
  <c r="F18" i="5" l="1"/>
  <c r="G17" i="5"/>
  <c r="F19" i="5" l="1"/>
  <c r="G18" i="5"/>
  <c r="G19" i="5" l="1"/>
  <c r="F20" i="5"/>
  <c r="G20" i="5" l="1"/>
  <c r="F21" i="5"/>
  <c r="F22" i="5" l="1"/>
  <c r="G21" i="5"/>
  <c r="G22" i="5" l="1"/>
  <c r="F23" i="5"/>
  <c r="G23" i="5" l="1"/>
  <c r="F24" i="5"/>
  <c r="G24" i="5" l="1"/>
  <c r="F25" i="5"/>
  <c r="G25" i="5" l="1"/>
  <c r="F26" i="5"/>
  <c r="G26" i="5" l="1"/>
  <c r="F27" i="5"/>
  <c r="F28" i="5" l="1"/>
  <c r="G27" i="5"/>
  <c r="F29" i="5" l="1"/>
  <c r="G28" i="5"/>
  <c r="G29" i="5" l="1"/>
  <c r="F30" i="5"/>
  <c r="G30" i="5" l="1"/>
  <c r="F31" i="5"/>
  <c r="F32" i="5" l="1"/>
  <c r="G31" i="5"/>
  <c r="G32" i="5" l="1"/>
  <c r="F33" i="5"/>
  <c r="F34" i="5" l="1"/>
  <c r="G33" i="5"/>
  <c r="G34" i="5" l="1"/>
  <c r="F35" i="5"/>
  <c r="F36" i="5" l="1"/>
  <c r="G35" i="5"/>
  <c r="G36" i="5" l="1"/>
  <c r="F37" i="5"/>
  <c r="G37" i="5" l="1"/>
  <c r="F38" i="5"/>
  <c r="G38" i="5" l="1"/>
  <c r="F39" i="5"/>
  <c r="G39" i="5" l="1"/>
  <c r="F40" i="5"/>
  <c r="G40" i="5" l="1"/>
  <c r="F41" i="5"/>
  <c r="G41" i="5" l="1"/>
  <c r="F42" i="5"/>
  <c r="G42" i="5" l="1"/>
  <c r="F43" i="5"/>
  <c r="G43" i="5" s="1"/>
  <c r="I7" i="5" s="1" a="1"/>
  <c r="I7" i="5" s="1"/>
  <c r="H70" i="7"/>
  <c r="C28" i="5" s="1"/>
  <c r="B2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<sst xmlns="http://schemas.openxmlformats.org/spreadsheetml/2006/main" count="677" uniqueCount="146">
  <si>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</si>
  <si>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</si>
  <si>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</si>
  <si>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</si>
  <si>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</si>
  <si>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</si>
  <si>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</si>
  <si>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</si>
  <si>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</si>
  <si>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</si>
  <si>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</si>
  <si>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</si>
  <si>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</si>
  <si>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</si>
  <si>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</si>
  <si>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</si>
  <si>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</si>
  <si>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</si>
  <si>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</si>
  <si>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</si>
  <si>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</si>
  <si>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which in this case is "2012 dollars per 2020 dollar."</t>
  </si>
  <si>
    <t>2012 dollars are worth more than 2020 dollars, so we need a</t>
  </si>
  <si>
    <t xml:space="preserve"> on the right</t>
    <phoneticPr fontId="6" type="noConversion"/>
  </si>
  <si>
    <t xml:space="preserve"> and ecnomic model refer to values from the table </t>
    <phoneticPr fontId="6" type="noConversion"/>
  </si>
  <si>
    <t>*When using data projected from population</t>
    <phoneticPr fontId="6" type="noConversion"/>
  </si>
  <si>
    <t xml:space="preserve"> 参考右侧数据</t>
    <phoneticPr fontId="6" type="noConversion"/>
  </si>
  <si>
    <t>*使用基于2020年为基年的人口经济模型推测时可</t>
    <phoneticPr fontId="6" type="noConversion"/>
  </si>
  <si>
    <t xml:space="preserve">  values from table above</t>
    <phoneticPr fontId="6" type="noConversion"/>
  </si>
  <si>
    <t xml:space="preserve">*When using actual data from 2020-2022, refer to </t>
    <phoneticPr fontId="6" type="noConversion"/>
  </si>
  <si>
    <t>Transposed Data</t>
    <phoneticPr fontId="6" type="noConversion"/>
  </si>
  <si>
    <t>横纵转换</t>
    <phoneticPr fontId="6" type="noConversion"/>
  </si>
  <si>
    <t>2012 USD vs Current RMB</t>
  </si>
  <si>
    <t>Current RMB vs 2012 USD</t>
  </si>
  <si>
    <t>RMB Year</t>
    <phoneticPr fontId="6" type="noConversion"/>
  </si>
  <si>
    <t>2012美元相对当年人民币价格</t>
    <phoneticPr fontId="6" type="noConversion"/>
  </si>
  <si>
    <t>当年人民币相对2012美元</t>
    <phoneticPr fontId="6" type="noConversion"/>
  </si>
  <si>
    <t>人民币年份</t>
    <phoneticPr fontId="6" type="noConversion"/>
  </si>
  <si>
    <t>NY.GDP.MKTP.CN</t>
  </si>
  <si>
    <t>NY.GDP.MKTP.KD</t>
  </si>
  <si>
    <t>GDP (current LCU)</t>
  </si>
  <si>
    <t>GDP (constant 2015 US$)</t>
  </si>
  <si>
    <t>USA</t>
  </si>
  <si>
    <t>CHN</t>
  </si>
  <si>
    <t>United States</t>
  </si>
  <si>
    <t>China</t>
  </si>
  <si>
    <t>NY.GDP.MKTP.KN</t>
  </si>
  <si>
    <t>Indicator Code</t>
  </si>
  <si>
    <t>GDP (constant LCU)</t>
  </si>
  <si>
    <t>GDP (constant 2015 US$) | Data (worldbank.org)</t>
  </si>
  <si>
    <t>2012 USD vs Current USD</t>
    <phoneticPr fontId="6" type="noConversion"/>
  </si>
  <si>
    <t>Current USD  vs 2012 USD</t>
    <phoneticPr fontId="6" type="noConversion"/>
  </si>
  <si>
    <t>2012 USD vs Current RMB</t>
    <phoneticPr fontId="6" type="noConversion"/>
  </si>
  <si>
    <t>Current RMB vs 2012 USD</t>
    <phoneticPr fontId="6" type="noConversion"/>
  </si>
  <si>
    <t>Current USD vs 2015 RMB</t>
    <phoneticPr fontId="6" type="noConversion"/>
  </si>
  <si>
    <t>Current RMB vs 2015 USD</t>
    <phoneticPr fontId="6" type="noConversion"/>
  </si>
  <si>
    <t>Indicator Name</t>
  </si>
  <si>
    <t>The World Bank Data</t>
    <phoneticPr fontId="6" type="noConversion"/>
  </si>
  <si>
    <t>Country Code</t>
  </si>
  <si>
    <t>Data Source:</t>
    <phoneticPr fontId="6" type="noConversion"/>
  </si>
  <si>
    <t>2012美元相对当年美元价格</t>
    <phoneticPr fontId="6" type="noConversion"/>
  </si>
  <si>
    <t>当年美元相对2012美元</t>
    <phoneticPr fontId="6" type="noConversion"/>
  </si>
  <si>
    <t>当年美元相对2015美元</t>
    <phoneticPr fontId="6" type="noConversion"/>
  </si>
  <si>
    <t>当年人民币相对2015美元</t>
    <phoneticPr fontId="6" type="noConversion"/>
  </si>
  <si>
    <t>Country Name</t>
  </si>
  <si>
    <t>https://data.worldbank.org/</t>
  </si>
  <si>
    <t>Exchange rate and deflator</t>
    <phoneticPr fontId="5" type="noConversion"/>
  </si>
  <si>
    <t>World bank open data</t>
    <phoneticPr fontId="5" type="noConversion"/>
  </si>
  <si>
    <t>For China Regional EPS Models</t>
    <phoneticPr fontId="5" type="noConversion"/>
  </si>
  <si>
    <t>yi (10^8) 2020 RMB</t>
  </si>
  <si>
    <t>wan (10^4) 2020 RMB</t>
  </si>
  <si>
    <t>2020 RMB</t>
  </si>
  <si>
    <t>2020 RMB per 2012 dollar</t>
    <phoneticPr fontId="5" type="noConversion"/>
  </si>
  <si>
    <t>当年人民币相对2020人民币</t>
    <phoneticPr fontId="6" type="noConversion"/>
  </si>
  <si>
    <t>Current RMB vs 2020 RMB</t>
    <phoneticPr fontId="6" type="noConversion"/>
  </si>
  <si>
    <t>NY.GDP.MKTP.PP.KD</t>
  </si>
  <si>
    <t>GDP, PPP (constant 2021 international $)</t>
  </si>
  <si>
    <t>平价购买力下当年人民币比2021美元</t>
    <phoneticPr fontId="6" type="noConversion"/>
  </si>
  <si>
    <t>Current RMB vs 2021 USD,PPP method</t>
    <phoneticPr fontId="6" type="noConversion"/>
  </si>
  <si>
    <t>数据库：年度数据</t>
  </si>
  <si>
    <t>时间：1990年-2025年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</si>
  <si>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</si>
  <si>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</si>
  <si>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</si>
  <si>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</si>
  <si>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</si>
  <si>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</si>
  <si>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</si>
  <si>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</si>
  <si>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</si>
  <si>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</si>
  <si>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</si>
  <si>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</si>
  <si>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</si>
  <si>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</si>
  <si>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</si>
  <si>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</si>
  <si>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</si>
  <si>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</si>
  <si>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</si>
  <si>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</si>
  <si>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</si>
  <si>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</si>
  <si>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</si>
  <si>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</si>
  <si>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</si>
  <si>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</si>
  <si>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</si>
  <si>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1999年</t>
  </si>
  <si>
    <t>1998年</t>
  </si>
  <si>
    <t>1997年</t>
  </si>
  <si>
    <t>1996年</t>
  </si>
  <si>
    <t>1995年</t>
  </si>
  <si>
    <t>1994年</t>
  </si>
  <si>
    <t>1993年</t>
  </si>
  <si>
    <t>1992年</t>
  </si>
  <si>
    <t>1991年</t>
  </si>
  <si>
    <t>1990年</t>
  </si>
  <si>
    <t xml:space="preserve">国民总收入 (亿元) </t>
  </si>
  <si>
    <t xml:space="preserve">国内生产总值 (亿元) </t>
  </si>
  <si>
    <t xml:space="preserve">第一产业增加值 (亿元) </t>
  </si>
  <si>
    <t xml:space="preserve">第二产业增加值 (亿元) </t>
  </si>
  <si>
    <t xml:space="preserve">第三产业增加值 (亿元) </t>
  </si>
  <si>
    <t xml:space="preserve">人均国内生产总值 (元) </t>
  </si>
  <si>
    <t xml:space="preserve">国民总收入指数 (上年=100) </t>
  </si>
  <si>
    <t xml:space="preserve">国内生产总值指数 (上年=100) </t>
  </si>
  <si>
    <t xml:space="preserve">第一产业增加值指数 (上年=100) </t>
  </si>
  <si>
    <t xml:space="preserve">第二产业增加值指数 (上年=100) </t>
  </si>
  <si>
    <t xml:space="preserve">第三产业增加值指数 (上年=100) </t>
  </si>
  <si>
    <t xml:space="preserve">人均国内生产总值指数 (上年=100) </t>
  </si>
  <si>
    <t xml:space="preserve">国民总收入指数 (1978年=100) </t>
  </si>
  <si>
    <t xml:space="preserve">国内生产总值指数 (1978年=100) </t>
  </si>
  <si>
    <t xml:space="preserve">第一产业增加值指数 (1978年=100) </t>
  </si>
  <si>
    <t xml:space="preserve">第二产业增加值指数 (1978年=100) </t>
  </si>
  <si>
    <t xml:space="preserve">第三产业增加值指数 (1978年=100) </t>
  </si>
  <si>
    <t xml:space="preserve">人均国内生产总值指数 (1978年=100) </t>
  </si>
  <si>
    <t>数据来源：国家统计局</t>
  </si>
  <si>
    <t>Inflation Index</t>
    <phoneticPr fontId="5" type="noConversion"/>
  </si>
  <si>
    <t>基于世行数据的通货膨胀系数</t>
    <phoneticPr fontId="5" type="noConversion"/>
  </si>
  <si>
    <t>基于统计局数据的通货膨胀系数</t>
    <phoneticPr fontId="5" type="noConversion"/>
  </si>
  <si>
    <t>Inflation Factor based on Worldbank Data</t>
    <phoneticPr fontId="5" type="noConversion"/>
  </si>
  <si>
    <t>Inflation Factor based on NBS Data</t>
    <phoneticPr fontId="5" type="noConversion"/>
  </si>
  <si>
    <t>*2020-2025年实际数据参考上方数据</t>
    <phoneticPr fontId="6" type="noConversion"/>
  </si>
  <si>
    <t>Official statistics on nominal and real growth</t>
    <phoneticPr fontId="5" type="noConversion"/>
  </si>
  <si>
    <t>National Bureau of Statistics</t>
    <phoneticPr fontId="5" type="noConversion"/>
  </si>
  <si>
    <t>https://data.stats.gov.cn/dg/website/page.html#/pc/national/yearData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</si>
</sst>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_);[Red]\(0.0000\)"/>
    <numFmt numFmtId="177" formatCode="0.0000_ "/>
    <numFmt numFmtId="180" formatCode="0.000_);[Red]\(0.000\)"/>
    <numFmt numFmtId="181" formatCode="0.0000E+00"/>
    <numFmt numFmtId="182" formatCode="0.000_ "/>
  </numFmts>
  <fonts count="15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u/>
      <sz val="11"/>
      <color theme="10"/>
      <name val="宋体"/>
      <family val="2"/>
      <charset val="134"/>
      <scheme val="minor"/>
    </font>
    <font>
      <b/>
      <sz val="11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2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48">
    <xf numFmtId="0" fontId="0" fillId="0" borderId="0" xfId="0"/>
    <xf numFmtId="0" fontId="3" fillId="0" borderId="0" xfId="0" applyFont="1"/>
    <xf numFmtId="11" fontId="0" fillId="0" borderId="0" xfId="0" applyNumberFormat="1"/>
    <xf numFmtId="0" fontId="3" fillId="0" borderId="0" xfId="0" applyFont="1" applyAlignment="1">
      <alignment horizontal="right"/>
    </xf>
    <xf numFmtId="0" fontId="0" fillId="2" borderId="0" xfId="0" applyFill="1"/>
    <xf numFmtId="1" fontId="0" fillId="0" borderId="0" xfId="0" applyNumberFormat="1"/>
    <xf numFmtId="0" fontId="4" fillId="0" borderId="0" xfId="1">
      <alignment vertical="center"/>
    </xf>
    <xf numFmtId="176" fontId="4" fillId="0" borderId="0" xfId="1" applyNumberFormat="1">
      <alignment vertical="center"/>
    </xf>
    <xf numFmtId="0" fontId="4" fillId="0" borderId="0" xfId="1" applyAlignment="1">
      <alignment horizontal="center"/>
    </xf>
    <xf numFmtId="0" fontId="4" fillId="0" borderId="0" xfId="1" applyAlignment="1">
      <alignment horizontal="center" vertical="center"/>
    </xf>
    <xf numFmtId="177" fontId="4" fillId="0" borderId="0" xfId="1" applyNumberFormat="1">
      <alignment vertical="center"/>
    </xf>
    <xf numFmtId="0" fontId="7" fillId="0" borderId="0" xfId="1" applyFont="1">
      <alignment vertical="center"/>
    </xf>
    <xf numFmtId="176" fontId="4" fillId="0" borderId="0" xfId="1" applyNumberFormat="1" applyAlignment="1">
      <alignment vertical="center" wrapText="1"/>
    </xf>
    <xf numFmtId="176" fontId="4" fillId="0" borderId="0" xfId="1" applyNumberFormat="1" applyAlignment="1">
      <alignment wrapText="1"/>
    </xf>
    <xf numFmtId="0" fontId="4" fillId="0" borderId="0" xfId="1" applyAlignment="1">
      <alignment vertical="center" wrapText="1"/>
    </xf>
    <xf numFmtId="177" fontId="7" fillId="0" borderId="0" xfId="1" applyNumberFormat="1" applyFont="1" applyAlignment="1">
      <alignment horizontal="center" vertical="center"/>
    </xf>
    <xf numFmtId="177" fontId="4" fillId="0" borderId="0" xfId="1" applyNumberFormat="1" applyAlignment="1">
      <alignment horizontal="center" vertical="center"/>
    </xf>
    <xf numFmtId="0" fontId="4" fillId="0" borderId="0" xfId="1" applyAlignment="1"/>
    <xf numFmtId="180" fontId="8" fillId="0" borderId="0" xfId="1" applyNumberFormat="1" applyFont="1" applyAlignment="1">
      <alignment horizontal="center" vertical="center"/>
    </xf>
    <xf numFmtId="180" fontId="7" fillId="0" borderId="0" xfId="1" applyNumberFormat="1" applyFont="1" applyAlignment="1">
      <alignment horizontal="center" vertical="center"/>
    </xf>
    <xf numFmtId="180" fontId="4" fillId="0" borderId="0" xfId="1" applyNumberFormat="1" applyAlignment="1">
      <alignment horizontal="center" vertical="center"/>
    </xf>
    <xf numFmtId="180" fontId="9" fillId="4" borderId="0" xfId="1" applyNumberFormat="1" applyFont="1" applyFill="1" applyAlignment="1">
      <alignment horizontal="center" vertical="center"/>
    </xf>
    <xf numFmtId="0" fontId="11" fillId="0" borderId="0" xfId="2">
      <alignment vertical="center"/>
    </xf>
    <xf numFmtId="0" fontId="12" fillId="5" borderId="0" xfId="0" applyFont="1" applyFill="1"/>
    <xf numFmtId="0" fontId="3" fillId="2" borderId="0" xfId="0" applyFont="1" applyFill="1"/>
    <xf numFmtId="0" fontId="0" fillId="0" borderId="0" xfId="0" applyAlignment="1">
      <alignment vertical="center"/>
    </xf>
    <xf numFmtId="181" fontId="0" fillId="0" borderId="0" xfId="0" applyNumberFormat="1" applyAlignment="1">
      <alignment vertical="center"/>
    </xf>
    <xf numFmtId="181" fontId="0" fillId="0" borderId="0" xfId="0" applyNumberFormat="1"/>
    <xf numFmtId="181" fontId="4" fillId="0" borderId="0" xfId="1" applyNumberFormat="1">
      <alignment vertical="center"/>
    </xf>
    <xf numFmtId="180" fontId="2" fillId="0" borderId="0" xfId="1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right" vertical="center" wrapText="1"/>
    </xf>
    <xf numFmtId="0" fontId="13" fillId="0" borderId="0" xfId="0" applyFont="1"/>
    <xf numFmtId="182" fontId="4" fillId="0" borderId="0" xfId="1" applyNumberFormat="1" applyAlignment="1">
      <alignment horizontal="center"/>
    </xf>
    <xf numFmtId="176" fontId="7" fillId="0" borderId="0" xfId="1" applyNumberFormat="1" applyFont="1" applyAlignment="1">
      <alignment horizontal="center" vertical="center"/>
    </xf>
    <xf numFmtId="176" fontId="10" fillId="4" borderId="0" xfId="1" applyNumberFormat="1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181" fontId="0" fillId="3" borderId="0" xfId="0" applyNumberFormat="1" applyFill="1" applyAlignment="1">
      <alignment vertical="center"/>
    </xf>
    <xf numFmtId="0" fontId="1" fillId="0" borderId="0" xfId="1" applyFont="1">
      <alignment vertical="center"/>
    </xf>
    <xf numFmtId="176" fontId="7" fillId="4" borderId="0" xfId="1" applyNumberFormat="1" applyFont="1" applyFill="1">
      <alignment vertical="center"/>
    </xf>
    <xf numFmtId="0" fontId="11" fillId="0" borderId="0" xfId="2" applyAlignment="1"/>
    <xf numFmtId="177" fontId="7" fillId="0" borderId="0" xfId="1" applyNumberFormat="1" applyFont="1" applyAlignment="1">
      <alignment horizontal="center" vertical="center" wrapText="1"/>
    </xf>
    <xf numFmtId="177" fontId="4" fillId="0" borderId="0" xfId="1" applyNumberFormat="1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177" fontId="2" fillId="0" borderId="0" xfId="1" applyNumberFormat="1" applyFont="1" applyAlignment="1">
      <alignment horizontal="center" vertical="center" wrapText="1"/>
    </xf>
  </cellXfs>
  <cellStyles count="3">
    <cellStyle name="常规" xfId="0" builtinId="0"/>
    <cellStyle name="常规 2" xfId="1" xr:uid="{D7DE515F-C1A8-4A86-80B5-D9AA675AE963}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Relative Deflation of RMB and USD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4883055622283844E-2"/>
          <c:y val="0.18539184618262031"/>
          <c:w val="0.85636653490860648"/>
          <c:h val="0.60773025530751912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'Worldbank Data'!$I$3:$I$4</c:f>
              <c:strCache>
                <c:ptCount val="2"/>
                <c:pt idx="0">
                  <c:v>Current USD  vs 2012 USD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'Worldbank Data'!$A$5:$A$70</c:f>
              <c:numCache>
                <c:formatCode>General</c:formatCod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numCache>
            </c:numRef>
          </c:xVal>
          <c:yVal>
            <c:numRef>
              <c:f>'Worldbank Data'!$I$5:$I$70</c:f>
              <c:numCache>
                <c:formatCode>0.000_);[Red]\(0.000\)</c:formatCode>
                <c:ptCount val="66"/>
                <c:pt idx="0">
                  <c:v>6.5952708471538406</c:v>
                </c:pt>
                <c:pt idx="1">
                  <c:v>6.5074107868589079</c:v>
                </c:pt>
                <c:pt idx="2">
                  <c:v>6.4274129739020456</c:v>
                </c:pt>
                <c:pt idx="3">
                  <c:v>6.3582110937840204</c:v>
                </c:pt>
                <c:pt idx="4">
                  <c:v>6.2640042483973977</c:v>
                </c:pt>
                <c:pt idx="5">
                  <c:v>6.1460115326316922</c:v>
                </c:pt>
                <c:pt idx="6">
                  <c:v>5.9728712236949404</c:v>
                </c:pt>
                <c:pt idx="7">
                  <c:v>5.7903995572637328</c:v>
                </c:pt>
                <c:pt idx="8">
                  <c:v>5.5481034364157731</c:v>
                </c:pt>
                <c:pt idx="9">
                  <c:v>5.2859978438821056</c:v>
                </c:pt>
                <c:pt idx="10">
                  <c:v>5.0217184376936856</c:v>
                </c:pt>
                <c:pt idx="11">
                  <c:v>4.7794114756533448</c:v>
                </c:pt>
                <c:pt idx="12">
                  <c:v>4.5812220092771812</c:v>
                </c:pt>
                <c:pt idx="13">
                  <c:v>4.3432170404553476</c:v>
                </c:pt>
                <c:pt idx="14">
                  <c:v>3.9846505680926527</c:v>
                </c:pt>
                <c:pt idx="15">
                  <c:v>3.6468504455798949</c:v>
                </c:pt>
                <c:pt idx="16">
                  <c:v>3.4566158714080477</c:v>
                </c:pt>
                <c:pt idx="17">
                  <c:v>3.2544086346225911</c:v>
                </c:pt>
                <c:pt idx="18">
                  <c:v>3.0405392148226835</c:v>
                </c:pt>
                <c:pt idx="19">
                  <c:v>2.8076004138166657</c:v>
                </c:pt>
                <c:pt idx="20">
                  <c:v>2.574998119936069</c:v>
                </c:pt>
                <c:pt idx="21">
                  <c:v>2.3524092926782245</c:v>
                </c:pt>
                <c:pt idx="22">
                  <c:v>2.215525192228224</c:v>
                </c:pt>
                <c:pt idx="23">
                  <c:v>2.1320160675320023</c:v>
                </c:pt>
                <c:pt idx="24">
                  <c:v>2.0577740629286576</c:v>
                </c:pt>
                <c:pt idx="25">
                  <c:v>1.9946914422938873</c:v>
                </c:pt>
                <c:pt idx="26">
                  <c:v>1.9553135291544481</c:v>
                </c:pt>
                <c:pt idx="27">
                  <c:v>1.9080438704420566</c:v>
                </c:pt>
                <c:pt idx="28">
                  <c:v>1.8430309558594944</c:v>
                </c:pt>
                <c:pt idx="29">
                  <c:v>1.7734964267099815</c:v>
                </c:pt>
                <c:pt idx="30">
                  <c:v>1.5712912163591837</c:v>
                </c:pt>
                <c:pt idx="31">
                  <c:v>1.5198913582142519</c:v>
                </c:pt>
                <c:pt idx="32">
                  <c:v>1.4860269679117541</c:v>
                </c:pt>
                <c:pt idx="33">
                  <c:v>1.4516188850261842</c:v>
                </c:pt>
                <c:pt idx="34">
                  <c:v>1.421271909703933</c:v>
                </c:pt>
                <c:pt idx="35">
                  <c:v>1.3920842396769624</c:v>
                </c:pt>
                <c:pt idx="36">
                  <c:v>1.3670566510745077</c:v>
                </c:pt>
                <c:pt idx="37">
                  <c:v>1.3438817186115455</c:v>
                </c:pt>
                <c:pt idx="38">
                  <c:v>1.3289463541752446</c:v>
                </c:pt>
                <c:pt idx="39">
                  <c:v>1.3104027029400205</c:v>
                </c:pt>
                <c:pt idx="40">
                  <c:v>1.2813778441659718</c:v>
                </c:pt>
                <c:pt idx="41">
                  <c:v>1.2531599733366348</c:v>
                </c:pt>
                <c:pt idx="42">
                  <c:v>1.2339834598128165</c:v>
                </c:pt>
                <c:pt idx="43">
                  <c:v>1.2100938163532695</c:v>
                </c:pt>
                <c:pt idx="44">
                  <c:v>1.1784049128274419</c:v>
                </c:pt>
                <c:pt idx="45">
                  <c:v>1.1425793868934462</c:v>
                </c:pt>
                <c:pt idx="46">
                  <c:v>1.1083980658109145</c:v>
                </c:pt>
                <c:pt idx="47">
                  <c:v>1.0791612000042003</c:v>
                </c:pt>
                <c:pt idx="48">
                  <c:v>1.0587621442224715</c:v>
                </c:pt>
                <c:pt idx="49">
                  <c:v>1.0522717927531564</c:v>
                </c:pt>
                <c:pt idx="50">
                  <c:v>1.0396375245706708</c:v>
                </c:pt>
                <c:pt idx="51">
                  <c:v>1.0186220422011765</c:v>
                </c:pt>
                <c:pt idx="52">
                  <c:v>1</c:v>
                </c:pt>
                <c:pt idx="53">
                  <c:v>0.98545481986694361</c:v>
                </c:pt>
                <c:pt idx="54">
                  <c:v>0.96959846183343434</c:v>
                </c:pt>
                <c:pt idx="55">
                  <c:v>0.9622289452883469</c:v>
                </c:pt>
                <c:pt idx="56">
                  <c:v>0.95410497154282525</c:v>
                </c:pt>
                <c:pt idx="57">
                  <c:v>0.93829393226539393</c:v>
                </c:pt>
                <c:pt idx="58">
                  <c:v>0.91645433316352021</c:v>
                </c:pt>
                <c:pt idx="59">
                  <c:v>0.90285043100066309</c:v>
                </c:pt>
                <c:pt idx="60">
                  <c:v>0.89676407680571357</c:v>
                </c:pt>
                <c:pt idx="61">
                  <c:v>0.85909418775421253</c:v>
                </c:pt>
                <c:pt idx="62">
                  <c:v>0.80192135806534759</c:v>
                </c:pt>
                <c:pt idx="63">
                  <c:v>0.7740673842266993</c:v>
                </c:pt>
                <c:pt idx="64">
                  <c:v>0.75531498943744568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D4-4E33-9944-79717FC60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802416"/>
        <c:axId val="176063584"/>
      </c:scatterChart>
      <c:scatterChart>
        <c:scatterStyle val="smoothMarker"/>
        <c:varyColors val="0"/>
        <c:ser>
          <c:idx val="0"/>
          <c:order val="0"/>
          <c:tx>
            <c:strRef>
              <c:f>'Worldbank Data'!$G$3:$G$4</c:f>
              <c:strCache>
                <c:ptCount val="2"/>
                <c:pt idx="0">
                  <c:v>Current RMB vs 2012 USD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'Worldbank Data'!$A$5:$A$70</c:f>
              <c:numCache>
                <c:formatCode>General</c:formatCod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numCache>
            </c:numRef>
          </c:xVal>
          <c:yVal>
            <c:numRef>
              <c:f>'Worldbank Data'!$G$5:$G$70</c:f>
              <c:numCache>
                <c:formatCode>0.000_);[Red]\(0.000\)</c:formatCode>
                <c:ptCount val="66"/>
                <c:pt idx="0">
                  <c:v>1.0516603375843028</c:v>
                </c:pt>
                <c:pt idx="1">
                  <c:v>0.91253279438110857</c:v>
                </c:pt>
                <c:pt idx="2">
                  <c:v>0.91354552019018653</c:v>
                </c:pt>
                <c:pt idx="3">
                  <c:v>0.93820380003664694</c:v>
                </c:pt>
                <c:pt idx="4">
                  <c:v>0.94178003385442166</c:v>
                </c:pt>
                <c:pt idx="5">
                  <c:v>0.9337146463728474</c:v>
                </c:pt>
                <c:pt idx="6">
                  <c:v>0.94862437159886059</c:v>
                </c:pt>
                <c:pt idx="7">
                  <c:v>0.94093552138860304</c:v>
                </c:pt>
                <c:pt idx="8">
                  <c:v>0.92817715956316293</c:v>
                </c:pt>
                <c:pt idx="9">
                  <c:v>0.96487057087099959</c:v>
                </c:pt>
                <c:pt idx="10">
                  <c:v>0.9909340346687715</c:v>
                </c:pt>
                <c:pt idx="11">
                  <c:v>0.98441373058672332</c:v>
                </c:pt>
                <c:pt idx="12">
                  <c:v>0.98366535281698175</c:v>
                </c:pt>
                <c:pt idx="13">
                  <c:v>0.98162875292226492</c:v>
                </c:pt>
                <c:pt idx="14">
                  <c:v>0.97891485895872532</c:v>
                </c:pt>
                <c:pt idx="15">
                  <c:v>0.99012684417894892</c:v>
                </c:pt>
                <c:pt idx="16">
                  <c:v>0.99108749806317398</c:v>
                </c:pt>
                <c:pt idx="17">
                  <c:v>0.98037578883764398</c:v>
                </c:pt>
                <c:pt idx="18">
                  <c:v>0.96422754782032172</c:v>
                </c:pt>
                <c:pt idx="19">
                  <c:v>0.93073245668968785</c:v>
                </c:pt>
                <c:pt idx="20">
                  <c:v>0.8969646730903168</c:v>
                </c:pt>
                <c:pt idx="21">
                  <c:v>0.876279206275276</c:v>
                </c:pt>
                <c:pt idx="22">
                  <c:v>0.87775297918067252</c:v>
                </c:pt>
                <c:pt idx="23">
                  <c:v>0.86736671742857707</c:v>
                </c:pt>
                <c:pt idx="24">
                  <c:v>0.82680827696636583</c:v>
                </c:pt>
                <c:pt idx="25">
                  <c:v>0.75028218950416425</c:v>
                </c:pt>
                <c:pt idx="26">
                  <c:v>0.71673569976843632</c:v>
                </c:pt>
                <c:pt idx="27">
                  <c:v>0.68193804327248198</c:v>
                </c:pt>
                <c:pt idx="28">
                  <c:v>0.60832057966089903</c:v>
                </c:pt>
                <c:pt idx="29">
                  <c:v>0.56010850599955087</c:v>
                </c:pt>
                <c:pt idx="30">
                  <c:v>0.52985888566376127</c:v>
                </c:pt>
                <c:pt idx="31" formatCode="0.0000_);[Red]\(0.0000\)">
                  <c:v>0.49646402279804558</c:v>
                </c:pt>
                <c:pt idx="32" formatCode="0.0000_);[Red]\(0.0000\)">
                  <c:v>0.45883858498950864</c:v>
                </c:pt>
                <c:pt idx="33" formatCode="0.0000_);[Red]\(0.0000\)">
                  <c:v>0.3983503614925239</c:v>
                </c:pt>
                <c:pt idx="34" formatCode="0.0000_);[Red]\(0.0000\)">
                  <c:v>0.33019610085792905</c:v>
                </c:pt>
                <c:pt idx="35" formatCode="0.0000_);[Red]\(0.0000\)">
                  <c:v>0.29058115308781191</c:v>
                </c:pt>
                <c:pt idx="36" formatCode="0.0000_);[Red]\(0.0000\)">
                  <c:v>0.27283121218025369</c:v>
                </c:pt>
                <c:pt idx="37" formatCode="0.0000_);[Red]\(0.0000\)">
                  <c:v>0.26838383483119532</c:v>
                </c:pt>
                <c:pt idx="38" formatCode="0.0000_);[Red]\(0.0000\)">
                  <c:v>0.27062043850907469</c:v>
                </c:pt>
                <c:pt idx="39" formatCode="0.0000_);[Red]\(0.0000\)">
                  <c:v>0.27396189949999483</c:v>
                </c:pt>
                <c:pt idx="40" formatCode="0.0000_);[Red]\(0.0000\)">
                  <c:v>0.26832759852043891</c:v>
                </c:pt>
                <c:pt idx="41" formatCode="0.0000_);[Red]\(0.0000\)">
                  <c:v>0.26252051567305451</c:v>
                </c:pt>
                <c:pt idx="42" formatCode="0.0000_);[Red]\(0.0000\)">
                  <c:v>0.26084408118192548</c:v>
                </c:pt>
                <c:pt idx="43" formatCode="0.0000_);[Red]\(0.0000\)">
                  <c:v>0.25412828434976426</c:v>
                </c:pt>
                <c:pt idx="44" formatCode="0.0000_);[Red]\(0.0000\)">
                  <c:v>0.23752484138687469</c:v>
                </c:pt>
                <c:pt idx="45" formatCode="0.0000_);[Red]\(0.0000\)">
                  <c:v>0.2289424357744054</c:v>
                </c:pt>
                <c:pt idx="46" formatCode="0.0000_);[Red]\(0.0000\)">
                  <c:v>0.22009577925455673</c:v>
                </c:pt>
                <c:pt idx="47" formatCode="0.0000_);[Red]\(0.0000\)">
                  <c:v>0.20395544028949822</c:v>
                </c:pt>
                <c:pt idx="48" formatCode="0.0000_);[Red]\(0.0000\)">
                  <c:v>0.18909873469468513</c:v>
                </c:pt>
                <c:pt idx="49" formatCode="0.0000_);[Red]\(0.0000\)">
                  <c:v>0.18925386029655522</c:v>
                </c:pt>
                <c:pt idx="50" formatCode="0.0000_);[Red]\(0.0000\)">
                  <c:v>0.1769911070003039</c:v>
                </c:pt>
                <c:pt idx="51" formatCode="0.0000_);[Red]\(0.0000\)">
                  <c:v>0.16385628415010089</c:v>
                </c:pt>
                <c:pt idx="52" formatCode="0.0000_);[Red]\(0.0000\)">
                  <c:v>0.16000780189651442</c:v>
                </c:pt>
                <c:pt idx="53" formatCode="0.0000_);[Red]\(0.0000\)">
                  <c:v>0.15641343068482019</c:v>
                </c:pt>
                <c:pt idx="54" formatCode="0.0000_);[Red]\(0.0000\)">
                  <c:v>0.15472523713670047</c:v>
                </c:pt>
                <c:pt idx="55" formatCode="0.0000_);[Red]\(0.0000\)">
                  <c:v>0.15451315053119274</c:v>
                </c:pt>
                <c:pt idx="56" formatCode="0.0000_);[Red]\(0.0000\)">
                  <c:v>0.15226354614751539</c:v>
                </c:pt>
                <c:pt idx="57" formatCode="0.0000_);[Red]\(0.0000\)">
                  <c:v>0.14620197937054966</c:v>
                </c:pt>
                <c:pt idx="58" formatCode="0.0000_);[Red]\(0.0000\)">
                  <c:v>0.14130177815288694</c:v>
                </c:pt>
                <c:pt idx="59" formatCode="0.0000_);[Red]\(0.0000\)">
                  <c:v>0.13946707964499255</c:v>
                </c:pt>
                <c:pt idx="60" formatCode="0.0000_);[Red]\(0.0000\)">
                  <c:v>0.13873179997224944</c:v>
                </c:pt>
                <c:pt idx="61" formatCode="0.0000_);[Red]\(0.0000\)">
                  <c:v>0.13279091843487137</c:v>
                </c:pt>
                <c:pt idx="62" formatCode="0.0000_);[Red]\(0.0000\)">
                  <c:v>0.13027111796835766</c:v>
                </c:pt>
                <c:pt idx="63" formatCode="0.0000_);[Red]\(0.0000\)">
                  <c:v>0.13093325337394421</c:v>
                </c:pt>
                <c:pt idx="64" formatCode="0.0000_);[Red]\(0.0000\)">
                  <c:v>0.13186580838375112</c:v>
                </c:pt>
                <c:pt idx="65" formatCode="0.0000_);[Red]\(0.0000\)">
                  <c:v>0.13314416190689046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D4-4E33-9944-79717FC60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126208"/>
        <c:axId val="450125248"/>
      </c:scatterChart>
      <c:valAx>
        <c:axId val="216802416"/>
        <c:scaling>
          <c:orientation val="minMax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063584"/>
        <c:crosses val="autoZero"/>
        <c:crossBetween val="midCat"/>
      </c:valAx>
      <c:valAx>
        <c:axId val="176063584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Current USD</a:t>
                </a:r>
              </a:p>
            </c:rich>
          </c:tx>
          <c:layout>
            <c:manualLayout>
              <c:xMode val="edge"/>
              <c:yMode val="edge"/>
              <c:x val="2.7734707693651589E-3"/>
              <c:y val="6.896460286813042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6802416"/>
        <c:crosses val="autoZero"/>
        <c:crossBetween val="midCat"/>
      </c:valAx>
      <c:valAx>
        <c:axId val="450125248"/>
        <c:scaling>
          <c:orientation val="minMax"/>
          <c:max val="0.5"/>
          <c:min val="0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Current RMB</a:t>
                </a:r>
              </a:p>
            </c:rich>
          </c:tx>
          <c:layout>
            <c:manualLayout>
              <c:xMode val="edge"/>
              <c:yMode val="edge"/>
              <c:x val="0.8368784258915507"/>
              <c:y val="8.692533180502143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0126208"/>
        <c:crosses val="max"/>
        <c:crossBetween val="midCat"/>
      </c:valAx>
      <c:valAx>
        <c:axId val="45012620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50125248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Relative Growth of US and China Economy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4883055622283844E-2"/>
          <c:y val="0.18539184618262031"/>
          <c:w val="0.7772536163398498"/>
          <c:h val="0.60773025530751912"/>
        </c:manualLayout>
      </c:layout>
      <c:scatterChart>
        <c:scatterStyle val="smoothMarker"/>
        <c:varyColors val="0"/>
        <c:ser>
          <c:idx val="2"/>
          <c:order val="2"/>
          <c:tx>
            <c:v>US GDP current USD</c:v>
          </c:tx>
          <c:spPr>
            <a:ln w="1905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'Worldbank Data'!$A$5:$A$70</c:f>
              <c:numCache>
                <c:formatCode>General</c:formatCod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numCache>
            </c:numRef>
          </c:xVal>
          <c:yVal>
            <c:numRef>
              <c:f>'Worldbank Data'!$U$5:$U$70</c:f>
              <c:numCache>
                <c:formatCode>General</c:formatCode>
                <c:ptCount val="66"/>
                <c:pt idx="0">
                  <c:v>541988586206.89697</c:v>
                </c:pt>
                <c:pt idx="1">
                  <c:v>561940310344.828</c:v>
                </c:pt>
                <c:pt idx="2">
                  <c:v>603639413793.10303</c:v>
                </c:pt>
                <c:pt idx="3">
                  <c:v>637058551724.13794</c:v>
                </c:pt>
                <c:pt idx="4">
                  <c:v>684144620689.65503</c:v>
                </c:pt>
                <c:pt idx="5">
                  <c:v>741904862068.96497</c:v>
                </c:pt>
                <c:pt idx="6">
                  <c:v>813032758620.68994</c:v>
                </c:pt>
                <c:pt idx="7">
                  <c:v>859620034482.75903</c:v>
                </c:pt>
                <c:pt idx="8">
                  <c:v>940225000000</c:v>
                </c:pt>
                <c:pt idx="9">
                  <c:v>1017438172413.79</c:v>
                </c:pt>
                <c:pt idx="10">
                  <c:v>1073303000000</c:v>
                </c:pt>
                <c:pt idx="11">
                  <c:v>1164850000000</c:v>
                </c:pt>
                <c:pt idx="12">
                  <c:v>1279110000000</c:v>
                </c:pt>
                <c:pt idx="13">
                  <c:v>1425376000000</c:v>
                </c:pt>
                <c:pt idx="14">
                  <c:v>1545243000000</c:v>
                </c:pt>
                <c:pt idx="15">
                  <c:v>1684904000000</c:v>
                </c:pt>
                <c:pt idx="16">
                  <c:v>1873412000000</c:v>
                </c:pt>
                <c:pt idx="17">
                  <c:v>2081826000000</c:v>
                </c:pt>
                <c:pt idx="18">
                  <c:v>2351599000000</c:v>
                </c:pt>
                <c:pt idx="19">
                  <c:v>2627333000000</c:v>
                </c:pt>
                <c:pt idx="20">
                  <c:v>2857307000000</c:v>
                </c:pt>
                <c:pt idx="21">
                  <c:v>3207041000000</c:v>
                </c:pt>
                <c:pt idx="22">
                  <c:v>3343789000000</c:v>
                </c:pt>
                <c:pt idx="23">
                  <c:v>3634038000000</c:v>
                </c:pt>
                <c:pt idx="24">
                  <c:v>4037613000000</c:v>
                </c:pt>
                <c:pt idx="25">
                  <c:v>4338979000000</c:v>
                </c:pt>
                <c:pt idx="26">
                  <c:v>4579631000000</c:v>
                </c:pt>
                <c:pt idx="27">
                  <c:v>4855215000000</c:v>
                </c:pt>
                <c:pt idx="28">
                  <c:v>5236438000000</c:v>
                </c:pt>
                <c:pt idx="29">
                  <c:v>5641580000000</c:v>
                </c:pt>
                <c:pt idx="30">
                  <c:v>5963144000000</c:v>
                </c:pt>
                <c:pt idx="31" formatCode="0.0000E+00">
                  <c:v>6158129000000</c:v>
                </c:pt>
                <c:pt idx="32" formatCode="0.0000E+00">
                  <c:v>6520327000000</c:v>
                </c:pt>
                <c:pt idx="33" formatCode="0.0000E+00">
                  <c:v>6858559000000</c:v>
                </c:pt>
                <c:pt idx="34" formatCode="0.0000E+00">
                  <c:v>7287236000000</c:v>
                </c:pt>
                <c:pt idx="35" formatCode="0.0000E+00">
                  <c:v>7639749000000</c:v>
                </c:pt>
                <c:pt idx="36" formatCode="0.0000E+00">
                  <c:v>8073122000000</c:v>
                </c:pt>
                <c:pt idx="37" formatCode="0.0000E+00">
                  <c:v>8577554457000</c:v>
                </c:pt>
                <c:pt idx="38" formatCode="0.0000E+00">
                  <c:v>9062818202000</c:v>
                </c:pt>
                <c:pt idx="39" formatCode="0.0000E+00">
                  <c:v>9631174489000</c:v>
                </c:pt>
                <c:pt idx="40" formatCode="0.0000E+00">
                  <c:v>10250947997000</c:v>
                </c:pt>
                <c:pt idx="41" formatCode="0.0000E+00">
                  <c:v>10581929774000</c:v>
                </c:pt>
                <c:pt idx="42" formatCode="0.0000E+00">
                  <c:v>10929112955000</c:v>
                </c:pt>
                <c:pt idx="43" formatCode="0.0000E+00">
                  <c:v>11456442041000</c:v>
                </c:pt>
                <c:pt idx="44" formatCode="0.0000E+00">
                  <c:v>12217193198000</c:v>
                </c:pt>
                <c:pt idx="45" formatCode="0.0000E+00">
                  <c:v>13039199193000</c:v>
                </c:pt>
                <c:pt idx="46" formatCode="0.0000E+00">
                  <c:v>13815586948000</c:v>
                </c:pt>
                <c:pt idx="47" formatCode="0.0000E+00">
                  <c:v>14474226905000</c:v>
                </c:pt>
                <c:pt idx="48" formatCode="0.0000E+00">
                  <c:v>14769857911000</c:v>
                </c:pt>
                <c:pt idx="49" formatCode="0.0000E+00">
                  <c:v>14478064934000</c:v>
                </c:pt>
                <c:pt idx="50" formatCode="0.0000E+00">
                  <c:v>15048964444000</c:v>
                </c:pt>
                <c:pt idx="51" formatCode="0.0000E+00">
                  <c:v>15599728123000</c:v>
                </c:pt>
                <c:pt idx="52" formatCode="0.0000E+00">
                  <c:v>16253972230000</c:v>
                </c:pt>
                <c:pt idx="53" formatCode="0.0000E+00">
                  <c:v>16843190993000</c:v>
                </c:pt>
                <c:pt idx="54" formatCode="0.0000E+00">
                  <c:v>17550680174000</c:v>
                </c:pt>
                <c:pt idx="55" formatCode="0.0000E+00">
                  <c:v>18206020741000</c:v>
                </c:pt>
                <c:pt idx="56" formatCode="0.0000E+00">
                  <c:v>18695110842000</c:v>
                </c:pt>
                <c:pt idx="57" formatCode="0.0000E+00">
                  <c:v>19477336549000</c:v>
                </c:pt>
                <c:pt idx="58" formatCode="0.0000E+00">
                  <c:v>20533057312000</c:v>
                </c:pt>
                <c:pt idx="59" formatCode="0.0000E+00">
                  <c:v>21380976119000</c:v>
                </c:pt>
                <c:pt idx="60" formatCode="0.0000E+00">
                  <c:v>21060473613000</c:v>
                </c:pt>
                <c:pt idx="61" formatCode="0.0000E+00">
                  <c:v>23315080560000</c:v>
                </c:pt>
                <c:pt idx="62" formatCode="0.0000E+00">
                  <c:v>25604848907611</c:v>
                </c:pt>
                <c:pt idx="63" formatCode="0.0000E+00">
                  <c:v>27292170793214.398</c:v>
                </c:pt>
                <c:pt idx="64" formatCode="0.0000E+00">
                  <c:v>28750956130731.199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2C-4382-B80C-9439DB0E32C0}"/>
            </c:ext>
          </c:extLst>
        </c:ser>
        <c:ser>
          <c:idx val="3"/>
          <c:order val="3"/>
          <c:tx>
            <c:v>US GDP 2020 USD</c:v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'Worldbank Data'!$A$5:$A$70</c:f>
              <c:numCache>
                <c:formatCode>General</c:formatCod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numCache>
            </c:numRef>
          </c:xVal>
          <c:yVal>
            <c:numRef>
              <c:f>'Worldbank Data'!$V$5:$V$70</c:f>
              <c:numCache>
                <c:formatCode>General</c:formatCode>
                <c:ptCount val="66"/>
                <c:pt idx="0">
                  <c:v>3714876318784.2998</c:v>
                </c:pt>
                <c:pt idx="1">
                  <c:v>3800318474116.3301</c:v>
                </c:pt>
                <c:pt idx="2">
                  <c:v>4032137901037.4302</c:v>
                </c:pt>
                <c:pt idx="3">
                  <c:v>4209551968683.0698</c:v>
                </c:pt>
                <c:pt idx="4">
                  <c:v>4453705982866.7002</c:v>
                </c:pt>
                <c:pt idx="5">
                  <c:v>4738743165770.1602</c:v>
                </c:pt>
                <c:pt idx="6">
                  <c:v>5046761471545.2305</c:v>
                </c:pt>
                <c:pt idx="7">
                  <c:v>5172930508333.8604</c:v>
                </c:pt>
                <c:pt idx="8">
                  <c:v>5421231172733.8701</c:v>
                </c:pt>
                <c:pt idx="9">
                  <c:v>5589289339088.6201</c:v>
                </c:pt>
                <c:pt idx="10">
                  <c:v>5601396103000</c:v>
                </c:pt>
                <c:pt idx="11">
                  <c:v>5785834530000</c:v>
                </c:pt>
                <c:pt idx="12">
                  <c:v>6089909177000</c:v>
                </c:pt>
                <c:pt idx="13">
                  <c:v>6433725947000</c:v>
                </c:pt>
                <c:pt idx="14">
                  <c:v>6398948429000</c:v>
                </c:pt>
                <c:pt idx="15">
                  <c:v>6385790963000</c:v>
                </c:pt>
                <c:pt idx="16">
                  <c:v>6729859546000</c:v>
                </c:pt>
                <c:pt idx="17">
                  <c:v>7041060803000</c:v>
                </c:pt>
                <c:pt idx="18">
                  <c:v>7430798057000</c:v>
                </c:pt>
                <c:pt idx="19">
                  <c:v>7666056248000</c:v>
                </c:pt>
                <c:pt idx="20">
                  <c:v>7646371676000</c:v>
                </c:pt>
                <c:pt idx="21">
                  <c:v>7840413747000</c:v>
                </c:pt>
                <c:pt idx="22">
                  <c:v>7699050006000</c:v>
                </c:pt>
                <c:pt idx="23">
                  <c:v>8051958366000</c:v>
                </c:pt>
                <c:pt idx="24">
                  <c:v>8634634562000</c:v>
                </c:pt>
                <c:pt idx="25">
                  <c:v>8994662156000</c:v>
                </c:pt>
                <c:pt idx="26">
                  <c:v>9306116280000</c:v>
                </c:pt>
                <c:pt idx="27">
                  <c:v>9627608134000</c:v>
                </c:pt>
                <c:pt idx="28">
                  <c:v>10029751630000</c:v>
                </c:pt>
                <c:pt idx="29">
                  <c:v>10398067965000</c:v>
                </c:pt>
                <c:pt idx="30">
                  <c:v>10594171948000</c:v>
                </c:pt>
                <c:pt idx="31" formatCode="0.0000E+00">
                  <c:v>10582697095000</c:v>
                </c:pt>
                <c:pt idx="32" formatCode="0.0000E+00">
                  <c:v>10955472301000</c:v>
                </c:pt>
                <c:pt idx="33" formatCode="0.0000E+00">
                  <c:v>11256944535000</c:v>
                </c:pt>
                <c:pt idx="34" formatCode="0.0000E+00">
                  <c:v>11710489389000</c:v>
                </c:pt>
                <c:pt idx="35" formatCode="0.0000E+00">
                  <c:v>12024849365000</c:v>
                </c:pt>
                <c:pt idx="36" formatCode="0.0000E+00">
                  <c:v>12478519598000</c:v>
                </c:pt>
                <c:pt idx="37" formatCode="0.0000E+00">
                  <c:v>13033455329000</c:v>
                </c:pt>
                <c:pt idx="38" formatCode="0.0000E+00">
                  <c:v>13617762512000</c:v>
                </c:pt>
                <c:pt idx="39" formatCode="0.0000E+00">
                  <c:v>14269838863000</c:v>
                </c:pt>
                <c:pt idx="40" formatCode="0.0000E+00">
                  <c:v>14851703780000</c:v>
                </c:pt>
                <c:pt idx="41" formatCode="0.0000E+00">
                  <c:v>14993617505000</c:v>
                </c:pt>
                <c:pt idx="42" formatCode="0.0000E+00">
                  <c:v>15248576073000</c:v>
                </c:pt>
                <c:pt idx="43" formatCode="0.0000E+00">
                  <c:v>15674866175000</c:v>
                </c:pt>
                <c:pt idx="44" formatCode="0.0000E+00">
                  <c:v>16277999239000</c:v>
                </c:pt>
                <c:pt idx="45" formatCode="0.0000E+00">
                  <c:v>16845051471000</c:v>
                </c:pt>
                <c:pt idx="46" formatCode="0.0000E+00">
                  <c:v>17314108606000</c:v>
                </c:pt>
                <c:pt idx="47" formatCode="0.0000E+00">
                  <c:v>17661058808000</c:v>
                </c:pt>
                <c:pt idx="48" formatCode="0.0000E+00">
                  <c:v>17681119519000</c:v>
                </c:pt>
                <c:pt idx="49" formatCode="0.0000E+00">
                  <c:v>17225565434000</c:v>
                </c:pt>
                <c:pt idx="50" formatCode="0.0000E+00">
                  <c:v>17689827595000</c:v>
                </c:pt>
                <c:pt idx="51" formatCode="0.0000E+00">
                  <c:v>17966568471000</c:v>
                </c:pt>
                <c:pt idx="52" formatCode="0.0000E+00">
                  <c:v>18377843595000</c:v>
                </c:pt>
                <c:pt idx="53" formatCode="0.0000E+00">
                  <c:v>18767055098000</c:v>
                </c:pt>
                <c:pt idx="54" formatCode="0.0000E+00">
                  <c:v>19240701753000</c:v>
                </c:pt>
                <c:pt idx="55" formatCode="0.0000E+00">
                  <c:v>19807446331000</c:v>
                </c:pt>
                <c:pt idx="56" formatCode="0.0000E+00">
                  <c:v>20167833206000</c:v>
                </c:pt>
                <c:pt idx="57" formatCode="0.0000E+00">
                  <c:v>20663482372000</c:v>
                </c:pt>
                <c:pt idx="58" formatCode="0.0000E+00">
                  <c:v>21276465624000</c:v>
                </c:pt>
                <c:pt idx="59" formatCode="0.0000E+00">
                  <c:v>21826212333000</c:v>
                </c:pt>
                <c:pt idx="60" formatCode="0.0000E+00">
                  <c:v>21354105000000</c:v>
                </c:pt>
                <c:pt idx="61" formatCode="0.0000E+00">
                  <c:v>22647107361000</c:v>
                </c:pt>
                <c:pt idx="62" formatCode="0.0000E+00">
                  <c:v>23216087697000</c:v>
                </c:pt>
                <c:pt idx="63" formatCode="0.0000E+00">
                  <c:v>23886465232000</c:v>
                </c:pt>
                <c:pt idx="64" formatCode="0.0000E+00">
                  <c:v>24553614511000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2C-4382-B80C-9439DB0E3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802416"/>
        <c:axId val="176063584"/>
      </c:scatterChart>
      <c:scatterChart>
        <c:scatterStyle val="smoothMarker"/>
        <c:varyColors val="0"/>
        <c:ser>
          <c:idx val="0"/>
          <c:order val="0"/>
          <c:tx>
            <c:v>China GDP current RMB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'Worldbank Data'!$A$5:$A$70</c:f>
              <c:numCache>
                <c:formatCode>General</c:formatCod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numCache>
            </c:numRef>
          </c:xVal>
          <c:yVal>
            <c:numRef>
              <c:f>'Worldbank Data'!$R$5:$R$70</c:f>
              <c:numCache>
                <c:formatCode>General</c:formatCode>
                <c:ptCount val="66"/>
                <c:pt idx="0">
                  <c:v>147330000000</c:v>
                </c:pt>
                <c:pt idx="1">
                  <c:v>123490000000</c:v>
                </c:pt>
                <c:pt idx="2">
                  <c:v>116470000000</c:v>
                </c:pt>
                <c:pt idx="3">
                  <c:v>125090000000</c:v>
                </c:pt>
                <c:pt idx="4">
                  <c:v>147270000000</c:v>
                </c:pt>
                <c:pt idx="5">
                  <c:v>173720000000</c:v>
                </c:pt>
                <c:pt idx="6">
                  <c:v>189200000000</c:v>
                </c:pt>
                <c:pt idx="7">
                  <c:v>179740000000</c:v>
                </c:pt>
                <c:pt idx="8">
                  <c:v>174740000000</c:v>
                </c:pt>
                <c:pt idx="9">
                  <c:v>196570000000</c:v>
                </c:pt>
                <c:pt idx="10">
                  <c:v>228340000000</c:v>
                </c:pt>
                <c:pt idx="11">
                  <c:v>246080000000</c:v>
                </c:pt>
                <c:pt idx="12">
                  <c:v>255650000000</c:v>
                </c:pt>
                <c:pt idx="13">
                  <c:v>276060000000</c:v>
                </c:pt>
                <c:pt idx="14">
                  <c:v>283220000000</c:v>
                </c:pt>
                <c:pt idx="15">
                  <c:v>304430000000</c:v>
                </c:pt>
                <c:pt idx="16">
                  <c:v>299360000000</c:v>
                </c:pt>
                <c:pt idx="17">
                  <c:v>325540000000</c:v>
                </c:pt>
                <c:pt idx="18">
                  <c:v>368480000000</c:v>
                </c:pt>
                <c:pt idx="19">
                  <c:v>410720000000</c:v>
                </c:pt>
                <c:pt idx="20">
                  <c:v>459570000000</c:v>
                </c:pt>
                <c:pt idx="21">
                  <c:v>494470000000</c:v>
                </c:pt>
                <c:pt idx="22">
                  <c:v>538360000000</c:v>
                </c:pt>
                <c:pt idx="23">
                  <c:v>603250000000</c:v>
                </c:pt>
                <c:pt idx="24">
                  <c:v>729240000000</c:v>
                </c:pt>
                <c:pt idx="25">
                  <c:v>911590000000</c:v>
                </c:pt>
                <c:pt idx="26">
                  <c:v>1039520000000</c:v>
                </c:pt>
                <c:pt idx="27">
                  <c:v>1219610000000</c:v>
                </c:pt>
                <c:pt idx="28">
                  <c:v>1520640000000</c:v>
                </c:pt>
                <c:pt idx="29">
                  <c:v>1721000000000</c:v>
                </c:pt>
                <c:pt idx="30">
                  <c:v>1890960000000</c:v>
                </c:pt>
                <c:pt idx="31">
                  <c:v>2207090000000</c:v>
                </c:pt>
                <c:pt idx="32">
                  <c:v>2729560000000</c:v>
                </c:pt>
                <c:pt idx="33">
                  <c:v>3581970000000</c:v>
                </c:pt>
                <c:pt idx="34">
                  <c:v>4886220000000</c:v>
                </c:pt>
                <c:pt idx="35">
                  <c:v>6164940000000</c:v>
                </c:pt>
                <c:pt idx="36">
                  <c:v>7221060000000</c:v>
                </c:pt>
                <c:pt idx="37">
                  <c:v>8022500000000</c:v>
                </c:pt>
                <c:pt idx="38">
                  <c:v>8586390000000</c:v>
                </c:pt>
                <c:pt idx="39">
                  <c:v>9137890000000</c:v>
                </c:pt>
                <c:pt idx="40">
                  <c:v>10130860000000</c:v>
                </c:pt>
                <c:pt idx="41">
                  <c:v>11215730000000</c:v>
                </c:pt>
                <c:pt idx="42">
                  <c:v>12331190000000</c:v>
                </c:pt>
                <c:pt idx="43">
                  <c:v>13937730000000</c:v>
                </c:pt>
                <c:pt idx="44">
                  <c:v>16422800000000</c:v>
                </c:pt>
                <c:pt idx="45">
                  <c:v>18990750000000</c:v>
                </c:pt>
                <c:pt idx="46">
                  <c:v>22257840000000</c:v>
                </c:pt>
                <c:pt idx="47">
                  <c:v>27417970000000</c:v>
                </c:pt>
                <c:pt idx="48">
                  <c:v>32431780000000</c:v>
                </c:pt>
                <c:pt idx="49">
                  <c:v>35452160000000</c:v>
                </c:pt>
                <c:pt idx="50">
                  <c:v>41925330000000</c:v>
                </c:pt>
                <c:pt idx="51">
                  <c:v>49570760000000</c:v>
                </c:pt>
                <c:pt idx="52">
                  <c:v>54751060000000</c:v>
                </c:pt>
                <c:pt idx="53">
                  <c:v>60366040000000</c:v>
                </c:pt>
                <c:pt idx="54">
                  <c:v>65578290000000</c:v>
                </c:pt>
                <c:pt idx="55">
                  <c:v>70251150000000</c:v>
                </c:pt>
                <c:pt idx="56">
                  <c:v>76119300000000</c:v>
                </c:pt>
                <c:pt idx="57">
                  <c:v>84738290000000</c:v>
                </c:pt>
                <c:pt idx="58">
                  <c:v>93601010000000</c:v>
                </c:pt>
                <c:pt idx="59">
                  <c:v>100587240000000</c:v>
                </c:pt>
                <c:pt idx="60">
                  <c:v>103486760000000</c:v>
                </c:pt>
                <c:pt idx="61">
                  <c:v>117382300000000</c:v>
                </c:pt>
                <c:pt idx="62">
                  <c:v>123402940000000</c:v>
                </c:pt>
                <c:pt idx="63">
                  <c:v>129427170000000</c:v>
                </c:pt>
                <c:pt idx="64">
                  <c:v>134908354627800</c:v>
                </c:pt>
                <c:pt idx="65">
                  <c:v>140187920000000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2C-4382-B80C-9439DB0E32C0}"/>
            </c:ext>
          </c:extLst>
        </c:ser>
        <c:ser>
          <c:idx val="1"/>
          <c:order val="1"/>
          <c:tx>
            <c:v>China GDP 2020 RMB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'Worldbank Data'!$A$5:$A$70</c:f>
              <c:numCache>
                <c:formatCode>General</c:formatCod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numCache>
            </c:numRef>
          </c:xVal>
          <c:yVal>
            <c:numRef>
              <c:f>'Worldbank Data'!$S$5:$S$70</c:f>
              <c:numCache>
                <c:formatCode>General</c:formatCode>
                <c:ptCount val="66"/>
                <c:pt idx="0">
                  <c:v>1116839236334.3398</c:v>
                </c:pt>
                <c:pt idx="1">
                  <c:v>812277176542.53992</c:v>
                </c:pt>
                <c:pt idx="2">
                  <c:v>766952110171.09607</c:v>
                </c:pt>
                <c:pt idx="3">
                  <c:v>845948177491.1001</c:v>
                </c:pt>
                <c:pt idx="4">
                  <c:v>999741556106.70496</c:v>
                </c:pt>
                <c:pt idx="5">
                  <c:v>1169197749905.48</c:v>
                </c:pt>
                <c:pt idx="6">
                  <c:v>1293717310251.9099</c:v>
                </c:pt>
                <c:pt idx="7">
                  <c:v>1219069821397.96</c:v>
                </c:pt>
                <c:pt idx="8">
                  <c:v>1169087958885.49</c:v>
                </c:pt>
                <c:pt idx="9">
                  <c:v>1367131459074.6399</c:v>
                </c:pt>
                <c:pt idx="10">
                  <c:v>1630987830630.96</c:v>
                </c:pt>
                <c:pt idx="11">
                  <c:v>1746135571449.6399</c:v>
                </c:pt>
                <c:pt idx="12">
                  <c:v>1812663336725.71</c:v>
                </c:pt>
                <c:pt idx="13">
                  <c:v>1953326011670.9102</c:v>
                </c:pt>
                <c:pt idx="14">
                  <c:v>1998447842598.0798</c:v>
                </c:pt>
                <c:pt idx="15">
                  <c:v>2172712494422.27</c:v>
                </c:pt>
                <c:pt idx="16">
                  <c:v>2138600908223.9199</c:v>
                </c:pt>
                <c:pt idx="17">
                  <c:v>2300492997006.0698</c:v>
                </c:pt>
                <c:pt idx="18">
                  <c:v>2561046327459.9102</c:v>
                </c:pt>
                <c:pt idx="19">
                  <c:v>2755463669382.6099</c:v>
                </c:pt>
                <c:pt idx="20">
                  <c:v>2971330689103.5298</c:v>
                </c:pt>
                <c:pt idx="21">
                  <c:v>3123247728448.7603</c:v>
                </c:pt>
                <c:pt idx="22">
                  <c:v>3406191615521.6802</c:v>
                </c:pt>
                <c:pt idx="23">
                  <c:v>3771586416333.1899</c:v>
                </c:pt>
                <c:pt idx="24">
                  <c:v>4346095617699.4702</c:v>
                </c:pt>
                <c:pt idx="25">
                  <c:v>4930014180360.3203</c:v>
                </c:pt>
                <c:pt idx="26">
                  <c:v>5370514148683.4297</c:v>
                </c:pt>
                <c:pt idx="27">
                  <c:v>5995009486807.7598</c:v>
                </c:pt>
                <c:pt idx="28">
                  <c:v>6667805120675.9004</c:v>
                </c:pt>
                <c:pt idx="29">
                  <c:v>6948275298223.2305</c:v>
                </c:pt>
                <c:pt idx="30">
                  <c:v>7222150643436.9404</c:v>
                </c:pt>
                <c:pt idx="31">
                  <c:v>7898266873900</c:v>
                </c:pt>
                <c:pt idx="32">
                  <c:v>9027688304300</c:v>
                </c:pt>
                <c:pt idx="33">
                  <c:v>10285162051100</c:v>
                </c:pt>
                <c:pt idx="34">
                  <c:v>11629711373000</c:v>
                </c:pt>
                <c:pt idx="35">
                  <c:v>12912795583100</c:v>
                </c:pt>
                <c:pt idx="36">
                  <c:v>14201001885800</c:v>
                </c:pt>
                <c:pt idx="37">
                  <c:v>15519940744400</c:v>
                </c:pt>
                <c:pt idx="38">
                  <c:v>16749242981600</c:v>
                </c:pt>
                <c:pt idx="39">
                  <c:v>18045132423300</c:v>
                </c:pt>
                <c:pt idx="40">
                  <c:v>19594565451400</c:v>
                </c:pt>
                <c:pt idx="41">
                  <c:v>21223390915700</c:v>
                </c:pt>
                <c:pt idx="42">
                  <c:v>23185152402500</c:v>
                </c:pt>
                <c:pt idx="43">
                  <c:v>25531070838400</c:v>
                </c:pt>
                <c:pt idx="44">
                  <c:v>28117727629200</c:v>
                </c:pt>
                <c:pt idx="45">
                  <c:v>31339523909100</c:v>
                </c:pt>
                <c:pt idx="46">
                  <c:v>35311706763000</c:v>
                </c:pt>
                <c:pt idx="47">
                  <c:v>40308308147900</c:v>
                </c:pt>
                <c:pt idx="48">
                  <c:v>44206220658300</c:v>
                </c:pt>
                <c:pt idx="49">
                  <c:v>48362798847800</c:v>
                </c:pt>
                <c:pt idx="50">
                  <c:v>53487452549000</c:v>
                </c:pt>
                <c:pt idx="51">
                  <c:v>58548080092100</c:v>
                </c:pt>
                <c:pt idx="52">
                  <c:v>63147719296200</c:v>
                </c:pt>
                <c:pt idx="53">
                  <c:v>68059806152200</c:v>
                </c:pt>
                <c:pt idx="54">
                  <c:v>73138361019600</c:v>
                </c:pt>
                <c:pt idx="55">
                  <c:v>78242526350200</c:v>
                </c:pt>
                <c:pt idx="56">
                  <c:v>83543892248100</c:v>
                </c:pt>
                <c:pt idx="57">
                  <c:v>89301124392200</c:v>
                </c:pt>
                <c:pt idx="58">
                  <c:v>95334949539700</c:v>
                </c:pt>
                <c:pt idx="59">
                  <c:v>101120353193400</c:v>
                </c:pt>
                <c:pt idx="60">
                  <c:v>103486760000000</c:v>
                </c:pt>
                <c:pt idx="61">
                  <c:v>112355663432000</c:v>
                </c:pt>
                <c:pt idx="62">
                  <c:v>115877102132300</c:v>
                </c:pt>
                <c:pt idx="63">
                  <c:v>122151665634500</c:v>
                </c:pt>
                <c:pt idx="64">
                  <c:v>128231589615900</c:v>
                </c:pt>
                <c:pt idx="65">
                  <c:v>134541634445771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D2C-4382-B80C-9439DB0E3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61664"/>
        <c:axId val="176064544"/>
      </c:scatterChart>
      <c:valAx>
        <c:axId val="216802416"/>
        <c:scaling>
          <c:orientation val="minMax"/>
          <c:max val="2030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063584"/>
        <c:crosses val="autoZero"/>
        <c:crossBetween val="midCat"/>
      </c:valAx>
      <c:valAx>
        <c:axId val="17606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billion USD</a:t>
                </a:r>
              </a:p>
            </c:rich>
          </c:tx>
          <c:layout>
            <c:manualLayout>
              <c:xMode val="edge"/>
              <c:yMode val="edge"/>
              <c:x val="2.7735803118490846E-3"/>
              <c:y val="0.10011296046103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6802416"/>
        <c:crosses val="autoZero"/>
        <c:crossBetween val="midCat"/>
        <c:dispUnits>
          <c:builtInUnit val="billions"/>
        </c:dispUnits>
      </c:valAx>
      <c:valAx>
        <c:axId val="176064544"/>
        <c:scaling>
          <c:orientation val="minMax"/>
          <c:max val="189800000000000"/>
          <c:min val="0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billion RMB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83689035026301317"/>
              <c:y val="0.103897696503551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_);[Red]\(0\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061664"/>
        <c:crosses val="max"/>
        <c:crossBetween val="midCat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</c:dispUnitsLbl>
        </c:dispUnits>
      </c:valAx>
      <c:valAx>
        <c:axId val="176061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6064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48384545824771"/>
          <c:w val="1"/>
          <c:h val="0.10846307938612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17</xdr:col>
      <xdr:colOff>-1</xdr:colOff>
      <xdr:row>49</xdr:row>
      <xdr:rowOff>95131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7D4DC21-D282-4084-813F-1555523A5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51</xdr:row>
      <xdr:rowOff>0</xdr:rowOff>
    </xdr:from>
    <xdr:to>
      <xdr:col>17</xdr:col>
      <xdr:colOff>0</xdr:colOff>
      <xdr:row>66</xdr:row>
      <xdr:rowOff>95131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5FFA64D-60F7-4AE5-826D-087464111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stats.gov.cn/dg/website/page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ata.worldbank.org/indicator/NY.GDP.MKTP.K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>
      <selection activeCell="A30" sqref="A30"/>
    </sheetView>
  </sheetViews>
  <sheetFormatPr defaultRowHeight="13.5" x14ac:dyDescent="0.15"/>
  <cols>
    <col min="2" max="2" width="71.5" customWidth="1"/>
  </cols>
  <sheetData>
    <row r="1" spans="1:2" x14ac:dyDescent="0.15">
      <c r="A1" s="1" t="s">
        <v>13</v>
      </c>
    </row>
    <row r="2" spans="1:2" x14ac:dyDescent="0.15">
      <c r="A2" s="1" t="s">
        <v>19</v>
      </c>
    </row>
    <row r="3" spans="1:2" x14ac:dyDescent="0.15">
      <c r="A3" s="1" t="s">
        <v>14</v>
      </c>
    </row>
    <row r="5" spans="1:2" x14ac:dyDescent="0.15">
      <c r="A5" s="1" t="s">
        <v>0</v>
      </c>
      <c r="B5" s="23" t="s">
        <v>66</v>
      </c>
    </row>
    <row r="6" spans="1:2" x14ac:dyDescent="0.15">
      <c r="A6" s="1"/>
      <c r="B6" t="s">
        <v>67</v>
      </c>
    </row>
    <row r="7" spans="1:2" x14ac:dyDescent="0.15">
      <c r="B7" t="s">
        <v>65</v>
      </c>
    </row>
    <row r="9" spans="1:2" x14ac:dyDescent="0.15">
      <c r="B9" s="23" t="s">
        <v>143</v>
      </c>
    </row>
    <row r="10" spans="1:2" x14ac:dyDescent="0.15">
      <c r="B10" t="s">
        <v>144</v>
      </c>
    </row>
    <row r="11" spans="1:2" x14ac:dyDescent="0.15">
      <c r="B11" s="42" t="s">
        <v>145</v>
      </c>
    </row>
    <row r="12" spans="1:2" x14ac:dyDescent="0.15">
      <c r="A12" s="1" t="s">
        <v>1</v>
      </c>
    </row>
    <row r="13" spans="1:2" x14ac:dyDescent="0.15">
      <c r="A13" t="s">
        <v>2</v>
      </c>
    </row>
    <row r="14" spans="1:2" x14ac:dyDescent="0.15">
      <c r="A14" t="s">
        <v>3</v>
      </c>
    </row>
    <row r="15" spans="1:2" x14ac:dyDescent="0.15">
      <c r="A15" t="s">
        <v>4</v>
      </c>
    </row>
    <row r="16" spans="1:2" x14ac:dyDescent="0.15">
      <c r="A16" t="s">
        <v>5</v>
      </c>
    </row>
    <row r="17" spans="1:2" x14ac:dyDescent="0.15">
      <c r="A17" t="s">
        <v>6</v>
      </c>
    </row>
    <row r="18" spans="1:2" x14ac:dyDescent="0.15">
      <c r="A18" t="s">
        <v>7</v>
      </c>
    </row>
    <row r="20" spans="1:2" x14ac:dyDescent="0.15">
      <c r="A20" s="1" t="s">
        <v>68</v>
      </c>
    </row>
    <row r="21" spans="1:2" x14ac:dyDescent="0.15">
      <c r="A21" s="24" t="s">
        <v>10</v>
      </c>
      <c r="B21" s="4"/>
    </row>
    <row r="22" spans="1:2" x14ac:dyDescent="0.15">
      <c r="A22" t="s">
        <v>69</v>
      </c>
    </row>
    <row r="24" spans="1:2" x14ac:dyDescent="0.15">
      <c r="A24" s="24" t="s">
        <v>18</v>
      </c>
      <c r="B24" s="4"/>
    </row>
    <row r="25" spans="1:2" x14ac:dyDescent="0.15">
      <c r="A25" t="s">
        <v>70</v>
      </c>
    </row>
    <row r="27" spans="1:2" x14ac:dyDescent="0.15">
      <c r="A27" s="24" t="s">
        <v>11</v>
      </c>
      <c r="B27" s="4"/>
    </row>
    <row r="28" spans="1:2" x14ac:dyDescent="0.15">
      <c r="A28" t="s">
        <v>71</v>
      </c>
    </row>
    <row r="30" spans="1:2" x14ac:dyDescent="0.15">
      <c r="A30">
        <f>'Exchange Rate'!B23</f>
        <v>0.13873179997224944</v>
      </c>
      <c r="B30" t="s">
        <v>72</v>
      </c>
    </row>
    <row r="32" spans="1:2" x14ac:dyDescent="0.15">
      <c r="B32" t="s">
        <v>20</v>
      </c>
    </row>
    <row r="33" spans="2:2" x14ac:dyDescent="0.15">
      <c r="B33" t="s">
        <v>21</v>
      </c>
    </row>
    <row r="34" spans="2:2" x14ac:dyDescent="0.15">
      <c r="B34" t="s">
        <v>22</v>
      </c>
    </row>
    <row r="35" spans="2:2" x14ac:dyDescent="0.15">
      <c r="B35" t="s">
        <v>15</v>
      </c>
    </row>
    <row r="36" spans="2:2" x14ac:dyDescent="0.15">
      <c r="B36" t="s">
        <v>16</v>
      </c>
    </row>
    <row r="37" spans="2:2" x14ac:dyDescent="0.15">
      <c r="B37" t="s">
        <v>17</v>
      </c>
    </row>
  </sheetData>
  <phoneticPr fontId="5" type="noConversion"/>
  <hyperlinks>
    <hyperlink ref="B11" r:id="rId1" location="/pc/national/yearData" xr:uid="{11386CE6-639D-4B64-BEAA-18F283197E7C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C9C6A-6933-4229-BE63-C12DA731B8C5}">
  <dimension ref="A1:AY43"/>
  <sheetViews>
    <sheetView workbookViewId="0">
      <selection activeCell="B13" sqref="B13"/>
    </sheetView>
  </sheetViews>
  <sheetFormatPr defaultColWidth="9" defaultRowHeight="13.5" x14ac:dyDescent="0.15"/>
  <cols>
    <col min="1" max="1" width="8.5" style="6" customWidth="1"/>
    <col min="2" max="3" width="14.125" style="7" customWidth="1"/>
    <col min="4" max="4" width="13.875" style="6" customWidth="1"/>
    <col min="5" max="5" width="8.5" style="6" customWidth="1"/>
    <col min="6" max="7" width="14.125" style="7" customWidth="1"/>
    <col min="8" max="8" width="9" style="6"/>
    <col min="9" max="9" width="27.875" style="6" bestFit="1" customWidth="1"/>
    <col min="10" max="10" width="23.75" style="6" bestFit="1" customWidth="1"/>
    <col min="11" max="16384" width="9" style="6"/>
  </cols>
  <sheetData>
    <row r="1" spans="1:51" ht="27" x14ac:dyDescent="0.15">
      <c r="A1" s="14" t="s">
        <v>37</v>
      </c>
      <c r="B1" s="13" t="s">
        <v>36</v>
      </c>
      <c r="C1" s="13" t="s">
        <v>35</v>
      </c>
      <c r="E1" s="14" t="s">
        <v>37</v>
      </c>
      <c r="F1" s="13" t="s">
        <v>36</v>
      </c>
      <c r="G1" s="13" t="s">
        <v>35</v>
      </c>
    </row>
    <row r="2" spans="1:51" ht="27" x14ac:dyDescent="0.15">
      <c r="A2" s="6" t="s">
        <v>34</v>
      </c>
      <c r="B2" s="12" t="s">
        <v>33</v>
      </c>
      <c r="C2" s="12" t="s">
        <v>32</v>
      </c>
      <c r="E2" s="6" t="s">
        <v>34</v>
      </c>
      <c r="F2" s="12" t="s">
        <v>33</v>
      </c>
      <c r="G2" s="12" t="s">
        <v>32</v>
      </c>
      <c r="I2" s="11" t="s">
        <v>31</v>
      </c>
      <c r="J2" s="11" t="s">
        <v>30</v>
      </c>
    </row>
    <row r="3" spans="1:51" x14ac:dyDescent="0.15">
      <c r="A3" s="8">
        <v>2000</v>
      </c>
      <c r="B3" s="7">
        <f>'Worldbank Data'!G45</f>
        <v>0.26832759852043891</v>
      </c>
      <c r="C3" s="7">
        <f>'Worldbank Data'!H45</f>
        <v>3.726787723342698</v>
      </c>
      <c r="E3" s="6">
        <v>2020</v>
      </c>
      <c r="F3" s="7">
        <f>B23</f>
        <v>0.13873179997224944</v>
      </c>
      <c r="G3" s="7">
        <f t="shared" ref="G3:G43" si="0">1/F3</f>
        <v>7.2081527104818814</v>
      </c>
      <c r="I3" s="6" t="str" cm="1">
        <f t="array" ref="I3:AJ5">TRANSPOSE(A1:C28)</f>
        <v>人民币年份</v>
      </c>
      <c r="J3" s="6" t="str">
        <v>RMB Year</v>
      </c>
      <c r="K3" s="6">
        <v>2000</v>
      </c>
      <c r="L3" s="6">
        <v>2001</v>
      </c>
      <c r="M3" s="6">
        <v>2002</v>
      </c>
      <c r="N3" s="6">
        <v>2003</v>
      </c>
      <c r="O3" s="6">
        <v>2004</v>
      </c>
      <c r="P3" s="6">
        <v>2005</v>
      </c>
      <c r="Q3" s="6">
        <v>2006</v>
      </c>
      <c r="R3" s="6">
        <v>2007</v>
      </c>
      <c r="S3" s="6">
        <v>2008</v>
      </c>
      <c r="T3" s="6">
        <v>2009</v>
      </c>
      <c r="U3" s="6">
        <v>2010</v>
      </c>
      <c r="V3" s="6">
        <v>2011</v>
      </c>
      <c r="W3" s="6">
        <v>2012</v>
      </c>
      <c r="X3" s="6">
        <v>2013</v>
      </c>
      <c r="Y3" s="6">
        <v>2014</v>
      </c>
      <c r="Z3" s="6">
        <v>2015</v>
      </c>
      <c r="AA3" s="6">
        <v>2016</v>
      </c>
      <c r="AB3" s="6">
        <v>2017</v>
      </c>
      <c r="AC3" s="6">
        <v>2018</v>
      </c>
      <c r="AD3" s="6">
        <v>2019</v>
      </c>
      <c r="AE3" s="6">
        <v>2020</v>
      </c>
      <c r="AF3" s="6">
        <v>2021</v>
      </c>
      <c r="AG3" s="6">
        <v>2022</v>
      </c>
      <c r="AH3" s="6">
        <v>2023</v>
      </c>
      <c r="AI3" s="6">
        <v>2024</v>
      </c>
      <c r="AJ3" s="6">
        <v>2025</v>
      </c>
    </row>
    <row r="4" spans="1:51" x14ac:dyDescent="0.15">
      <c r="A4" s="8">
        <v>2001</v>
      </c>
      <c r="B4" s="7">
        <f>'Worldbank Data'!G46</f>
        <v>0.26252051567305451</v>
      </c>
      <c r="C4" s="7">
        <f>'Worldbank Data'!H46</f>
        <v>3.8092260996676135</v>
      </c>
      <c r="E4" s="6">
        <v>2021</v>
      </c>
      <c r="F4" s="7">
        <f>F3*0.978</f>
        <v>0.13567970037285995</v>
      </c>
      <c r="G4" s="7">
        <f t="shared" si="0"/>
        <v>7.3702992949712494</v>
      </c>
      <c r="I4" s="6" t="str">
        <v>当年人民币相对2012美元</v>
      </c>
      <c r="J4" s="10" t="str">
        <v>Current RMB vs 2012 USD</v>
      </c>
      <c r="K4" s="10">
        <v>0.26832759852043891</v>
      </c>
      <c r="L4" s="10">
        <v>0.26252051567305451</v>
      </c>
      <c r="M4" s="10">
        <v>0.26084408118192548</v>
      </c>
      <c r="N4" s="10">
        <v>0.25412828434976426</v>
      </c>
      <c r="O4" s="10">
        <v>0.23752484138687469</v>
      </c>
      <c r="P4" s="10">
        <v>0.2289424357744054</v>
      </c>
      <c r="Q4" s="10">
        <v>0.22009577925455673</v>
      </c>
      <c r="R4" s="10">
        <v>0.20395544028949822</v>
      </c>
      <c r="S4" s="10">
        <v>0.18909873469468513</v>
      </c>
      <c r="T4" s="10">
        <v>0.18925386029655522</v>
      </c>
      <c r="U4" s="10">
        <v>0.1769911070003039</v>
      </c>
      <c r="V4" s="10">
        <v>0.16385628415010089</v>
      </c>
      <c r="W4" s="10">
        <v>0.16000780189651442</v>
      </c>
      <c r="X4" s="10">
        <v>0.15641343068482019</v>
      </c>
      <c r="Y4" s="10">
        <v>0.15472523713670047</v>
      </c>
      <c r="Z4" s="10">
        <v>0.15451315053119274</v>
      </c>
      <c r="AA4" s="10">
        <v>0.15226354614751539</v>
      </c>
      <c r="AB4" s="10">
        <v>0.14620197937054966</v>
      </c>
      <c r="AC4" s="10">
        <v>0.14130177815288694</v>
      </c>
      <c r="AD4" s="10">
        <v>0.13946707964499255</v>
      </c>
      <c r="AE4" s="10">
        <v>0.13873179997224944</v>
      </c>
      <c r="AF4" s="10">
        <v>0.13279091843487137</v>
      </c>
      <c r="AG4" s="6">
        <v>0.13027111796835766</v>
      </c>
      <c r="AH4" s="6">
        <v>0.13093325337394421</v>
      </c>
      <c r="AI4" s="6">
        <v>0.13186580838375112</v>
      </c>
      <c r="AJ4" s="6">
        <v>0.13314416190689046</v>
      </c>
    </row>
    <row r="5" spans="1:51" x14ac:dyDescent="0.15">
      <c r="A5" s="8">
        <v>2002</v>
      </c>
      <c r="B5" s="7">
        <f>'Worldbank Data'!G47</f>
        <v>0.26084408118192548</v>
      </c>
      <c r="C5" s="7">
        <f>'Worldbank Data'!H47</f>
        <v>3.8337078436621717</v>
      </c>
      <c r="E5" s="6">
        <v>2022</v>
      </c>
      <c r="F5" s="7">
        <f t="shared" ref="F5:F43" si="1">F4*0.978</f>
        <v>0.13269474696465702</v>
      </c>
      <c r="G5" s="7">
        <f t="shared" si="0"/>
        <v>7.5360933486413595</v>
      </c>
      <c r="I5" s="6" t="str">
        <v>2012美元相对当年人民币价格</v>
      </c>
      <c r="J5" s="10" t="str">
        <v>2012 USD vs Current RMB</v>
      </c>
      <c r="K5" s="10">
        <v>3.726787723342698</v>
      </c>
      <c r="L5" s="10">
        <v>3.8092260996676135</v>
      </c>
      <c r="M5" s="10">
        <v>3.8337078436621717</v>
      </c>
      <c r="N5" s="10">
        <v>3.9350204663707187</v>
      </c>
      <c r="O5" s="10">
        <v>4.2100859605300158</v>
      </c>
      <c r="P5" s="10">
        <v>4.3679101981136297</v>
      </c>
      <c r="Q5" s="10">
        <v>4.5434764964003582</v>
      </c>
      <c r="R5" s="10">
        <v>4.9030317533113168</v>
      </c>
      <c r="S5" s="10">
        <v>5.2882426823985842</v>
      </c>
      <c r="T5" s="10">
        <v>5.2839080715871765</v>
      </c>
      <c r="U5" s="10">
        <v>5.6500013867831393</v>
      </c>
      <c r="V5" s="10">
        <v>6.1029090534235957</v>
      </c>
      <c r="W5" s="10">
        <v>6.2496952532774204</v>
      </c>
      <c r="X5" s="10">
        <v>6.3933128735923139</v>
      </c>
      <c r="Y5" s="10">
        <v>6.4630697519403073</v>
      </c>
      <c r="Z5" s="10">
        <v>6.471941039077592</v>
      </c>
      <c r="AA5" s="10">
        <v>6.5675601632920317</v>
      </c>
      <c r="AB5" s="10">
        <v>6.8398526771343837</v>
      </c>
      <c r="AC5" s="10">
        <v>7.0770517757958515</v>
      </c>
      <c r="AD5" s="10">
        <v>7.1701508524123181</v>
      </c>
      <c r="AE5" s="10">
        <v>7.2081527104818814</v>
      </c>
      <c r="AF5" s="10">
        <v>7.5306354665395281</v>
      </c>
      <c r="AG5" s="6">
        <v>7.67629859630817</v>
      </c>
      <c r="AH5" s="6">
        <v>7.6374792058668923</v>
      </c>
      <c r="AI5" s="6">
        <v>7.5834669521748665</v>
      </c>
      <c r="AJ5" s="6">
        <v>7.5106560113338929</v>
      </c>
    </row>
    <row r="6" spans="1:51" x14ac:dyDescent="0.15">
      <c r="A6" s="8">
        <v>2003</v>
      </c>
      <c r="B6" s="7">
        <f>'Worldbank Data'!G48</f>
        <v>0.25412828434976426</v>
      </c>
      <c r="C6" s="7">
        <f>'Worldbank Data'!H48</f>
        <v>3.9350204663707187</v>
      </c>
      <c r="E6" s="6">
        <v>2023</v>
      </c>
      <c r="F6" s="7">
        <f t="shared" si="1"/>
        <v>0.12977546253143457</v>
      </c>
      <c r="G6" s="7">
        <f t="shared" si="0"/>
        <v>7.7056169209011856</v>
      </c>
    </row>
    <row r="7" spans="1:51" x14ac:dyDescent="0.15">
      <c r="A7" s="8">
        <v>2004</v>
      </c>
      <c r="B7" s="7">
        <f>'Worldbank Data'!G49</f>
        <v>0.23752484138687469</v>
      </c>
      <c r="C7" s="7">
        <f>'Worldbank Data'!H49</f>
        <v>4.2100859605300158</v>
      </c>
      <c r="E7" s="6">
        <v>2024</v>
      </c>
      <c r="F7" s="7">
        <f t="shared" si="1"/>
        <v>0.12692040235574301</v>
      </c>
      <c r="G7" s="7">
        <f t="shared" si="0"/>
        <v>7.8789539068519279</v>
      </c>
      <c r="I7" s="6" t="str" cm="1">
        <f t="array" ref="I7:AY9">TRANSPOSE(E1:G43)</f>
        <v>人民币年份</v>
      </c>
      <c r="J7" s="6" t="str">
        <v>RMB Year</v>
      </c>
      <c r="K7" s="6">
        <v>2020</v>
      </c>
      <c r="L7" s="6">
        <v>2021</v>
      </c>
      <c r="M7" s="6">
        <v>2022</v>
      </c>
      <c r="N7" s="6">
        <v>2023</v>
      </c>
      <c r="O7" s="6">
        <v>2024</v>
      </c>
      <c r="P7" s="6">
        <v>2025</v>
      </c>
      <c r="Q7" s="6">
        <v>2026</v>
      </c>
      <c r="R7" s="6">
        <v>2027</v>
      </c>
      <c r="S7" s="6">
        <v>2028</v>
      </c>
      <c r="T7" s="6">
        <v>2029</v>
      </c>
      <c r="U7" s="6">
        <v>2030</v>
      </c>
      <c r="V7" s="6">
        <v>2031</v>
      </c>
      <c r="W7" s="6">
        <v>2032</v>
      </c>
      <c r="X7" s="6">
        <v>2033</v>
      </c>
      <c r="Y7" s="6">
        <v>2034</v>
      </c>
      <c r="Z7" s="6">
        <v>2035</v>
      </c>
      <c r="AA7" s="6">
        <v>2036</v>
      </c>
      <c r="AB7" s="6">
        <v>2037</v>
      </c>
      <c r="AC7" s="6">
        <v>2038</v>
      </c>
      <c r="AD7" s="6">
        <v>2039</v>
      </c>
      <c r="AE7" s="6">
        <v>2040</v>
      </c>
      <c r="AF7" s="6">
        <v>2041</v>
      </c>
      <c r="AG7" s="6">
        <v>2042</v>
      </c>
      <c r="AH7" s="6">
        <v>2043</v>
      </c>
      <c r="AI7" s="6">
        <v>2044</v>
      </c>
      <c r="AJ7" s="6">
        <v>2045</v>
      </c>
      <c r="AK7" s="6">
        <v>2046</v>
      </c>
      <c r="AL7" s="6">
        <v>2047</v>
      </c>
      <c r="AM7" s="6">
        <v>2048</v>
      </c>
      <c r="AN7" s="6">
        <v>2049</v>
      </c>
      <c r="AO7" s="6">
        <v>2050</v>
      </c>
      <c r="AP7" s="6">
        <v>2051</v>
      </c>
      <c r="AQ7" s="6">
        <v>2052</v>
      </c>
      <c r="AR7" s="6">
        <v>2053</v>
      </c>
      <c r="AS7" s="6">
        <v>2054</v>
      </c>
      <c r="AT7" s="6">
        <v>2055</v>
      </c>
      <c r="AU7" s="6">
        <v>2056</v>
      </c>
      <c r="AV7" s="6">
        <v>2057</v>
      </c>
      <c r="AW7" s="6">
        <v>2058</v>
      </c>
      <c r="AX7" s="6">
        <v>2059</v>
      </c>
      <c r="AY7" s="6">
        <v>2060</v>
      </c>
    </row>
    <row r="8" spans="1:51" x14ac:dyDescent="0.15">
      <c r="A8" s="8">
        <v>2005</v>
      </c>
      <c r="B8" s="7">
        <f>'Worldbank Data'!G50</f>
        <v>0.2289424357744054</v>
      </c>
      <c r="C8" s="7">
        <f>'Worldbank Data'!H50</f>
        <v>4.3679101981136297</v>
      </c>
      <c r="E8" s="6">
        <v>2025</v>
      </c>
      <c r="F8" s="7">
        <f t="shared" si="1"/>
        <v>0.12412815350391666</v>
      </c>
      <c r="G8" s="7">
        <f t="shared" si="0"/>
        <v>8.0561900888056517</v>
      </c>
      <c r="I8" s="6" t="str">
        <v>当年人民币相对2012美元</v>
      </c>
      <c r="J8" s="10" t="str">
        <v>Current RMB vs 2012 USD</v>
      </c>
      <c r="K8" s="10">
        <v>0.13873179997224944</v>
      </c>
      <c r="L8" s="10">
        <v>0.13567970037285995</v>
      </c>
      <c r="M8" s="10">
        <v>0.13269474696465702</v>
      </c>
      <c r="N8" s="10">
        <v>0.12977546253143457</v>
      </c>
      <c r="O8" s="10">
        <v>0.12692040235574301</v>
      </c>
      <c r="P8" s="10">
        <v>0.12412815350391666</v>
      </c>
      <c r="Q8" s="10">
        <v>0.1213973341268305</v>
      </c>
      <c r="R8" s="10">
        <v>0.11872659277604022</v>
      </c>
      <c r="S8" s="10">
        <v>0.11611460773496733</v>
      </c>
      <c r="T8" s="10">
        <v>0.11356008636479804</v>
      </c>
      <c r="U8" s="10">
        <v>0.11106176446477248</v>
      </c>
      <c r="V8" s="10">
        <v>0.10861840564654748</v>
      </c>
      <c r="W8" s="10">
        <v>0.10622880072232344</v>
      </c>
      <c r="X8" s="10">
        <v>0.10389176710643232</v>
      </c>
      <c r="Y8" s="10">
        <v>0.1016061482300908</v>
      </c>
      <c r="Z8" s="10">
        <v>9.9370812969028804E-2</v>
      </c>
      <c r="AA8" s="10">
        <v>9.7184655083710172E-2</v>
      </c>
      <c r="AB8" s="10">
        <v>9.5046592671868546E-2</v>
      </c>
      <c r="AC8" s="10">
        <v>9.2955567633087433E-2</v>
      </c>
      <c r="AD8" s="10">
        <v>9.0910545145159505E-2</v>
      </c>
      <c r="AE8" s="10">
        <v>8.8910513151965992E-2</v>
      </c>
      <c r="AF8" s="10">
        <v>8.6954481862622737E-2</v>
      </c>
      <c r="AG8" s="10">
        <v>8.504148326164504E-2</v>
      </c>
      <c r="AH8" s="10">
        <v>8.3170570629888849E-2</v>
      </c>
      <c r="AI8" s="10">
        <v>8.1340818076031288E-2</v>
      </c>
      <c r="AJ8" s="10">
        <v>7.9551320078358592E-2</v>
      </c>
      <c r="AK8" s="10">
        <v>7.7801191036634701E-2</v>
      </c>
      <c r="AL8" s="10">
        <v>7.6089564833828741E-2</v>
      </c>
      <c r="AM8" s="10">
        <v>7.4415594407484506E-2</v>
      </c>
      <c r="AN8" s="10">
        <v>7.2778451330519842E-2</v>
      </c>
      <c r="AO8" s="10">
        <v>7.1177325401248409E-2</v>
      </c>
      <c r="AP8" s="10">
        <v>6.961142424242095E-2</v>
      </c>
      <c r="AQ8" s="10">
        <v>6.8079972909087683E-2</v>
      </c>
      <c r="AR8" s="10">
        <v>6.6582213505087751E-2</v>
      </c>
      <c r="AS8" s="10">
        <v>6.5117404807975815E-2</v>
      </c>
      <c r="AT8" s="10">
        <v>6.3684821902200345E-2</v>
      </c>
      <c r="AU8" s="10">
        <v>6.2283755820351935E-2</v>
      </c>
      <c r="AV8" s="10">
        <v>6.0913513192304189E-2</v>
      </c>
      <c r="AW8" s="10">
        <v>5.9573415902073497E-2</v>
      </c>
      <c r="AX8" s="10">
        <v>5.8262800752227881E-2</v>
      </c>
      <c r="AY8" s="6">
        <v>5.6981019135678865E-2</v>
      </c>
    </row>
    <row r="9" spans="1:51" x14ac:dyDescent="0.15">
      <c r="A9" s="8">
        <v>2006</v>
      </c>
      <c r="B9" s="7">
        <f>'Worldbank Data'!G51</f>
        <v>0.22009577925455673</v>
      </c>
      <c r="C9" s="7">
        <f>'Worldbank Data'!H51</f>
        <v>4.5434764964003582</v>
      </c>
      <c r="E9" s="6">
        <v>2026</v>
      </c>
      <c r="F9" s="7">
        <f t="shared" si="1"/>
        <v>0.1213973341268305</v>
      </c>
      <c r="G9" s="7">
        <f t="shared" si="0"/>
        <v>8.237413178737885</v>
      </c>
      <c r="I9" s="6" t="str">
        <v>2012美元相对当年人民币价格</v>
      </c>
      <c r="J9" s="10" t="str">
        <v>2012 USD vs Current RMB</v>
      </c>
      <c r="K9" s="10">
        <v>7.2081527104818814</v>
      </c>
      <c r="L9" s="10">
        <v>7.3702992949712494</v>
      </c>
      <c r="M9" s="10">
        <v>7.5360933486413595</v>
      </c>
      <c r="N9" s="10">
        <v>7.7056169209011856</v>
      </c>
      <c r="O9" s="10">
        <v>7.8789539068519279</v>
      </c>
      <c r="P9" s="10">
        <v>8.0561900888056517</v>
      </c>
      <c r="Q9" s="10">
        <v>8.237413178737885</v>
      </c>
      <c r="R9" s="10">
        <v>8.4227128616951799</v>
      </c>
      <c r="S9" s="10">
        <v>8.6121808401791213</v>
      </c>
      <c r="T9" s="10">
        <v>8.8059108795287546</v>
      </c>
      <c r="U9" s="10">
        <v>9.0039988543238803</v>
      </c>
      <c r="V9" s="10">
        <v>9.2065427958321884</v>
      </c>
      <c r="W9" s="10">
        <v>9.4136429405237099</v>
      </c>
      <c r="X9" s="10">
        <v>9.6254017796765954</v>
      </c>
      <c r="Y9" s="10">
        <v>9.841924110098768</v>
      </c>
      <c r="Z9" s="10">
        <v>10.063317085990562</v>
      </c>
      <c r="AA9" s="10">
        <v>10.289690271973988</v>
      </c>
      <c r="AB9" s="10">
        <v>10.521155697314917</v>
      </c>
      <c r="AC9" s="10">
        <v>10.757827911364947</v>
      </c>
      <c r="AD9" s="10">
        <v>10.999824040250457</v>
      </c>
      <c r="AE9" s="10">
        <v>11.247263844836869</v>
      </c>
      <c r="AF9" s="10">
        <v>11.500269779996799</v>
      </c>
      <c r="AG9" s="10">
        <v>11.75896705521145</v>
      </c>
      <c r="AH9" s="10">
        <v>12.023483696535225</v>
      </c>
      <c r="AI9" s="10">
        <v>12.293950609954219</v>
      </c>
      <c r="AJ9" s="10">
        <v>12.570501646169959</v>
      </c>
      <c r="AK9" s="10">
        <v>12.853273666840449</v>
      </c>
      <c r="AL9" s="10">
        <v>13.142406612311298</v>
      </c>
      <c r="AM9" s="10">
        <v>13.438043570870448</v>
      </c>
      <c r="AN9" s="10">
        <v>13.740330849560786</v>
      </c>
      <c r="AO9" s="10">
        <v>14.04941804658567</v>
      </c>
      <c r="AP9" s="10">
        <v>14.365458125343219</v>
      </c>
      <c r="AQ9" s="10">
        <v>14.688607490125992</v>
      </c>
      <c r="AR9" s="10">
        <v>15.01902606352351</v>
      </c>
      <c r="AS9" s="10">
        <v>15.356877365565962</v>
      </c>
      <c r="AT9" s="10">
        <v>15.702328594648224</v>
      </c>
      <c r="AU9" s="10">
        <v>16.055550710274257</v>
      </c>
      <c r="AV9" s="10">
        <v>16.416718517662844</v>
      </c>
      <c r="AW9" s="10">
        <v>16.786010754256484</v>
      </c>
      <c r="AX9" s="10">
        <v>17.163610178176363</v>
      </c>
      <c r="AY9" s="6">
        <v>17.549703658667042</v>
      </c>
    </row>
    <row r="10" spans="1:51" x14ac:dyDescent="0.15">
      <c r="A10" s="8">
        <v>2007</v>
      </c>
      <c r="B10" s="7">
        <f>'Worldbank Data'!G52</f>
        <v>0.20395544028949822</v>
      </c>
      <c r="C10" s="7">
        <f>'Worldbank Data'!H52</f>
        <v>4.9030317533113168</v>
      </c>
      <c r="E10" s="6">
        <v>2027</v>
      </c>
      <c r="F10" s="7">
        <f t="shared" si="1"/>
        <v>0.11872659277604022</v>
      </c>
      <c r="G10" s="7">
        <f t="shared" si="0"/>
        <v>8.4227128616951799</v>
      </c>
    </row>
    <row r="11" spans="1:51" x14ac:dyDescent="0.15">
      <c r="A11" s="8">
        <v>2008</v>
      </c>
      <c r="B11" s="7">
        <f>'Worldbank Data'!G53</f>
        <v>0.18909873469468513</v>
      </c>
      <c r="C11" s="7">
        <f>'Worldbank Data'!H53</f>
        <v>5.2882426823985842</v>
      </c>
      <c r="E11" s="6">
        <v>2028</v>
      </c>
      <c r="F11" s="7">
        <f t="shared" si="1"/>
        <v>0.11611460773496733</v>
      </c>
      <c r="G11" s="7">
        <f t="shared" si="0"/>
        <v>8.6121808401791213</v>
      </c>
    </row>
    <row r="12" spans="1:51" x14ac:dyDescent="0.15">
      <c r="A12" s="8">
        <v>2009</v>
      </c>
      <c r="B12" s="7">
        <f>'Worldbank Data'!G54</f>
        <v>0.18925386029655522</v>
      </c>
      <c r="C12" s="7">
        <f>'Worldbank Data'!H54</f>
        <v>5.2839080715871765</v>
      </c>
      <c r="E12" s="6">
        <v>2029</v>
      </c>
      <c r="F12" s="7">
        <f t="shared" si="1"/>
        <v>0.11356008636479804</v>
      </c>
      <c r="G12" s="7">
        <f t="shared" si="0"/>
        <v>8.8059108795287546</v>
      </c>
    </row>
    <row r="13" spans="1:51" x14ac:dyDescent="0.15">
      <c r="A13" s="8">
        <v>2010</v>
      </c>
      <c r="B13" s="7">
        <f>'Worldbank Data'!G55</f>
        <v>0.1769911070003039</v>
      </c>
      <c r="C13" s="7">
        <f>'Worldbank Data'!H55</f>
        <v>5.6500013867831393</v>
      </c>
      <c r="E13" s="6">
        <v>2030</v>
      </c>
      <c r="F13" s="7">
        <f t="shared" si="1"/>
        <v>0.11106176446477248</v>
      </c>
      <c r="G13" s="7">
        <f t="shared" si="0"/>
        <v>9.0039988543238803</v>
      </c>
    </row>
    <row r="14" spans="1:51" x14ac:dyDescent="0.15">
      <c r="A14" s="8">
        <v>2011</v>
      </c>
      <c r="B14" s="7">
        <f>'Worldbank Data'!G56</f>
        <v>0.16385628415010089</v>
      </c>
      <c r="C14" s="7">
        <f>'Worldbank Data'!H56</f>
        <v>6.1029090534235957</v>
      </c>
      <c r="E14" s="6">
        <v>2031</v>
      </c>
      <c r="F14" s="7">
        <f t="shared" si="1"/>
        <v>0.10861840564654748</v>
      </c>
      <c r="G14" s="7">
        <f t="shared" si="0"/>
        <v>9.2065427958321884</v>
      </c>
    </row>
    <row r="15" spans="1:51" x14ac:dyDescent="0.15">
      <c r="A15" s="8">
        <v>2012</v>
      </c>
      <c r="B15" s="7">
        <f>'Worldbank Data'!G57</f>
        <v>0.16000780189651442</v>
      </c>
      <c r="C15" s="7">
        <f>'Worldbank Data'!H57</f>
        <v>6.2496952532774204</v>
      </c>
      <c r="E15" s="6">
        <v>2032</v>
      </c>
      <c r="F15" s="7">
        <f t="shared" si="1"/>
        <v>0.10622880072232344</v>
      </c>
      <c r="G15" s="7">
        <f t="shared" si="0"/>
        <v>9.4136429405237099</v>
      </c>
    </row>
    <row r="16" spans="1:51" x14ac:dyDescent="0.15">
      <c r="A16" s="8">
        <v>2013</v>
      </c>
      <c r="B16" s="7">
        <f>'Worldbank Data'!G58</f>
        <v>0.15641343068482019</v>
      </c>
      <c r="C16" s="7">
        <f>'Worldbank Data'!H58</f>
        <v>6.3933128735923139</v>
      </c>
      <c r="E16" s="6">
        <v>2033</v>
      </c>
      <c r="F16" s="7">
        <f t="shared" si="1"/>
        <v>0.10389176710643232</v>
      </c>
      <c r="G16" s="7">
        <f t="shared" si="0"/>
        <v>9.6254017796765954</v>
      </c>
    </row>
    <row r="17" spans="1:7" x14ac:dyDescent="0.15">
      <c r="A17" s="8">
        <v>2014</v>
      </c>
      <c r="B17" s="7">
        <f>'Worldbank Data'!G59</f>
        <v>0.15472523713670047</v>
      </c>
      <c r="C17" s="7">
        <f>'Worldbank Data'!H59</f>
        <v>6.4630697519403073</v>
      </c>
      <c r="E17" s="6">
        <v>2034</v>
      </c>
      <c r="F17" s="7">
        <f t="shared" si="1"/>
        <v>0.1016061482300908</v>
      </c>
      <c r="G17" s="7">
        <f t="shared" si="0"/>
        <v>9.841924110098768</v>
      </c>
    </row>
    <row r="18" spans="1:7" x14ac:dyDescent="0.15">
      <c r="A18" s="8">
        <v>2015</v>
      </c>
      <c r="B18" s="7">
        <f>'Worldbank Data'!G60</f>
        <v>0.15451315053119274</v>
      </c>
      <c r="C18" s="7">
        <f>'Worldbank Data'!H60</f>
        <v>6.471941039077592</v>
      </c>
      <c r="E18" s="6">
        <v>2035</v>
      </c>
      <c r="F18" s="7">
        <f t="shared" si="1"/>
        <v>9.9370812969028804E-2</v>
      </c>
      <c r="G18" s="7">
        <f t="shared" si="0"/>
        <v>10.063317085990562</v>
      </c>
    </row>
    <row r="19" spans="1:7" x14ac:dyDescent="0.15">
      <c r="A19" s="8">
        <v>2016</v>
      </c>
      <c r="B19" s="7">
        <f>'Worldbank Data'!G61</f>
        <v>0.15226354614751539</v>
      </c>
      <c r="C19" s="7">
        <f>'Worldbank Data'!H61</f>
        <v>6.5675601632920317</v>
      </c>
      <c r="E19" s="6">
        <v>2036</v>
      </c>
      <c r="F19" s="7">
        <f t="shared" si="1"/>
        <v>9.7184655083710172E-2</v>
      </c>
      <c r="G19" s="7">
        <f t="shared" si="0"/>
        <v>10.289690271973988</v>
      </c>
    </row>
    <row r="20" spans="1:7" x14ac:dyDescent="0.15">
      <c r="A20" s="8">
        <v>2017</v>
      </c>
      <c r="B20" s="7">
        <f>'Worldbank Data'!G62</f>
        <v>0.14620197937054966</v>
      </c>
      <c r="C20" s="7">
        <f>'Worldbank Data'!H62</f>
        <v>6.8398526771343837</v>
      </c>
      <c r="E20" s="6">
        <v>2037</v>
      </c>
      <c r="F20" s="7">
        <f t="shared" si="1"/>
        <v>9.5046592671868546E-2</v>
      </c>
      <c r="G20" s="7">
        <f t="shared" si="0"/>
        <v>10.521155697314917</v>
      </c>
    </row>
    <row r="21" spans="1:7" x14ac:dyDescent="0.15">
      <c r="A21" s="8">
        <v>2018</v>
      </c>
      <c r="B21" s="7">
        <f>'Worldbank Data'!G63</f>
        <v>0.14130177815288694</v>
      </c>
      <c r="C21" s="7">
        <f>'Worldbank Data'!H63</f>
        <v>7.0770517757958515</v>
      </c>
      <c r="E21" s="6">
        <v>2038</v>
      </c>
      <c r="F21" s="7">
        <f t="shared" si="1"/>
        <v>9.2955567633087433E-2</v>
      </c>
      <c r="G21" s="7">
        <f t="shared" si="0"/>
        <v>10.757827911364947</v>
      </c>
    </row>
    <row r="22" spans="1:7" x14ac:dyDescent="0.15">
      <c r="A22" s="8">
        <v>2019</v>
      </c>
      <c r="B22" s="7">
        <f>'Worldbank Data'!G64</f>
        <v>0.13946707964499255</v>
      </c>
      <c r="C22" s="7">
        <f>'Worldbank Data'!H64</f>
        <v>7.1701508524123181</v>
      </c>
      <c r="E22" s="6">
        <v>2039</v>
      </c>
      <c r="F22" s="7">
        <f t="shared" si="1"/>
        <v>9.0910545145159505E-2</v>
      </c>
      <c r="G22" s="7">
        <f t="shared" si="0"/>
        <v>10.999824040250457</v>
      </c>
    </row>
    <row r="23" spans="1:7" x14ac:dyDescent="0.15">
      <c r="A23" s="8">
        <v>2020</v>
      </c>
      <c r="B23" s="41">
        <f>'Worldbank Data'!G65</f>
        <v>0.13873179997224944</v>
      </c>
      <c r="C23" s="7">
        <f>'Worldbank Data'!H65</f>
        <v>7.2081527104818814</v>
      </c>
      <c r="E23" s="6">
        <v>2040</v>
      </c>
      <c r="F23" s="7">
        <f t="shared" si="1"/>
        <v>8.8910513151965992E-2</v>
      </c>
      <c r="G23" s="7">
        <f t="shared" si="0"/>
        <v>11.247263844836869</v>
      </c>
    </row>
    <row r="24" spans="1:7" x14ac:dyDescent="0.15">
      <c r="A24" s="9">
        <v>2021</v>
      </c>
      <c r="B24" s="7">
        <f>'Worldbank Data'!G66</f>
        <v>0.13279091843487137</v>
      </c>
      <c r="C24" s="7">
        <f>'Worldbank Data'!H66</f>
        <v>7.5306354665395281</v>
      </c>
      <c r="E24" s="6">
        <v>2041</v>
      </c>
      <c r="F24" s="7">
        <f t="shared" si="1"/>
        <v>8.6954481862622737E-2</v>
      </c>
      <c r="G24" s="7">
        <f t="shared" si="0"/>
        <v>11.500269779996799</v>
      </c>
    </row>
    <row r="25" spans="1:7" x14ac:dyDescent="0.15">
      <c r="A25" s="8">
        <v>2022</v>
      </c>
      <c r="B25" s="7">
        <f>'Worldbank Data'!G67</f>
        <v>0.13027111796835766</v>
      </c>
      <c r="C25" s="7">
        <f>'Worldbank Data'!H67</f>
        <v>7.67629859630817</v>
      </c>
      <c r="E25" s="6">
        <v>2042</v>
      </c>
      <c r="F25" s="7">
        <f t="shared" si="1"/>
        <v>8.504148326164504E-2</v>
      </c>
      <c r="G25" s="7">
        <f t="shared" si="0"/>
        <v>11.75896705521145</v>
      </c>
    </row>
    <row r="26" spans="1:7" x14ac:dyDescent="0.15">
      <c r="A26" s="8">
        <v>2023</v>
      </c>
      <c r="B26" s="7">
        <f>'Worldbank Data'!G68</f>
        <v>0.13093325337394421</v>
      </c>
      <c r="C26" s="7">
        <f>'Worldbank Data'!H68</f>
        <v>7.6374792058668923</v>
      </c>
      <c r="E26" s="6">
        <v>2043</v>
      </c>
      <c r="F26" s="7">
        <f t="shared" si="1"/>
        <v>8.3170570629888849E-2</v>
      </c>
      <c r="G26" s="7">
        <f t="shared" si="0"/>
        <v>12.023483696535225</v>
      </c>
    </row>
    <row r="27" spans="1:7" x14ac:dyDescent="0.15">
      <c r="A27" s="8">
        <v>2024</v>
      </c>
      <c r="B27" s="7">
        <f>'Worldbank Data'!G69</f>
        <v>0.13186580838375112</v>
      </c>
      <c r="C27" s="7">
        <f>'Worldbank Data'!H69</f>
        <v>7.5834669521748665</v>
      </c>
      <c r="E27" s="6">
        <v>2044</v>
      </c>
      <c r="F27" s="7">
        <f t="shared" si="1"/>
        <v>8.1340818076031288E-2</v>
      </c>
      <c r="G27" s="7">
        <f t="shared" si="0"/>
        <v>12.293950609954219</v>
      </c>
    </row>
    <row r="28" spans="1:7" x14ac:dyDescent="0.15">
      <c r="A28" s="8">
        <v>2025</v>
      </c>
      <c r="B28" s="7">
        <f>'Worldbank Data'!G70</f>
        <v>0.13314416190689046</v>
      </c>
      <c r="C28" s="7">
        <f>'Worldbank Data'!H70</f>
        <v>7.5106560113338929</v>
      </c>
      <c r="E28" s="6">
        <v>2045</v>
      </c>
      <c r="F28" s="7">
        <f t="shared" si="1"/>
        <v>7.9551320078358592E-2</v>
      </c>
      <c r="G28" s="7">
        <f t="shared" si="0"/>
        <v>12.570501646169959</v>
      </c>
    </row>
    <row r="29" spans="1:7" x14ac:dyDescent="0.15">
      <c r="E29" s="6">
        <v>2046</v>
      </c>
      <c r="F29" s="7">
        <f t="shared" si="1"/>
        <v>7.7801191036634701E-2</v>
      </c>
      <c r="G29" s="7">
        <f t="shared" si="0"/>
        <v>12.853273666840449</v>
      </c>
    </row>
    <row r="30" spans="1:7" x14ac:dyDescent="0.15">
      <c r="A30" s="40" t="s">
        <v>142</v>
      </c>
      <c r="E30" s="6">
        <v>2047</v>
      </c>
      <c r="F30" s="7">
        <f t="shared" si="1"/>
        <v>7.6089564833828741E-2</v>
      </c>
      <c r="G30" s="7">
        <f t="shared" si="0"/>
        <v>13.142406612311298</v>
      </c>
    </row>
    <row r="31" spans="1:7" x14ac:dyDescent="0.15">
      <c r="A31" s="6" t="s">
        <v>29</v>
      </c>
      <c r="E31" s="6">
        <v>2048</v>
      </c>
      <c r="F31" s="7">
        <f t="shared" si="1"/>
        <v>7.4415594407484506E-2</v>
      </c>
      <c r="G31" s="7">
        <f t="shared" si="0"/>
        <v>13.438043570870448</v>
      </c>
    </row>
    <row r="32" spans="1:7" x14ac:dyDescent="0.15">
      <c r="A32" s="6" t="s">
        <v>28</v>
      </c>
      <c r="E32" s="6">
        <v>2049</v>
      </c>
      <c r="F32" s="7">
        <f t="shared" si="1"/>
        <v>7.2778451330519842E-2</v>
      </c>
      <c r="G32" s="7">
        <f t="shared" si="0"/>
        <v>13.740330849560786</v>
      </c>
    </row>
    <row r="33" spans="1:7" x14ac:dyDescent="0.15">
      <c r="E33" s="6">
        <v>2050</v>
      </c>
      <c r="F33" s="7">
        <f t="shared" si="1"/>
        <v>7.1177325401248409E-2</v>
      </c>
      <c r="G33" s="7">
        <f t="shared" si="0"/>
        <v>14.04941804658567</v>
      </c>
    </row>
    <row r="34" spans="1:7" x14ac:dyDescent="0.15">
      <c r="A34" s="6" t="s">
        <v>27</v>
      </c>
      <c r="E34" s="6">
        <v>2051</v>
      </c>
      <c r="F34" s="7">
        <f t="shared" si="1"/>
        <v>6.961142424242095E-2</v>
      </c>
      <c r="G34" s="7">
        <f t="shared" si="0"/>
        <v>14.365458125343219</v>
      </c>
    </row>
    <row r="35" spans="1:7" x14ac:dyDescent="0.15">
      <c r="A35" s="6" t="s">
        <v>26</v>
      </c>
      <c r="E35" s="6">
        <v>2052</v>
      </c>
      <c r="F35" s="7">
        <f t="shared" si="1"/>
        <v>6.8079972909087683E-2</v>
      </c>
      <c r="G35" s="7">
        <f t="shared" si="0"/>
        <v>14.688607490125992</v>
      </c>
    </row>
    <row r="36" spans="1:7" x14ac:dyDescent="0.15">
      <c r="A36" s="6" t="s">
        <v>25</v>
      </c>
      <c r="E36" s="6">
        <v>2053</v>
      </c>
      <c r="F36" s="7">
        <f t="shared" si="1"/>
        <v>6.6582213505087751E-2</v>
      </c>
      <c r="G36" s="7">
        <f t="shared" si="0"/>
        <v>15.01902606352351</v>
      </c>
    </row>
    <row r="37" spans="1:7" x14ac:dyDescent="0.15">
      <c r="A37" s="6" t="s">
        <v>24</v>
      </c>
      <c r="E37" s="6">
        <v>2054</v>
      </c>
      <c r="F37" s="7">
        <f t="shared" si="1"/>
        <v>6.5117404807975815E-2</v>
      </c>
      <c r="G37" s="7">
        <f t="shared" si="0"/>
        <v>15.356877365565962</v>
      </c>
    </row>
    <row r="38" spans="1:7" x14ac:dyDescent="0.15">
      <c r="A38" s="6" t="s">
        <v>23</v>
      </c>
      <c r="E38" s="6">
        <v>2055</v>
      </c>
      <c r="F38" s="7">
        <f t="shared" si="1"/>
        <v>6.3684821902200345E-2</v>
      </c>
      <c r="G38" s="7">
        <f t="shared" si="0"/>
        <v>15.702328594648224</v>
      </c>
    </row>
    <row r="39" spans="1:7" x14ac:dyDescent="0.15">
      <c r="E39" s="6">
        <v>2056</v>
      </c>
      <c r="F39" s="7">
        <f t="shared" si="1"/>
        <v>6.2283755820351935E-2</v>
      </c>
      <c r="G39" s="7">
        <f t="shared" si="0"/>
        <v>16.055550710274257</v>
      </c>
    </row>
    <row r="40" spans="1:7" x14ac:dyDescent="0.15">
      <c r="E40" s="6">
        <v>2057</v>
      </c>
      <c r="F40" s="7">
        <f t="shared" si="1"/>
        <v>6.0913513192304189E-2</v>
      </c>
      <c r="G40" s="7">
        <f t="shared" si="0"/>
        <v>16.416718517662844</v>
      </c>
    </row>
    <row r="41" spans="1:7" x14ac:dyDescent="0.15">
      <c r="E41" s="6">
        <v>2058</v>
      </c>
      <c r="F41" s="7">
        <f t="shared" si="1"/>
        <v>5.9573415902073497E-2</v>
      </c>
      <c r="G41" s="7">
        <f t="shared" si="0"/>
        <v>16.786010754256484</v>
      </c>
    </row>
    <row r="42" spans="1:7" x14ac:dyDescent="0.15">
      <c r="E42" s="6">
        <v>2059</v>
      </c>
      <c r="F42" s="7">
        <f t="shared" si="1"/>
        <v>5.8262800752227881E-2</v>
      </c>
      <c r="G42" s="7">
        <f t="shared" si="0"/>
        <v>17.163610178176363</v>
      </c>
    </row>
    <row r="43" spans="1:7" x14ac:dyDescent="0.15">
      <c r="E43" s="6">
        <v>2060</v>
      </c>
      <c r="F43" s="7">
        <f t="shared" si="1"/>
        <v>5.6981019135678865E-2</v>
      </c>
      <c r="G43" s="7">
        <f t="shared" si="0"/>
        <v>17.549703658667042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587D-F7CF-4CDF-B818-05ACBB14FB63}">
  <dimension ref="A1:Y1032259"/>
  <sheetViews>
    <sheetView zoomScale="85" zoomScaleNormal="85" workbookViewId="0">
      <selection activeCell="B39" sqref="B39"/>
    </sheetView>
  </sheetViews>
  <sheetFormatPr defaultColWidth="9" defaultRowHeight="13.5" x14ac:dyDescent="0.15"/>
  <cols>
    <col min="1" max="1" width="14.75" style="6" bestFit="1" customWidth="1"/>
    <col min="2" max="3" width="14.75" style="6" customWidth="1"/>
    <col min="4" max="4" width="13.875" style="16" customWidth="1"/>
    <col min="5" max="6" width="13.875" style="9" customWidth="1"/>
    <col min="7" max="10" width="13.875" style="15" customWidth="1"/>
    <col min="11" max="11" width="13.875" style="6" customWidth="1"/>
    <col min="12" max="17" width="9.875" style="6" customWidth="1"/>
    <col min="18" max="23" width="19.5" style="9" customWidth="1"/>
    <col min="24" max="24" width="19.5" style="6" customWidth="1"/>
    <col min="25" max="25" width="11.625" style="6" bestFit="1" customWidth="1"/>
    <col min="26" max="16384" width="9" style="6"/>
  </cols>
  <sheetData>
    <row r="1" spans="1:24" ht="14.25" customHeight="1" x14ac:dyDescent="0.15">
      <c r="A1" s="17" t="s">
        <v>64</v>
      </c>
      <c r="B1" s="46" t="s">
        <v>139</v>
      </c>
      <c r="C1" s="46" t="s">
        <v>138</v>
      </c>
      <c r="D1" s="47" t="s">
        <v>73</v>
      </c>
      <c r="E1" s="45" t="s">
        <v>63</v>
      </c>
      <c r="F1" s="45" t="s">
        <v>62</v>
      </c>
      <c r="G1" s="43" t="s">
        <v>36</v>
      </c>
      <c r="H1" s="43" t="s">
        <v>35</v>
      </c>
      <c r="I1" s="43" t="s">
        <v>61</v>
      </c>
      <c r="J1" s="43" t="s">
        <v>60</v>
      </c>
      <c r="K1" s="43" t="s">
        <v>77</v>
      </c>
      <c r="M1" s="11" t="s">
        <v>59</v>
      </c>
      <c r="R1" s="9" t="s">
        <v>45</v>
      </c>
      <c r="S1" s="9" t="s">
        <v>45</v>
      </c>
      <c r="T1" s="9" t="s">
        <v>45</v>
      </c>
      <c r="U1" s="9" t="s">
        <v>44</v>
      </c>
      <c r="V1" s="9" t="s">
        <v>44</v>
      </c>
      <c r="W1" s="9" t="s">
        <v>44</v>
      </c>
      <c r="X1" s="9" t="s">
        <v>45</v>
      </c>
    </row>
    <row r="2" spans="1:24" ht="52.5" customHeight="1" x14ac:dyDescent="0.15">
      <c r="A2" s="17" t="s">
        <v>58</v>
      </c>
      <c r="B2" s="45"/>
      <c r="C2" s="45"/>
      <c r="D2" s="44"/>
      <c r="E2" s="45"/>
      <c r="F2" s="45"/>
      <c r="G2" s="43"/>
      <c r="H2" s="43"/>
      <c r="I2" s="43"/>
      <c r="J2" s="43"/>
      <c r="K2" s="43"/>
      <c r="M2" s="6" t="s">
        <v>57</v>
      </c>
      <c r="R2" s="9" t="s">
        <v>43</v>
      </c>
      <c r="S2" s="9" t="s">
        <v>43</v>
      </c>
      <c r="T2" s="9" t="s">
        <v>43</v>
      </c>
      <c r="U2" s="9" t="s">
        <v>42</v>
      </c>
      <c r="V2" s="9" t="s">
        <v>42</v>
      </c>
      <c r="W2" s="9" t="s">
        <v>42</v>
      </c>
      <c r="X2" s="9" t="s">
        <v>43</v>
      </c>
    </row>
    <row r="3" spans="1:24" ht="24.95" customHeight="1" x14ac:dyDescent="0.15">
      <c r="A3" s="17" t="s">
        <v>56</v>
      </c>
      <c r="B3" s="46" t="s">
        <v>141</v>
      </c>
      <c r="C3" s="46" t="s">
        <v>140</v>
      </c>
      <c r="D3" s="47" t="s">
        <v>74</v>
      </c>
      <c r="E3" s="44" t="s">
        <v>55</v>
      </c>
      <c r="F3" s="44" t="s">
        <v>54</v>
      </c>
      <c r="G3" s="43" t="s">
        <v>53</v>
      </c>
      <c r="H3" s="43" t="s">
        <v>52</v>
      </c>
      <c r="I3" s="43" t="s">
        <v>51</v>
      </c>
      <c r="J3" s="43" t="s">
        <v>50</v>
      </c>
      <c r="K3" s="43" t="s">
        <v>78</v>
      </c>
      <c r="M3" s="22" t="s">
        <v>49</v>
      </c>
      <c r="R3" s="9" t="s">
        <v>40</v>
      </c>
      <c r="S3" s="9" t="s">
        <v>48</v>
      </c>
      <c r="T3" s="9" t="s">
        <v>41</v>
      </c>
      <c r="U3" s="9" t="s">
        <v>40</v>
      </c>
      <c r="V3" s="9" t="s">
        <v>48</v>
      </c>
      <c r="W3" s="9" t="s">
        <v>41</v>
      </c>
      <c r="X3" t="s">
        <v>76</v>
      </c>
    </row>
    <row r="4" spans="1:24" ht="39.6" customHeight="1" x14ac:dyDescent="0.15">
      <c r="A4" s="17" t="s">
        <v>47</v>
      </c>
      <c r="B4" s="45"/>
      <c r="C4" s="45"/>
      <c r="D4" s="44"/>
      <c r="E4" s="44"/>
      <c r="F4" s="44"/>
      <c r="G4" s="43"/>
      <c r="H4" s="43"/>
      <c r="I4" s="43"/>
      <c r="J4" s="43"/>
      <c r="K4" s="43"/>
      <c r="R4" s="9" t="s">
        <v>38</v>
      </c>
      <c r="S4" s="9" t="s">
        <v>46</v>
      </c>
      <c r="T4" s="9" t="s">
        <v>39</v>
      </c>
      <c r="U4" s="9" t="s">
        <v>38</v>
      </c>
      <c r="V4" s="9" t="s">
        <v>46</v>
      </c>
      <c r="W4" s="9" t="s">
        <v>39</v>
      </c>
      <c r="X4" t="s">
        <v>75</v>
      </c>
    </row>
    <row r="5" spans="1:24" hidden="1" x14ac:dyDescent="0.15">
      <c r="A5" s="8">
        <v>1960</v>
      </c>
      <c r="B5" s="8"/>
      <c r="C5" s="35"/>
      <c r="D5" s="20">
        <f t="shared" ref="D5:D36" si="0">S5/R5</f>
        <v>7.5805283128645886</v>
      </c>
      <c r="E5" s="20">
        <f t="shared" ref="E5:E68" si="1">T5/R5</f>
        <v>1.0929419061169028</v>
      </c>
      <c r="F5" s="20">
        <f t="shared" ref="F5:F34" si="2">V5/U5</f>
        <v>6.8541596877211637</v>
      </c>
      <c r="G5" s="19">
        <f t="shared" ref="G5:G68" si="3">E5/$F$57</f>
        <v>1.0516603375843028</v>
      </c>
      <c r="H5" s="19">
        <f t="shared" ref="H5:H68" si="4">1/G5</f>
        <v>0.95087735484731861</v>
      </c>
      <c r="I5" s="18">
        <f t="shared" ref="I5:I68" si="5">F5/F$57</f>
        <v>6.5952708471538406</v>
      </c>
      <c r="J5" s="18">
        <f t="shared" ref="J5:J68" si="6">1/I5</f>
        <v>0.15162379577353452</v>
      </c>
      <c r="K5" s="6" t="e">
        <f t="shared" ref="K5:K35" si="7">R5/X5</f>
        <v>#DIV/0!</v>
      </c>
      <c r="R5">
        <v>147330000000</v>
      </c>
      <c r="S5">
        <v>1116839236334.3398</v>
      </c>
      <c r="T5">
        <v>161023131028.20328</v>
      </c>
      <c r="U5">
        <v>541988586206.89697</v>
      </c>
      <c r="V5">
        <v>3714876318784.2998</v>
      </c>
      <c r="W5">
        <v>3414529777328.5513</v>
      </c>
    </row>
    <row r="6" spans="1:24" hidden="1" x14ac:dyDescent="0.15">
      <c r="A6" s="8">
        <v>1961</v>
      </c>
      <c r="B6" s="8"/>
      <c r="C6" s="35">
        <f>R6/R5/(S6/S5)</f>
        <v>1.1524630611194113</v>
      </c>
      <c r="D6" s="20">
        <f t="shared" si="0"/>
        <v>6.5776757352217983</v>
      </c>
      <c r="E6" s="20">
        <f t="shared" si="1"/>
        <v>0.94835309086202335</v>
      </c>
      <c r="F6" s="20">
        <f t="shared" si="2"/>
        <v>6.7628507942139082</v>
      </c>
      <c r="G6" s="19">
        <f t="shared" si="3"/>
        <v>0.91253279438110857</v>
      </c>
      <c r="H6" s="19">
        <f t="shared" si="4"/>
        <v>1.0958510271164696</v>
      </c>
      <c r="I6" s="18">
        <f t="shared" si="5"/>
        <v>6.5074107868589079</v>
      </c>
      <c r="J6" s="18">
        <f t="shared" si="6"/>
        <v>0.15367095036007319</v>
      </c>
      <c r="K6" s="6" t="e">
        <f t="shared" si="7"/>
        <v>#DIV/0!</v>
      </c>
      <c r="R6">
        <v>123490000000</v>
      </c>
      <c r="S6">
        <v>812277176542.53992</v>
      </c>
      <c r="T6">
        <v>117112123190.55127</v>
      </c>
      <c r="U6">
        <v>561940310344.828</v>
      </c>
      <c r="V6">
        <v>3800318474116.3301</v>
      </c>
      <c r="W6">
        <v>3493063962207.1001</v>
      </c>
    </row>
    <row r="7" spans="1:24" hidden="1" x14ac:dyDescent="0.15">
      <c r="A7" s="8">
        <v>1962</v>
      </c>
      <c r="B7" s="8"/>
      <c r="C7" s="35">
        <f t="shared" ref="C7:C69" si="8">R7/R6/(S7/S6)</f>
        <v>0.99889143366510402</v>
      </c>
      <c r="D7" s="20">
        <f t="shared" si="0"/>
        <v>6.584975617507479</v>
      </c>
      <c r="E7" s="20">
        <f t="shared" si="1"/>
        <v>0.94940556991499392</v>
      </c>
      <c r="F7" s="20">
        <f t="shared" si="2"/>
        <v>6.6797127704113812</v>
      </c>
      <c r="G7" s="19">
        <f t="shared" si="3"/>
        <v>0.91354552019018653</v>
      </c>
      <c r="H7" s="19">
        <f t="shared" si="4"/>
        <v>1.094636203559747</v>
      </c>
      <c r="I7" s="18">
        <f t="shared" si="5"/>
        <v>6.4274129739020456</v>
      </c>
      <c r="J7" s="18">
        <f t="shared" si="6"/>
        <v>0.155583592350517</v>
      </c>
      <c r="K7" s="6" t="e">
        <f t="shared" si="7"/>
        <v>#DIV/0!</v>
      </c>
      <c r="R7">
        <v>116470000000</v>
      </c>
      <c r="S7">
        <v>766952110171.09607</v>
      </c>
      <c r="T7">
        <v>110577266727.99934</v>
      </c>
      <c r="U7">
        <v>603639413793.10303</v>
      </c>
      <c r="V7">
        <v>4032137901037.4302</v>
      </c>
      <c r="W7">
        <v>3706140863901.7368</v>
      </c>
    </row>
    <row r="8" spans="1:24" hidden="1" x14ac:dyDescent="0.15">
      <c r="A8" s="8">
        <v>1963</v>
      </c>
      <c r="B8" s="8"/>
      <c r="C8" s="35">
        <f t="shared" si="8"/>
        <v>0.97371756558063693</v>
      </c>
      <c r="D8" s="20">
        <f t="shared" si="0"/>
        <v>6.7627162642185636</v>
      </c>
      <c r="E8" s="20">
        <f t="shared" si="1"/>
        <v>0.9750317786953494</v>
      </c>
      <c r="F8" s="20">
        <f t="shared" si="2"/>
        <v>6.6077944598503873</v>
      </c>
      <c r="G8" s="19">
        <f t="shared" si="3"/>
        <v>0.93820380003664694</v>
      </c>
      <c r="H8" s="19">
        <f t="shared" si="4"/>
        <v>1.0658664993266274</v>
      </c>
      <c r="I8" s="18">
        <f t="shared" si="5"/>
        <v>6.3582110937840204</v>
      </c>
      <c r="J8" s="18">
        <f t="shared" si="6"/>
        <v>0.1572769424056446</v>
      </c>
      <c r="K8" s="6" t="e">
        <f t="shared" si="7"/>
        <v>#DIV/0!</v>
      </c>
      <c r="R8">
        <v>125090000000</v>
      </c>
      <c r="S8">
        <v>845948177491.1001</v>
      </c>
      <c r="T8">
        <v>121966725197.00125</v>
      </c>
      <c r="U8">
        <v>637058551724.13794</v>
      </c>
      <c r="V8">
        <v>4209551968683.0698</v>
      </c>
      <c r="W8">
        <v>3869211061913.4067</v>
      </c>
    </row>
    <row r="9" spans="1:24" hidden="1" x14ac:dyDescent="0.15">
      <c r="A9" s="8">
        <v>1964</v>
      </c>
      <c r="B9" s="8"/>
      <c r="C9" s="35">
        <f t="shared" si="8"/>
        <v>0.99620268673233781</v>
      </c>
      <c r="D9" s="20">
        <f t="shared" si="0"/>
        <v>6.7884943037054724</v>
      </c>
      <c r="E9" s="20">
        <f t="shared" si="1"/>
        <v>0.97874839295361515</v>
      </c>
      <c r="F9" s="20">
        <f t="shared" si="2"/>
        <v>6.5098896463983333</v>
      </c>
      <c r="G9" s="19">
        <f t="shared" si="3"/>
        <v>0.94178003385442166</v>
      </c>
      <c r="H9" s="19">
        <f t="shared" si="4"/>
        <v>1.0618190703271777</v>
      </c>
      <c r="I9" s="18">
        <f t="shared" si="5"/>
        <v>6.2640042483973977</v>
      </c>
      <c r="J9" s="18">
        <f t="shared" si="6"/>
        <v>0.15964229274841937</v>
      </c>
      <c r="K9" s="6" t="e">
        <f t="shared" si="7"/>
        <v>#DIV/0!</v>
      </c>
      <c r="R9">
        <v>147270000000</v>
      </c>
      <c r="S9">
        <v>999741556106.70496</v>
      </c>
      <c r="T9">
        <v>144140275830.2789</v>
      </c>
      <c r="U9">
        <v>684144620689.65503</v>
      </c>
      <c r="V9">
        <v>4453705982866.7002</v>
      </c>
      <c r="W9">
        <v>4093625303504.3955</v>
      </c>
    </row>
    <row r="10" spans="1:24" hidden="1" x14ac:dyDescent="0.15">
      <c r="A10" s="8">
        <v>1965</v>
      </c>
      <c r="B10" s="8"/>
      <c r="C10" s="35">
        <f t="shared" si="8"/>
        <v>1.0086379575525621</v>
      </c>
      <c r="D10" s="20">
        <f t="shared" si="0"/>
        <v>6.7303577590690766</v>
      </c>
      <c r="E10" s="20">
        <f t="shared" si="1"/>
        <v>0.9703664091013654</v>
      </c>
      <c r="F10" s="20">
        <f t="shared" si="2"/>
        <v>6.3872652789403919</v>
      </c>
      <c r="G10" s="19">
        <f t="shared" si="3"/>
        <v>0.9337146463728474</v>
      </c>
      <c r="H10" s="19">
        <f t="shared" si="4"/>
        <v>1.070991018385165</v>
      </c>
      <c r="I10" s="18">
        <f t="shared" si="5"/>
        <v>6.1460115326316922</v>
      </c>
      <c r="J10" s="18">
        <f t="shared" si="6"/>
        <v>0.16270714669027067</v>
      </c>
      <c r="K10" s="6" t="e">
        <f t="shared" si="7"/>
        <v>#DIV/0!</v>
      </c>
      <c r="R10">
        <v>173720000000</v>
      </c>
      <c r="S10">
        <v>1169197749905.48</v>
      </c>
      <c r="T10">
        <v>168572052589.0892</v>
      </c>
      <c r="U10">
        <v>741904862068.96497</v>
      </c>
      <c r="V10">
        <v>4738743165770.1602</v>
      </c>
      <c r="W10">
        <v>4355617322928.6689</v>
      </c>
    </row>
    <row r="11" spans="1:24" hidden="1" x14ac:dyDescent="0.15">
      <c r="A11" s="8">
        <v>1966</v>
      </c>
      <c r="B11" s="8"/>
      <c r="C11" s="35">
        <f t="shared" si="8"/>
        <v>0.98428279340864566</v>
      </c>
      <c r="D11" s="20">
        <f t="shared" si="0"/>
        <v>6.837829335369503</v>
      </c>
      <c r="E11" s="20">
        <f t="shared" si="1"/>
        <v>0.98586139633805181</v>
      </c>
      <c r="F11" s="20">
        <f t="shared" si="2"/>
        <v>6.2073285707541004</v>
      </c>
      <c r="G11" s="19">
        <f t="shared" si="3"/>
        <v>0.94862437159886059</v>
      </c>
      <c r="H11" s="19">
        <f t="shared" si="4"/>
        <v>1.05415803129172</v>
      </c>
      <c r="I11" s="18">
        <f t="shared" si="5"/>
        <v>5.9728712236949404</v>
      </c>
      <c r="J11" s="18">
        <f t="shared" si="6"/>
        <v>0.16742366653292409</v>
      </c>
      <c r="K11" s="6" t="e">
        <f t="shared" si="7"/>
        <v>#DIV/0!</v>
      </c>
      <c r="R11">
        <v>189200000000</v>
      </c>
      <c r="S11">
        <v>1293717310251.9099</v>
      </c>
      <c r="T11">
        <v>186524976187.15939</v>
      </c>
      <c r="U11">
        <v>813032758620.68994</v>
      </c>
      <c r="V11">
        <v>5046761471545.2305</v>
      </c>
      <c r="W11">
        <v>4638732448919.042</v>
      </c>
    </row>
    <row r="12" spans="1:24" hidden="1" x14ac:dyDescent="0.15">
      <c r="A12" s="8">
        <v>1967</v>
      </c>
      <c r="B12" s="8"/>
      <c r="C12" s="35">
        <f t="shared" si="8"/>
        <v>1.0081714953208594</v>
      </c>
      <c r="D12" s="20">
        <f t="shared" si="0"/>
        <v>6.7824069288859459</v>
      </c>
      <c r="E12" s="20">
        <f t="shared" si="1"/>
        <v>0.97787073024147808</v>
      </c>
      <c r="F12" s="20">
        <f t="shared" si="2"/>
        <v>6.0176942146845827</v>
      </c>
      <c r="G12" s="19">
        <f t="shared" si="3"/>
        <v>0.94093552138860304</v>
      </c>
      <c r="H12" s="19">
        <f t="shared" si="4"/>
        <v>1.0627720787118669</v>
      </c>
      <c r="I12" s="18">
        <f t="shared" si="5"/>
        <v>5.7903995572637328</v>
      </c>
      <c r="J12" s="18">
        <f t="shared" si="6"/>
        <v>0.1726996539894308</v>
      </c>
      <c r="K12" s="6" t="e">
        <f t="shared" si="7"/>
        <v>#DIV/0!</v>
      </c>
      <c r="R12">
        <v>179740000000</v>
      </c>
      <c r="S12">
        <v>1219069821397.96</v>
      </c>
      <c r="T12">
        <v>175762485053.60327</v>
      </c>
      <c r="U12">
        <v>859620034482.75903</v>
      </c>
      <c r="V12">
        <v>5172930508333.8604</v>
      </c>
      <c r="W12">
        <v>4754700760142.0176</v>
      </c>
    </row>
    <row r="13" spans="1:24" hidden="1" x14ac:dyDescent="0.15">
      <c r="A13" s="8">
        <v>1968</v>
      </c>
      <c r="B13" s="8"/>
      <c r="C13" s="35">
        <f t="shared" si="8"/>
        <v>1.0137456106239944</v>
      </c>
      <c r="D13" s="20">
        <f t="shared" si="0"/>
        <v>6.6904427085125899</v>
      </c>
      <c r="E13" s="20">
        <f t="shared" si="1"/>
        <v>0.96461155539757759</v>
      </c>
      <c r="F13" s="20">
        <f t="shared" si="2"/>
        <v>5.7658870724920845</v>
      </c>
      <c r="G13" s="19">
        <f t="shared" si="3"/>
        <v>0.92817715956316293</v>
      </c>
      <c r="H13" s="19">
        <f t="shared" si="4"/>
        <v>1.0773805298878931</v>
      </c>
      <c r="I13" s="18">
        <f t="shared" si="5"/>
        <v>5.5481034364157731</v>
      </c>
      <c r="J13" s="18">
        <f t="shared" si="6"/>
        <v>0.18024177296990473</v>
      </c>
      <c r="K13" s="6" t="e">
        <f t="shared" si="7"/>
        <v>#DIV/0!</v>
      </c>
      <c r="R13">
        <v>174740000000</v>
      </c>
      <c r="S13">
        <v>1169087958885.49</v>
      </c>
      <c r="T13">
        <v>168556223190.1727</v>
      </c>
      <c r="U13">
        <v>940225000000</v>
      </c>
      <c r="V13">
        <v>5421231172733.8701</v>
      </c>
      <c r="W13">
        <v>4982926396628.8203</v>
      </c>
    </row>
    <row r="14" spans="1:24" hidden="1" x14ac:dyDescent="0.15">
      <c r="A14" s="8">
        <v>1969</v>
      </c>
      <c r="B14" s="8"/>
      <c r="C14" s="35">
        <f t="shared" si="8"/>
        <v>0.96197063894827572</v>
      </c>
      <c r="D14" s="20">
        <f t="shared" si="0"/>
        <v>6.9549344206879988</v>
      </c>
      <c r="E14" s="20">
        <f t="shared" si="1"/>
        <v>1.0027453191837428</v>
      </c>
      <c r="F14" s="20">
        <f t="shared" si="2"/>
        <v>5.4934928633830218</v>
      </c>
      <c r="G14" s="19">
        <f t="shared" si="3"/>
        <v>0.96487057087099959</v>
      </c>
      <c r="H14" s="19">
        <f t="shared" si="4"/>
        <v>1.0364084367266884</v>
      </c>
      <c r="I14" s="18">
        <f t="shared" si="5"/>
        <v>5.2859978438821056</v>
      </c>
      <c r="J14" s="18">
        <f t="shared" si="6"/>
        <v>0.18917904046392631</v>
      </c>
      <c r="K14" s="6" t="e">
        <f t="shared" si="7"/>
        <v>#DIV/0!</v>
      </c>
      <c r="R14">
        <v>196570000000</v>
      </c>
      <c r="S14">
        <v>1367131459074.6399</v>
      </c>
      <c r="T14">
        <v>197109647391.9483</v>
      </c>
      <c r="U14">
        <v>1017438172413.79</v>
      </c>
      <c r="V14">
        <v>5589289339088.6201</v>
      </c>
      <c r="W14">
        <v>5137397114924.3135</v>
      </c>
    </row>
    <row r="15" spans="1:24" hidden="1" x14ac:dyDescent="0.15">
      <c r="A15" s="8">
        <v>1970</v>
      </c>
      <c r="B15" s="8"/>
      <c r="C15" s="35">
        <f t="shared" si="8"/>
        <v>0.97369808394311141</v>
      </c>
      <c r="D15" s="20">
        <f t="shared" si="0"/>
        <v>7.1428038479064551</v>
      </c>
      <c r="E15" s="20">
        <f t="shared" si="1"/>
        <v>1.0298318705968907</v>
      </c>
      <c r="F15" s="20">
        <f t="shared" si="2"/>
        <v>5.2188395103712555</v>
      </c>
      <c r="G15" s="19">
        <f t="shared" si="3"/>
        <v>0.9909340346687715</v>
      </c>
      <c r="H15" s="19">
        <f t="shared" si="4"/>
        <v>1.0091489090232519</v>
      </c>
      <c r="I15" s="18">
        <f t="shared" si="5"/>
        <v>5.0217184376936856</v>
      </c>
      <c r="J15" s="18">
        <f t="shared" si="6"/>
        <v>0.1991350196964185</v>
      </c>
      <c r="K15" s="6" t="e">
        <f t="shared" si="7"/>
        <v>#DIV/0!</v>
      </c>
      <c r="R15">
        <v>228340000000</v>
      </c>
      <c r="S15">
        <v>1630987830630.96</v>
      </c>
      <c r="T15">
        <v>235151809332.09406</v>
      </c>
      <c r="U15">
        <v>1073303000000</v>
      </c>
      <c r="V15">
        <v>5601396103000</v>
      </c>
      <c r="W15">
        <v>5148525050913.3164</v>
      </c>
    </row>
    <row r="16" spans="1:24" hidden="1" x14ac:dyDescent="0.15">
      <c r="A16" s="8">
        <v>1971</v>
      </c>
      <c r="B16" s="8"/>
      <c r="C16" s="35">
        <f t="shared" si="8"/>
        <v>1.0066235403666732</v>
      </c>
      <c r="D16" s="20">
        <f t="shared" si="0"/>
        <v>7.0958045003642711</v>
      </c>
      <c r="E16" s="20">
        <f t="shared" si="1"/>
        <v>1.023055620397834</v>
      </c>
      <c r="F16" s="20">
        <f t="shared" si="2"/>
        <v>4.9670211014293688</v>
      </c>
      <c r="G16" s="19">
        <f t="shared" si="3"/>
        <v>0.98441373058672332</v>
      </c>
      <c r="H16" s="19">
        <f t="shared" si="4"/>
        <v>1.0158330475581512</v>
      </c>
      <c r="I16" s="18">
        <f t="shared" si="5"/>
        <v>4.7794114756533448</v>
      </c>
      <c r="J16" s="18">
        <f t="shared" si="6"/>
        <v>0.20923078188477173</v>
      </c>
      <c r="K16" s="6" t="e">
        <f t="shared" si="7"/>
        <v>#DIV/0!</v>
      </c>
      <c r="R16">
        <v>246080000000</v>
      </c>
      <c r="S16">
        <v>1746135571449.6399</v>
      </c>
      <c r="T16">
        <v>251753527067.49899</v>
      </c>
      <c r="U16">
        <v>1164850000000</v>
      </c>
      <c r="V16">
        <v>5785834530000</v>
      </c>
      <c r="W16">
        <v>5318051691111.457</v>
      </c>
    </row>
    <row r="17" spans="1:23" hidden="1" x14ac:dyDescent="0.15">
      <c r="A17" s="8">
        <v>1972</v>
      </c>
      <c r="B17" s="8"/>
      <c r="C17" s="35">
        <f t="shared" si="8"/>
        <v>1.0007608052551595</v>
      </c>
      <c r="D17" s="20">
        <f t="shared" si="0"/>
        <v>7.0904100791148448</v>
      </c>
      <c r="E17" s="20">
        <f t="shared" si="1"/>
        <v>1.0222778660251288</v>
      </c>
      <c r="F17" s="20">
        <f t="shared" si="2"/>
        <v>4.7610519634746034</v>
      </c>
      <c r="G17" s="19">
        <f t="shared" si="3"/>
        <v>0.98366535281698175</v>
      </c>
      <c r="H17" s="19">
        <f t="shared" si="4"/>
        <v>1.0166058986790982</v>
      </c>
      <c r="I17" s="18">
        <f t="shared" si="5"/>
        <v>4.5812220092771812</v>
      </c>
      <c r="J17" s="18">
        <f t="shared" si="6"/>
        <v>0.21828237050615643</v>
      </c>
      <c r="K17" s="6" t="e">
        <f t="shared" si="7"/>
        <v>#DIV/0!</v>
      </c>
      <c r="R17">
        <v>255650000000</v>
      </c>
      <c r="S17">
        <v>1812663336725.71</v>
      </c>
      <c r="T17">
        <v>261345336449.32419</v>
      </c>
      <c r="U17">
        <v>1279110000000</v>
      </c>
      <c r="V17">
        <v>6089909177000</v>
      </c>
      <c r="W17">
        <v>5597542001855.3535</v>
      </c>
    </row>
    <row r="18" spans="1:23" hidden="1" x14ac:dyDescent="0.15">
      <c r="A18" s="8">
        <v>1973</v>
      </c>
      <c r="B18" s="8"/>
      <c r="C18" s="35">
        <f t="shared" si="8"/>
        <v>1.0020747149965341</v>
      </c>
      <c r="D18" s="20">
        <f t="shared" si="0"/>
        <v>7.075729956063574</v>
      </c>
      <c r="E18" s="20">
        <f t="shared" si="1"/>
        <v>1.0201613220314263</v>
      </c>
      <c r="F18" s="20">
        <f t="shared" si="2"/>
        <v>4.5137044169398113</v>
      </c>
      <c r="G18" s="19">
        <f t="shared" si="3"/>
        <v>0.98162875292226492</v>
      </c>
      <c r="H18" s="19">
        <f t="shared" si="4"/>
        <v>1.0187150661826527</v>
      </c>
      <c r="I18" s="18">
        <f t="shared" si="5"/>
        <v>4.3432170404553476</v>
      </c>
      <c r="J18" s="18">
        <f t="shared" si="6"/>
        <v>0.23024407730154764</v>
      </c>
      <c r="K18" s="6" t="e">
        <f t="shared" si="7"/>
        <v>#DIV/0!</v>
      </c>
      <c r="R18">
        <v>276060000000</v>
      </c>
      <c r="S18">
        <v>1953326011670.9102</v>
      </c>
      <c r="T18">
        <v>281625734559.99554</v>
      </c>
      <c r="U18">
        <v>1425376000000</v>
      </c>
      <c r="V18">
        <v>6433725947000</v>
      </c>
      <c r="W18">
        <v>5913561297887.8271</v>
      </c>
    </row>
    <row r="19" spans="1:23" hidden="1" x14ac:dyDescent="0.15">
      <c r="A19" s="8">
        <v>1974</v>
      </c>
      <c r="B19" s="8"/>
      <c r="C19" s="35">
        <f t="shared" si="8"/>
        <v>1.0027723493403975</v>
      </c>
      <c r="D19" s="20">
        <f t="shared" si="0"/>
        <v>7.0561677939343257</v>
      </c>
      <c r="E19" s="20">
        <f t="shared" si="1"/>
        <v>1.0173408976648257</v>
      </c>
      <c r="F19" s="20">
        <f t="shared" si="2"/>
        <v>4.1410628807249088</v>
      </c>
      <c r="G19" s="19">
        <f t="shared" si="3"/>
        <v>0.97891485895872532</v>
      </c>
      <c r="H19" s="19">
        <f t="shared" si="4"/>
        <v>1.0215393002244373</v>
      </c>
      <c r="I19" s="18">
        <f t="shared" si="5"/>
        <v>3.9846505680926527</v>
      </c>
      <c r="J19" s="18">
        <f t="shared" si="6"/>
        <v>0.25096303500426481</v>
      </c>
      <c r="K19" s="6" t="e">
        <f t="shared" si="7"/>
        <v>#DIV/0!</v>
      </c>
      <c r="R19">
        <v>283220000000</v>
      </c>
      <c r="S19">
        <v>1998447842598.0798</v>
      </c>
      <c r="T19">
        <v>288131289036.63196</v>
      </c>
      <c r="U19">
        <v>1545243000000</v>
      </c>
      <c r="V19">
        <v>6398948429000</v>
      </c>
      <c r="W19">
        <v>5881595530900.6123</v>
      </c>
    </row>
    <row r="20" spans="1:23" hidden="1" x14ac:dyDescent="0.15">
      <c r="A20" s="8">
        <v>1975</v>
      </c>
      <c r="B20" s="8"/>
      <c r="C20" s="35">
        <f t="shared" si="8"/>
        <v>0.98867621326889588</v>
      </c>
      <c r="D20" s="20">
        <f t="shared" si="0"/>
        <v>7.1369854955893635</v>
      </c>
      <c r="E20" s="20">
        <f t="shared" si="1"/>
        <v>1.0289929948867231</v>
      </c>
      <c r="F20" s="20">
        <f t="shared" si="2"/>
        <v>3.7900028506075123</v>
      </c>
      <c r="G20" s="19">
        <f t="shared" si="3"/>
        <v>0.99012684417894892</v>
      </c>
      <c r="H20" s="19">
        <f t="shared" si="4"/>
        <v>1.0099716070512543</v>
      </c>
      <c r="I20" s="18">
        <f t="shared" si="5"/>
        <v>3.6468504455798949</v>
      </c>
      <c r="J20" s="18">
        <f t="shared" si="6"/>
        <v>0.27420921557450584</v>
      </c>
      <c r="K20" s="6" t="e">
        <f t="shared" si="7"/>
        <v>#DIV/0!</v>
      </c>
      <c r="R20">
        <v>304430000000</v>
      </c>
      <c r="S20">
        <v>2172712494422.27</v>
      </c>
      <c r="T20">
        <v>313256337433.36511</v>
      </c>
      <c r="U20">
        <v>1684904000000</v>
      </c>
      <c r="V20">
        <v>6385790963000</v>
      </c>
      <c r="W20">
        <v>5869501841744.9287</v>
      </c>
    </row>
    <row r="21" spans="1:23" hidden="1" x14ac:dyDescent="0.15">
      <c r="A21" s="8">
        <v>1976</v>
      </c>
      <c r="B21" s="8"/>
      <c r="C21" s="35">
        <f t="shared" si="8"/>
        <v>0.99903070729264321</v>
      </c>
      <c r="D21" s="20">
        <f t="shared" si="0"/>
        <v>7.1439100354887755</v>
      </c>
      <c r="E21" s="20">
        <f t="shared" si="1"/>
        <v>1.0299913579986717</v>
      </c>
      <c r="F21" s="20">
        <f t="shared" si="2"/>
        <v>3.592300863878314</v>
      </c>
      <c r="G21" s="19">
        <f t="shared" si="3"/>
        <v>0.99108749806317398</v>
      </c>
      <c r="H21" s="19">
        <f t="shared" si="4"/>
        <v>1.0089926489379022</v>
      </c>
      <c r="I21" s="18">
        <f t="shared" si="5"/>
        <v>3.4566158714080477</v>
      </c>
      <c r="J21" s="18">
        <f t="shared" si="6"/>
        <v>0.28930029751690384</v>
      </c>
      <c r="K21" s="6" t="e">
        <f t="shared" si="7"/>
        <v>#DIV/0!</v>
      </c>
      <c r="R21">
        <v>299360000000</v>
      </c>
      <c r="S21">
        <v>2138600908223.9199</v>
      </c>
      <c r="T21">
        <v>308338212930.48236</v>
      </c>
      <c r="U21">
        <v>1873412000000</v>
      </c>
      <c r="V21">
        <v>6729859546000</v>
      </c>
      <c r="W21">
        <v>6185752591778.2988</v>
      </c>
    </row>
    <row r="22" spans="1:23" hidden="1" x14ac:dyDescent="0.15">
      <c r="A22" s="8">
        <v>1977</v>
      </c>
      <c r="B22" s="8"/>
      <c r="C22" s="35">
        <f t="shared" si="8"/>
        <v>1.0109261258259243</v>
      </c>
      <c r="D22" s="20">
        <f t="shared" si="0"/>
        <v>7.0666983996008783</v>
      </c>
      <c r="E22" s="20">
        <f t="shared" si="1"/>
        <v>1.0188591744596283</v>
      </c>
      <c r="F22" s="20">
        <f t="shared" si="2"/>
        <v>3.3821562431250256</v>
      </c>
      <c r="G22" s="19">
        <f t="shared" si="3"/>
        <v>0.98037578883764398</v>
      </c>
      <c r="H22" s="19">
        <f t="shared" si="4"/>
        <v>1.0200170295776305</v>
      </c>
      <c r="I22" s="18">
        <f t="shared" si="5"/>
        <v>3.2544086346225911</v>
      </c>
      <c r="J22" s="18">
        <f t="shared" si="6"/>
        <v>0.30727548758362011</v>
      </c>
      <c r="K22" s="6" t="e">
        <f t="shared" si="7"/>
        <v>#DIV/0!</v>
      </c>
      <c r="R22">
        <v>325540000000</v>
      </c>
      <c r="S22">
        <v>2300492997006.0698</v>
      </c>
      <c r="T22">
        <v>331679415653.5874</v>
      </c>
      <c r="U22">
        <v>2081826000000</v>
      </c>
      <c r="V22">
        <v>7041060803000</v>
      </c>
      <c r="W22">
        <v>6471793328422.8809</v>
      </c>
    </row>
    <row r="23" spans="1:23" hidden="1" x14ac:dyDescent="0.15">
      <c r="A23" s="8">
        <v>1978</v>
      </c>
      <c r="B23" s="8"/>
      <c r="C23" s="35">
        <f t="shared" si="8"/>
        <v>1.0167473342302094</v>
      </c>
      <c r="D23" s="20">
        <f t="shared" si="0"/>
        <v>6.9502994123423525</v>
      </c>
      <c r="E23" s="20">
        <f t="shared" si="1"/>
        <v>1.0020770550935525</v>
      </c>
      <c r="F23" s="20">
        <f t="shared" si="2"/>
        <v>3.1598916554225442</v>
      </c>
      <c r="G23" s="19">
        <f t="shared" si="3"/>
        <v>0.96422754782032172</v>
      </c>
      <c r="H23" s="19">
        <f t="shared" si="4"/>
        <v>1.0370995956924727</v>
      </c>
      <c r="I23" s="18">
        <f t="shared" si="5"/>
        <v>3.0405392148226835</v>
      </c>
      <c r="J23" s="18">
        <f t="shared" si="6"/>
        <v>0.32888903228906963</v>
      </c>
      <c r="K23" s="6" t="e">
        <f t="shared" si="7"/>
        <v>#DIV/0!</v>
      </c>
      <c r="R23">
        <v>368480000000</v>
      </c>
      <c r="S23">
        <v>2561046327459.9102</v>
      </c>
      <c r="T23">
        <v>369245353260.87225</v>
      </c>
      <c r="U23">
        <v>2351599000000</v>
      </c>
      <c r="V23">
        <v>7430798057000</v>
      </c>
      <c r="W23">
        <v>6830020452267.6816</v>
      </c>
    </row>
    <row r="24" spans="1:23" hidden="1" x14ac:dyDescent="0.15">
      <c r="A24" s="8">
        <v>1979</v>
      </c>
      <c r="B24" s="8"/>
      <c r="C24" s="35">
        <f t="shared" si="8"/>
        <v>1.0359878834028902</v>
      </c>
      <c r="D24" s="20">
        <f t="shared" si="0"/>
        <v>6.7088616804212355</v>
      </c>
      <c r="E24" s="20">
        <f t="shared" si="1"/>
        <v>0.96726715741312408</v>
      </c>
      <c r="F24" s="20">
        <f t="shared" si="2"/>
        <v>2.9178091425791859</v>
      </c>
      <c r="G24" s="19">
        <f t="shared" si="3"/>
        <v>0.93073245668968785</v>
      </c>
      <c r="H24" s="19">
        <f t="shared" si="4"/>
        <v>1.0744226150194378</v>
      </c>
      <c r="I24" s="18">
        <f t="shared" si="5"/>
        <v>2.8076004138166657</v>
      </c>
      <c r="J24" s="18">
        <f t="shared" si="6"/>
        <v>0.35617604096324917</v>
      </c>
      <c r="K24" s="6" t="e">
        <f t="shared" si="7"/>
        <v>#DIV/0!</v>
      </c>
      <c r="R24">
        <v>410720000000</v>
      </c>
      <c r="S24">
        <v>2755463669382.6099</v>
      </c>
      <c r="T24">
        <v>397275966892.71832</v>
      </c>
      <c r="U24">
        <v>2627333000000</v>
      </c>
      <c r="V24">
        <v>7666056248000</v>
      </c>
      <c r="W24">
        <v>7046258095084.5029</v>
      </c>
    </row>
    <row r="25" spans="1:23" hidden="1" x14ac:dyDescent="0.15">
      <c r="A25" s="8">
        <v>1980</v>
      </c>
      <c r="B25" s="8"/>
      <c r="C25" s="35">
        <f t="shared" si="8"/>
        <v>1.0376467263566029</v>
      </c>
      <c r="D25" s="20">
        <f t="shared" si="0"/>
        <v>6.4654583395424634</v>
      </c>
      <c r="E25" s="20">
        <f t="shared" si="1"/>
        <v>0.93217386307322869</v>
      </c>
      <c r="F25" s="20">
        <f t="shared" si="2"/>
        <v>2.6760763460139216</v>
      </c>
      <c r="G25" s="19">
        <f t="shared" si="3"/>
        <v>0.8969646730903168</v>
      </c>
      <c r="H25" s="19">
        <f t="shared" si="4"/>
        <v>1.1148711091984203</v>
      </c>
      <c r="I25" s="18">
        <f t="shared" si="5"/>
        <v>2.574998119936069</v>
      </c>
      <c r="J25" s="18">
        <f t="shared" si="6"/>
        <v>0.38834979810580506</v>
      </c>
      <c r="K25" s="6" t="e">
        <f t="shared" si="7"/>
        <v>#DIV/0!</v>
      </c>
      <c r="R25">
        <v>459570000000</v>
      </c>
      <c r="S25">
        <v>2971330689103.5298</v>
      </c>
      <c r="T25">
        <v>428399142252.56372</v>
      </c>
      <c r="U25">
        <v>2857307000000</v>
      </c>
      <c r="V25">
        <v>7646371676000</v>
      </c>
      <c r="W25">
        <v>7028165014324.8281</v>
      </c>
    </row>
    <row r="26" spans="1:23" hidden="1" x14ac:dyDescent="0.15">
      <c r="A26" s="8">
        <v>1981</v>
      </c>
      <c r="B26" s="8"/>
      <c r="C26" s="35">
        <f t="shared" si="8"/>
        <v>1.0236060226773687</v>
      </c>
      <c r="D26" s="20">
        <f t="shared" si="0"/>
        <v>6.3163543358520444</v>
      </c>
      <c r="E26" s="20">
        <f t="shared" si="1"/>
        <v>0.91067641496970897</v>
      </c>
      <c r="F26" s="20">
        <f t="shared" si="2"/>
        <v>2.4447500817731984</v>
      </c>
      <c r="G26" s="19">
        <f t="shared" si="3"/>
        <v>0.876279206275276</v>
      </c>
      <c r="H26" s="19">
        <f t="shared" si="4"/>
        <v>1.1411887818845015</v>
      </c>
      <c r="I26" s="18">
        <f t="shared" si="5"/>
        <v>2.3524092926782245</v>
      </c>
      <c r="J26" s="18">
        <f t="shared" si="6"/>
        <v>0.42509609323192954</v>
      </c>
      <c r="K26" s="6" t="e">
        <f t="shared" si="7"/>
        <v>#DIV/0!</v>
      </c>
      <c r="R26">
        <v>494470000000</v>
      </c>
      <c r="S26">
        <v>3123247728448.7603</v>
      </c>
      <c r="T26">
        <v>450302166910.07202</v>
      </c>
      <c r="U26">
        <v>3207041000000</v>
      </c>
      <c r="V26">
        <v>7840413747000</v>
      </c>
      <c r="W26">
        <v>7206518847030.8447</v>
      </c>
    </row>
    <row r="27" spans="1:23" hidden="1" x14ac:dyDescent="0.15">
      <c r="A27" s="8">
        <v>1982</v>
      </c>
      <c r="B27" s="8"/>
      <c r="C27" s="35">
        <f t="shared" si="8"/>
        <v>0.99832097077383664</v>
      </c>
      <c r="D27" s="20">
        <f t="shared" si="0"/>
        <v>6.3269775160147113</v>
      </c>
      <c r="E27" s="20">
        <f>T27/R27</f>
        <v>0.91220803892740943</v>
      </c>
      <c r="F27" s="20">
        <f t="shared" si="2"/>
        <v>2.3024927727198099</v>
      </c>
      <c r="G27" s="19">
        <f t="shared" si="3"/>
        <v>0.87775297918067252</v>
      </c>
      <c r="H27" s="19">
        <f t="shared" si="4"/>
        <v>1.1392726925671472</v>
      </c>
      <c r="I27" s="18">
        <f t="shared" si="5"/>
        <v>2.215525192228224</v>
      </c>
      <c r="J27" s="18">
        <f t="shared" si="6"/>
        <v>0.45136024790323792</v>
      </c>
      <c r="K27" s="6" t="e">
        <f t="shared" si="7"/>
        <v>#DIV/0!</v>
      </c>
      <c r="R27">
        <v>538360000000</v>
      </c>
      <c r="S27">
        <v>3406191615521.6802</v>
      </c>
      <c r="T27">
        <v>491096319836.96014</v>
      </c>
      <c r="U27">
        <v>3343789000000</v>
      </c>
      <c r="V27">
        <v>7699050006000</v>
      </c>
      <c r="W27">
        <v>7076584318487.2344</v>
      </c>
    </row>
    <row r="28" spans="1:23" hidden="1" x14ac:dyDescent="0.15">
      <c r="A28" s="8">
        <v>1983</v>
      </c>
      <c r="B28" s="8"/>
      <c r="C28" s="35">
        <f t="shared" si="8"/>
        <v>1.0119744757821547</v>
      </c>
      <c r="D28" s="20">
        <f t="shared" si="0"/>
        <v>6.2521117552145711</v>
      </c>
      <c r="E28" s="20">
        <f t="shared" si="1"/>
        <v>0.9014140778821168</v>
      </c>
      <c r="F28" s="20">
        <f t="shared" si="2"/>
        <v>2.2157056051697865</v>
      </c>
      <c r="G28" s="19">
        <f t="shared" si="3"/>
        <v>0.86736671742857707</v>
      </c>
      <c r="H28" s="19">
        <f t="shared" si="4"/>
        <v>1.1529148858335627</v>
      </c>
      <c r="I28" s="18">
        <f t="shared" si="5"/>
        <v>2.1320160675320023</v>
      </c>
      <c r="J28" s="18">
        <f t="shared" si="6"/>
        <v>0.46903961711582626</v>
      </c>
      <c r="K28" s="6" t="e">
        <f t="shared" si="7"/>
        <v>#DIV/0!</v>
      </c>
      <c r="R28">
        <v>603250000000</v>
      </c>
      <c r="S28">
        <v>3771586416333.1899</v>
      </c>
      <c r="T28">
        <v>543778042482.38696</v>
      </c>
      <c r="U28">
        <v>3634038000000</v>
      </c>
      <c r="V28">
        <v>8051958366000</v>
      </c>
      <c r="W28">
        <v>7400960152426.8486</v>
      </c>
    </row>
    <row r="29" spans="1:23" hidden="1" x14ac:dyDescent="0.15">
      <c r="A29" s="8">
        <v>1984</v>
      </c>
      <c r="B29" s="8"/>
      <c r="C29" s="35">
        <f t="shared" si="8"/>
        <v>1.0490542264659271</v>
      </c>
      <c r="D29" s="20">
        <f t="shared" si="0"/>
        <v>5.9597603226639659</v>
      </c>
      <c r="E29" s="20">
        <f t="shared" si="1"/>
        <v>0.85926356821307204</v>
      </c>
      <c r="F29" s="20">
        <f t="shared" si="2"/>
        <v>2.1385493265451641</v>
      </c>
      <c r="G29" s="19">
        <f t="shared" si="3"/>
        <v>0.82680827696636583</v>
      </c>
      <c r="H29" s="19">
        <f t="shared" si="4"/>
        <v>1.2094702337391809</v>
      </c>
      <c r="I29" s="18">
        <f t="shared" si="5"/>
        <v>2.0577740629286576</v>
      </c>
      <c r="J29" s="18">
        <f t="shared" si="6"/>
        <v>0.48596200040386539</v>
      </c>
      <c r="K29" s="6" t="e">
        <f t="shared" si="7"/>
        <v>#DIV/0!</v>
      </c>
      <c r="R29">
        <v>729240000000</v>
      </c>
      <c r="S29">
        <v>4346095617699.4702</v>
      </c>
      <c r="T29">
        <v>626609364483.70068</v>
      </c>
      <c r="U29">
        <v>4037613000000</v>
      </c>
      <c r="V29">
        <v>8634634562000</v>
      </c>
      <c r="W29">
        <v>7936527167598.3301</v>
      </c>
    </row>
    <row r="30" spans="1:23" hidden="1" x14ac:dyDescent="0.15">
      <c r="A30" s="8">
        <v>1985</v>
      </c>
      <c r="B30" s="8"/>
      <c r="C30" s="35">
        <f t="shared" si="8"/>
        <v>1.1019964068622969</v>
      </c>
      <c r="D30" s="20">
        <f t="shared" si="0"/>
        <v>5.4081485979007233</v>
      </c>
      <c r="E30" s="20">
        <f t="shared" si="1"/>
        <v>0.77973354800642636</v>
      </c>
      <c r="F30" s="20">
        <f t="shared" si="2"/>
        <v>2.0729904790965801</v>
      </c>
      <c r="G30" s="19">
        <f t="shared" si="3"/>
        <v>0.75028218950416425</v>
      </c>
      <c r="H30" s="19">
        <f t="shared" si="4"/>
        <v>1.3328318517874798</v>
      </c>
      <c r="I30" s="18">
        <f t="shared" si="5"/>
        <v>1.9946914422938873</v>
      </c>
      <c r="J30" s="18">
        <f t="shared" si="6"/>
        <v>0.50133067139948417</v>
      </c>
      <c r="K30" s="6" t="e">
        <f t="shared" si="7"/>
        <v>#DIV/0!</v>
      </c>
      <c r="R30">
        <v>911590000000</v>
      </c>
      <c r="S30">
        <v>4930014180360.3203</v>
      </c>
      <c r="T30">
        <v>710797305027.17822</v>
      </c>
      <c r="U30">
        <v>4338979000000</v>
      </c>
      <c r="V30">
        <v>8994662156000</v>
      </c>
      <c r="W30">
        <v>8267446647785.8291</v>
      </c>
    </row>
    <row r="31" spans="1:23" hidden="1" x14ac:dyDescent="0.15">
      <c r="A31" s="8">
        <v>1986</v>
      </c>
      <c r="B31" s="8"/>
      <c r="C31" s="35">
        <f t="shared" si="8"/>
        <v>1.0468045469851248</v>
      </c>
      <c r="D31" s="20">
        <f t="shared" si="0"/>
        <v>5.1663403769849827</v>
      </c>
      <c r="E31" s="20">
        <f t="shared" si="1"/>
        <v>0.74487023413503251</v>
      </c>
      <c r="F31" s="20">
        <f t="shared" si="2"/>
        <v>2.0320668368259365</v>
      </c>
      <c r="G31" s="19">
        <f t="shared" si="3"/>
        <v>0.71673569976843632</v>
      </c>
      <c r="H31" s="19">
        <f t="shared" si="4"/>
        <v>1.3952144428177373</v>
      </c>
      <c r="I31" s="18">
        <f t="shared" si="5"/>
        <v>1.9553135291544481</v>
      </c>
      <c r="J31" s="18">
        <f t="shared" si="6"/>
        <v>0.51142693235106806</v>
      </c>
      <c r="K31" s="6" t="e">
        <f t="shared" si="7"/>
        <v>#DIV/0!</v>
      </c>
      <c r="R31">
        <v>1039520000000</v>
      </c>
      <c r="S31">
        <v>5370514148683.4297</v>
      </c>
      <c r="T31">
        <v>774307505788.04895</v>
      </c>
      <c r="U31">
        <v>4579631000000</v>
      </c>
      <c r="V31">
        <v>9306116280000</v>
      </c>
      <c r="W31">
        <v>8553719807215.751</v>
      </c>
    </row>
    <row r="32" spans="1:23" hidden="1" x14ac:dyDescent="0.15">
      <c r="A32" s="8">
        <v>1987</v>
      </c>
      <c r="B32" s="8"/>
      <c r="C32" s="35">
        <f t="shared" si="8"/>
        <v>1.0510275923733006</v>
      </c>
      <c r="D32" s="20">
        <f t="shared" si="0"/>
        <v>4.9155135549952522</v>
      </c>
      <c r="E32" s="20">
        <f t="shared" si="1"/>
        <v>0.70870664056788335</v>
      </c>
      <c r="F32" s="20">
        <f t="shared" si="2"/>
        <v>1.9829416687005621</v>
      </c>
      <c r="G32" s="19">
        <f t="shared" si="3"/>
        <v>0.68193804327248198</v>
      </c>
      <c r="H32" s="19">
        <f t="shared" si="4"/>
        <v>1.4664088766791825</v>
      </c>
      <c r="I32" s="18">
        <f t="shared" si="5"/>
        <v>1.9080438704420566</v>
      </c>
      <c r="J32" s="18">
        <f t="shared" si="6"/>
        <v>0.52409696416902585</v>
      </c>
      <c r="K32" s="6" t="e">
        <f t="shared" si="7"/>
        <v>#DIV/0!</v>
      </c>
      <c r="R32">
        <v>1219610000000</v>
      </c>
      <c r="S32">
        <v>5995009486807.7598</v>
      </c>
      <c r="T32">
        <v>864345705902.99622</v>
      </c>
      <c r="U32">
        <v>4855215000000</v>
      </c>
      <c r="V32">
        <v>9627608134000</v>
      </c>
      <c r="W32">
        <v>8849219149441.7129</v>
      </c>
    </row>
    <row r="33" spans="1:24" hidden="1" x14ac:dyDescent="0.15">
      <c r="A33" s="8">
        <v>1988</v>
      </c>
      <c r="B33" s="8"/>
      <c r="C33" s="35">
        <f t="shared" si="8"/>
        <v>1.1210175458022811</v>
      </c>
      <c r="D33" s="20">
        <f t="shared" si="0"/>
        <v>4.3848676351246185</v>
      </c>
      <c r="E33" s="20">
        <f t="shared" si="1"/>
        <v>0.63219941848517791</v>
      </c>
      <c r="F33" s="20">
        <f t="shared" si="2"/>
        <v>1.9153767561078734</v>
      </c>
      <c r="G33" s="19">
        <f t="shared" si="3"/>
        <v>0.60832057966089903</v>
      </c>
      <c r="H33" s="19">
        <f t="shared" si="4"/>
        <v>1.6438700800775767</v>
      </c>
      <c r="I33" s="18">
        <f t="shared" si="5"/>
        <v>1.8430309558594944</v>
      </c>
      <c r="J33" s="18">
        <f t="shared" si="6"/>
        <v>0.54258448390176484</v>
      </c>
      <c r="K33" s="6" t="e">
        <f t="shared" si="7"/>
        <v>#DIV/0!</v>
      </c>
      <c r="R33">
        <v>1520640000000</v>
      </c>
      <c r="S33">
        <v>6667805120675.9004</v>
      </c>
      <c r="T33">
        <v>961347723725.3009</v>
      </c>
      <c r="U33">
        <v>5236438000000</v>
      </c>
      <c r="V33">
        <v>10029751630000</v>
      </c>
      <c r="W33">
        <v>9218849474658.1309</v>
      </c>
    </row>
    <row r="34" spans="1:24" hidden="1" x14ac:dyDescent="0.15">
      <c r="A34" s="8">
        <v>1989</v>
      </c>
      <c r="B34" s="8"/>
      <c r="C34" s="35">
        <f t="shared" si="8"/>
        <v>1.0860763104736475</v>
      </c>
      <c r="D34" s="20">
        <f t="shared" si="0"/>
        <v>4.03734764568462</v>
      </c>
      <c r="E34" s="20">
        <f t="shared" si="1"/>
        <v>0.58209484212897544</v>
      </c>
      <c r="F34" s="20">
        <f t="shared" si="2"/>
        <v>1.8431127388072135</v>
      </c>
      <c r="G34" s="19">
        <f t="shared" si="3"/>
        <v>0.56010850599955087</v>
      </c>
      <c r="H34" s="19">
        <f t="shared" si="4"/>
        <v>1.785368351468674</v>
      </c>
      <c r="I34" s="18">
        <f t="shared" si="5"/>
        <v>1.7734964267099815</v>
      </c>
      <c r="J34" s="18">
        <f t="shared" si="6"/>
        <v>0.5638579164521369</v>
      </c>
      <c r="K34" s="6" t="e">
        <f t="shared" si="7"/>
        <v>#DIV/0!</v>
      </c>
      <c r="R34">
        <v>1721000000000</v>
      </c>
      <c r="S34">
        <v>6948275298223.2305</v>
      </c>
      <c r="T34">
        <v>1001785223303.9667</v>
      </c>
      <c r="U34">
        <v>5641580000000</v>
      </c>
      <c r="V34">
        <v>10398067965000</v>
      </c>
      <c r="W34">
        <v>9557387553833.1543</v>
      </c>
    </row>
    <row r="35" spans="1:24" hidden="1" x14ac:dyDescent="0.15">
      <c r="A35" s="8">
        <v>1990</v>
      </c>
      <c r="B35" s="8"/>
      <c r="C35" s="35">
        <f t="shared" si="8"/>
        <v>1.0570899557490583</v>
      </c>
      <c r="D35" s="20">
        <f t="shared" si="0"/>
        <v>3.8193037628701507</v>
      </c>
      <c r="E35" s="20">
        <f>T35/R35</f>
        <v>0.55065781200853481</v>
      </c>
      <c r="F35" s="29">
        <f>W35/U35</f>
        <v>1.6329702240336594</v>
      </c>
      <c r="G35" s="19">
        <f>E35/$F$57</f>
        <v>0.52985888566376127</v>
      </c>
      <c r="H35" s="19">
        <f t="shared" si="4"/>
        <v>1.8872949516497901</v>
      </c>
      <c r="I35" s="18">
        <f>F35/F$57</f>
        <v>1.5712912163591837</v>
      </c>
      <c r="J35" s="18">
        <f t="shared" si="6"/>
        <v>0.63641926435322771</v>
      </c>
      <c r="K35" s="6">
        <f t="shared" si="7"/>
        <v>0.99930698757980729</v>
      </c>
      <c r="R35">
        <v>1890960000000</v>
      </c>
      <c r="S35">
        <v>7222150643436.9404</v>
      </c>
      <c r="T35">
        <v>1041271896195.6591</v>
      </c>
      <c r="U35">
        <v>5963144000000</v>
      </c>
      <c r="V35">
        <v>10594171948000</v>
      </c>
      <c r="W35">
        <v>9737636593624.9727</v>
      </c>
      <c r="X35">
        <v>1892271367560.0942</v>
      </c>
    </row>
    <row r="36" spans="1:24" x14ac:dyDescent="0.15">
      <c r="A36" s="8">
        <v>1991</v>
      </c>
      <c r="B36" s="35">
        <f>HLOOKUP($A36&amp;"*",'NBS Data'!$B$3:$AJ$25,23,FALSE)</f>
        <v>1.066891804045017</v>
      </c>
      <c r="C36" s="35">
        <f t="shared" si="8"/>
        <v>1.0672654237410879</v>
      </c>
      <c r="D36" s="20">
        <f t="shared" si="0"/>
        <v>3.5785884915884716</v>
      </c>
      <c r="E36" s="20">
        <f t="shared" si="1"/>
        <v>0.51595207692413825</v>
      </c>
      <c r="F36" s="29">
        <f t="shared" ref="F36:F69" si="9">W36/U36</f>
        <v>1.5795527308303876</v>
      </c>
      <c r="G36" s="36">
        <f t="shared" si="3"/>
        <v>0.49646402279804558</v>
      </c>
      <c r="H36" s="36">
        <f t="shared" si="4"/>
        <v>2.0142446462969295</v>
      </c>
      <c r="I36" s="18">
        <f t="shared" si="5"/>
        <v>1.5198913582142519</v>
      </c>
      <c r="J36" s="18">
        <f t="shared" si="6"/>
        <v>0.65794176313688513</v>
      </c>
      <c r="K36" s="18">
        <f>R36/X36</f>
        <v>1.0665257955467933</v>
      </c>
      <c r="R36" s="25">
        <v>2207090000000</v>
      </c>
      <c r="S36" s="25">
        <v>7898266873900</v>
      </c>
      <c r="T36">
        <v>1138752669458.4963</v>
      </c>
      <c r="U36" s="26">
        <v>6158129000000</v>
      </c>
      <c r="V36" s="26">
        <v>10582697095000</v>
      </c>
      <c r="W36" s="27">
        <v>9727089478755.8047</v>
      </c>
      <c r="X36">
        <v>2069420176441.635</v>
      </c>
    </row>
    <row r="37" spans="1:24" x14ac:dyDescent="0.15">
      <c r="A37" s="8">
        <v>1992</v>
      </c>
      <c r="B37" s="35">
        <f>HLOOKUP($A37&amp;"*",'NBS Data'!$B$3:$AJ$25,23,FALSE)</f>
        <v>1.0819977851780123</v>
      </c>
      <c r="C37" s="35">
        <f t="shared" si="8"/>
        <v>1.0820014685761385</v>
      </c>
      <c r="D37" s="20">
        <f t="shared" ref="D37:D69" si="10">S37/R37</f>
        <v>3.3073785900657979</v>
      </c>
      <c r="E37" s="20">
        <f>T37/R37</f>
        <v>0.47684970114052272</v>
      </c>
      <c r="F37" s="29">
        <f t="shared" si="9"/>
        <v>1.5443590376159833</v>
      </c>
      <c r="G37" s="36">
        <f t="shared" si="3"/>
        <v>0.45883858498950864</v>
      </c>
      <c r="H37" s="36">
        <f t="shared" si="4"/>
        <v>2.1794156653649019</v>
      </c>
      <c r="I37" s="18">
        <f t="shared" si="5"/>
        <v>1.4860269679117541</v>
      </c>
      <c r="J37" s="18">
        <f t="shared" si="6"/>
        <v>0.67293529767178739</v>
      </c>
      <c r="K37" s="18">
        <f t="shared" ref="K37:K69" si="11">R37/X37</f>
        <v>1.1539824770559646</v>
      </c>
      <c r="R37" s="25">
        <v>2729560000000</v>
      </c>
      <c r="S37" s="25">
        <v>9027688304300</v>
      </c>
      <c r="T37">
        <v>1301589870245.1252</v>
      </c>
      <c r="U37" s="26">
        <v>6520327000000</v>
      </c>
      <c r="V37" s="26">
        <v>10955472301000</v>
      </c>
      <c r="W37" s="27">
        <v>10069725930661.512</v>
      </c>
      <c r="X37">
        <v>2365339209451.1196</v>
      </c>
    </row>
    <row r="38" spans="1:24" x14ac:dyDescent="0.15">
      <c r="A38" s="8">
        <v>1993</v>
      </c>
      <c r="B38" s="35">
        <f>HLOOKUP($A38&amp;"*",'NBS Data'!$B$3:$AJ$25,23,FALSE)</f>
        <v>1.1521408493756407</v>
      </c>
      <c r="C38" s="35">
        <f t="shared" si="8"/>
        <v>1.151846789520536</v>
      </c>
      <c r="D38" s="20">
        <f t="shared" si="10"/>
        <v>2.8713702379137738</v>
      </c>
      <c r="E38" s="20">
        <f t="shared" si="1"/>
        <v>0.41398709053919802</v>
      </c>
      <c r="F38" s="29">
        <f t="shared" si="9"/>
        <v>1.5086003098682341</v>
      </c>
      <c r="G38" s="36">
        <f t="shared" si="3"/>
        <v>0.3983503614925239</v>
      </c>
      <c r="H38" s="36">
        <f t="shared" si="4"/>
        <v>2.5103529371813251</v>
      </c>
      <c r="I38" s="18">
        <f t="shared" si="5"/>
        <v>1.4516188850261842</v>
      </c>
      <c r="J38" s="18">
        <f t="shared" si="6"/>
        <v>0.68888605013013593</v>
      </c>
      <c r="K38" s="18">
        <f t="shared" si="11"/>
        <v>1.3292110113598685</v>
      </c>
      <c r="R38" s="25">
        <v>3581970000000</v>
      </c>
      <c r="S38" s="25">
        <v>10285162051100</v>
      </c>
      <c r="T38">
        <v>1482889338698.6912</v>
      </c>
      <c r="U38" s="26">
        <v>6858559000000</v>
      </c>
      <c r="V38" s="26">
        <v>11256944535000</v>
      </c>
      <c r="W38" s="27">
        <v>10346824232649.566</v>
      </c>
      <c r="X38">
        <v>2694809153240.0215</v>
      </c>
    </row>
    <row r="39" spans="1:24" x14ac:dyDescent="0.15">
      <c r="A39" s="8">
        <v>1994</v>
      </c>
      <c r="B39" s="35">
        <f>HLOOKUP($A39&amp;"*",'NBS Data'!$B$3:$AJ$25,23,FALSE)</f>
        <v>1.2061143035785866</v>
      </c>
      <c r="C39" s="35">
        <f t="shared" si="8"/>
        <v>1.2064054071429482</v>
      </c>
      <c r="D39" s="20">
        <f t="shared" si="10"/>
        <v>2.3801039193896303</v>
      </c>
      <c r="E39" s="20">
        <f t="shared" si="1"/>
        <v>0.34315752241165498</v>
      </c>
      <c r="F39" s="29">
        <f t="shared" si="9"/>
        <v>1.4770621032170537</v>
      </c>
      <c r="G39" s="36">
        <f t="shared" si="3"/>
        <v>0.33019610085792905</v>
      </c>
      <c r="H39" s="36">
        <f t="shared" si="4"/>
        <v>3.0285033572527325</v>
      </c>
      <c r="I39" s="18">
        <f t="shared" si="5"/>
        <v>1.421271909703933</v>
      </c>
      <c r="J39" s="18">
        <f t="shared" si="6"/>
        <v>0.70359513416986574</v>
      </c>
      <c r="K39" s="18">
        <f t="shared" si="11"/>
        <v>1.603567351338492</v>
      </c>
      <c r="R39" s="25">
        <v>4886220000000</v>
      </c>
      <c r="S39" s="25">
        <v>11629711373000</v>
      </c>
      <c r="T39">
        <v>1676743149158.2769</v>
      </c>
      <c r="U39" s="26">
        <v>7287236000000</v>
      </c>
      <c r="V39" s="26">
        <v>11710489389000</v>
      </c>
      <c r="W39" s="27">
        <v>10763700132799.029</v>
      </c>
      <c r="X39">
        <v>3047093716345.3032</v>
      </c>
    </row>
    <row r="40" spans="1:24" x14ac:dyDescent="0.15">
      <c r="A40" s="8">
        <v>1995</v>
      </c>
      <c r="B40" s="35">
        <f>HLOOKUP($A40&amp;"*",'NBS Data'!$B$3:$AJ$25,23,FALSE)</f>
        <v>1.1366659708322588</v>
      </c>
      <c r="C40" s="35">
        <f t="shared" si="8"/>
        <v>1.1363300659700588</v>
      </c>
      <c r="D40" s="20">
        <f t="shared" si="10"/>
        <v>2.0945533262448621</v>
      </c>
      <c r="E40" s="20">
        <f t="shared" si="1"/>
        <v>0.3019875410219911</v>
      </c>
      <c r="F40" s="29">
        <f t="shared" si="9"/>
        <v>1.4467287088934979</v>
      </c>
      <c r="G40" s="36">
        <f t="shared" si="3"/>
        <v>0.29058115308781191</v>
      </c>
      <c r="H40" s="36">
        <f t="shared" si="4"/>
        <v>3.441379419737542</v>
      </c>
      <c r="I40" s="18">
        <f t="shared" si="5"/>
        <v>1.3920842396769624</v>
      </c>
      <c r="J40" s="18">
        <f t="shared" si="6"/>
        <v>0.71834733236549908</v>
      </c>
      <c r="K40" s="18">
        <f t="shared" si="11"/>
        <v>1.8221817941339014</v>
      </c>
      <c r="R40" s="25">
        <v>6164940000000</v>
      </c>
      <c r="S40" s="25">
        <v>12912795583100</v>
      </c>
      <c r="T40">
        <v>1861735071148.1138</v>
      </c>
      <c r="U40" s="26">
        <v>7639749000000</v>
      </c>
      <c r="V40" s="26">
        <v>12024849365000</v>
      </c>
      <c r="W40" s="27">
        <v>11052644207040.393</v>
      </c>
      <c r="X40">
        <v>3383273842295.3286</v>
      </c>
    </row>
    <row r="41" spans="1:24" x14ac:dyDescent="0.15">
      <c r="A41" s="8">
        <v>1996</v>
      </c>
      <c r="B41" s="35">
        <f>HLOOKUP($A41&amp;"*",'NBS Data'!$B$3:$AJ$25,23,FALSE)</f>
        <v>1.0648278815365599</v>
      </c>
      <c r="C41" s="35">
        <f t="shared" si="8"/>
        <v>1.065058322197503</v>
      </c>
      <c r="D41" s="20">
        <f t="shared" si="10"/>
        <v>1.9666090415811528</v>
      </c>
      <c r="E41" s="20">
        <f t="shared" si="1"/>
        <v>0.28354084910477884</v>
      </c>
      <c r="F41" s="29">
        <f>W41/U41</f>
        <v>1.4207186946188237</v>
      </c>
      <c r="G41" s="36">
        <f t="shared" si="3"/>
        <v>0.27283121218025369</v>
      </c>
      <c r="H41" s="36">
        <f t="shared" si="4"/>
        <v>3.6652697908306826</v>
      </c>
      <c r="I41" s="18">
        <f>F41/F$57</f>
        <v>1.3670566510745077</v>
      </c>
      <c r="J41" s="18">
        <f t="shared" si="6"/>
        <v>0.7314985807018306</v>
      </c>
      <c r="K41" s="18">
        <f t="shared" si="11"/>
        <v>1.9407298843990883</v>
      </c>
      <c r="R41" s="25">
        <v>7221060000000</v>
      </c>
      <c r="S41" s="25">
        <v>14201001885800</v>
      </c>
      <c r="T41">
        <v>2047465483836.5542</v>
      </c>
      <c r="U41" s="26">
        <v>8073122000000</v>
      </c>
      <c r="V41" s="26">
        <v>12478519598000</v>
      </c>
      <c r="W41" s="27">
        <v>11469635349338.508</v>
      </c>
      <c r="X41">
        <v>3720796004661.8594</v>
      </c>
    </row>
    <row r="42" spans="1:24" x14ac:dyDescent="0.15">
      <c r="A42" s="8">
        <v>1997</v>
      </c>
      <c r="B42" s="35">
        <f>HLOOKUP($A42&amp;"*",'NBS Data'!$B$3:$AJ$25,23,FALSE)</f>
        <v>1.0164560619119642</v>
      </c>
      <c r="C42" s="35">
        <f t="shared" si="8"/>
        <v>1.0165709583509586</v>
      </c>
      <c r="D42" s="20">
        <f t="shared" si="10"/>
        <v>1.9345516664880025</v>
      </c>
      <c r="E42" s="20">
        <f t="shared" si="1"/>
        <v>0.27891889570082506</v>
      </c>
      <c r="F42" s="29">
        <f t="shared" si="9"/>
        <v>1.3966340601080447</v>
      </c>
      <c r="G42" s="36">
        <f t="shared" si="3"/>
        <v>0.26838383483119532</v>
      </c>
      <c r="H42" s="36">
        <f t="shared" si="4"/>
        <v>3.7260068238795654</v>
      </c>
      <c r="I42" s="18">
        <f t="shared" si="5"/>
        <v>1.3438817186115455</v>
      </c>
      <c r="J42" s="18">
        <f t="shared" si="6"/>
        <v>0.74411310619893478</v>
      </c>
      <c r="K42" s="18">
        <f t="shared" si="11"/>
        <v>1.9728896384839267</v>
      </c>
      <c r="R42" s="25">
        <v>8022500000000</v>
      </c>
      <c r="S42" s="25">
        <v>15519940744400</v>
      </c>
      <c r="T42">
        <v>2237626840759.8691</v>
      </c>
      <c r="U42" s="26">
        <v>8577554457000</v>
      </c>
      <c r="V42" s="26">
        <v>13033455329000</v>
      </c>
      <c r="W42" s="27">
        <v>11979704707077.766</v>
      </c>
      <c r="X42">
        <v>4066370385606.0166</v>
      </c>
    </row>
    <row r="43" spans="1:24" x14ac:dyDescent="0.15">
      <c r="A43" s="8">
        <v>1998</v>
      </c>
      <c r="B43" s="35">
        <f>HLOOKUP($A43&amp;"*",'NBS Data'!$B$3:$AJ$25,23,FALSE)</f>
        <v>0.99192637943966067</v>
      </c>
      <c r="C43" s="35">
        <f t="shared" si="8"/>
        <v>0.99173527435621112</v>
      </c>
      <c r="D43" s="20">
        <f t="shared" si="10"/>
        <v>1.9506734473509821</v>
      </c>
      <c r="E43" s="20">
        <f t="shared" si="1"/>
        <v>0.28124329436793138</v>
      </c>
      <c r="F43" s="29">
        <f t="shared" si="9"/>
        <v>1.3811124272269788</v>
      </c>
      <c r="G43" s="36">
        <f t="shared" si="3"/>
        <v>0.27062043850907469</v>
      </c>
      <c r="H43" s="36">
        <f t="shared" si="4"/>
        <v>3.6952123997333155</v>
      </c>
      <c r="I43" s="18">
        <f t="shared" si="5"/>
        <v>1.3289463541752446</v>
      </c>
      <c r="J43" s="18">
        <f t="shared" si="6"/>
        <v>0.75247582181043604</v>
      </c>
      <c r="K43" s="18">
        <f t="shared" si="11"/>
        <v>1.9565842468963832</v>
      </c>
      <c r="R43" s="25">
        <v>8586390000000</v>
      </c>
      <c r="S43" s="25">
        <v>16749242981600</v>
      </c>
      <c r="T43">
        <v>2414864610327.8623</v>
      </c>
      <c r="U43" s="26">
        <v>9062818202000</v>
      </c>
      <c r="V43" s="26">
        <v>13617762512000</v>
      </c>
      <c r="W43" s="27">
        <v>12516770844481.064</v>
      </c>
      <c r="X43">
        <v>4388459129025.543</v>
      </c>
    </row>
    <row r="44" spans="1:24" x14ac:dyDescent="0.15">
      <c r="A44" s="8">
        <v>1999</v>
      </c>
      <c r="B44" s="35">
        <f>HLOOKUP($A44&amp;"*",'NBS Data'!$B$3:$AJ$25,23,FALSE)</f>
        <v>0.98814257565477648</v>
      </c>
      <c r="C44" s="35">
        <f t="shared" si="8"/>
        <v>0.98780319089253421</v>
      </c>
      <c r="D44" s="20">
        <f t="shared" si="10"/>
        <v>1.974759208449653</v>
      </c>
      <c r="E44" s="20">
        <f t="shared" si="1"/>
        <v>0.28471592009518887</v>
      </c>
      <c r="F44" s="29">
        <f t="shared" si="9"/>
        <v>1.3618408689081141</v>
      </c>
      <c r="G44" s="36">
        <f t="shared" si="3"/>
        <v>0.27396189949999483</v>
      </c>
      <c r="H44" s="36">
        <f t="shared" si="4"/>
        <v>3.6501425994822281</v>
      </c>
      <c r="I44" s="18">
        <f t="shared" si="5"/>
        <v>1.3104027029400205</v>
      </c>
      <c r="J44" s="18">
        <f t="shared" si="6"/>
        <v>0.76312418904234491</v>
      </c>
      <c r="K44" s="18">
        <f t="shared" si="11"/>
        <v>1.9327201623343131</v>
      </c>
      <c r="R44" s="25">
        <v>9137890000000</v>
      </c>
      <c r="S44" s="25">
        <v>18045132423300</v>
      </c>
      <c r="T44">
        <v>2601702759078.6255</v>
      </c>
      <c r="U44" s="26">
        <v>9631174489000</v>
      </c>
      <c r="V44" s="26">
        <v>14269838863000</v>
      </c>
      <c r="W44" s="27">
        <v>13116127034705.422</v>
      </c>
      <c r="X44">
        <v>4727994346043.0303</v>
      </c>
    </row>
    <row r="45" spans="1:24" x14ac:dyDescent="0.15">
      <c r="A45" s="8">
        <v>2000</v>
      </c>
      <c r="B45" s="35">
        <f>HLOOKUP($A45&amp;"*",'NBS Data'!$B$3:$AJ$25,23,FALSE)</f>
        <v>1.0208702849699576</v>
      </c>
      <c r="C45" s="35">
        <f t="shared" si="8"/>
        <v>1.0209978437202267</v>
      </c>
      <c r="D45" s="20">
        <f t="shared" si="10"/>
        <v>1.9341463065721962</v>
      </c>
      <c r="E45" s="20">
        <f t="shared" si="1"/>
        <v>0.27886045190630837</v>
      </c>
      <c r="F45" s="29">
        <f t="shared" si="9"/>
        <v>1.3316766767829737</v>
      </c>
      <c r="G45" s="36">
        <f t="shared" si="3"/>
        <v>0.26832759852043891</v>
      </c>
      <c r="H45" s="36">
        <f t="shared" si="4"/>
        <v>3.726787723342698</v>
      </c>
      <c r="I45" s="18">
        <f t="shared" si="5"/>
        <v>1.2813778441659718</v>
      </c>
      <c r="J45" s="18">
        <f t="shared" si="6"/>
        <v>0.780409934940684</v>
      </c>
      <c r="K45" s="18">
        <f t="shared" si="11"/>
        <v>1.9733031182579404</v>
      </c>
      <c r="R45" s="25">
        <v>10130860000000</v>
      </c>
      <c r="S45" s="25">
        <v>19594565451400</v>
      </c>
      <c r="T45">
        <v>2825096197799.5435</v>
      </c>
      <c r="U45" s="26">
        <v>10250947997000</v>
      </c>
      <c r="V45" s="26">
        <v>14851703780000</v>
      </c>
      <c r="W45" s="27">
        <v>13650948362520.041</v>
      </c>
      <c r="X45">
        <v>5133960366384.8994</v>
      </c>
    </row>
    <row r="46" spans="1:24" x14ac:dyDescent="0.15">
      <c r="A46" s="8">
        <v>2001</v>
      </c>
      <c r="B46" s="35">
        <f>HLOOKUP($A46&amp;"*",'NBS Data'!$B$3:$AJ$25,23,FALSE)</f>
        <v>1.022239775469034</v>
      </c>
      <c r="C46" s="35">
        <f t="shared" si="8"/>
        <v>1.0221204915451887</v>
      </c>
      <c r="D46" s="20">
        <f t="shared" si="10"/>
        <v>1.8922879666058294</v>
      </c>
      <c r="E46" s="20">
        <f t="shared" si="1"/>
        <v>0.27282541952049277</v>
      </c>
      <c r="F46" s="29">
        <f t="shared" si="9"/>
        <v>1.3023511498722435</v>
      </c>
      <c r="G46" s="36">
        <f t="shared" si="3"/>
        <v>0.26252051567305451</v>
      </c>
      <c r="H46" s="36">
        <f t="shared" si="4"/>
        <v>3.8092260996676135</v>
      </c>
      <c r="I46" s="18">
        <f t="shared" si="5"/>
        <v>1.2531599733366348</v>
      </c>
      <c r="J46" s="18">
        <f t="shared" si="6"/>
        <v>0.79798271671367149</v>
      </c>
      <c r="K46" s="18">
        <f t="shared" si="11"/>
        <v>2.0169535532014597</v>
      </c>
      <c r="R46" s="25">
        <v>11215730000000</v>
      </c>
      <c r="S46" s="25">
        <v>21223390915700</v>
      </c>
      <c r="T46">
        <v>3059936242478.5762</v>
      </c>
      <c r="U46" s="26">
        <v>10581929774000</v>
      </c>
      <c r="V46" s="26">
        <v>14993617505000</v>
      </c>
      <c r="W46" s="27">
        <v>13781388409036.23</v>
      </c>
      <c r="X46">
        <v>5560727951418.3916</v>
      </c>
    </row>
    <row r="47" spans="1:24" x14ac:dyDescent="0.15">
      <c r="A47" s="8">
        <v>2002</v>
      </c>
      <c r="B47" s="35">
        <f>HLOOKUP($A47&amp;"*",'NBS Data'!$B$3:$AJ$25,23,FALSE)</f>
        <v>1.0068268882006373</v>
      </c>
      <c r="C47" s="35">
        <f t="shared" si="8"/>
        <v>1.0064269600580269</v>
      </c>
      <c r="D47" s="20">
        <f t="shared" si="10"/>
        <v>1.8802039707846525</v>
      </c>
      <c r="E47" s="20">
        <f t="shared" si="1"/>
        <v>0.2710831787582107</v>
      </c>
      <c r="F47" s="29">
        <f t="shared" si="9"/>
        <v>1.2824218870728672</v>
      </c>
      <c r="G47" s="36">
        <f t="shared" si="3"/>
        <v>0.26084408118192548</v>
      </c>
      <c r="H47" s="36">
        <f t="shared" si="4"/>
        <v>3.8337078436621717</v>
      </c>
      <c r="I47" s="18">
        <f t="shared" si="5"/>
        <v>1.2339834598128165</v>
      </c>
      <c r="J47" s="18">
        <f t="shared" si="6"/>
        <v>0.81038363362803134</v>
      </c>
      <c r="K47" s="18">
        <f t="shared" si="11"/>
        <v>2.0299164331267816</v>
      </c>
      <c r="R47" s="25">
        <v>12331190000000</v>
      </c>
      <c r="S47" s="25">
        <v>23185152402500</v>
      </c>
      <c r="T47">
        <v>3342778183071.4604</v>
      </c>
      <c r="U47" s="26">
        <v>10929112955000</v>
      </c>
      <c r="V47" s="26">
        <v>15248576073000</v>
      </c>
      <c r="W47" s="27">
        <v>14015733659783.621</v>
      </c>
      <c r="X47">
        <v>6074727904441.6875</v>
      </c>
    </row>
    <row r="48" spans="1:24" x14ac:dyDescent="0.15">
      <c r="A48" s="8">
        <v>2003</v>
      </c>
      <c r="B48" s="35">
        <f>HLOOKUP($A48&amp;"*",'NBS Data'!$B$3:$AJ$25,23,FALSE)</f>
        <v>1.0265964041873898</v>
      </c>
      <c r="C48" s="35">
        <f t="shared" si="8"/>
        <v>1.0264267979825423</v>
      </c>
      <c r="D48" s="20">
        <f t="shared" si="10"/>
        <v>1.8317954816458635</v>
      </c>
      <c r="E48" s="20">
        <f t="shared" si="1"/>
        <v>0.26410376199357705</v>
      </c>
      <c r="F48" s="29">
        <f t="shared" si="9"/>
        <v>1.2575944865082458</v>
      </c>
      <c r="G48" s="36">
        <f t="shared" si="3"/>
        <v>0.25412828434976426</v>
      </c>
      <c r="H48" s="36">
        <f t="shared" si="4"/>
        <v>3.9350204663707187</v>
      </c>
      <c r="I48" s="18">
        <f t="shared" si="5"/>
        <v>1.2100938163532695</v>
      </c>
      <c r="J48" s="18">
        <f t="shared" si="6"/>
        <v>0.82638220812795593</v>
      </c>
      <c r="K48" s="18">
        <f t="shared" si="11"/>
        <v>2.083560624626466</v>
      </c>
      <c r="R48" s="25">
        <v>13937730000000</v>
      </c>
      <c r="S48" s="25">
        <v>25531070838400</v>
      </c>
      <c r="T48">
        <v>3681006926650.7383</v>
      </c>
      <c r="U48" s="26">
        <v>11456442041000</v>
      </c>
      <c r="V48" s="26">
        <v>15674866175000</v>
      </c>
      <c r="W48" s="27">
        <v>14407558345762.875</v>
      </c>
      <c r="X48">
        <v>6689380589777.0361</v>
      </c>
    </row>
    <row r="49" spans="1:25" x14ac:dyDescent="0.15">
      <c r="A49" s="8">
        <v>2004</v>
      </c>
      <c r="B49" s="35">
        <f>HLOOKUP($A49&amp;"*",'NBS Data'!$B$3:$AJ$25,23,FALSE)</f>
        <v>1.0702071246408575</v>
      </c>
      <c r="C49" s="35">
        <f t="shared" si="8"/>
        <v>1.0699019221145223</v>
      </c>
      <c r="D49" s="20">
        <f t="shared" si="10"/>
        <v>1.7121153292495799</v>
      </c>
      <c r="E49" s="20">
        <f t="shared" si="1"/>
        <v>0.24684857231736743</v>
      </c>
      <c r="F49" s="29">
        <f t="shared" si="9"/>
        <v>1.2246616759947024</v>
      </c>
      <c r="G49" s="36">
        <f t="shared" si="3"/>
        <v>0.23752484138687469</v>
      </c>
      <c r="H49" s="36">
        <f t="shared" si="4"/>
        <v>4.2100859605300158</v>
      </c>
      <c r="I49" s="18">
        <f t="shared" si="5"/>
        <v>1.1784049128274419</v>
      </c>
      <c r="J49" s="18">
        <f t="shared" si="6"/>
        <v>0.84860474452759993</v>
      </c>
      <c r="K49" s="18">
        <f t="shared" si="11"/>
        <v>2.2292055171299903</v>
      </c>
      <c r="R49" s="25">
        <v>16422800000000</v>
      </c>
      <c r="S49" s="25">
        <v>28117727629200</v>
      </c>
      <c r="T49">
        <v>4053944733453.6616</v>
      </c>
      <c r="U49" s="26">
        <v>12217193198000</v>
      </c>
      <c r="V49" s="26">
        <v>16277999239000</v>
      </c>
      <c r="W49" s="27">
        <v>14961928297813.758</v>
      </c>
      <c r="X49">
        <v>7367108987395.5068</v>
      </c>
    </row>
    <row r="50" spans="1:25" x14ac:dyDescent="0.15">
      <c r="A50" s="8">
        <v>2005</v>
      </c>
      <c r="B50" s="35">
        <f>HLOOKUP($A50&amp;"*",'NBS Data'!$B$3:$AJ$25,23,FALSE)</f>
        <v>1.0370985934352885</v>
      </c>
      <c r="C50" s="35">
        <f t="shared" si="8"/>
        <v>1.0374871769990521</v>
      </c>
      <c r="D50" s="20">
        <f t="shared" si="10"/>
        <v>1.6502520389716047</v>
      </c>
      <c r="E50" s="20">
        <f t="shared" si="1"/>
        <v>0.23792927545512491</v>
      </c>
      <c r="F50" s="29">
        <f t="shared" si="9"/>
        <v>1.1874298653020197</v>
      </c>
      <c r="G50" s="36">
        <f t="shared" si="3"/>
        <v>0.2289424357744054</v>
      </c>
      <c r="H50" s="36">
        <f t="shared" si="4"/>
        <v>4.3679101981136297</v>
      </c>
      <c r="I50" s="18">
        <f t="shared" si="5"/>
        <v>1.1425793868934462</v>
      </c>
      <c r="J50" s="18">
        <f t="shared" si="6"/>
        <v>0.87521270860565359</v>
      </c>
      <c r="K50" s="18">
        <f t="shared" si="11"/>
        <v>2.3127721389179059</v>
      </c>
      <c r="R50" s="25">
        <v>18990750000000</v>
      </c>
      <c r="S50" s="25">
        <v>31339523909100</v>
      </c>
      <c r="T50">
        <v>4518455387849.4131</v>
      </c>
      <c r="U50" s="26">
        <v>13039199193000</v>
      </c>
      <c r="V50" s="26">
        <v>16845051471000</v>
      </c>
      <c r="W50" s="27">
        <v>15483134541390.193</v>
      </c>
      <c r="X50">
        <v>8211249902415.957</v>
      </c>
    </row>
    <row r="51" spans="1:25" x14ac:dyDescent="0.15">
      <c r="A51" s="8">
        <v>2006</v>
      </c>
      <c r="B51" s="35">
        <f>HLOOKUP($A51&amp;"*",'NBS Data'!$B$3:$AJ$25,23,FALSE)</f>
        <v>1.0399608336851893</v>
      </c>
      <c r="C51" s="35">
        <f t="shared" si="8"/>
        <v>1.0401945759696591</v>
      </c>
      <c r="D51" s="20">
        <f t="shared" si="10"/>
        <v>1.5864839877993553</v>
      </c>
      <c r="E51" s="20">
        <f t="shared" si="1"/>
        <v>0.2287353548573636</v>
      </c>
      <c r="F51" s="29">
        <f t="shared" si="9"/>
        <v>1.1519068005990671</v>
      </c>
      <c r="G51" s="36">
        <f t="shared" si="3"/>
        <v>0.22009577925455673</v>
      </c>
      <c r="H51" s="36">
        <f t="shared" si="4"/>
        <v>4.5434764964003582</v>
      </c>
      <c r="I51" s="18">
        <f t="shared" si="5"/>
        <v>1.1083980658109145</v>
      </c>
      <c r="J51" s="18">
        <f t="shared" si="6"/>
        <v>0.90220294571552739</v>
      </c>
      <c r="K51" s="18">
        <f t="shared" si="11"/>
        <v>2.4057330343561532</v>
      </c>
      <c r="R51" s="25">
        <v>22257840000000</v>
      </c>
      <c r="S51" s="25">
        <v>35311706763000</v>
      </c>
      <c r="T51">
        <v>5091154930758.4219</v>
      </c>
      <c r="U51" s="26">
        <v>13815586948000</v>
      </c>
      <c r="V51" s="26">
        <v>17314108606000</v>
      </c>
      <c r="W51" s="27">
        <v>15914268559668.91</v>
      </c>
      <c r="X51">
        <v>9251999154576.5469</v>
      </c>
    </row>
    <row r="52" spans="1:25" x14ac:dyDescent="0.15">
      <c r="A52" s="8">
        <v>2007</v>
      </c>
      <c r="B52" s="35">
        <f>HLOOKUP($A52&amp;"*",'NBS Data'!$B$3:$AJ$25,23,FALSE)</f>
        <v>1.0786639807691714</v>
      </c>
      <c r="C52" s="35">
        <f t="shared" si="8"/>
        <v>1.0791365944548896</v>
      </c>
      <c r="D52" s="20">
        <f t="shared" si="10"/>
        <v>1.4701419597402725</v>
      </c>
      <c r="E52" s="20">
        <f t="shared" si="1"/>
        <v>0.21196144772840916</v>
      </c>
      <c r="F52" s="29">
        <f t="shared" si="9"/>
        <v>1.121522279378961</v>
      </c>
      <c r="G52" s="36">
        <f t="shared" si="3"/>
        <v>0.20395544028949822</v>
      </c>
      <c r="H52" s="36">
        <f t="shared" si="4"/>
        <v>4.9030317533113168</v>
      </c>
      <c r="I52" s="18">
        <f t="shared" si="5"/>
        <v>1.0791612000042003</v>
      </c>
      <c r="J52" s="18">
        <f t="shared" si="6"/>
        <v>0.92664562068772283</v>
      </c>
      <c r="K52" s="18">
        <f t="shared" si="11"/>
        <v>2.5961145538627273</v>
      </c>
      <c r="R52" s="25">
        <v>27417970000000</v>
      </c>
      <c r="S52" s="25">
        <v>40308308147900</v>
      </c>
      <c r="T52">
        <v>5811552614974.0908</v>
      </c>
      <c r="U52" s="26">
        <v>14474226905000</v>
      </c>
      <c r="V52" s="26">
        <v>17661058808000</v>
      </c>
      <c r="W52" s="27">
        <v>16233167950743.883</v>
      </c>
      <c r="X52">
        <v>10561155692920.074</v>
      </c>
    </row>
    <row r="53" spans="1:25" x14ac:dyDescent="0.15">
      <c r="A53" s="8">
        <v>2008</v>
      </c>
      <c r="B53" s="35">
        <f>HLOOKUP($A53&amp;"*",'NBS Data'!$B$3:$AJ$25,23,FALSE)</f>
        <v>1.0782733234278843</v>
      </c>
      <c r="C53" s="35">
        <f t="shared" si="8"/>
        <v>1.0785658646463208</v>
      </c>
      <c r="D53" s="20">
        <f t="shared" si="10"/>
        <v>1.3630525570381891</v>
      </c>
      <c r="E53" s="20">
        <f t="shared" si="1"/>
        <v>0.19652156134008081</v>
      </c>
      <c r="F53" s="29">
        <f t="shared" si="9"/>
        <v>1.1003224850040205</v>
      </c>
      <c r="G53" s="36">
        <f t="shared" si="3"/>
        <v>0.18909873469468513</v>
      </c>
      <c r="H53" s="36">
        <f t="shared" si="4"/>
        <v>5.2882426823985842</v>
      </c>
      <c r="I53" s="18">
        <f t="shared" si="5"/>
        <v>1.0587621442224715</v>
      </c>
      <c r="J53" s="18">
        <f t="shared" si="6"/>
        <v>0.94449920169215629</v>
      </c>
      <c r="K53" s="18">
        <f t="shared" si="11"/>
        <v>2.8000805385078493</v>
      </c>
      <c r="R53" s="25">
        <v>32431780000000</v>
      </c>
      <c r="S53" s="25">
        <v>44206220658300</v>
      </c>
      <c r="T53">
        <v>6373544042638.0059</v>
      </c>
      <c r="U53" s="26">
        <v>14769857911000</v>
      </c>
      <c r="V53" s="26">
        <v>17681119519000</v>
      </c>
      <c r="W53" s="27">
        <v>16251606759787.813</v>
      </c>
      <c r="X53">
        <v>11582445416831.744</v>
      </c>
    </row>
    <row r="54" spans="1:25" x14ac:dyDescent="0.15">
      <c r="A54" s="8">
        <v>2009</v>
      </c>
      <c r="B54" s="35">
        <f>HLOOKUP($A54&amp;"*",'NBS Data'!$B$3:$AJ$25,23,FALSE)</f>
        <v>0.99920498793753743</v>
      </c>
      <c r="C54" s="35">
        <f t="shared" si="8"/>
        <v>0.99918033058016875</v>
      </c>
      <c r="D54" s="20">
        <f t="shared" si="10"/>
        <v>1.3641707260657743</v>
      </c>
      <c r="E54" s="20">
        <f t="shared" si="1"/>
        <v>0.19668277619713712</v>
      </c>
      <c r="F54" s="29">
        <f t="shared" si="9"/>
        <v>1.0935773631688317</v>
      </c>
      <c r="G54" s="36">
        <f t="shared" si="3"/>
        <v>0.18925386029655522</v>
      </c>
      <c r="H54" s="36">
        <f t="shared" si="4"/>
        <v>5.2839080715871765</v>
      </c>
      <c r="I54" s="18">
        <f t="shared" si="5"/>
        <v>1.0522717927531564</v>
      </c>
      <c r="J54" s="18">
        <f t="shared" si="6"/>
        <v>0.95032481806207802</v>
      </c>
      <c r="K54" s="18">
        <f t="shared" si="11"/>
        <v>2.7977853981173695</v>
      </c>
      <c r="R54" s="25">
        <v>35452160000000</v>
      </c>
      <c r="S54" s="25">
        <v>48362798847800</v>
      </c>
      <c r="T54">
        <v>6972829250985.0967</v>
      </c>
      <c r="U54" s="26">
        <v>14478064934000</v>
      </c>
      <c r="V54" s="26">
        <v>17225565434000</v>
      </c>
      <c r="W54" s="27">
        <v>15832884074310.844</v>
      </c>
      <c r="X54">
        <v>12671507980510.502</v>
      </c>
    </row>
    <row r="55" spans="1:25" x14ac:dyDescent="0.15">
      <c r="A55" s="8">
        <v>2010</v>
      </c>
      <c r="B55" s="35">
        <f>HLOOKUP($A55&amp;"*",'NBS Data'!$B$3:$AJ$25,23,FALSE)</f>
        <v>1.0692485304680117</v>
      </c>
      <c r="C55" s="35">
        <f t="shared" si="8"/>
        <v>1.0692845731295997</v>
      </c>
      <c r="D55" s="20">
        <f t="shared" si="10"/>
        <v>1.2757789276554292</v>
      </c>
      <c r="E55" s="20">
        <f t="shared" si="1"/>
        <v>0.18393866435525461</v>
      </c>
      <c r="F55" s="29">
        <f t="shared" si="9"/>
        <v>1.0804471531035966</v>
      </c>
      <c r="G55" s="36">
        <f t="shared" si="3"/>
        <v>0.1769911070003039</v>
      </c>
      <c r="H55" s="36">
        <f t="shared" si="4"/>
        <v>5.6500013867831393</v>
      </c>
      <c r="I55" s="18">
        <f t="shared" si="5"/>
        <v>1.0396375245706708</v>
      </c>
      <c r="J55" s="18">
        <f t="shared" si="6"/>
        <v>0.96187370729328037</v>
      </c>
      <c r="K55" s="18">
        <f t="shared" si="11"/>
        <v>2.9916287651341587</v>
      </c>
      <c r="R55" s="25">
        <v>41925330000000</v>
      </c>
      <c r="S55" s="25">
        <v>53487452549000</v>
      </c>
      <c r="T55">
        <v>7711689202853.2861</v>
      </c>
      <c r="U55" s="26">
        <v>15048964444000</v>
      </c>
      <c r="V55" s="26">
        <v>17689827595000</v>
      </c>
      <c r="W55" s="27">
        <v>16259610790677.049</v>
      </c>
      <c r="X55">
        <v>14014215429607.246</v>
      </c>
    </row>
    <row r="56" spans="1:25" x14ac:dyDescent="0.15">
      <c r="A56" s="8">
        <v>2011</v>
      </c>
      <c r="B56" s="35">
        <f>HLOOKUP($A56&amp;"*",'NBS Data'!$B$3:$AJ$25,23,FALSE)</f>
        <v>1.0797792278944733</v>
      </c>
      <c r="C56" s="35">
        <f t="shared" si="8"/>
        <v>1.0801606292876189</v>
      </c>
      <c r="D56" s="20">
        <f t="shared" si="10"/>
        <v>1.1811011187260394</v>
      </c>
      <c r="E56" s="20">
        <f t="shared" si="1"/>
        <v>0.17028825099519201</v>
      </c>
      <c r="F56" s="29">
        <f t="shared" si="9"/>
        <v>1.0586067351111854</v>
      </c>
      <c r="G56" s="36">
        <f t="shared" si="3"/>
        <v>0.16385628415010089</v>
      </c>
      <c r="H56" s="36">
        <f t="shared" si="4"/>
        <v>6.1029090534235957</v>
      </c>
      <c r="I56" s="18">
        <f t="shared" si="5"/>
        <v>1.0186220422011765</v>
      </c>
      <c r="J56" s="18">
        <f t="shared" si="6"/>
        <v>0.98171839855248422</v>
      </c>
      <c r="K56" s="18">
        <f t="shared" si="11"/>
        <v>3.2314396095422557</v>
      </c>
      <c r="R56" s="25">
        <v>49570760000000</v>
      </c>
      <c r="S56" s="25">
        <v>58548080092100</v>
      </c>
      <c r="T56">
        <v>8441318020902.4248</v>
      </c>
      <c r="U56" s="26">
        <v>15599728123000</v>
      </c>
      <c r="V56" s="26">
        <v>17966568471000</v>
      </c>
      <c r="W56" s="27">
        <v>16513977256911.17</v>
      </c>
      <c r="X56">
        <v>15340147423340.48</v>
      </c>
    </row>
    <row r="57" spans="1:25" x14ac:dyDescent="0.15">
      <c r="A57" s="8">
        <v>2012</v>
      </c>
      <c r="B57" s="35">
        <f>HLOOKUP($A57&amp;"*",'NBS Data'!$B$3:$AJ$25,23,FALSE)</f>
        <v>1.0236359022648474</v>
      </c>
      <c r="C57" s="35">
        <f t="shared" si="8"/>
        <v>1.0240518412725619</v>
      </c>
      <c r="D57" s="20">
        <f t="shared" si="10"/>
        <v>1.1533606709386084</v>
      </c>
      <c r="E57" s="20">
        <f t="shared" si="1"/>
        <v>0.16628870154032374</v>
      </c>
      <c r="F57" s="29">
        <f t="shared" si="9"/>
        <v>1.0392537086902269</v>
      </c>
      <c r="G57" s="37">
        <f>E57/$F$57</f>
        <v>0.16000780189651442</v>
      </c>
      <c r="H57" s="37">
        <f t="shared" si="4"/>
        <v>6.2496952532774204</v>
      </c>
      <c r="I57" s="21">
        <f t="shared" si="5"/>
        <v>1</v>
      </c>
      <c r="J57" s="21">
        <f t="shared" si="6"/>
        <v>1</v>
      </c>
      <c r="K57" s="18">
        <f t="shared" si="11"/>
        <v>3.3091616821128351</v>
      </c>
      <c r="R57" s="25">
        <v>54751060000000</v>
      </c>
      <c r="S57" s="25">
        <v>63147719296200</v>
      </c>
      <c r="T57">
        <v>9104482675356.3574</v>
      </c>
      <c r="U57" s="26">
        <v>16253972230000</v>
      </c>
      <c r="V57" s="26">
        <v>18377843595000</v>
      </c>
      <c r="W57" s="27">
        <v>16892000920975.459</v>
      </c>
      <c r="X57">
        <v>16545296138278.295</v>
      </c>
      <c r="Y57" s="28"/>
    </row>
    <row r="58" spans="1:25" x14ac:dyDescent="0.15">
      <c r="A58" s="8">
        <v>2013</v>
      </c>
      <c r="B58" s="35">
        <f>HLOOKUP($A58&amp;"*",'NBS Data'!$B$3:$AJ$25,23,FALSE)</f>
        <v>1.0227780396978949</v>
      </c>
      <c r="C58" s="35">
        <f t="shared" si="8"/>
        <v>1.0229799397401944</v>
      </c>
      <c r="D58" s="20">
        <f t="shared" si="10"/>
        <v>1.1274518943465563</v>
      </c>
      <c r="E58" s="20">
        <f t="shared" si="1"/>
        <v>0.16255323792816112</v>
      </c>
      <c r="F58" s="29">
        <f t="shared" si="9"/>
        <v>1.0241375762933806</v>
      </c>
      <c r="G58" s="36">
        <f t="shared" si="3"/>
        <v>0.15641343068482019</v>
      </c>
      <c r="H58" s="36">
        <f t="shared" si="4"/>
        <v>6.3933128735923139</v>
      </c>
      <c r="I58" s="18">
        <f t="shared" si="5"/>
        <v>0.98545481986694361</v>
      </c>
      <c r="J58" s="18">
        <f t="shared" si="6"/>
        <v>1.0147598650286376</v>
      </c>
      <c r="K58" s="18">
        <f t="shared" si="11"/>
        <v>3.3852060181583479</v>
      </c>
      <c r="R58" s="25">
        <v>60366040000000</v>
      </c>
      <c r="S58" s="25">
        <v>68059806152200</v>
      </c>
      <c r="T58">
        <v>9812695262900.8906</v>
      </c>
      <c r="U58" s="26">
        <v>16843190993000</v>
      </c>
      <c r="V58" s="26">
        <v>18767055098000</v>
      </c>
      <c r="W58" s="27">
        <v>17249744800617.518</v>
      </c>
      <c r="X58">
        <v>17832309075487.496</v>
      </c>
    </row>
    <row r="59" spans="1:25" x14ac:dyDescent="0.15">
      <c r="A59" s="8">
        <v>2014</v>
      </c>
      <c r="B59" s="35">
        <f>HLOOKUP($A59&amp;"*",'NBS Data'!$B$3:$AJ$25,23,FALSE)</f>
        <v>1.0105526296758289</v>
      </c>
      <c r="C59" s="35">
        <f t="shared" si="8"/>
        <v>1.0109109126562734</v>
      </c>
      <c r="D59" s="20">
        <f t="shared" si="10"/>
        <v>1.1152831374468593</v>
      </c>
      <c r="E59" s="20">
        <f t="shared" si="1"/>
        <v>0.1607987765222908</v>
      </c>
      <c r="F59" s="29">
        <f t="shared" si="9"/>
        <v>1.0076587974007361</v>
      </c>
      <c r="G59" s="36">
        <f t="shared" si="3"/>
        <v>0.15472523713670047</v>
      </c>
      <c r="H59" s="36">
        <f t="shared" si="4"/>
        <v>6.4630697519403073</v>
      </c>
      <c r="I59" s="18">
        <f t="shared" si="5"/>
        <v>0.96959846183343434</v>
      </c>
      <c r="J59" s="18">
        <f t="shared" si="6"/>
        <v>1.0313547714474287</v>
      </c>
      <c r="K59" s="18">
        <f t="shared" si="11"/>
        <v>3.4221417053459646</v>
      </c>
      <c r="R59" s="25">
        <v>65578290000000</v>
      </c>
      <c r="S59" s="25">
        <v>73138361019600</v>
      </c>
      <c r="T59">
        <v>10544908798423.977</v>
      </c>
      <c r="U59" s="26">
        <v>17550680174000</v>
      </c>
      <c r="V59" s="26">
        <v>19240701753000</v>
      </c>
      <c r="W59" s="27">
        <v>17685097277697.781</v>
      </c>
      <c r="X59">
        <v>19162938196730.898</v>
      </c>
    </row>
    <row r="60" spans="1:25" x14ac:dyDescent="0.15">
      <c r="A60" s="8">
        <v>2015</v>
      </c>
      <c r="B60" s="35">
        <f>HLOOKUP($A60&amp;"*",'NBS Data'!$B$3:$AJ$25,23,FALSE)</f>
        <v>1.0011740222843837</v>
      </c>
      <c r="C60" s="35">
        <f t="shared" si="8"/>
        <v>1.001372612006024</v>
      </c>
      <c r="D60" s="20">
        <f t="shared" si="10"/>
        <v>1.1137543848065121</v>
      </c>
      <c r="E60" s="20">
        <f t="shared" si="1"/>
        <v>0.16057836473095335</v>
      </c>
      <c r="F60" s="29">
        <f>W60/U60</f>
        <v>1</v>
      </c>
      <c r="G60" s="36">
        <f t="shared" si="3"/>
        <v>0.15451315053119274</v>
      </c>
      <c r="H60" s="36">
        <f t="shared" si="4"/>
        <v>6.471941039077592</v>
      </c>
      <c r="I60" s="18">
        <f t="shared" si="5"/>
        <v>0.9622289452883469</v>
      </c>
      <c r="J60" s="18">
        <f t="shared" si="6"/>
        <v>1.0392537086902269</v>
      </c>
      <c r="K60" s="18">
        <f t="shared" si="11"/>
        <v>3.4268389781370385</v>
      </c>
      <c r="R60" s="25">
        <v>70251150000000</v>
      </c>
      <c r="S60" s="25">
        <v>78242526350200</v>
      </c>
      <c r="T60">
        <v>11280814787468.914</v>
      </c>
      <c r="U60" s="26">
        <v>18206020741000</v>
      </c>
      <c r="V60" s="26">
        <v>19807446331000</v>
      </c>
      <c r="W60" s="27">
        <v>18206020741000</v>
      </c>
      <c r="X60">
        <v>20500277500109.219</v>
      </c>
    </row>
    <row r="61" spans="1:25" x14ac:dyDescent="0.15">
      <c r="A61" s="8">
        <v>2016</v>
      </c>
      <c r="B61" s="35">
        <f>HLOOKUP($A61&amp;"*",'NBS Data'!$B$3:$AJ$25,23,FALSE)</f>
        <v>1.0145421506834944</v>
      </c>
      <c r="C61" s="35">
        <f t="shared" si="8"/>
        <v>1.0147744121334066</v>
      </c>
      <c r="D61" s="20">
        <f t="shared" si="10"/>
        <v>1.0975388928707963</v>
      </c>
      <c r="E61" s="20">
        <f t="shared" si="1"/>
        <v>0.15824045503213088</v>
      </c>
      <c r="F61" s="29">
        <f t="shared" si="9"/>
        <v>0.9915571301556646</v>
      </c>
      <c r="G61" s="36">
        <f t="shared" si="3"/>
        <v>0.15226354614751539</v>
      </c>
      <c r="H61" s="36">
        <f t="shared" si="4"/>
        <v>6.5675601632920317</v>
      </c>
      <c r="I61" s="18">
        <f t="shared" si="5"/>
        <v>0.95410497154282525</v>
      </c>
      <c r="J61" s="18">
        <f t="shared" si="6"/>
        <v>1.0481027033985166</v>
      </c>
      <c r="K61" s="18">
        <f t="shared" si="11"/>
        <v>3.4774685095148561</v>
      </c>
      <c r="R61" s="25">
        <v>76119300000000</v>
      </c>
      <c r="S61" s="25">
        <v>83543892248100</v>
      </c>
      <c r="T61">
        <v>12045152668727.279</v>
      </c>
      <c r="U61" s="26">
        <v>18695110842000</v>
      </c>
      <c r="V61" s="26">
        <v>20167833206000</v>
      </c>
      <c r="W61" s="27">
        <v>18537270454435.57</v>
      </c>
      <c r="X61">
        <v>21889285206099.379</v>
      </c>
    </row>
    <row r="62" spans="1:25" x14ac:dyDescent="0.15">
      <c r="A62" s="8">
        <v>2017</v>
      </c>
      <c r="B62" s="35">
        <f>HLOOKUP($A62&amp;"*",'NBS Data'!$B$3:$AJ$25,23,FALSE)</f>
        <v>1.0413751373442564</v>
      </c>
      <c r="C62" s="35">
        <f t="shared" si="8"/>
        <v>1.0414602237470578</v>
      </c>
      <c r="D62" s="20">
        <f t="shared" si="10"/>
        <v>1.0538461938776438</v>
      </c>
      <c r="E62" s="20">
        <f t="shared" si="1"/>
        <v>0.15194094927869578</v>
      </c>
      <c r="F62" s="29">
        <f t="shared" si="9"/>
        <v>0.97512544894834718</v>
      </c>
      <c r="G62" s="36">
        <f t="shared" si="3"/>
        <v>0.14620197937054966</v>
      </c>
      <c r="H62" s="36">
        <f t="shared" si="4"/>
        <v>6.8398526771343837</v>
      </c>
      <c r="I62" s="18">
        <f t="shared" si="5"/>
        <v>0.93829393226539393</v>
      </c>
      <c r="J62" s="18">
        <f t="shared" si="6"/>
        <v>1.0657641125160262</v>
      </c>
      <c r="K62" s="18">
        <f t="shared" si="11"/>
        <v>3.6216451319926906</v>
      </c>
      <c r="R62" s="25">
        <v>84738290000000</v>
      </c>
      <c r="S62" s="25">
        <v>89301124392200</v>
      </c>
      <c r="T62">
        <v>12875216222853.414</v>
      </c>
      <c r="U62" s="26">
        <v>19477336549000</v>
      </c>
      <c r="V62" s="26">
        <v>20663482372000</v>
      </c>
      <c r="W62" s="27">
        <v>18992846546661.676</v>
      </c>
      <c r="X62">
        <v>23397734154416.051</v>
      </c>
    </row>
    <row r="63" spans="1:25" x14ac:dyDescent="0.15">
      <c r="A63" s="8">
        <v>2018</v>
      </c>
      <c r="B63" s="35">
        <f>HLOOKUP($A63&amp;"*",'NBS Data'!$B$3:$AJ$25,23,FALSE)</f>
        <v>1.034259661495248</v>
      </c>
      <c r="C63" s="35">
        <f t="shared" si="8"/>
        <v>1.0346789777292169</v>
      </c>
      <c r="D63" s="20">
        <f t="shared" si="10"/>
        <v>1.0185247951886416</v>
      </c>
      <c r="E63" s="20">
        <f t="shared" si="1"/>
        <v>0.14684839698991145</v>
      </c>
      <c r="F63" s="29">
        <f t="shared" si="9"/>
        <v>0.95242856458541725</v>
      </c>
      <c r="G63" s="36">
        <f t="shared" si="3"/>
        <v>0.14130177815288694</v>
      </c>
      <c r="H63" s="36">
        <f t="shared" si="4"/>
        <v>7.0770517757958515</v>
      </c>
      <c r="I63" s="18">
        <f t="shared" si="5"/>
        <v>0.91645433316352021</v>
      </c>
      <c r="J63" s="18">
        <f t="shared" si="6"/>
        <v>1.091161843872883</v>
      </c>
      <c r="K63" s="18">
        <f t="shared" si="11"/>
        <v>3.7472400828681911</v>
      </c>
      <c r="R63" s="25">
        <v>93601010000000</v>
      </c>
      <c r="S63" s="25">
        <v>95334949539700</v>
      </c>
      <c r="T63">
        <v>13745158275136.672</v>
      </c>
      <c r="U63" s="26">
        <v>20533057312000</v>
      </c>
      <c r="V63" s="26">
        <v>21276465624000</v>
      </c>
      <c r="W63" s="27">
        <v>19556270302218.266</v>
      </c>
      <c r="X63">
        <v>24978653070009.98</v>
      </c>
    </row>
    <row r="64" spans="1:25" x14ac:dyDescent="0.15">
      <c r="A64" s="8">
        <v>2019</v>
      </c>
      <c r="B64" s="35">
        <f>HLOOKUP($A64&amp;"*",'NBS Data'!$B$3:$AJ$25,23,FALSE)</f>
        <v>1.0128542921853674</v>
      </c>
      <c r="C64" s="35">
        <f t="shared" si="8"/>
        <v>1.0131550650702985</v>
      </c>
      <c r="D64" s="20">
        <f t="shared" si="10"/>
        <v>1.0053000081660457</v>
      </c>
      <c r="E64" s="20">
        <f t="shared" si="1"/>
        <v>0.14494167976125377</v>
      </c>
      <c r="F64" s="29">
        <f t="shared" si="9"/>
        <v>0.93829065881000895</v>
      </c>
      <c r="G64" s="36">
        <f t="shared" si="3"/>
        <v>0.13946707964499255</v>
      </c>
      <c r="H64" s="36">
        <f t="shared" si="4"/>
        <v>7.1701508524123181</v>
      </c>
      <c r="I64" s="18">
        <f t="shared" si="5"/>
        <v>0.90285043100066309</v>
      </c>
      <c r="J64" s="18">
        <f t="shared" si="6"/>
        <v>1.1076031706510483</v>
      </c>
      <c r="K64" s="18">
        <f t="shared" si="11"/>
        <v>3.7965352699923529</v>
      </c>
      <c r="R64" s="25">
        <v>100587240000000</v>
      </c>
      <c r="S64" s="25">
        <v>101120353193400</v>
      </c>
      <c r="T64">
        <v>14579283528148.377</v>
      </c>
      <c r="U64" s="26">
        <v>21380976119000</v>
      </c>
      <c r="V64" s="26">
        <v>21826212333000</v>
      </c>
      <c r="W64" s="27">
        <v>20061570168697.578</v>
      </c>
      <c r="X64">
        <v>26494483218696.031</v>
      </c>
    </row>
    <row r="65" spans="1:24" x14ac:dyDescent="0.15">
      <c r="A65" s="8">
        <v>2020</v>
      </c>
      <c r="B65" s="35">
        <f>HLOOKUP($A65&amp;"*",'NBS Data'!$B$3:$AJ$25,23,FALSE)</f>
        <v>1.005694939053587</v>
      </c>
      <c r="C65" s="35">
        <f t="shared" si="8"/>
        <v>1.0053000081660457</v>
      </c>
      <c r="D65" s="20">
        <f>S65/R65</f>
        <v>1</v>
      </c>
      <c r="E65" s="20">
        <f t="shared" si="1"/>
        <v>0.14417753763443095</v>
      </c>
      <c r="F65" s="29">
        <f t="shared" si="9"/>
        <v>0.93196539264050537</v>
      </c>
      <c r="G65" s="36">
        <f t="shared" si="3"/>
        <v>0.13873179997224944</v>
      </c>
      <c r="H65" s="36">
        <f t="shared" si="4"/>
        <v>7.2081527104818814</v>
      </c>
      <c r="I65" s="18">
        <f t="shared" si="5"/>
        <v>0.89676407680571357</v>
      </c>
      <c r="J65" s="18">
        <f t="shared" si="6"/>
        <v>1.1151204936330794</v>
      </c>
      <c r="K65" s="18">
        <f t="shared" si="11"/>
        <v>3.8166569379259934</v>
      </c>
      <c r="R65" s="38">
        <v>103486760000000</v>
      </c>
      <c r="S65" s="38">
        <v>103486760000000</v>
      </c>
      <c r="T65">
        <v>14920466234565.322</v>
      </c>
      <c r="U65" s="39">
        <v>21060473613000</v>
      </c>
      <c r="V65" s="39">
        <v>21354105000000</v>
      </c>
      <c r="W65" s="27">
        <v>19627632559934.547</v>
      </c>
      <c r="X65">
        <v>27114504049775.996</v>
      </c>
    </row>
    <row r="66" spans="1:24" x14ac:dyDescent="0.15">
      <c r="A66" s="8">
        <v>2021</v>
      </c>
      <c r="B66" s="35">
        <f>HLOOKUP($A66&amp;"*",'NBS Data'!$B$3:$AJ$25,23,FALSE)</f>
        <v>1.0444508303528202</v>
      </c>
      <c r="C66" s="35">
        <f t="shared" si="8"/>
        <v>1.0447386132078889</v>
      </c>
      <c r="D66" s="20">
        <f t="shared" si="10"/>
        <v>0.95717721864369676</v>
      </c>
      <c r="E66" s="20">
        <f>T66/R66</f>
        <v>0.13800345446382151</v>
      </c>
      <c r="F66" s="29">
        <f t="shared" si="9"/>
        <v>0.89281682073778346</v>
      </c>
      <c r="G66" s="36">
        <f t="shared" si="3"/>
        <v>0.13279091843487137</v>
      </c>
      <c r="H66" s="36">
        <f t="shared" si="4"/>
        <v>7.5306354665395281</v>
      </c>
      <c r="I66" s="18">
        <f t="shared" si="5"/>
        <v>0.85909418775421253</v>
      </c>
      <c r="J66" s="18">
        <f t="shared" si="6"/>
        <v>1.1640167216287822</v>
      </c>
      <c r="K66" s="18">
        <f t="shared" si="11"/>
        <v>3.98740887641907</v>
      </c>
      <c r="R66" s="25">
        <v>117382300000000</v>
      </c>
      <c r="S66" s="25">
        <v>112355663432000</v>
      </c>
      <c r="T66">
        <v>16199162892908.637</v>
      </c>
      <c r="U66" s="39">
        <v>23315080560000</v>
      </c>
      <c r="V66" s="39">
        <v>22647107361000</v>
      </c>
      <c r="W66" s="27">
        <v>20816096100824.5</v>
      </c>
      <c r="X66">
        <v>29438240129870.07</v>
      </c>
    </row>
    <row r="67" spans="1:24" x14ac:dyDescent="0.15">
      <c r="A67" s="8">
        <v>2022</v>
      </c>
      <c r="B67" s="35">
        <f>HLOOKUP($A67&amp;"*",'NBS Data'!$B$3:$AJ$25,23,FALSE)</f>
        <v>1.0196807638533842</v>
      </c>
      <c r="C67" s="35">
        <f t="shared" si="8"/>
        <v>1.0193427407840761</v>
      </c>
      <c r="D67" s="20">
        <f t="shared" si="10"/>
        <v>0.93901411208112218</v>
      </c>
      <c r="E67" s="20">
        <f t="shared" si="1"/>
        <v>0.13538474248383775</v>
      </c>
      <c r="F67" s="29">
        <f t="shared" si="9"/>
        <v>0.83339974544731588</v>
      </c>
      <c r="G67" s="36">
        <f t="shared" si="3"/>
        <v>0.13027111796835766</v>
      </c>
      <c r="H67" s="36">
        <f t="shared" si="4"/>
        <v>7.67629859630817</v>
      </c>
      <c r="I67" s="18">
        <f t="shared" si="5"/>
        <v>0.80192135806534759</v>
      </c>
      <c r="J67" s="18">
        <f t="shared" si="6"/>
        <v>1.2470050709367828</v>
      </c>
      <c r="K67" s="18">
        <f t="shared" si="11"/>
        <v>4.0645362927157676</v>
      </c>
      <c r="R67" s="25">
        <v>123402940000000</v>
      </c>
      <c r="S67" s="25">
        <v>115877102132300</v>
      </c>
      <c r="T67">
        <v>16706875253648.482</v>
      </c>
      <c r="U67" s="26">
        <v>25604848907611</v>
      </c>
      <c r="V67" s="26">
        <v>23216087697000</v>
      </c>
      <c r="W67" s="27">
        <v>21339074561819.992</v>
      </c>
      <c r="X67">
        <v>30360890176120.648</v>
      </c>
    </row>
    <row r="68" spans="1:24" x14ac:dyDescent="0.15">
      <c r="A68" s="8">
        <v>2023</v>
      </c>
      <c r="B68" s="35">
        <f>HLOOKUP($A68&amp;"*",'NBS Data'!$B$3:$AJ$25,23,FALSE)</f>
        <v>0.99508307071604807</v>
      </c>
      <c r="C68" s="35">
        <f t="shared" si="8"/>
        <v>0.99494295460836446</v>
      </c>
      <c r="D68" s="20">
        <f>S68/R68</f>
        <v>0.94378688519960685</v>
      </c>
      <c r="E68" s="20">
        <f t="shared" si="1"/>
        <v>0.1360728691597487</v>
      </c>
      <c r="F68" s="29">
        <f t="shared" si="9"/>
        <v>0.80445239983374006</v>
      </c>
      <c r="G68" s="36">
        <f t="shared" si="3"/>
        <v>0.13093325337394421</v>
      </c>
      <c r="H68" s="36">
        <f t="shared" si="4"/>
        <v>7.6374792058668923</v>
      </c>
      <c r="I68" s="18">
        <f t="shared" si="5"/>
        <v>0.7740673842266993</v>
      </c>
      <c r="J68" s="18">
        <f t="shared" si="6"/>
        <v>1.2918771936102302</v>
      </c>
      <c r="K68" s="18">
        <f t="shared" si="11"/>
        <v>4.0439817481875551</v>
      </c>
      <c r="R68" s="25">
        <v>129427170000000</v>
      </c>
      <c r="S68" s="25">
        <v>122151665634500</v>
      </c>
      <c r="T68">
        <v>17611526369126.551</v>
      </c>
      <c r="U68" s="26">
        <v>27292170793214.398</v>
      </c>
      <c r="V68" s="26">
        <v>23886465232000</v>
      </c>
      <c r="W68" s="27">
        <v>21955252291273.633</v>
      </c>
      <c r="X68">
        <v>32004884803945.293</v>
      </c>
    </row>
    <row r="69" spans="1:24" x14ac:dyDescent="0.15">
      <c r="A69" s="8">
        <v>2024</v>
      </c>
      <c r="B69" s="35">
        <f>HLOOKUP($A69&amp;"*",'NBS Data'!$B$3:$AJ$25,23,FALSE)</f>
        <v>0.99196526620227532</v>
      </c>
      <c r="C69" s="35">
        <f t="shared" si="8"/>
        <v>0.99292799990204417</v>
      </c>
      <c r="D69" s="20">
        <f t="shared" si="10"/>
        <v>0.95050888412121992</v>
      </c>
      <c r="E69" s="20">
        <f>T69/R69</f>
        <v>0.13704203041224816</v>
      </c>
      <c r="F69" s="29">
        <f t="shared" si="9"/>
        <v>0.78496390400218496</v>
      </c>
      <c r="G69" s="36">
        <f>E69/$F$57</f>
        <v>0.13186580838375112</v>
      </c>
      <c r="H69" s="36">
        <f t="shared" ref="H69:H70" si="12">1/G69</f>
        <v>7.5834669521748665</v>
      </c>
      <c r="I69" s="18">
        <f t="shared" ref="I69" si="13">F69/F$57</f>
        <v>0.75531498943744568</v>
      </c>
      <c r="J69" s="18">
        <f t="shared" ref="J69" si="14">1/I69</f>
        <v>1.3239509528929041</v>
      </c>
      <c r="K69" s="18">
        <f t="shared" si="11"/>
        <v>4.0153827088682412</v>
      </c>
      <c r="R69" s="25">
        <v>134908354627800</v>
      </c>
      <c r="S69" s="25">
        <v>128231589615900</v>
      </c>
      <c r="T69">
        <v>18488114837769.328</v>
      </c>
      <c r="U69" s="26">
        <v>28750956130731.199</v>
      </c>
      <c r="V69" s="26">
        <v>24553614511000</v>
      </c>
      <c r="W69" s="27">
        <v>22568462768174.316</v>
      </c>
      <c r="X69">
        <v>33597882047418.762</v>
      </c>
    </row>
    <row r="70" spans="1:24" x14ac:dyDescent="0.15">
      <c r="A70" s="8">
        <v>2025</v>
      </c>
      <c r="B70" s="35">
        <f>HLOOKUP($A70&amp;"*",'NBS Data'!$B$3:$AJ$25,23,FALSE)</f>
        <v>0.99039872642682347</v>
      </c>
      <c r="C70" s="8"/>
      <c r="D70" s="20">
        <f>D69/B70</f>
        <v>0.95972345153399097</v>
      </c>
      <c r="E70" s="20">
        <f>E69*(D70/D69)</f>
        <v>0.13837056405218795</v>
      </c>
      <c r="G70" s="36">
        <f>E70/$F$57</f>
        <v>0.13314416190689046</v>
      </c>
      <c r="H70" s="36">
        <f t="shared" si="12"/>
        <v>7.5106560113338929</v>
      </c>
      <c r="R70" s="25">
        <f>'NBS Data'!B5*10^8</f>
        <v>140187920000000</v>
      </c>
      <c r="S70" s="25">
        <f>R70*D70</f>
        <v>134541634445771</v>
      </c>
      <c r="T70">
        <f>R70*E70</f>
        <v>19397881563703</v>
      </c>
    </row>
    <row r="71" spans="1:24" x14ac:dyDescent="0.15">
      <c r="A71" s="17"/>
      <c r="B71" s="17"/>
      <c r="C71" s="17"/>
    </row>
    <row r="72" spans="1:24" x14ac:dyDescent="0.15">
      <c r="A72" s="17"/>
      <c r="B72" s="17"/>
      <c r="C72" s="17"/>
      <c r="D72" s="9"/>
    </row>
    <row r="73" spans="1:24" x14ac:dyDescent="0.15">
      <c r="A73" s="17"/>
      <c r="B73" s="17"/>
      <c r="C73" s="17"/>
      <c r="D73" s="9"/>
    </row>
    <row r="74" spans="1:24" x14ac:dyDescent="0.15">
      <c r="A74" s="17"/>
      <c r="B74" s="17"/>
      <c r="C74" s="17"/>
      <c r="D74" s="9"/>
    </row>
    <row r="75" spans="1:24" x14ac:dyDescent="0.15">
      <c r="A75" s="17"/>
      <c r="B75" s="17"/>
      <c r="C75" s="17"/>
      <c r="D75" s="9"/>
    </row>
    <row r="76" spans="1:24" x14ac:dyDescent="0.15">
      <c r="A76" s="17"/>
      <c r="B76" s="17"/>
      <c r="C76" s="17"/>
      <c r="S76" s="9" t="e">
        <f t="shared" ref="S76" si="15">S71/R71</f>
        <v>#DIV/0!</v>
      </c>
    </row>
    <row r="77" spans="1:24" x14ac:dyDescent="0.15">
      <c r="A77" s="17"/>
      <c r="B77" s="17"/>
      <c r="C77" s="17"/>
    </row>
    <row r="78" spans="1:24" x14ac:dyDescent="0.15">
      <c r="A78" s="17"/>
      <c r="B78" s="17"/>
      <c r="C78" s="17"/>
    </row>
    <row r="79" spans="1:24" x14ac:dyDescent="0.15">
      <c r="A79" s="17"/>
      <c r="B79" s="17"/>
      <c r="C79" s="17"/>
    </row>
    <row r="80" spans="1:24" x14ac:dyDescent="0.15">
      <c r="A80" s="17"/>
      <c r="B80" s="17"/>
      <c r="C80" s="17"/>
    </row>
    <row r="81" spans="1:3" x14ac:dyDescent="0.15">
      <c r="A81" s="17"/>
      <c r="B81" s="17"/>
      <c r="C81" s="17"/>
    </row>
    <row r="82" spans="1:3" x14ac:dyDescent="0.15">
      <c r="A82" s="17"/>
      <c r="B82" s="17"/>
      <c r="C82" s="17"/>
    </row>
    <row r="83" spans="1:3" x14ac:dyDescent="0.15">
      <c r="A83" s="17"/>
      <c r="B83" s="17"/>
      <c r="C83" s="17"/>
    </row>
    <row r="84" spans="1:3" x14ac:dyDescent="0.15">
      <c r="A84" s="17"/>
      <c r="B84" s="17"/>
      <c r="C84" s="17"/>
    </row>
    <row r="85" spans="1:3" x14ac:dyDescent="0.15">
      <c r="A85" s="17"/>
      <c r="B85" s="17"/>
      <c r="C85" s="17"/>
    </row>
    <row r="86" spans="1:3" x14ac:dyDescent="0.15">
      <c r="A86" s="17"/>
      <c r="B86" s="17"/>
      <c r="C86" s="17"/>
    </row>
    <row r="87" spans="1:3" x14ac:dyDescent="0.15">
      <c r="A87" s="17"/>
      <c r="B87" s="17"/>
      <c r="C87" s="17"/>
    </row>
    <row r="88" spans="1:3" x14ac:dyDescent="0.15">
      <c r="A88" s="17"/>
      <c r="B88" s="17"/>
      <c r="C88" s="17"/>
    </row>
    <row r="89" spans="1:3" x14ac:dyDescent="0.15">
      <c r="A89" s="17"/>
      <c r="B89" s="17"/>
      <c r="C89" s="17"/>
    </row>
    <row r="90" spans="1:3" x14ac:dyDescent="0.15">
      <c r="A90" s="17"/>
      <c r="B90" s="17"/>
      <c r="C90" s="17"/>
    </row>
    <row r="91" spans="1:3" x14ac:dyDescent="0.15">
      <c r="A91" s="17"/>
      <c r="B91" s="17"/>
      <c r="C91" s="17"/>
    </row>
    <row r="92" spans="1:3" x14ac:dyDescent="0.15">
      <c r="A92" s="17"/>
      <c r="B92" s="17"/>
      <c r="C92" s="17"/>
    </row>
    <row r="93" spans="1:3" x14ac:dyDescent="0.15">
      <c r="A93" s="17"/>
      <c r="B93" s="17"/>
      <c r="C93" s="17"/>
    </row>
    <row r="94" spans="1:3" x14ac:dyDescent="0.15">
      <c r="A94" s="17"/>
      <c r="B94" s="17"/>
      <c r="C94" s="17"/>
    </row>
    <row r="95" spans="1:3" x14ac:dyDescent="0.15">
      <c r="A95" s="17"/>
      <c r="B95" s="17"/>
      <c r="C95" s="17"/>
    </row>
    <row r="96" spans="1:3" x14ac:dyDescent="0.15">
      <c r="A96" s="17"/>
      <c r="B96" s="17"/>
      <c r="C96" s="17"/>
    </row>
    <row r="97" spans="1:3" x14ac:dyDescent="0.15">
      <c r="A97" s="17"/>
      <c r="B97" s="17"/>
      <c r="C97" s="17"/>
    </row>
    <row r="98" spans="1:3" x14ac:dyDescent="0.15">
      <c r="A98" s="17"/>
      <c r="B98" s="17"/>
      <c r="C98" s="17"/>
    </row>
    <row r="99" spans="1:3" x14ac:dyDescent="0.15">
      <c r="A99" s="17"/>
      <c r="B99" s="17"/>
      <c r="C99" s="17"/>
    </row>
    <row r="100" spans="1:3" x14ac:dyDescent="0.15">
      <c r="A100" s="17"/>
      <c r="B100" s="17"/>
      <c r="C100" s="17"/>
    </row>
    <row r="101" spans="1:3" x14ac:dyDescent="0.15">
      <c r="A101" s="17"/>
      <c r="B101" s="17"/>
      <c r="C101" s="17"/>
    </row>
    <row r="102" spans="1:3" x14ac:dyDescent="0.15">
      <c r="A102" s="17"/>
      <c r="B102" s="17"/>
      <c r="C102" s="17"/>
    </row>
    <row r="103" spans="1:3" x14ac:dyDescent="0.15">
      <c r="A103" s="17"/>
      <c r="B103" s="17"/>
      <c r="C103" s="17"/>
    </row>
    <row r="104" spans="1:3" x14ac:dyDescent="0.15">
      <c r="A104" s="17"/>
      <c r="B104" s="17"/>
      <c r="C104" s="17"/>
    </row>
    <row r="105" spans="1:3" x14ac:dyDescent="0.15">
      <c r="A105" s="17"/>
      <c r="B105" s="17"/>
      <c r="C105" s="17"/>
    </row>
    <row r="106" spans="1:3" x14ac:dyDescent="0.15">
      <c r="A106" s="17"/>
      <c r="B106" s="17"/>
      <c r="C106" s="17"/>
    </row>
    <row r="107" spans="1:3" x14ac:dyDescent="0.15">
      <c r="A107" s="17"/>
      <c r="B107" s="17"/>
      <c r="C107" s="17"/>
    </row>
    <row r="108" spans="1:3" x14ac:dyDescent="0.15">
      <c r="A108" s="17"/>
      <c r="B108" s="17"/>
      <c r="C108" s="17"/>
    </row>
    <row r="109" spans="1:3" x14ac:dyDescent="0.15">
      <c r="A109" s="17"/>
      <c r="B109" s="17"/>
      <c r="C109" s="17"/>
    </row>
    <row r="110" spans="1:3" x14ac:dyDescent="0.15">
      <c r="A110" s="17"/>
      <c r="B110" s="17"/>
      <c r="C110" s="17"/>
    </row>
    <row r="111" spans="1:3" x14ac:dyDescent="0.15">
      <c r="A111" s="17"/>
      <c r="B111" s="17"/>
      <c r="C111" s="17"/>
    </row>
    <row r="112" spans="1:3" x14ac:dyDescent="0.15">
      <c r="A112" s="17"/>
      <c r="B112" s="17"/>
      <c r="C112" s="17"/>
    </row>
    <row r="113" spans="1:3" x14ac:dyDescent="0.15">
      <c r="A113" s="17"/>
      <c r="B113" s="17"/>
      <c r="C113" s="17"/>
    </row>
    <row r="114" spans="1:3" x14ac:dyDescent="0.15">
      <c r="A114" s="17"/>
      <c r="B114" s="17"/>
      <c r="C114" s="17"/>
    </row>
    <row r="115" spans="1:3" x14ac:dyDescent="0.15">
      <c r="A115" s="17"/>
      <c r="B115" s="17"/>
      <c r="C115" s="17"/>
    </row>
    <row r="116" spans="1:3" x14ac:dyDescent="0.15">
      <c r="A116" s="17"/>
      <c r="B116" s="17"/>
      <c r="C116" s="17"/>
    </row>
    <row r="117" spans="1:3" x14ac:dyDescent="0.15">
      <c r="A117" s="17"/>
      <c r="B117" s="17"/>
      <c r="C117" s="17"/>
    </row>
    <row r="118" spans="1:3" x14ac:dyDescent="0.15">
      <c r="A118" s="17"/>
      <c r="B118" s="17"/>
      <c r="C118" s="17"/>
    </row>
    <row r="119" spans="1:3" x14ac:dyDescent="0.15">
      <c r="A119" s="17"/>
      <c r="B119" s="17"/>
      <c r="C119" s="17"/>
    </row>
    <row r="120" spans="1:3" x14ac:dyDescent="0.15">
      <c r="A120" s="17"/>
      <c r="B120" s="17"/>
      <c r="C120" s="17"/>
    </row>
    <row r="121" spans="1:3" x14ac:dyDescent="0.15">
      <c r="A121" s="17"/>
      <c r="B121" s="17"/>
      <c r="C121" s="17"/>
    </row>
    <row r="122" spans="1:3" x14ac:dyDescent="0.15">
      <c r="A122" s="17"/>
      <c r="B122" s="17"/>
      <c r="C122" s="17"/>
    </row>
    <row r="123" spans="1:3" x14ac:dyDescent="0.15">
      <c r="A123" s="17"/>
      <c r="B123" s="17"/>
      <c r="C123" s="17"/>
    </row>
    <row r="124" spans="1:3" x14ac:dyDescent="0.15">
      <c r="A124" s="17"/>
      <c r="B124" s="17"/>
      <c r="C124" s="17"/>
    </row>
    <row r="125" spans="1:3" x14ac:dyDescent="0.15">
      <c r="A125" s="17"/>
      <c r="B125" s="17"/>
      <c r="C125" s="17"/>
    </row>
    <row r="126" spans="1:3" x14ac:dyDescent="0.15">
      <c r="A126" s="17"/>
      <c r="B126" s="17"/>
      <c r="C126" s="17"/>
    </row>
    <row r="127" spans="1:3" x14ac:dyDescent="0.15">
      <c r="A127" s="17"/>
      <c r="B127" s="17"/>
      <c r="C127" s="17"/>
    </row>
    <row r="128" spans="1:3" x14ac:dyDescent="0.15">
      <c r="A128" s="17"/>
      <c r="B128" s="17"/>
      <c r="C128" s="17"/>
    </row>
    <row r="129" spans="1:3" x14ac:dyDescent="0.15">
      <c r="A129" s="17"/>
      <c r="B129" s="17"/>
      <c r="C129" s="17"/>
    </row>
    <row r="130" spans="1:3" x14ac:dyDescent="0.15">
      <c r="A130" s="17"/>
      <c r="B130" s="17"/>
      <c r="C130" s="17"/>
    </row>
    <row r="131" spans="1:3" x14ac:dyDescent="0.15">
      <c r="A131" s="17"/>
      <c r="B131" s="17"/>
      <c r="C131" s="17"/>
    </row>
    <row r="132" spans="1:3" x14ac:dyDescent="0.15">
      <c r="A132" s="17"/>
      <c r="B132" s="17"/>
      <c r="C132" s="17"/>
    </row>
    <row r="133" spans="1:3" x14ac:dyDescent="0.15">
      <c r="A133" s="17"/>
      <c r="B133" s="17"/>
      <c r="C133" s="17"/>
    </row>
    <row r="134" spans="1:3" x14ac:dyDescent="0.15">
      <c r="A134" s="17"/>
      <c r="B134" s="17"/>
      <c r="C134" s="17"/>
    </row>
    <row r="135" spans="1:3" x14ac:dyDescent="0.15">
      <c r="A135" s="17"/>
      <c r="B135" s="17"/>
      <c r="C135" s="17"/>
    </row>
    <row r="136" spans="1:3" x14ac:dyDescent="0.15">
      <c r="A136" s="17"/>
      <c r="B136" s="17"/>
      <c r="C136" s="17"/>
    </row>
    <row r="137" spans="1:3" x14ac:dyDescent="0.15">
      <c r="A137" s="17"/>
      <c r="B137" s="17"/>
      <c r="C137" s="17"/>
    </row>
    <row r="138" spans="1:3" x14ac:dyDescent="0.15">
      <c r="A138" s="17"/>
      <c r="B138" s="17"/>
      <c r="C138" s="17"/>
    </row>
    <row r="139" spans="1:3" x14ac:dyDescent="0.15">
      <c r="A139" s="17"/>
      <c r="B139" s="17"/>
      <c r="C139" s="17"/>
    </row>
    <row r="140" spans="1:3" x14ac:dyDescent="0.15">
      <c r="A140" s="17"/>
      <c r="B140" s="17"/>
      <c r="C140" s="17"/>
    </row>
    <row r="141" spans="1:3" x14ac:dyDescent="0.15">
      <c r="A141" s="17"/>
      <c r="B141" s="17"/>
      <c r="C141" s="17"/>
    </row>
    <row r="142" spans="1:3" x14ac:dyDescent="0.15">
      <c r="A142" s="17"/>
      <c r="B142" s="17"/>
      <c r="C142" s="17"/>
    </row>
    <row r="143" spans="1:3" x14ac:dyDescent="0.15">
      <c r="A143" s="17"/>
      <c r="B143" s="17"/>
      <c r="C143" s="17"/>
    </row>
    <row r="144" spans="1:3" x14ac:dyDescent="0.15">
      <c r="A144" s="17"/>
      <c r="B144" s="17"/>
      <c r="C144" s="17"/>
    </row>
    <row r="145" spans="1:3" x14ac:dyDescent="0.15">
      <c r="A145" s="17"/>
      <c r="B145" s="17"/>
      <c r="C145" s="17"/>
    </row>
    <row r="146" spans="1:3" x14ac:dyDescent="0.15">
      <c r="A146" s="17"/>
      <c r="B146" s="17"/>
      <c r="C146" s="17"/>
    </row>
    <row r="147" spans="1:3" x14ac:dyDescent="0.15">
      <c r="A147" s="17"/>
      <c r="B147" s="17"/>
      <c r="C147" s="17"/>
    </row>
    <row r="148" spans="1:3" x14ac:dyDescent="0.15">
      <c r="A148" s="17"/>
      <c r="B148" s="17"/>
      <c r="C148" s="17"/>
    </row>
    <row r="149" spans="1:3" x14ac:dyDescent="0.15">
      <c r="A149" s="17"/>
      <c r="B149" s="17"/>
      <c r="C149" s="17"/>
    </row>
    <row r="150" spans="1:3" x14ac:dyDescent="0.15">
      <c r="A150" s="17"/>
      <c r="B150" s="17"/>
      <c r="C150" s="17"/>
    </row>
    <row r="151" spans="1:3" x14ac:dyDescent="0.15">
      <c r="A151" s="17"/>
      <c r="B151" s="17"/>
      <c r="C151" s="17"/>
    </row>
    <row r="152" spans="1:3" x14ac:dyDescent="0.15">
      <c r="A152" s="17"/>
      <c r="B152" s="17"/>
      <c r="C152" s="17"/>
    </row>
    <row r="153" spans="1:3" x14ac:dyDescent="0.15">
      <c r="A153" s="17"/>
      <c r="B153" s="17"/>
      <c r="C153" s="17"/>
    </row>
    <row r="154" spans="1:3" x14ac:dyDescent="0.15">
      <c r="A154" s="17"/>
      <c r="B154" s="17"/>
      <c r="C154" s="17"/>
    </row>
    <row r="155" spans="1:3" x14ac:dyDescent="0.15">
      <c r="A155" s="17"/>
      <c r="B155" s="17"/>
      <c r="C155" s="17"/>
    </row>
    <row r="156" spans="1:3" x14ac:dyDescent="0.15">
      <c r="A156" s="17"/>
      <c r="B156" s="17"/>
      <c r="C156" s="17"/>
    </row>
    <row r="157" spans="1:3" x14ac:dyDescent="0.15">
      <c r="A157" s="17"/>
      <c r="B157" s="17"/>
      <c r="C157" s="17"/>
    </row>
    <row r="158" spans="1:3" x14ac:dyDescent="0.15">
      <c r="A158" s="17"/>
      <c r="B158" s="17"/>
      <c r="C158" s="17"/>
    </row>
    <row r="159" spans="1:3" x14ac:dyDescent="0.15">
      <c r="A159" s="17"/>
      <c r="B159" s="17"/>
      <c r="C159" s="17"/>
    </row>
    <row r="160" spans="1:3" x14ac:dyDescent="0.15">
      <c r="A160" s="17"/>
      <c r="B160" s="17"/>
      <c r="C160" s="17"/>
    </row>
    <row r="161" spans="1:3" x14ac:dyDescent="0.15">
      <c r="A161" s="17"/>
      <c r="B161" s="17"/>
      <c r="C161" s="17"/>
    </row>
    <row r="162" spans="1:3" x14ac:dyDescent="0.15">
      <c r="A162" s="17"/>
      <c r="B162" s="17"/>
      <c r="C162" s="17"/>
    </row>
    <row r="163" spans="1:3" x14ac:dyDescent="0.15">
      <c r="A163" s="17"/>
      <c r="B163" s="17"/>
      <c r="C163" s="17"/>
    </row>
    <row r="164" spans="1:3" x14ac:dyDescent="0.15">
      <c r="A164" s="17"/>
      <c r="B164" s="17"/>
      <c r="C164" s="17"/>
    </row>
    <row r="165" spans="1:3" x14ac:dyDescent="0.15">
      <c r="A165" s="17"/>
      <c r="B165" s="17"/>
      <c r="C165" s="17"/>
    </row>
    <row r="166" spans="1:3" x14ac:dyDescent="0.15">
      <c r="A166" s="17"/>
      <c r="B166" s="17"/>
      <c r="C166" s="17"/>
    </row>
    <row r="167" spans="1:3" x14ac:dyDescent="0.15">
      <c r="A167" s="17"/>
      <c r="B167" s="17"/>
      <c r="C167" s="17"/>
    </row>
    <row r="168" spans="1:3" x14ac:dyDescent="0.15">
      <c r="A168" s="17"/>
      <c r="B168" s="17"/>
      <c r="C168" s="17"/>
    </row>
    <row r="169" spans="1:3" x14ac:dyDescent="0.15">
      <c r="A169" s="17"/>
      <c r="B169" s="17"/>
      <c r="C169" s="17"/>
    </row>
    <row r="170" spans="1:3" x14ac:dyDescent="0.15">
      <c r="A170" s="17"/>
      <c r="B170" s="17"/>
      <c r="C170" s="17"/>
    </row>
    <row r="171" spans="1:3" x14ac:dyDescent="0.15">
      <c r="A171" s="17"/>
      <c r="B171" s="17"/>
      <c r="C171" s="17"/>
    </row>
    <row r="172" spans="1:3" x14ac:dyDescent="0.15">
      <c r="A172" s="17"/>
      <c r="B172" s="17"/>
      <c r="C172" s="17"/>
    </row>
    <row r="173" spans="1:3" x14ac:dyDescent="0.15">
      <c r="A173" s="17"/>
      <c r="B173" s="17"/>
      <c r="C173" s="17"/>
    </row>
    <row r="174" spans="1:3" x14ac:dyDescent="0.15">
      <c r="A174" s="17"/>
      <c r="B174" s="17"/>
      <c r="C174" s="17"/>
    </row>
    <row r="175" spans="1:3" x14ac:dyDescent="0.15">
      <c r="A175" s="17"/>
      <c r="B175" s="17"/>
      <c r="C175" s="17"/>
    </row>
    <row r="176" spans="1:3" x14ac:dyDescent="0.15">
      <c r="A176" s="17"/>
      <c r="B176" s="17"/>
      <c r="C176" s="17"/>
    </row>
    <row r="177" spans="1:3" x14ac:dyDescent="0.15">
      <c r="A177" s="17"/>
      <c r="B177" s="17"/>
      <c r="C177" s="17"/>
    </row>
    <row r="178" spans="1:3" x14ac:dyDescent="0.15">
      <c r="A178" s="17"/>
      <c r="B178" s="17"/>
      <c r="C178" s="17"/>
    </row>
    <row r="179" spans="1:3" x14ac:dyDescent="0.15">
      <c r="A179" s="17"/>
      <c r="B179" s="17"/>
      <c r="C179" s="17"/>
    </row>
    <row r="180" spans="1:3" x14ac:dyDescent="0.15">
      <c r="A180" s="17"/>
      <c r="B180" s="17"/>
      <c r="C180" s="17"/>
    </row>
    <row r="181" spans="1:3" x14ac:dyDescent="0.15">
      <c r="A181" s="17"/>
      <c r="B181" s="17"/>
      <c r="C181" s="17"/>
    </row>
    <row r="182" spans="1:3" x14ac:dyDescent="0.15">
      <c r="A182" s="17"/>
      <c r="B182" s="17"/>
      <c r="C182" s="17"/>
    </row>
    <row r="183" spans="1:3" x14ac:dyDescent="0.15">
      <c r="A183" s="17"/>
      <c r="B183" s="17"/>
      <c r="C183" s="17"/>
    </row>
    <row r="184" spans="1:3" x14ac:dyDescent="0.15">
      <c r="A184" s="17"/>
      <c r="B184" s="17"/>
      <c r="C184" s="17"/>
    </row>
    <row r="185" spans="1:3" x14ac:dyDescent="0.15">
      <c r="A185" s="17"/>
      <c r="B185" s="17"/>
      <c r="C185" s="17"/>
    </row>
    <row r="186" spans="1:3" x14ac:dyDescent="0.15">
      <c r="A186" s="17"/>
      <c r="B186" s="17"/>
      <c r="C186" s="17"/>
    </row>
    <row r="187" spans="1:3" x14ac:dyDescent="0.15">
      <c r="A187" s="17"/>
      <c r="B187" s="17"/>
      <c r="C187" s="17"/>
    </row>
    <row r="188" spans="1:3" x14ac:dyDescent="0.15">
      <c r="A188" s="17"/>
      <c r="B188" s="17"/>
      <c r="C188" s="17"/>
    </row>
    <row r="189" spans="1:3" x14ac:dyDescent="0.15">
      <c r="A189" s="17"/>
      <c r="B189" s="17"/>
      <c r="C189" s="17"/>
    </row>
    <row r="190" spans="1:3" x14ac:dyDescent="0.15">
      <c r="A190" s="17"/>
      <c r="B190" s="17"/>
      <c r="C190" s="17"/>
    </row>
    <row r="191" spans="1:3" x14ac:dyDescent="0.15">
      <c r="A191" s="17"/>
      <c r="B191" s="17"/>
      <c r="C191" s="17"/>
    </row>
    <row r="192" spans="1:3" x14ac:dyDescent="0.15">
      <c r="A192" s="17"/>
      <c r="B192" s="17"/>
      <c r="C192" s="17"/>
    </row>
    <row r="193" spans="1:3" x14ac:dyDescent="0.15">
      <c r="A193" s="17"/>
      <c r="B193" s="17"/>
      <c r="C193" s="17"/>
    </row>
    <row r="194" spans="1:3" x14ac:dyDescent="0.15">
      <c r="A194" s="17"/>
      <c r="B194" s="17"/>
      <c r="C194" s="17"/>
    </row>
    <row r="195" spans="1:3" x14ac:dyDescent="0.15">
      <c r="A195" s="17"/>
      <c r="B195" s="17"/>
      <c r="C195" s="17"/>
    </row>
    <row r="196" spans="1:3" x14ac:dyDescent="0.15">
      <c r="A196" s="17"/>
      <c r="B196" s="17"/>
      <c r="C196" s="17"/>
    </row>
    <row r="197" spans="1:3" x14ac:dyDescent="0.15">
      <c r="A197" s="17"/>
      <c r="B197" s="17"/>
      <c r="C197" s="17"/>
    </row>
    <row r="198" spans="1:3" x14ac:dyDescent="0.15">
      <c r="A198" s="17"/>
      <c r="B198" s="17"/>
      <c r="C198" s="17"/>
    </row>
    <row r="199" spans="1:3" x14ac:dyDescent="0.15">
      <c r="A199" s="17"/>
      <c r="B199" s="17"/>
      <c r="C199" s="17"/>
    </row>
    <row r="200" spans="1:3" x14ac:dyDescent="0.15">
      <c r="A200" s="17"/>
      <c r="B200" s="17"/>
      <c r="C200" s="17"/>
    </row>
    <row r="201" spans="1:3" x14ac:dyDescent="0.15">
      <c r="A201" s="17"/>
      <c r="B201" s="17"/>
      <c r="C201" s="17"/>
    </row>
    <row r="202" spans="1:3" x14ac:dyDescent="0.15">
      <c r="A202" s="17"/>
      <c r="B202" s="17"/>
      <c r="C202" s="17"/>
    </row>
    <row r="203" spans="1:3" x14ac:dyDescent="0.15">
      <c r="A203" s="17"/>
      <c r="B203" s="17"/>
      <c r="C203" s="17"/>
    </row>
    <row r="204" spans="1:3" x14ac:dyDescent="0.15">
      <c r="A204" s="17"/>
      <c r="B204" s="17"/>
      <c r="C204" s="17"/>
    </row>
    <row r="205" spans="1:3" x14ac:dyDescent="0.15">
      <c r="A205" s="17"/>
      <c r="B205" s="17"/>
      <c r="C205" s="17"/>
    </row>
    <row r="206" spans="1:3" x14ac:dyDescent="0.15">
      <c r="A206" s="17"/>
      <c r="B206" s="17"/>
      <c r="C206" s="17"/>
    </row>
    <row r="207" spans="1:3" x14ac:dyDescent="0.15">
      <c r="A207" s="17"/>
      <c r="B207" s="17"/>
      <c r="C207" s="17"/>
    </row>
    <row r="208" spans="1:3" x14ac:dyDescent="0.15">
      <c r="A208" s="17"/>
      <c r="B208" s="17"/>
      <c r="C208" s="17"/>
    </row>
    <row r="209" spans="1:3" x14ac:dyDescent="0.15">
      <c r="A209" s="17"/>
      <c r="B209" s="17"/>
      <c r="C209" s="17"/>
    </row>
    <row r="210" spans="1:3" x14ac:dyDescent="0.15">
      <c r="A210" s="17"/>
      <c r="B210" s="17"/>
      <c r="C210" s="17"/>
    </row>
    <row r="211" spans="1:3" x14ac:dyDescent="0.15">
      <c r="A211" s="17"/>
      <c r="B211" s="17"/>
      <c r="C211" s="17"/>
    </row>
    <row r="212" spans="1:3" x14ac:dyDescent="0.15">
      <c r="A212" s="17"/>
      <c r="B212" s="17"/>
      <c r="C212" s="17"/>
    </row>
    <row r="213" spans="1:3" x14ac:dyDescent="0.15">
      <c r="A213" s="17"/>
      <c r="B213" s="17"/>
      <c r="C213" s="17"/>
    </row>
    <row r="214" spans="1:3" x14ac:dyDescent="0.15">
      <c r="A214" s="17"/>
      <c r="B214" s="17"/>
      <c r="C214" s="17"/>
    </row>
    <row r="215" spans="1:3" x14ac:dyDescent="0.15">
      <c r="A215" s="17"/>
      <c r="B215" s="17"/>
      <c r="C215" s="17"/>
    </row>
    <row r="216" spans="1:3" x14ac:dyDescent="0.15">
      <c r="A216" s="17"/>
      <c r="B216" s="17"/>
      <c r="C216" s="17"/>
    </row>
    <row r="217" spans="1:3" x14ac:dyDescent="0.15">
      <c r="A217" s="17"/>
      <c r="B217" s="17"/>
      <c r="C217" s="17"/>
    </row>
    <row r="218" spans="1:3" x14ac:dyDescent="0.15">
      <c r="A218" s="17"/>
      <c r="B218" s="17"/>
      <c r="C218" s="17"/>
    </row>
    <row r="219" spans="1:3" x14ac:dyDescent="0.15">
      <c r="A219" s="17"/>
      <c r="B219" s="17"/>
      <c r="C219" s="17"/>
    </row>
    <row r="220" spans="1:3" x14ac:dyDescent="0.15">
      <c r="A220" s="17"/>
      <c r="B220" s="17"/>
      <c r="C220" s="17"/>
    </row>
    <row r="221" spans="1:3" x14ac:dyDescent="0.15">
      <c r="A221" s="17"/>
      <c r="B221" s="17"/>
      <c r="C221" s="17"/>
    </row>
    <row r="222" spans="1:3" x14ac:dyDescent="0.15">
      <c r="A222" s="17"/>
      <c r="B222" s="17"/>
      <c r="C222" s="17"/>
    </row>
    <row r="223" spans="1:3" x14ac:dyDescent="0.15">
      <c r="A223" s="17"/>
      <c r="B223" s="17"/>
      <c r="C223" s="17"/>
    </row>
    <row r="224" spans="1:3" x14ac:dyDescent="0.15">
      <c r="A224" s="17"/>
      <c r="B224" s="17"/>
      <c r="C224" s="17"/>
    </row>
    <row r="225" spans="1:3" x14ac:dyDescent="0.15">
      <c r="A225" s="17"/>
      <c r="B225" s="17"/>
      <c r="C225" s="17"/>
    </row>
    <row r="226" spans="1:3" x14ac:dyDescent="0.15">
      <c r="A226" s="17"/>
      <c r="B226" s="17"/>
      <c r="C226" s="17"/>
    </row>
    <row r="227" spans="1:3" x14ac:dyDescent="0.15">
      <c r="A227" s="17"/>
      <c r="B227" s="17"/>
      <c r="C227" s="17"/>
    </row>
    <row r="228" spans="1:3" x14ac:dyDescent="0.15">
      <c r="A228" s="17"/>
      <c r="B228" s="17"/>
      <c r="C228" s="17"/>
    </row>
    <row r="229" spans="1:3" x14ac:dyDescent="0.15">
      <c r="A229" s="17"/>
      <c r="B229" s="17"/>
      <c r="C229" s="17"/>
    </row>
    <row r="230" spans="1:3" x14ac:dyDescent="0.15">
      <c r="A230" s="17"/>
      <c r="B230" s="17"/>
      <c r="C230" s="17"/>
    </row>
    <row r="231" spans="1:3" x14ac:dyDescent="0.15">
      <c r="A231" s="17"/>
      <c r="B231" s="17"/>
      <c r="C231" s="17"/>
    </row>
    <row r="232" spans="1:3" x14ac:dyDescent="0.15">
      <c r="A232" s="17"/>
      <c r="B232" s="17"/>
      <c r="C232" s="17"/>
    </row>
    <row r="233" spans="1:3" x14ac:dyDescent="0.15">
      <c r="A233" s="17"/>
      <c r="B233" s="17"/>
      <c r="C233" s="17"/>
    </row>
    <row r="234" spans="1:3" x14ac:dyDescent="0.15">
      <c r="A234" s="17"/>
      <c r="B234" s="17"/>
      <c r="C234" s="17"/>
    </row>
    <row r="235" spans="1:3" x14ac:dyDescent="0.15">
      <c r="A235" s="17"/>
      <c r="B235" s="17"/>
      <c r="C235" s="17"/>
    </row>
    <row r="236" spans="1:3" x14ac:dyDescent="0.15">
      <c r="A236" s="17"/>
      <c r="B236" s="17"/>
      <c r="C236" s="17"/>
    </row>
    <row r="237" spans="1:3" x14ac:dyDescent="0.15">
      <c r="A237" s="17"/>
      <c r="B237" s="17"/>
      <c r="C237" s="17"/>
    </row>
    <row r="238" spans="1:3" x14ac:dyDescent="0.15">
      <c r="A238" s="17"/>
      <c r="B238" s="17"/>
      <c r="C238" s="17"/>
    </row>
    <row r="239" spans="1:3" x14ac:dyDescent="0.15">
      <c r="A239" s="17"/>
      <c r="B239" s="17"/>
      <c r="C239" s="17"/>
    </row>
    <row r="240" spans="1:3" x14ac:dyDescent="0.15">
      <c r="A240" s="17"/>
      <c r="B240" s="17"/>
      <c r="C240" s="17"/>
    </row>
    <row r="241" spans="1:3" x14ac:dyDescent="0.15">
      <c r="A241" s="17"/>
      <c r="B241" s="17"/>
      <c r="C241" s="17"/>
    </row>
    <row r="242" spans="1:3" x14ac:dyDescent="0.15">
      <c r="A242" s="17"/>
      <c r="B242" s="17"/>
      <c r="C242" s="17"/>
    </row>
    <row r="243" spans="1:3" x14ac:dyDescent="0.15">
      <c r="A243" s="17"/>
      <c r="B243" s="17"/>
      <c r="C243" s="17"/>
    </row>
    <row r="244" spans="1:3" x14ac:dyDescent="0.15">
      <c r="A244" s="17"/>
      <c r="B244" s="17"/>
      <c r="C244" s="17"/>
    </row>
    <row r="245" spans="1:3" x14ac:dyDescent="0.15">
      <c r="A245" s="17"/>
      <c r="B245" s="17"/>
      <c r="C245" s="17"/>
    </row>
    <row r="246" spans="1:3" x14ac:dyDescent="0.15">
      <c r="A246" s="17"/>
      <c r="B246" s="17"/>
      <c r="C246" s="17"/>
    </row>
    <row r="247" spans="1:3" x14ac:dyDescent="0.15">
      <c r="A247" s="17"/>
      <c r="B247" s="17"/>
      <c r="C247" s="17"/>
    </row>
    <row r="248" spans="1:3" x14ac:dyDescent="0.15">
      <c r="A248" s="17"/>
      <c r="B248" s="17"/>
      <c r="C248" s="17"/>
    </row>
    <row r="249" spans="1:3" x14ac:dyDescent="0.15">
      <c r="A249" s="17"/>
      <c r="B249" s="17"/>
      <c r="C249" s="17"/>
    </row>
    <row r="250" spans="1:3" x14ac:dyDescent="0.15">
      <c r="A250" s="17"/>
      <c r="B250" s="17"/>
      <c r="C250" s="17"/>
    </row>
    <row r="251" spans="1:3" x14ac:dyDescent="0.15">
      <c r="A251" s="17"/>
      <c r="B251" s="17"/>
      <c r="C251" s="17"/>
    </row>
    <row r="252" spans="1:3" x14ac:dyDescent="0.15">
      <c r="A252" s="17"/>
      <c r="B252" s="17"/>
      <c r="C252" s="17"/>
    </row>
    <row r="253" spans="1:3" x14ac:dyDescent="0.15">
      <c r="A253" s="17"/>
      <c r="B253" s="17"/>
      <c r="C253" s="17"/>
    </row>
    <row r="254" spans="1:3" x14ac:dyDescent="0.15">
      <c r="A254" s="17"/>
      <c r="B254" s="17"/>
      <c r="C254" s="17"/>
    </row>
    <row r="255" spans="1:3" x14ac:dyDescent="0.15">
      <c r="A255" s="17"/>
      <c r="B255" s="17"/>
      <c r="C255" s="17"/>
    </row>
    <row r="256" spans="1:3" x14ac:dyDescent="0.15">
      <c r="A256" s="17"/>
      <c r="B256" s="17"/>
      <c r="C256" s="17"/>
    </row>
    <row r="16385" spans="20:21" x14ac:dyDescent="0.15">
      <c r="T16385" s="9" t="s">
        <v>45</v>
      </c>
      <c r="U16385" s="9" t="s">
        <v>44</v>
      </c>
    </row>
    <row r="16386" spans="20:21" x14ac:dyDescent="0.15">
      <c r="T16386" s="9" t="s">
        <v>43</v>
      </c>
      <c r="U16386" s="9" t="s">
        <v>42</v>
      </c>
    </row>
    <row r="16387" spans="20:21" x14ac:dyDescent="0.15">
      <c r="T16387" s="9" t="s">
        <v>41</v>
      </c>
      <c r="U16387" s="9" t="s">
        <v>40</v>
      </c>
    </row>
    <row r="16388" spans="20:21" x14ac:dyDescent="0.15">
      <c r="T16388" s="9" t="s">
        <v>39</v>
      </c>
      <c r="U16388" s="9" t="s">
        <v>38</v>
      </c>
    </row>
    <row r="16389" spans="20:21" x14ac:dyDescent="0.15">
      <c r="T16389" s="9">
        <v>158907457242.42899</v>
      </c>
      <c r="U16389" s="9">
        <v>543300000000</v>
      </c>
    </row>
    <row r="16390" spans="20:21" x14ac:dyDescent="0.15">
      <c r="T16390" s="9">
        <v>115573393646.185</v>
      </c>
      <c r="U16390" s="9">
        <v>563300000000</v>
      </c>
    </row>
    <row r="16391" spans="20:21" x14ac:dyDescent="0.15">
      <c r="T16391" s="9">
        <v>109124398292.05099</v>
      </c>
      <c r="U16391" s="9">
        <v>605100000000</v>
      </c>
    </row>
    <row r="16392" spans="20:21" x14ac:dyDescent="0.15">
      <c r="T16392" s="9">
        <v>120364211312.289</v>
      </c>
      <c r="U16392" s="9">
        <v>638600000000</v>
      </c>
    </row>
    <row r="16393" spans="20:21" x14ac:dyDescent="0.15">
      <c r="T16393" s="9">
        <v>142246424921.30899</v>
      </c>
      <c r="U16393" s="9">
        <v>685800000000</v>
      </c>
    </row>
    <row r="16394" spans="20:21" x14ac:dyDescent="0.15">
      <c r="T16394" s="9">
        <v>166357193951.10501</v>
      </c>
      <c r="U16394" s="9">
        <v>743700000000</v>
      </c>
    </row>
    <row r="16395" spans="20:21" x14ac:dyDescent="0.15">
      <c r="T16395" s="9">
        <v>184074235104.24799</v>
      </c>
      <c r="U16395" s="9">
        <v>815000000000</v>
      </c>
    </row>
    <row r="16396" spans="20:21" x14ac:dyDescent="0.15">
      <c r="T16396" s="9">
        <v>173453151731.27701</v>
      </c>
      <c r="U16396" s="9">
        <v>861700000000</v>
      </c>
    </row>
    <row r="16397" spans="20:21" x14ac:dyDescent="0.15">
      <c r="T16397" s="9">
        <v>166341572533.69101</v>
      </c>
      <c r="U16397" s="9">
        <v>942500000000</v>
      </c>
    </row>
    <row r="16398" spans="20:21" x14ac:dyDescent="0.15">
      <c r="T16398" s="9">
        <v>194519834914.35999</v>
      </c>
      <c r="U16398" s="9">
        <v>1019900000000</v>
      </c>
    </row>
    <row r="16399" spans="20:21" x14ac:dyDescent="0.15">
      <c r="T16399" s="9">
        <v>232062163046.44</v>
      </c>
      <c r="U16399" s="9">
        <v>1073303000000</v>
      </c>
    </row>
    <row r="16400" spans="20:21" x14ac:dyDescent="0.15">
      <c r="T16400" s="9">
        <v>248445751754.134</v>
      </c>
      <c r="U16400" s="9">
        <v>1164850000000</v>
      </c>
    </row>
    <row r="16401" spans="20:21" x14ac:dyDescent="0.15">
      <c r="T16401" s="9">
        <v>257911534896.49799</v>
      </c>
      <c r="U16401" s="9">
        <v>1279110000000</v>
      </c>
    </row>
    <row r="16402" spans="20:21" x14ac:dyDescent="0.15">
      <c r="T16402" s="9">
        <v>277925470006.599</v>
      </c>
      <c r="U16402" s="9">
        <v>1425376000000</v>
      </c>
    </row>
    <row r="16403" spans="20:21" x14ac:dyDescent="0.15">
      <c r="T16403" s="9">
        <v>284345548371.966</v>
      </c>
      <c r="U16403" s="9">
        <v>1545243000000</v>
      </c>
    </row>
    <row r="16404" spans="20:21" x14ac:dyDescent="0.15">
      <c r="T16404" s="9">
        <v>309140480182.89801</v>
      </c>
      <c r="U16404" s="9">
        <v>1684904000000</v>
      </c>
    </row>
    <row r="16405" spans="20:21" x14ac:dyDescent="0.15">
      <c r="T16405" s="9">
        <v>304286974638.82202</v>
      </c>
      <c r="U16405" s="9">
        <v>1873412000000</v>
      </c>
    </row>
    <row r="16406" spans="20:21" x14ac:dyDescent="0.15">
      <c r="T16406" s="9">
        <v>327321498623.151</v>
      </c>
      <c r="U16406" s="9">
        <v>2081826000000</v>
      </c>
    </row>
    <row r="16407" spans="20:21" x14ac:dyDescent="0.15">
      <c r="T16407" s="9">
        <v>364393859506.91699</v>
      </c>
      <c r="U16407" s="9">
        <v>2351599000000</v>
      </c>
    </row>
    <row r="16408" spans="20:21" x14ac:dyDescent="0.15">
      <c r="T16408" s="9">
        <v>392056180496.07098</v>
      </c>
      <c r="U16408" s="9">
        <v>2627333000000</v>
      </c>
    </row>
    <row r="16409" spans="20:21" x14ac:dyDescent="0.15">
      <c r="T16409" s="9">
        <v>422770430220.08099</v>
      </c>
      <c r="U16409" s="9">
        <v>2857307000000</v>
      </c>
    </row>
    <row r="16410" spans="20:21" x14ac:dyDescent="0.15">
      <c r="T16410" s="9">
        <v>444385672278.89001</v>
      </c>
      <c r="U16410" s="9">
        <v>3207041000000</v>
      </c>
    </row>
    <row r="16411" spans="20:21" x14ac:dyDescent="0.15">
      <c r="T16411" s="9">
        <v>484456434564.98102</v>
      </c>
      <c r="U16411" s="9">
        <v>3343789000000</v>
      </c>
    </row>
    <row r="16412" spans="20:21" x14ac:dyDescent="0.15">
      <c r="T16412" s="9">
        <v>536633373623.745</v>
      </c>
      <c r="U16412" s="9">
        <v>3634038000000</v>
      </c>
    </row>
    <row r="16413" spans="20:21" x14ac:dyDescent="0.15">
      <c r="T16413" s="9">
        <v>618156247357.86304</v>
      </c>
      <c r="U16413" s="9">
        <v>4037613000000</v>
      </c>
    </row>
    <row r="16414" spans="20:21" x14ac:dyDescent="0.15">
      <c r="T16414" s="9">
        <v>701178819512.74402</v>
      </c>
      <c r="U16414" s="9">
        <v>4338979000000</v>
      </c>
    </row>
    <row r="16415" spans="20:21" x14ac:dyDescent="0.15">
      <c r="T16415" s="9">
        <v>763934055759.06604</v>
      </c>
      <c r="U16415" s="9">
        <v>4579631000000</v>
      </c>
    </row>
    <row r="16416" spans="20:21" x14ac:dyDescent="0.15">
      <c r="T16416" s="9">
        <v>852989116696.35205</v>
      </c>
      <c r="U16416" s="9">
        <v>4855215000000</v>
      </c>
    </row>
    <row r="16417" spans="20:21" x14ac:dyDescent="0.15">
      <c r="T16417" s="9">
        <v>948716630508.16699</v>
      </c>
      <c r="U16417" s="9">
        <v>5236438000000</v>
      </c>
    </row>
    <row r="16418" spans="20:21" x14ac:dyDescent="0.15">
      <c r="T16418" s="9">
        <v>988622824073.36694</v>
      </c>
      <c r="U16418" s="9">
        <v>5641580000000</v>
      </c>
    </row>
    <row r="16419" spans="20:21" x14ac:dyDescent="0.15">
      <c r="T16419" s="9">
        <v>1027379323856.15</v>
      </c>
      <c r="U16419" s="9">
        <v>5963144000000</v>
      </c>
    </row>
    <row r="16420" spans="20:21" x14ac:dyDescent="0.15">
      <c r="T16420" s="9">
        <v>1122543272896.8301</v>
      </c>
      <c r="U16420" s="9">
        <v>6158129000000</v>
      </c>
    </row>
    <row r="16421" spans="20:21" x14ac:dyDescent="0.15">
      <c r="T16421" s="9">
        <v>1282219772946.3201</v>
      </c>
      <c r="U16421" s="9">
        <v>6520327000000</v>
      </c>
    </row>
    <row r="16422" spans="20:21" x14ac:dyDescent="0.15">
      <c r="T16422" s="9">
        <v>1460239695280.22</v>
      </c>
      <c r="U16422" s="9">
        <v>6858559000000</v>
      </c>
    </row>
    <row r="16423" spans="20:21" x14ac:dyDescent="0.15">
      <c r="T16423" s="9">
        <v>1650608320717.1299</v>
      </c>
      <c r="U16423" s="9">
        <v>7287236000000</v>
      </c>
    </row>
    <row r="16424" spans="20:21" x14ac:dyDescent="0.15">
      <c r="T16424" s="9">
        <v>1831415202548.1001</v>
      </c>
      <c r="U16424" s="9">
        <v>7639749000000</v>
      </c>
    </row>
    <row r="16425" spans="20:21" x14ac:dyDescent="0.15">
      <c r="T16425" s="9">
        <v>2013138415391.3999</v>
      </c>
      <c r="U16425" s="9">
        <v>8073122000000</v>
      </c>
    </row>
    <row r="16426" spans="20:21" x14ac:dyDescent="0.15">
      <c r="T16426" s="9">
        <v>2199087579734.8799</v>
      </c>
      <c r="U16426" s="9">
        <v>8577554457000</v>
      </c>
    </row>
    <row r="16427" spans="20:21" x14ac:dyDescent="0.15">
      <c r="T16427" s="9">
        <v>2371626931008.4102</v>
      </c>
      <c r="U16427" s="9">
        <v>9062818202000</v>
      </c>
    </row>
    <row r="16428" spans="20:21" x14ac:dyDescent="0.15">
      <c r="T16428" s="9">
        <v>2553332721355.1499</v>
      </c>
      <c r="U16428" s="9">
        <v>9631174489000</v>
      </c>
    </row>
    <row r="16429" spans="20:21" x14ac:dyDescent="0.15">
      <c r="T16429" s="9">
        <v>2770113054357.8301</v>
      </c>
      <c r="U16429" s="9">
        <v>10250947997000</v>
      </c>
    </row>
    <row r="16430" spans="20:21" x14ac:dyDescent="0.15">
      <c r="T16430" s="9">
        <v>3001022295612.3501</v>
      </c>
      <c r="U16430" s="9">
        <v>10581929774000</v>
      </c>
    </row>
    <row r="16431" spans="20:21" x14ac:dyDescent="0.15">
      <c r="T16431" s="9">
        <v>3275124592017.1602</v>
      </c>
      <c r="U16431" s="9">
        <v>10929112955000</v>
      </c>
    </row>
    <row r="16432" spans="20:21" x14ac:dyDescent="0.15">
      <c r="T16432" s="9">
        <v>3603882596858.1099</v>
      </c>
      <c r="U16432" s="9">
        <v>11456442041000</v>
      </c>
    </row>
    <row r="16433" spans="20:21" x14ac:dyDescent="0.15">
      <c r="T16433" s="9">
        <v>3968365637613.6299</v>
      </c>
      <c r="U16433" s="9">
        <v>12217193198000</v>
      </c>
    </row>
    <row r="16434" spans="20:21" x14ac:dyDescent="0.15">
      <c r="T16434" s="9">
        <v>4420544703537.2402</v>
      </c>
      <c r="U16434" s="9">
        <v>13039199193000</v>
      </c>
    </row>
    <row r="16435" spans="20:21" x14ac:dyDescent="0.15">
      <c r="T16435" s="9">
        <v>4982880235433.3896</v>
      </c>
      <c r="U16435" s="9">
        <v>13815586948000</v>
      </c>
    </row>
    <row r="16436" spans="20:21" x14ac:dyDescent="0.15">
      <c r="T16436" s="9">
        <v>5691986992199.8604</v>
      </c>
      <c r="U16436" s="9">
        <v>14474226905000</v>
      </c>
    </row>
    <row r="16437" spans="20:21" x14ac:dyDescent="0.15">
      <c r="T16437" s="9">
        <v>6241302380960.0195</v>
      </c>
      <c r="U16437" s="9">
        <v>14769857911000</v>
      </c>
    </row>
    <row r="16438" spans="20:21" x14ac:dyDescent="0.15">
      <c r="T16438" s="9">
        <v>6827905267633.6299</v>
      </c>
      <c r="U16438" s="9">
        <v>14478064934000</v>
      </c>
    </row>
    <row r="16439" spans="20:21" x14ac:dyDescent="0.15">
      <c r="T16439" s="9">
        <v>7554112468317.7305</v>
      </c>
      <c r="U16439" s="9">
        <v>15048964444000</v>
      </c>
    </row>
    <row r="16440" spans="20:21" x14ac:dyDescent="0.15">
      <c r="T16440" s="9">
        <v>8275593072769.2598</v>
      </c>
      <c r="U16440" s="9">
        <v>15599728123000</v>
      </c>
    </row>
    <row r="16441" spans="20:21" x14ac:dyDescent="0.15">
      <c r="T16441" s="9">
        <v>8926363901575.5605</v>
      </c>
      <c r="U16441" s="9">
        <v>16253972230000</v>
      </c>
    </row>
    <row r="16442" spans="20:21" x14ac:dyDescent="0.15">
      <c r="T16442" s="9">
        <v>9619598720424.4609</v>
      </c>
      <c r="U16442" s="9">
        <v>16843190993000</v>
      </c>
    </row>
    <row r="16443" spans="20:21" x14ac:dyDescent="0.15">
      <c r="T16443" s="9">
        <v>10333927386102.801</v>
      </c>
      <c r="U16443" s="9">
        <v>17550680174000</v>
      </c>
    </row>
    <row r="16444" spans="20:21" x14ac:dyDescent="0.15">
      <c r="T16444" s="9">
        <v>11061573199439.699</v>
      </c>
      <c r="U16444" s="9">
        <v>18206020741000</v>
      </c>
    </row>
    <row r="16445" spans="20:21" x14ac:dyDescent="0.15">
      <c r="T16445" s="9">
        <v>11819154044004.9</v>
      </c>
      <c r="U16445" s="9">
        <v>18695110842000</v>
      </c>
    </row>
    <row r="16446" spans="20:21" x14ac:dyDescent="0.15">
      <c r="T16446" s="9">
        <v>12640254407508.1</v>
      </c>
      <c r="U16446" s="9">
        <v>19477336549000</v>
      </c>
    </row>
    <row r="16447" spans="20:21" x14ac:dyDescent="0.15">
      <c r="T16447" s="9">
        <v>13493442991864.699</v>
      </c>
      <c r="U16447" s="9">
        <v>20533057312000</v>
      </c>
    </row>
    <row r="16448" spans="20:21" x14ac:dyDescent="0.15">
      <c r="T16448" s="9">
        <v>14296370418805.1</v>
      </c>
      <c r="U16448" s="9">
        <v>21380976119000</v>
      </c>
    </row>
    <row r="16449" spans="20:21" x14ac:dyDescent="0.15">
      <c r="T16449" s="9">
        <v>14616414450558.4</v>
      </c>
      <c r="U16449" s="9">
        <v>21060473613000</v>
      </c>
    </row>
    <row r="16450" spans="20:21" x14ac:dyDescent="0.15">
      <c r="T16450" s="9">
        <v>15851132888547.1</v>
      </c>
      <c r="U16450" s="9">
        <v>23315080560000</v>
      </c>
    </row>
    <row r="16451" spans="20:21" x14ac:dyDescent="0.15">
      <c r="T16451" s="9">
        <v>16325209299766.801</v>
      </c>
      <c r="U16451" s="9">
        <v>25462700000000</v>
      </c>
    </row>
    <row r="32769" spans="20:21" x14ac:dyDescent="0.15">
      <c r="T32769" s="9" t="s">
        <v>45</v>
      </c>
      <c r="U32769" s="9" t="s">
        <v>44</v>
      </c>
    </row>
    <row r="32770" spans="20:21" x14ac:dyDescent="0.15">
      <c r="T32770" s="9" t="s">
        <v>43</v>
      </c>
      <c r="U32770" s="9" t="s">
        <v>42</v>
      </c>
    </row>
    <row r="32771" spans="20:21" x14ac:dyDescent="0.15">
      <c r="T32771" s="9" t="s">
        <v>41</v>
      </c>
      <c r="U32771" s="9" t="s">
        <v>40</v>
      </c>
    </row>
    <row r="32772" spans="20:21" x14ac:dyDescent="0.15">
      <c r="T32772" s="9" t="s">
        <v>39</v>
      </c>
      <c r="U32772" s="9" t="s">
        <v>38</v>
      </c>
    </row>
    <row r="32773" spans="20:21" x14ac:dyDescent="0.15">
      <c r="T32773" s="9">
        <v>158907457242.42899</v>
      </c>
      <c r="U32773" s="9">
        <v>543300000000</v>
      </c>
    </row>
    <row r="32774" spans="20:21" x14ac:dyDescent="0.15">
      <c r="T32774" s="9">
        <v>115573393646.185</v>
      </c>
      <c r="U32774" s="9">
        <v>563300000000</v>
      </c>
    </row>
    <row r="32775" spans="20:21" x14ac:dyDescent="0.15">
      <c r="T32775" s="9">
        <v>109124398292.05099</v>
      </c>
      <c r="U32775" s="9">
        <v>605100000000</v>
      </c>
    </row>
    <row r="32776" spans="20:21" x14ac:dyDescent="0.15">
      <c r="T32776" s="9">
        <v>120364211312.289</v>
      </c>
      <c r="U32776" s="9">
        <v>638600000000</v>
      </c>
    </row>
    <row r="32777" spans="20:21" x14ac:dyDescent="0.15">
      <c r="T32777" s="9">
        <v>142246424921.30899</v>
      </c>
      <c r="U32777" s="9">
        <v>685800000000</v>
      </c>
    </row>
    <row r="32778" spans="20:21" x14ac:dyDescent="0.15">
      <c r="T32778" s="9">
        <v>166357193951.10501</v>
      </c>
      <c r="U32778" s="9">
        <v>743700000000</v>
      </c>
    </row>
    <row r="32779" spans="20:21" x14ac:dyDescent="0.15">
      <c r="T32779" s="9">
        <v>184074235104.24799</v>
      </c>
      <c r="U32779" s="9">
        <v>815000000000</v>
      </c>
    </row>
    <row r="32780" spans="20:21" x14ac:dyDescent="0.15">
      <c r="T32780" s="9">
        <v>173453151731.27701</v>
      </c>
      <c r="U32780" s="9">
        <v>861700000000</v>
      </c>
    </row>
    <row r="32781" spans="20:21" x14ac:dyDescent="0.15">
      <c r="T32781" s="9">
        <v>166341572533.69101</v>
      </c>
      <c r="U32781" s="9">
        <v>942500000000</v>
      </c>
    </row>
    <row r="32782" spans="20:21" x14ac:dyDescent="0.15">
      <c r="T32782" s="9">
        <v>194519834914.35999</v>
      </c>
      <c r="U32782" s="9">
        <v>1019900000000</v>
      </c>
    </row>
    <row r="32783" spans="20:21" x14ac:dyDescent="0.15">
      <c r="T32783" s="9">
        <v>232062163046.44</v>
      </c>
      <c r="U32783" s="9">
        <v>1073303000000</v>
      </c>
    </row>
    <row r="32784" spans="20:21" x14ac:dyDescent="0.15">
      <c r="T32784" s="9">
        <v>248445751754.134</v>
      </c>
      <c r="U32784" s="9">
        <v>1164850000000</v>
      </c>
    </row>
    <row r="32785" spans="20:21" x14ac:dyDescent="0.15">
      <c r="T32785" s="9">
        <v>257911534896.49799</v>
      </c>
      <c r="U32785" s="9">
        <v>1279110000000</v>
      </c>
    </row>
    <row r="32786" spans="20:21" x14ac:dyDescent="0.15">
      <c r="T32786" s="9">
        <v>277925470006.599</v>
      </c>
      <c r="U32786" s="9">
        <v>1425376000000</v>
      </c>
    </row>
    <row r="32787" spans="20:21" x14ac:dyDescent="0.15">
      <c r="T32787" s="9">
        <v>284345548371.966</v>
      </c>
      <c r="U32787" s="9">
        <v>1545243000000</v>
      </c>
    </row>
    <row r="32788" spans="20:21" x14ac:dyDescent="0.15">
      <c r="T32788" s="9">
        <v>309140480182.89801</v>
      </c>
      <c r="U32788" s="9">
        <v>1684904000000</v>
      </c>
    </row>
    <row r="32789" spans="20:21" x14ac:dyDescent="0.15">
      <c r="T32789" s="9">
        <v>304286974638.82202</v>
      </c>
      <c r="U32789" s="9">
        <v>1873412000000</v>
      </c>
    </row>
    <row r="32790" spans="20:21" x14ac:dyDescent="0.15">
      <c r="T32790" s="9">
        <v>327321498623.151</v>
      </c>
      <c r="U32790" s="9">
        <v>2081826000000</v>
      </c>
    </row>
    <row r="32791" spans="20:21" x14ac:dyDescent="0.15">
      <c r="T32791" s="9">
        <v>364393859506.91699</v>
      </c>
      <c r="U32791" s="9">
        <v>2351599000000</v>
      </c>
    </row>
    <row r="32792" spans="20:21" x14ac:dyDescent="0.15">
      <c r="T32792" s="9">
        <v>392056180496.07098</v>
      </c>
      <c r="U32792" s="9">
        <v>2627333000000</v>
      </c>
    </row>
    <row r="32793" spans="20:21" x14ac:dyDescent="0.15">
      <c r="T32793" s="9">
        <v>422770430220.08099</v>
      </c>
      <c r="U32793" s="9">
        <v>2857307000000</v>
      </c>
    </row>
    <row r="32794" spans="20:21" x14ac:dyDescent="0.15">
      <c r="T32794" s="9">
        <v>444385672278.89001</v>
      </c>
      <c r="U32794" s="9">
        <v>3207041000000</v>
      </c>
    </row>
    <row r="32795" spans="20:21" x14ac:dyDescent="0.15">
      <c r="T32795" s="9">
        <v>484456434564.98102</v>
      </c>
      <c r="U32795" s="9">
        <v>3343789000000</v>
      </c>
    </row>
    <row r="32796" spans="20:21" x14ac:dyDescent="0.15">
      <c r="T32796" s="9">
        <v>536633373623.745</v>
      </c>
      <c r="U32796" s="9">
        <v>3634038000000</v>
      </c>
    </row>
    <row r="32797" spans="20:21" x14ac:dyDescent="0.15">
      <c r="T32797" s="9">
        <v>618156247357.86304</v>
      </c>
      <c r="U32797" s="9">
        <v>4037613000000</v>
      </c>
    </row>
    <row r="32798" spans="20:21" x14ac:dyDescent="0.15">
      <c r="T32798" s="9">
        <v>701178819512.74402</v>
      </c>
      <c r="U32798" s="9">
        <v>4338979000000</v>
      </c>
    </row>
    <row r="32799" spans="20:21" x14ac:dyDescent="0.15">
      <c r="T32799" s="9">
        <v>763934055759.06604</v>
      </c>
      <c r="U32799" s="9">
        <v>4579631000000</v>
      </c>
    </row>
    <row r="32800" spans="20:21" x14ac:dyDescent="0.15">
      <c r="T32800" s="9">
        <v>852989116696.35205</v>
      </c>
      <c r="U32800" s="9">
        <v>4855215000000</v>
      </c>
    </row>
    <row r="32801" spans="20:21" x14ac:dyDescent="0.15">
      <c r="T32801" s="9">
        <v>948716630508.16699</v>
      </c>
      <c r="U32801" s="9">
        <v>5236438000000</v>
      </c>
    </row>
    <row r="32802" spans="20:21" x14ac:dyDescent="0.15">
      <c r="T32802" s="9">
        <v>988622824073.36694</v>
      </c>
      <c r="U32802" s="9">
        <v>5641580000000</v>
      </c>
    </row>
    <row r="32803" spans="20:21" x14ac:dyDescent="0.15">
      <c r="T32803" s="9">
        <v>1027379323856.15</v>
      </c>
      <c r="U32803" s="9">
        <v>5963144000000</v>
      </c>
    </row>
    <row r="32804" spans="20:21" x14ac:dyDescent="0.15">
      <c r="T32804" s="9">
        <v>1122543272896.8301</v>
      </c>
      <c r="U32804" s="9">
        <v>6158129000000</v>
      </c>
    </row>
    <row r="32805" spans="20:21" x14ac:dyDescent="0.15">
      <c r="T32805" s="9">
        <v>1282219772946.3201</v>
      </c>
      <c r="U32805" s="9">
        <v>6520327000000</v>
      </c>
    </row>
    <row r="32806" spans="20:21" x14ac:dyDescent="0.15">
      <c r="T32806" s="9">
        <v>1460239695280.22</v>
      </c>
      <c r="U32806" s="9">
        <v>6858559000000</v>
      </c>
    </row>
    <row r="32807" spans="20:21" x14ac:dyDescent="0.15">
      <c r="T32807" s="9">
        <v>1650608320717.1299</v>
      </c>
      <c r="U32807" s="9">
        <v>7287236000000</v>
      </c>
    </row>
    <row r="32808" spans="20:21" x14ac:dyDescent="0.15">
      <c r="T32808" s="9">
        <v>1831415202548.1001</v>
      </c>
      <c r="U32808" s="9">
        <v>7639749000000</v>
      </c>
    </row>
    <row r="32809" spans="20:21" x14ac:dyDescent="0.15">
      <c r="T32809" s="9">
        <v>2013138415391.3999</v>
      </c>
      <c r="U32809" s="9">
        <v>8073122000000</v>
      </c>
    </row>
    <row r="32810" spans="20:21" x14ac:dyDescent="0.15">
      <c r="T32810" s="9">
        <v>2199087579734.8799</v>
      </c>
      <c r="U32810" s="9">
        <v>8577554457000</v>
      </c>
    </row>
    <row r="32811" spans="20:21" x14ac:dyDescent="0.15">
      <c r="T32811" s="9">
        <v>2371626931008.4102</v>
      </c>
      <c r="U32811" s="9">
        <v>9062818202000</v>
      </c>
    </row>
    <row r="32812" spans="20:21" x14ac:dyDescent="0.15">
      <c r="T32812" s="9">
        <v>2553332721355.1499</v>
      </c>
      <c r="U32812" s="9">
        <v>9631174489000</v>
      </c>
    </row>
    <row r="32813" spans="20:21" x14ac:dyDescent="0.15">
      <c r="T32813" s="9">
        <v>2770113054357.8301</v>
      </c>
      <c r="U32813" s="9">
        <v>10250947997000</v>
      </c>
    </row>
    <row r="32814" spans="20:21" x14ac:dyDescent="0.15">
      <c r="T32814" s="9">
        <v>3001022295612.3501</v>
      </c>
      <c r="U32814" s="9">
        <v>10581929774000</v>
      </c>
    </row>
    <row r="32815" spans="20:21" x14ac:dyDescent="0.15">
      <c r="T32815" s="9">
        <v>3275124592017.1602</v>
      </c>
      <c r="U32815" s="9">
        <v>10929112955000</v>
      </c>
    </row>
    <row r="32816" spans="20:21" x14ac:dyDescent="0.15">
      <c r="T32816" s="9">
        <v>3603882596858.1099</v>
      </c>
      <c r="U32816" s="9">
        <v>11456442041000</v>
      </c>
    </row>
    <row r="32817" spans="20:21" x14ac:dyDescent="0.15">
      <c r="T32817" s="9">
        <v>3968365637613.6299</v>
      </c>
      <c r="U32817" s="9">
        <v>12217193198000</v>
      </c>
    </row>
    <row r="32818" spans="20:21" x14ac:dyDescent="0.15">
      <c r="T32818" s="9">
        <v>4420544703537.2402</v>
      </c>
      <c r="U32818" s="9">
        <v>13039199193000</v>
      </c>
    </row>
    <row r="32819" spans="20:21" x14ac:dyDescent="0.15">
      <c r="T32819" s="9">
        <v>4982880235433.3896</v>
      </c>
      <c r="U32819" s="9">
        <v>13815586948000</v>
      </c>
    </row>
    <row r="32820" spans="20:21" x14ac:dyDescent="0.15">
      <c r="T32820" s="9">
        <v>5691986992199.8604</v>
      </c>
      <c r="U32820" s="9">
        <v>14474226905000</v>
      </c>
    </row>
    <row r="32821" spans="20:21" x14ac:dyDescent="0.15">
      <c r="T32821" s="9">
        <v>6241302380960.0195</v>
      </c>
      <c r="U32821" s="9">
        <v>14769857911000</v>
      </c>
    </row>
    <row r="32822" spans="20:21" x14ac:dyDescent="0.15">
      <c r="T32822" s="9">
        <v>6827905267633.6299</v>
      </c>
      <c r="U32822" s="9">
        <v>14478064934000</v>
      </c>
    </row>
    <row r="32823" spans="20:21" x14ac:dyDescent="0.15">
      <c r="T32823" s="9">
        <v>7554112468317.7305</v>
      </c>
      <c r="U32823" s="9">
        <v>15048964444000</v>
      </c>
    </row>
    <row r="32824" spans="20:21" x14ac:dyDescent="0.15">
      <c r="T32824" s="9">
        <v>8275593072769.2598</v>
      </c>
      <c r="U32824" s="9">
        <v>15599728123000</v>
      </c>
    </row>
    <row r="32825" spans="20:21" x14ac:dyDescent="0.15">
      <c r="T32825" s="9">
        <v>8926363901575.5605</v>
      </c>
      <c r="U32825" s="9">
        <v>16253972230000</v>
      </c>
    </row>
    <row r="32826" spans="20:21" x14ac:dyDescent="0.15">
      <c r="T32826" s="9">
        <v>9619598720424.4609</v>
      </c>
      <c r="U32826" s="9">
        <v>16843190993000</v>
      </c>
    </row>
    <row r="32827" spans="20:21" x14ac:dyDescent="0.15">
      <c r="T32827" s="9">
        <v>10333927386102.801</v>
      </c>
      <c r="U32827" s="9">
        <v>17550680174000</v>
      </c>
    </row>
    <row r="32828" spans="20:21" x14ac:dyDescent="0.15">
      <c r="T32828" s="9">
        <v>11061573199439.699</v>
      </c>
      <c r="U32828" s="9">
        <v>18206020741000</v>
      </c>
    </row>
    <row r="32829" spans="20:21" x14ac:dyDescent="0.15">
      <c r="T32829" s="9">
        <v>11819154044004.9</v>
      </c>
      <c r="U32829" s="9">
        <v>18695110842000</v>
      </c>
    </row>
    <row r="32830" spans="20:21" x14ac:dyDescent="0.15">
      <c r="T32830" s="9">
        <v>12640254407508.1</v>
      </c>
      <c r="U32830" s="9">
        <v>19477336549000</v>
      </c>
    </row>
    <row r="32831" spans="20:21" x14ac:dyDescent="0.15">
      <c r="T32831" s="9">
        <v>13493442991864.699</v>
      </c>
      <c r="U32831" s="9">
        <v>20533057312000</v>
      </c>
    </row>
    <row r="32832" spans="20:21" x14ac:dyDescent="0.15">
      <c r="T32832" s="9">
        <v>14296370418805.1</v>
      </c>
      <c r="U32832" s="9">
        <v>21380976119000</v>
      </c>
    </row>
    <row r="32833" spans="20:21" x14ac:dyDescent="0.15">
      <c r="T32833" s="9">
        <v>14616414450558.4</v>
      </c>
      <c r="U32833" s="9">
        <v>21060473613000</v>
      </c>
    </row>
    <row r="32834" spans="20:21" x14ac:dyDescent="0.15">
      <c r="T32834" s="9">
        <v>15851132888547.1</v>
      </c>
      <c r="U32834" s="9">
        <v>23315080560000</v>
      </c>
    </row>
    <row r="32835" spans="20:21" x14ac:dyDescent="0.15">
      <c r="T32835" s="9">
        <v>16325209299766.801</v>
      </c>
      <c r="U32835" s="9">
        <v>25462700000000</v>
      </c>
    </row>
    <row r="49153" spans="20:21" x14ac:dyDescent="0.15">
      <c r="T49153" s="9" t="s">
        <v>45</v>
      </c>
      <c r="U49153" s="9" t="s">
        <v>44</v>
      </c>
    </row>
    <row r="49154" spans="20:21" x14ac:dyDescent="0.15">
      <c r="T49154" s="9" t="s">
        <v>43</v>
      </c>
      <c r="U49154" s="9" t="s">
        <v>42</v>
      </c>
    </row>
    <row r="49155" spans="20:21" x14ac:dyDescent="0.15">
      <c r="T49155" s="9" t="s">
        <v>41</v>
      </c>
      <c r="U49155" s="9" t="s">
        <v>40</v>
      </c>
    </row>
    <row r="49156" spans="20:21" x14ac:dyDescent="0.15">
      <c r="T49156" s="9" t="s">
        <v>39</v>
      </c>
      <c r="U49156" s="9" t="s">
        <v>38</v>
      </c>
    </row>
    <row r="49157" spans="20:21" x14ac:dyDescent="0.15">
      <c r="T49157" s="9">
        <v>158907457242.42899</v>
      </c>
      <c r="U49157" s="9">
        <v>543300000000</v>
      </c>
    </row>
    <row r="49158" spans="20:21" x14ac:dyDescent="0.15">
      <c r="T49158" s="9">
        <v>115573393646.185</v>
      </c>
      <c r="U49158" s="9">
        <v>563300000000</v>
      </c>
    </row>
    <row r="49159" spans="20:21" x14ac:dyDescent="0.15">
      <c r="T49159" s="9">
        <v>109124398292.05099</v>
      </c>
      <c r="U49159" s="9">
        <v>605100000000</v>
      </c>
    </row>
    <row r="49160" spans="20:21" x14ac:dyDescent="0.15">
      <c r="T49160" s="9">
        <v>120364211312.289</v>
      </c>
      <c r="U49160" s="9">
        <v>638600000000</v>
      </c>
    </row>
    <row r="49161" spans="20:21" x14ac:dyDescent="0.15">
      <c r="T49161" s="9">
        <v>142246424921.30899</v>
      </c>
      <c r="U49161" s="9">
        <v>685800000000</v>
      </c>
    </row>
    <row r="49162" spans="20:21" x14ac:dyDescent="0.15">
      <c r="T49162" s="9">
        <v>166357193951.10501</v>
      </c>
      <c r="U49162" s="9">
        <v>743700000000</v>
      </c>
    </row>
    <row r="49163" spans="20:21" x14ac:dyDescent="0.15">
      <c r="T49163" s="9">
        <v>184074235104.24799</v>
      </c>
      <c r="U49163" s="9">
        <v>815000000000</v>
      </c>
    </row>
    <row r="49164" spans="20:21" x14ac:dyDescent="0.15">
      <c r="T49164" s="9">
        <v>173453151731.27701</v>
      </c>
      <c r="U49164" s="9">
        <v>861700000000</v>
      </c>
    </row>
    <row r="49165" spans="20:21" x14ac:dyDescent="0.15">
      <c r="T49165" s="9">
        <v>166341572533.69101</v>
      </c>
      <c r="U49165" s="9">
        <v>942500000000</v>
      </c>
    </row>
    <row r="49166" spans="20:21" x14ac:dyDescent="0.15">
      <c r="T49166" s="9">
        <v>194519834914.35999</v>
      </c>
      <c r="U49166" s="9">
        <v>1019900000000</v>
      </c>
    </row>
    <row r="49167" spans="20:21" x14ac:dyDescent="0.15">
      <c r="T49167" s="9">
        <v>232062163046.44</v>
      </c>
      <c r="U49167" s="9">
        <v>1073303000000</v>
      </c>
    </row>
    <row r="49168" spans="20:21" x14ac:dyDescent="0.15">
      <c r="T49168" s="9">
        <v>248445751754.134</v>
      </c>
      <c r="U49168" s="9">
        <v>1164850000000</v>
      </c>
    </row>
    <row r="49169" spans="20:21" x14ac:dyDescent="0.15">
      <c r="T49169" s="9">
        <v>257911534896.49799</v>
      </c>
      <c r="U49169" s="9">
        <v>1279110000000</v>
      </c>
    </row>
    <row r="49170" spans="20:21" x14ac:dyDescent="0.15">
      <c r="T49170" s="9">
        <v>277925470006.599</v>
      </c>
      <c r="U49170" s="9">
        <v>1425376000000</v>
      </c>
    </row>
    <row r="49171" spans="20:21" x14ac:dyDescent="0.15">
      <c r="T49171" s="9">
        <v>284345548371.966</v>
      </c>
      <c r="U49171" s="9">
        <v>1545243000000</v>
      </c>
    </row>
    <row r="49172" spans="20:21" x14ac:dyDescent="0.15">
      <c r="T49172" s="9">
        <v>309140480182.89801</v>
      </c>
      <c r="U49172" s="9">
        <v>1684904000000</v>
      </c>
    </row>
    <row r="49173" spans="20:21" x14ac:dyDescent="0.15">
      <c r="T49173" s="9">
        <v>304286974638.82202</v>
      </c>
      <c r="U49173" s="9">
        <v>1873412000000</v>
      </c>
    </row>
    <row r="49174" spans="20:21" x14ac:dyDescent="0.15">
      <c r="T49174" s="9">
        <v>327321498623.151</v>
      </c>
      <c r="U49174" s="9">
        <v>2081826000000</v>
      </c>
    </row>
    <row r="49175" spans="20:21" x14ac:dyDescent="0.15">
      <c r="T49175" s="9">
        <v>364393859506.91699</v>
      </c>
      <c r="U49175" s="9">
        <v>2351599000000</v>
      </c>
    </row>
    <row r="49176" spans="20:21" x14ac:dyDescent="0.15">
      <c r="T49176" s="9">
        <v>392056180496.07098</v>
      </c>
      <c r="U49176" s="9">
        <v>2627333000000</v>
      </c>
    </row>
    <row r="49177" spans="20:21" x14ac:dyDescent="0.15">
      <c r="T49177" s="9">
        <v>422770430220.08099</v>
      </c>
      <c r="U49177" s="9">
        <v>2857307000000</v>
      </c>
    </row>
    <row r="49178" spans="20:21" x14ac:dyDescent="0.15">
      <c r="T49178" s="9">
        <v>444385672278.89001</v>
      </c>
      <c r="U49178" s="9">
        <v>3207041000000</v>
      </c>
    </row>
    <row r="49179" spans="20:21" x14ac:dyDescent="0.15">
      <c r="T49179" s="9">
        <v>484456434564.98102</v>
      </c>
      <c r="U49179" s="9">
        <v>3343789000000</v>
      </c>
    </row>
    <row r="49180" spans="20:21" x14ac:dyDescent="0.15">
      <c r="T49180" s="9">
        <v>536633373623.745</v>
      </c>
      <c r="U49180" s="9">
        <v>3634038000000</v>
      </c>
    </row>
    <row r="49181" spans="20:21" x14ac:dyDescent="0.15">
      <c r="T49181" s="9">
        <v>618156247357.86304</v>
      </c>
      <c r="U49181" s="9">
        <v>4037613000000</v>
      </c>
    </row>
    <row r="49182" spans="20:21" x14ac:dyDescent="0.15">
      <c r="T49182" s="9">
        <v>701178819512.74402</v>
      </c>
      <c r="U49182" s="9">
        <v>4338979000000</v>
      </c>
    </row>
    <row r="49183" spans="20:21" x14ac:dyDescent="0.15">
      <c r="T49183" s="9">
        <v>763934055759.06604</v>
      </c>
      <c r="U49183" s="9">
        <v>4579631000000</v>
      </c>
    </row>
    <row r="49184" spans="20:21" x14ac:dyDescent="0.15">
      <c r="T49184" s="9">
        <v>852989116696.35205</v>
      </c>
      <c r="U49184" s="9">
        <v>4855215000000</v>
      </c>
    </row>
    <row r="49185" spans="20:21" x14ac:dyDescent="0.15">
      <c r="T49185" s="9">
        <v>948716630508.16699</v>
      </c>
      <c r="U49185" s="9">
        <v>5236438000000</v>
      </c>
    </row>
    <row r="49186" spans="20:21" x14ac:dyDescent="0.15">
      <c r="T49186" s="9">
        <v>988622824073.36694</v>
      </c>
      <c r="U49186" s="9">
        <v>5641580000000</v>
      </c>
    </row>
    <row r="49187" spans="20:21" x14ac:dyDescent="0.15">
      <c r="T49187" s="9">
        <v>1027379323856.15</v>
      </c>
      <c r="U49187" s="9">
        <v>5963144000000</v>
      </c>
    </row>
    <row r="49188" spans="20:21" x14ac:dyDescent="0.15">
      <c r="T49188" s="9">
        <v>1122543272896.8301</v>
      </c>
      <c r="U49188" s="9">
        <v>6158129000000</v>
      </c>
    </row>
    <row r="49189" spans="20:21" x14ac:dyDescent="0.15">
      <c r="T49189" s="9">
        <v>1282219772946.3201</v>
      </c>
      <c r="U49189" s="9">
        <v>6520327000000</v>
      </c>
    </row>
    <row r="49190" spans="20:21" x14ac:dyDescent="0.15">
      <c r="T49190" s="9">
        <v>1460239695280.22</v>
      </c>
      <c r="U49190" s="9">
        <v>6858559000000</v>
      </c>
    </row>
    <row r="49191" spans="20:21" x14ac:dyDescent="0.15">
      <c r="T49191" s="9">
        <v>1650608320717.1299</v>
      </c>
      <c r="U49191" s="9">
        <v>7287236000000</v>
      </c>
    </row>
    <row r="49192" spans="20:21" x14ac:dyDescent="0.15">
      <c r="T49192" s="9">
        <v>1831415202548.1001</v>
      </c>
      <c r="U49192" s="9">
        <v>7639749000000</v>
      </c>
    </row>
    <row r="49193" spans="20:21" x14ac:dyDescent="0.15">
      <c r="T49193" s="9">
        <v>2013138415391.3999</v>
      </c>
      <c r="U49193" s="9">
        <v>8073122000000</v>
      </c>
    </row>
    <row r="49194" spans="20:21" x14ac:dyDescent="0.15">
      <c r="T49194" s="9">
        <v>2199087579734.8799</v>
      </c>
      <c r="U49194" s="9">
        <v>8577554457000</v>
      </c>
    </row>
    <row r="49195" spans="20:21" x14ac:dyDescent="0.15">
      <c r="T49195" s="9">
        <v>2371626931008.4102</v>
      </c>
      <c r="U49195" s="9">
        <v>9062818202000</v>
      </c>
    </row>
    <row r="49196" spans="20:21" x14ac:dyDescent="0.15">
      <c r="T49196" s="9">
        <v>2553332721355.1499</v>
      </c>
      <c r="U49196" s="9">
        <v>9631174489000</v>
      </c>
    </row>
    <row r="49197" spans="20:21" x14ac:dyDescent="0.15">
      <c r="T49197" s="9">
        <v>2770113054357.8301</v>
      </c>
      <c r="U49197" s="9">
        <v>10250947997000</v>
      </c>
    </row>
    <row r="49198" spans="20:21" x14ac:dyDescent="0.15">
      <c r="T49198" s="9">
        <v>3001022295612.3501</v>
      </c>
      <c r="U49198" s="9">
        <v>10581929774000</v>
      </c>
    </row>
    <row r="49199" spans="20:21" x14ac:dyDescent="0.15">
      <c r="T49199" s="9">
        <v>3275124592017.1602</v>
      </c>
      <c r="U49199" s="9">
        <v>10929112955000</v>
      </c>
    </row>
    <row r="49200" spans="20:21" x14ac:dyDescent="0.15">
      <c r="T49200" s="9">
        <v>3603882596858.1099</v>
      </c>
      <c r="U49200" s="9">
        <v>11456442041000</v>
      </c>
    </row>
    <row r="49201" spans="20:21" x14ac:dyDescent="0.15">
      <c r="T49201" s="9">
        <v>3968365637613.6299</v>
      </c>
      <c r="U49201" s="9">
        <v>12217193198000</v>
      </c>
    </row>
    <row r="49202" spans="20:21" x14ac:dyDescent="0.15">
      <c r="T49202" s="9">
        <v>4420544703537.2402</v>
      </c>
      <c r="U49202" s="9">
        <v>13039199193000</v>
      </c>
    </row>
    <row r="49203" spans="20:21" x14ac:dyDescent="0.15">
      <c r="T49203" s="9">
        <v>4982880235433.3896</v>
      </c>
      <c r="U49203" s="9">
        <v>13815586948000</v>
      </c>
    </row>
    <row r="49204" spans="20:21" x14ac:dyDescent="0.15">
      <c r="T49204" s="9">
        <v>5691986992199.8604</v>
      </c>
      <c r="U49204" s="9">
        <v>14474226905000</v>
      </c>
    </row>
    <row r="49205" spans="20:21" x14ac:dyDescent="0.15">
      <c r="T49205" s="9">
        <v>6241302380960.0195</v>
      </c>
      <c r="U49205" s="9">
        <v>14769857911000</v>
      </c>
    </row>
    <row r="49206" spans="20:21" x14ac:dyDescent="0.15">
      <c r="T49206" s="9">
        <v>6827905267633.6299</v>
      </c>
      <c r="U49206" s="9">
        <v>14478064934000</v>
      </c>
    </row>
    <row r="49207" spans="20:21" x14ac:dyDescent="0.15">
      <c r="T49207" s="9">
        <v>7554112468317.7305</v>
      </c>
      <c r="U49207" s="9">
        <v>15048964444000</v>
      </c>
    </row>
    <row r="49208" spans="20:21" x14ac:dyDescent="0.15">
      <c r="T49208" s="9">
        <v>8275593072769.2598</v>
      </c>
      <c r="U49208" s="9">
        <v>15599728123000</v>
      </c>
    </row>
    <row r="49209" spans="20:21" x14ac:dyDescent="0.15">
      <c r="T49209" s="9">
        <v>8926363901575.5605</v>
      </c>
      <c r="U49209" s="9">
        <v>16253972230000</v>
      </c>
    </row>
    <row r="49210" spans="20:21" x14ac:dyDescent="0.15">
      <c r="T49210" s="9">
        <v>9619598720424.4609</v>
      </c>
      <c r="U49210" s="9">
        <v>16843190993000</v>
      </c>
    </row>
    <row r="49211" spans="20:21" x14ac:dyDescent="0.15">
      <c r="T49211" s="9">
        <v>10333927386102.801</v>
      </c>
      <c r="U49211" s="9">
        <v>17550680174000</v>
      </c>
    </row>
    <row r="49212" spans="20:21" x14ac:dyDescent="0.15">
      <c r="T49212" s="9">
        <v>11061573199439.699</v>
      </c>
      <c r="U49212" s="9">
        <v>18206020741000</v>
      </c>
    </row>
    <row r="49213" spans="20:21" x14ac:dyDescent="0.15">
      <c r="T49213" s="9">
        <v>11819154044004.9</v>
      </c>
      <c r="U49213" s="9">
        <v>18695110842000</v>
      </c>
    </row>
    <row r="49214" spans="20:21" x14ac:dyDescent="0.15">
      <c r="T49214" s="9">
        <v>12640254407508.1</v>
      </c>
      <c r="U49214" s="9">
        <v>19477336549000</v>
      </c>
    </row>
    <row r="49215" spans="20:21" x14ac:dyDescent="0.15">
      <c r="T49215" s="9">
        <v>13493442991864.699</v>
      </c>
      <c r="U49215" s="9">
        <v>20533057312000</v>
      </c>
    </row>
    <row r="49216" spans="20:21" x14ac:dyDescent="0.15">
      <c r="T49216" s="9">
        <v>14296370418805.1</v>
      </c>
      <c r="U49216" s="9">
        <v>21380976119000</v>
      </c>
    </row>
    <row r="49217" spans="20:21" x14ac:dyDescent="0.15">
      <c r="T49217" s="9">
        <v>14616414450558.4</v>
      </c>
      <c r="U49217" s="9">
        <v>21060473613000</v>
      </c>
    </row>
    <row r="49218" spans="20:21" x14ac:dyDescent="0.15">
      <c r="T49218" s="9">
        <v>15851132888547.1</v>
      </c>
      <c r="U49218" s="9">
        <v>23315080560000</v>
      </c>
    </row>
    <row r="49219" spans="20:21" x14ac:dyDescent="0.15">
      <c r="T49219" s="9">
        <v>16325209299766.801</v>
      </c>
      <c r="U49219" s="9">
        <v>25462700000000</v>
      </c>
    </row>
    <row r="65537" spans="20:21" x14ac:dyDescent="0.15">
      <c r="T65537" s="9" t="s">
        <v>45</v>
      </c>
      <c r="U65537" s="9" t="s">
        <v>44</v>
      </c>
    </row>
    <row r="65538" spans="20:21" x14ac:dyDescent="0.15">
      <c r="T65538" s="9" t="s">
        <v>43</v>
      </c>
      <c r="U65538" s="9" t="s">
        <v>42</v>
      </c>
    </row>
    <row r="65539" spans="20:21" x14ac:dyDescent="0.15">
      <c r="T65539" s="9" t="s">
        <v>41</v>
      </c>
      <c r="U65539" s="9" t="s">
        <v>40</v>
      </c>
    </row>
    <row r="65540" spans="20:21" x14ac:dyDescent="0.15">
      <c r="T65540" s="9" t="s">
        <v>39</v>
      </c>
      <c r="U65540" s="9" t="s">
        <v>38</v>
      </c>
    </row>
    <row r="65541" spans="20:21" x14ac:dyDescent="0.15">
      <c r="T65541" s="9">
        <v>158907457242.42899</v>
      </c>
      <c r="U65541" s="9">
        <v>543300000000</v>
      </c>
    </row>
    <row r="65542" spans="20:21" x14ac:dyDescent="0.15">
      <c r="T65542" s="9">
        <v>115573393646.185</v>
      </c>
      <c r="U65542" s="9">
        <v>563300000000</v>
      </c>
    </row>
    <row r="65543" spans="20:21" x14ac:dyDescent="0.15">
      <c r="T65543" s="9">
        <v>109124398292.05099</v>
      </c>
      <c r="U65543" s="9">
        <v>605100000000</v>
      </c>
    </row>
    <row r="65544" spans="20:21" x14ac:dyDescent="0.15">
      <c r="T65544" s="9">
        <v>120364211312.289</v>
      </c>
      <c r="U65544" s="9">
        <v>638600000000</v>
      </c>
    </row>
    <row r="65545" spans="20:21" x14ac:dyDescent="0.15">
      <c r="T65545" s="9">
        <v>142246424921.30899</v>
      </c>
      <c r="U65545" s="9">
        <v>685800000000</v>
      </c>
    </row>
    <row r="65546" spans="20:21" x14ac:dyDescent="0.15">
      <c r="T65546" s="9">
        <v>166357193951.10501</v>
      </c>
      <c r="U65546" s="9">
        <v>743700000000</v>
      </c>
    </row>
    <row r="65547" spans="20:21" x14ac:dyDescent="0.15">
      <c r="T65547" s="9">
        <v>184074235104.24799</v>
      </c>
      <c r="U65547" s="9">
        <v>815000000000</v>
      </c>
    </row>
    <row r="65548" spans="20:21" x14ac:dyDescent="0.15">
      <c r="T65548" s="9">
        <v>173453151731.27701</v>
      </c>
      <c r="U65548" s="9">
        <v>861700000000</v>
      </c>
    </row>
    <row r="65549" spans="20:21" x14ac:dyDescent="0.15">
      <c r="T65549" s="9">
        <v>166341572533.69101</v>
      </c>
      <c r="U65549" s="9">
        <v>942500000000</v>
      </c>
    </row>
    <row r="65550" spans="20:21" x14ac:dyDescent="0.15">
      <c r="T65550" s="9">
        <v>194519834914.35999</v>
      </c>
      <c r="U65550" s="9">
        <v>1019900000000</v>
      </c>
    </row>
    <row r="65551" spans="20:21" x14ac:dyDescent="0.15">
      <c r="T65551" s="9">
        <v>232062163046.44</v>
      </c>
      <c r="U65551" s="9">
        <v>1073303000000</v>
      </c>
    </row>
    <row r="65552" spans="20:21" x14ac:dyDescent="0.15">
      <c r="T65552" s="9">
        <v>248445751754.134</v>
      </c>
      <c r="U65552" s="9">
        <v>1164850000000</v>
      </c>
    </row>
    <row r="65553" spans="20:21" x14ac:dyDescent="0.15">
      <c r="T65553" s="9">
        <v>257911534896.49799</v>
      </c>
      <c r="U65553" s="9">
        <v>1279110000000</v>
      </c>
    </row>
    <row r="65554" spans="20:21" x14ac:dyDescent="0.15">
      <c r="T65554" s="9">
        <v>277925470006.599</v>
      </c>
      <c r="U65554" s="9">
        <v>1425376000000</v>
      </c>
    </row>
    <row r="65555" spans="20:21" x14ac:dyDescent="0.15">
      <c r="T65555" s="9">
        <v>284345548371.966</v>
      </c>
      <c r="U65555" s="9">
        <v>1545243000000</v>
      </c>
    </row>
    <row r="65556" spans="20:21" x14ac:dyDescent="0.15">
      <c r="T65556" s="9">
        <v>309140480182.89801</v>
      </c>
      <c r="U65556" s="9">
        <v>1684904000000</v>
      </c>
    </row>
    <row r="65557" spans="20:21" x14ac:dyDescent="0.15">
      <c r="T65557" s="9">
        <v>304286974638.82202</v>
      </c>
      <c r="U65557" s="9">
        <v>1873412000000</v>
      </c>
    </row>
    <row r="65558" spans="20:21" x14ac:dyDescent="0.15">
      <c r="T65558" s="9">
        <v>327321498623.151</v>
      </c>
      <c r="U65558" s="9">
        <v>2081826000000</v>
      </c>
    </row>
    <row r="65559" spans="20:21" x14ac:dyDescent="0.15">
      <c r="T65559" s="9">
        <v>364393859506.91699</v>
      </c>
      <c r="U65559" s="9">
        <v>2351599000000</v>
      </c>
    </row>
    <row r="65560" spans="20:21" x14ac:dyDescent="0.15">
      <c r="T65560" s="9">
        <v>392056180496.07098</v>
      </c>
      <c r="U65560" s="9">
        <v>2627333000000</v>
      </c>
    </row>
    <row r="65561" spans="20:21" x14ac:dyDescent="0.15">
      <c r="T65561" s="9">
        <v>422770430220.08099</v>
      </c>
      <c r="U65561" s="9">
        <v>2857307000000</v>
      </c>
    </row>
    <row r="65562" spans="20:21" x14ac:dyDescent="0.15">
      <c r="T65562" s="9">
        <v>444385672278.89001</v>
      </c>
      <c r="U65562" s="9">
        <v>3207041000000</v>
      </c>
    </row>
    <row r="65563" spans="20:21" x14ac:dyDescent="0.15">
      <c r="T65563" s="9">
        <v>484456434564.98102</v>
      </c>
      <c r="U65563" s="9">
        <v>3343789000000</v>
      </c>
    </row>
    <row r="65564" spans="20:21" x14ac:dyDescent="0.15">
      <c r="T65564" s="9">
        <v>536633373623.745</v>
      </c>
      <c r="U65564" s="9">
        <v>3634038000000</v>
      </c>
    </row>
    <row r="65565" spans="20:21" x14ac:dyDescent="0.15">
      <c r="T65565" s="9">
        <v>618156247357.86304</v>
      </c>
      <c r="U65565" s="9">
        <v>4037613000000</v>
      </c>
    </row>
    <row r="65566" spans="20:21" x14ac:dyDescent="0.15">
      <c r="T65566" s="9">
        <v>701178819512.74402</v>
      </c>
      <c r="U65566" s="9">
        <v>4338979000000</v>
      </c>
    </row>
    <row r="65567" spans="20:21" x14ac:dyDescent="0.15">
      <c r="T65567" s="9">
        <v>763934055759.06604</v>
      </c>
      <c r="U65567" s="9">
        <v>4579631000000</v>
      </c>
    </row>
    <row r="65568" spans="20:21" x14ac:dyDescent="0.15">
      <c r="T65568" s="9">
        <v>852989116696.35205</v>
      </c>
      <c r="U65568" s="9">
        <v>4855215000000</v>
      </c>
    </row>
    <row r="65569" spans="20:21" x14ac:dyDescent="0.15">
      <c r="T65569" s="9">
        <v>948716630508.16699</v>
      </c>
      <c r="U65569" s="9">
        <v>5236438000000</v>
      </c>
    </row>
    <row r="65570" spans="20:21" x14ac:dyDescent="0.15">
      <c r="T65570" s="9">
        <v>988622824073.36694</v>
      </c>
      <c r="U65570" s="9">
        <v>5641580000000</v>
      </c>
    </row>
    <row r="65571" spans="20:21" x14ac:dyDescent="0.15">
      <c r="T65571" s="9">
        <v>1027379323856.15</v>
      </c>
      <c r="U65571" s="9">
        <v>5963144000000</v>
      </c>
    </row>
    <row r="65572" spans="20:21" x14ac:dyDescent="0.15">
      <c r="T65572" s="9">
        <v>1122543272896.8301</v>
      </c>
      <c r="U65572" s="9">
        <v>6158129000000</v>
      </c>
    </row>
    <row r="65573" spans="20:21" x14ac:dyDescent="0.15">
      <c r="T65573" s="9">
        <v>1282219772946.3201</v>
      </c>
      <c r="U65573" s="9">
        <v>6520327000000</v>
      </c>
    </row>
    <row r="65574" spans="20:21" x14ac:dyDescent="0.15">
      <c r="T65574" s="9">
        <v>1460239695280.22</v>
      </c>
      <c r="U65574" s="9">
        <v>6858559000000</v>
      </c>
    </row>
    <row r="65575" spans="20:21" x14ac:dyDescent="0.15">
      <c r="T65575" s="9">
        <v>1650608320717.1299</v>
      </c>
      <c r="U65575" s="9">
        <v>7287236000000</v>
      </c>
    </row>
    <row r="65576" spans="20:21" x14ac:dyDescent="0.15">
      <c r="T65576" s="9">
        <v>1831415202548.1001</v>
      </c>
      <c r="U65576" s="9">
        <v>7639749000000</v>
      </c>
    </row>
    <row r="65577" spans="20:21" x14ac:dyDescent="0.15">
      <c r="T65577" s="9">
        <v>2013138415391.3999</v>
      </c>
      <c r="U65577" s="9">
        <v>8073122000000</v>
      </c>
    </row>
    <row r="65578" spans="20:21" x14ac:dyDescent="0.15">
      <c r="T65578" s="9">
        <v>2199087579734.8799</v>
      </c>
      <c r="U65578" s="9">
        <v>8577554457000</v>
      </c>
    </row>
    <row r="65579" spans="20:21" x14ac:dyDescent="0.15">
      <c r="T65579" s="9">
        <v>2371626931008.4102</v>
      </c>
      <c r="U65579" s="9">
        <v>9062818202000</v>
      </c>
    </row>
    <row r="65580" spans="20:21" x14ac:dyDescent="0.15">
      <c r="T65580" s="9">
        <v>2553332721355.1499</v>
      </c>
      <c r="U65580" s="9">
        <v>9631174489000</v>
      </c>
    </row>
    <row r="65581" spans="20:21" x14ac:dyDescent="0.15">
      <c r="T65581" s="9">
        <v>2770113054357.8301</v>
      </c>
      <c r="U65581" s="9">
        <v>10250947997000</v>
      </c>
    </row>
    <row r="65582" spans="20:21" x14ac:dyDescent="0.15">
      <c r="T65582" s="9">
        <v>3001022295612.3501</v>
      </c>
      <c r="U65582" s="9">
        <v>10581929774000</v>
      </c>
    </row>
    <row r="65583" spans="20:21" x14ac:dyDescent="0.15">
      <c r="T65583" s="9">
        <v>3275124592017.1602</v>
      </c>
      <c r="U65583" s="9">
        <v>10929112955000</v>
      </c>
    </row>
    <row r="65584" spans="20:21" x14ac:dyDescent="0.15">
      <c r="T65584" s="9">
        <v>3603882596858.1099</v>
      </c>
      <c r="U65584" s="9">
        <v>11456442041000</v>
      </c>
    </row>
    <row r="65585" spans="20:21" x14ac:dyDescent="0.15">
      <c r="T65585" s="9">
        <v>3968365637613.6299</v>
      </c>
      <c r="U65585" s="9">
        <v>12217193198000</v>
      </c>
    </row>
    <row r="65586" spans="20:21" x14ac:dyDescent="0.15">
      <c r="T65586" s="9">
        <v>4420544703537.2402</v>
      </c>
      <c r="U65586" s="9">
        <v>13039199193000</v>
      </c>
    </row>
    <row r="65587" spans="20:21" x14ac:dyDescent="0.15">
      <c r="T65587" s="9">
        <v>4982880235433.3896</v>
      </c>
      <c r="U65587" s="9">
        <v>13815586948000</v>
      </c>
    </row>
    <row r="65588" spans="20:21" x14ac:dyDescent="0.15">
      <c r="T65588" s="9">
        <v>5691986992199.8604</v>
      </c>
      <c r="U65588" s="9">
        <v>14474226905000</v>
      </c>
    </row>
    <row r="65589" spans="20:21" x14ac:dyDescent="0.15">
      <c r="T65589" s="9">
        <v>6241302380960.0195</v>
      </c>
      <c r="U65589" s="9">
        <v>14769857911000</v>
      </c>
    </row>
    <row r="65590" spans="20:21" x14ac:dyDescent="0.15">
      <c r="T65590" s="9">
        <v>6827905267633.6299</v>
      </c>
      <c r="U65590" s="9">
        <v>14478064934000</v>
      </c>
    </row>
    <row r="65591" spans="20:21" x14ac:dyDescent="0.15">
      <c r="T65591" s="9">
        <v>7554112468317.7305</v>
      </c>
      <c r="U65591" s="9">
        <v>15048964444000</v>
      </c>
    </row>
    <row r="65592" spans="20:21" x14ac:dyDescent="0.15">
      <c r="T65592" s="9">
        <v>8275593072769.2598</v>
      </c>
      <c r="U65592" s="9">
        <v>15599728123000</v>
      </c>
    </row>
    <row r="65593" spans="20:21" x14ac:dyDescent="0.15">
      <c r="T65593" s="9">
        <v>8926363901575.5605</v>
      </c>
      <c r="U65593" s="9">
        <v>16253972230000</v>
      </c>
    </row>
    <row r="65594" spans="20:21" x14ac:dyDescent="0.15">
      <c r="T65594" s="9">
        <v>9619598720424.4609</v>
      </c>
      <c r="U65594" s="9">
        <v>16843190993000</v>
      </c>
    </row>
    <row r="65595" spans="20:21" x14ac:dyDescent="0.15">
      <c r="T65595" s="9">
        <v>10333927386102.801</v>
      </c>
      <c r="U65595" s="9">
        <v>17550680174000</v>
      </c>
    </row>
    <row r="65596" spans="20:21" x14ac:dyDescent="0.15">
      <c r="T65596" s="9">
        <v>11061573199439.699</v>
      </c>
      <c r="U65596" s="9">
        <v>18206020741000</v>
      </c>
    </row>
    <row r="65597" spans="20:21" x14ac:dyDescent="0.15">
      <c r="T65597" s="9">
        <v>11819154044004.9</v>
      </c>
      <c r="U65597" s="9">
        <v>18695110842000</v>
      </c>
    </row>
    <row r="65598" spans="20:21" x14ac:dyDescent="0.15">
      <c r="T65598" s="9">
        <v>12640254407508.1</v>
      </c>
      <c r="U65598" s="9">
        <v>19477336549000</v>
      </c>
    </row>
    <row r="65599" spans="20:21" x14ac:dyDescent="0.15">
      <c r="T65599" s="9">
        <v>13493442991864.699</v>
      </c>
      <c r="U65599" s="9">
        <v>20533057312000</v>
      </c>
    </row>
    <row r="65600" spans="20:21" x14ac:dyDescent="0.15">
      <c r="T65600" s="9">
        <v>14296370418805.1</v>
      </c>
      <c r="U65600" s="9">
        <v>21380976119000</v>
      </c>
    </row>
    <row r="65601" spans="20:21" x14ac:dyDescent="0.15">
      <c r="T65601" s="9">
        <v>14616414450558.4</v>
      </c>
      <c r="U65601" s="9">
        <v>21060473613000</v>
      </c>
    </row>
    <row r="65602" spans="20:21" x14ac:dyDescent="0.15">
      <c r="T65602" s="9">
        <v>15851132888547.1</v>
      </c>
      <c r="U65602" s="9">
        <v>23315080560000</v>
      </c>
    </row>
    <row r="65603" spans="20:21" x14ac:dyDescent="0.15">
      <c r="T65603" s="9">
        <v>16325209299766.801</v>
      </c>
      <c r="U65603" s="9">
        <v>25462700000000</v>
      </c>
    </row>
    <row r="81921" spans="20:21" x14ac:dyDescent="0.15">
      <c r="T81921" s="9" t="s">
        <v>45</v>
      </c>
      <c r="U81921" s="9" t="s">
        <v>44</v>
      </c>
    </row>
    <row r="81922" spans="20:21" x14ac:dyDescent="0.15">
      <c r="T81922" s="9" t="s">
        <v>43</v>
      </c>
      <c r="U81922" s="9" t="s">
        <v>42</v>
      </c>
    </row>
    <row r="81923" spans="20:21" x14ac:dyDescent="0.15">
      <c r="T81923" s="9" t="s">
        <v>41</v>
      </c>
      <c r="U81923" s="9" t="s">
        <v>40</v>
      </c>
    </row>
    <row r="81924" spans="20:21" x14ac:dyDescent="0.15">
      <c r="T81924" s="9" t="s">
        <v>39</v>
      </c>
      <c r="U81924" s="9" t="s">
        <v>38</v>
      </c>
    </row>
    <row r="81925" spans="20:21" x14ac:dyDescent="0.15">
      <c r="T81925" s="9">
        <v>158907457242.42899</v>
      </c>
      <c r="U81925" s="9">
        <v>543300000000</v>
      </c>
    </row>
    <row r="81926" spans="20:21" x14ac:dyDescent="0.15">
      <c r="T81926" s="9">
        <v>115573393646.185</v>
      </c>
      <c r="U81926" s="9">
        <v>563300000000</v>
      </c>
    </row>
    <row r="81927" spans="20:21" x14ac:dyDescent="0.15">
      <c r="T81927" s="9">
        <v>109124398292.05099</v>
      </c>
      <c r="U81927" s="9">
        <v>605100000000</v>
      </c>
    </row>
    <row r="81928" spans="20:21" x14ac:dyDescent="0.15">
      <c r="T81928" s="9">
        <v>120364211312.289</v>
      </c>
      <c r="U81928" s="9">
        <v>638600000000</v>
      </c>
    </row>
    <row r="81929" spans="20:21" x14ac:dyDescent="0.15">
      <c r="T81929" s="9">
        <v>142246424921.30899</v>
      </c>
      <c r="U81929" s="9">
        <v>685800000000</v>
      </c>
    </row>
    <row r="81930" spans="20:21" x14ac:dyDescent="0.15">
      <c r="T81930" s="9">
        <v>166357193951.10501</v>
      </c>
      <c r="U81930" s="9">
        <v>743700000000</v>
      </c>
    </row>
    <row r="81931" spans="20:21" x14ac:dyDescent="0.15">
      <c r="T81931" s="9">
        <v>184074235104.24799</v>
      </c>
      <c r="U81931" s="9">
        <v>815000000000</v>
      </c>
    </row>
    <row r="81932" spans="20:21" x14ac:dyDescent="0.15">
      <c r="T81932" s="9">
        <v>173453151731.27701</v>
      </c>
      <c r="U81932" s="9">
        <v>861700000000</v>
      </c>
    </row>
    <row r="81933" spans="20:21" x14ac:dyDescent="0.15">
      <c r="T81933" s="9">
        <v>166341572533.69101</v>
      </c>
      <c r="U81933" s="9">
        <v>942500000000</v>
      </c>
    </row>
    <row r="81934" spans="20:21" x14ac:dyDescent="0.15">
      <c r="T81934" s="9">
        <v>194519834914.35999</v>
      </c>
      <c r="U81934" s="9">
        <v>1019900000000</v>
      </c>
    </row>
    <row r="81935" spans="20:21" x14ac:dyDescent="0.15">
      <c r="T81935" s="9">
        <v>232062163046.44</v>
      </c>
      <c r="U81935" s="9">
        <v>1073303000000</v>
      </c>
    </row>
    <row r="81936" spans="20:21" x14ac:dyDescent="0.15">
      <c r="T81936" s="9">
        <v>248445751754.134</v>
      </c>
      <c r="U81936" s="9">
        <v>1164850000000</v>
      </c>
    </row>
    <row r="81937" spans="20:21" x14ac:dyDescent="0.15">
      <c r="T81937" s="9">
        <v>257911534896.49799</v>
      </c>
      <c r="U81937" s="9">
        <v>1279110000000</v>
      </c>
    </row>
    <row r="81938" spans="20:21" x14ac:dyDescent="0.15">
      <c r="T81938" s="9">
        <v>277925470006.599</v>
      </c>
      <c r="U81938" s="9">
        <v>1425376000000</v>
      </c>
    </row>
    <row r="81939" spans="20:21" x14ac:dyDescent="0.15">
      <c r="T81939" s="9">
        <v>284345548371.966</v>
      </c>
      <c r="U81939" s="9">
        <v>1545243000000</v>
      </c>
    </row>
    <row r="81940" spans="20:21" x14ac:dyDescent="0.15">
      <c r="T81940" s="9">
        <v>309140480182.89801</v>
      </c>
      <c r="U81940" s="9">
        <v>1684904000000</v>
      </c>
    </row>
    <row r="81941" spans="20:21" x14ac:dyDescent="0.15">
      <c r="T81941" s="9">
        <v>304286974638.82202</v>
      </c>
      <c r="U81941" s="9">
        <v>1873412000000</v>
      </c>
    </row>
    <row r="81942" spans="20:21" x14ac:dyDescent="0.15">
      <c r="T81942" s="9">
        <v>327321498623.151</v>
      </c>
      <c r="U81942" s="9">
        <v>2081826000000</v>
      </c>
    </row>
    <row r="81943" spans="20:21" x14ac:dyDescent="0.15">
      <c r="T81943" s="9">
        <v>364393859506.91699</v>
      </c>
      <c r="U81943" s="9">
        <v>2351599000000</v>
      </c>
    </row>
    <row r="81944" spans="20:21" x14ac:dyDescent="0.15">
      <c r="T81944" s="9">
        <v>392056180496.07098</v>
      </c>
      <c r="U81944" s="9">
        <v>2627333000000</v>
      </c>
    </row>
    <row r="81945" spans="20:21" x14ac:dyDescent="0.15">
      <c r="T81945" s="9">
        <v>422770430220.08099</v>
      </c>
      <c r="U81945" s="9">
        <v>2857307000000</v>
      </c>
    </row>
    <row r="81946" spans="20:21" x14ac:dyDescent="0.15">
      <c r="T81946" s="9">
        <v>444385672278.89001</v>
      </c>
      <c r="U81946" s="9">
        <v>3207041000000</v>
      </c>
    </row>
    <row r="81947" spans="20:21" x14ac:dyDescent="0.15">
      <c r="T81947" s="9">
        <v>484456434564.98102</v>
      </c>
      <c r="U81947" s="9">
        <v>3343789000000</v>
      </c>
    </row>
    <row r="81948" spans="20:21" x14ac:dyDescent="0.15">
      <c r="T81948" s="9">
        <v>536633373623.745</v>
      </c>
      <c r="U81948" s="9">
        <v>3634038000000</v>
      </c>
    </row>
    <row r="81949" spans="20:21" x14ac:dyDescent="0.15">
      <c r="T81949" s="9">
        <v>618156247357.86304</v>
      </c>
      <c r="U81949" s="9">
        <v>4037613000000</v>
      </c>
    </row>
    <row r="81950" spans="20:21" x14ac:dyDescent="0.15">
      <c r="T81950" s="9">
        <v>701178819512.74402</v>
      </c>
      <c r="U81950" s="9">
        <v>4338979000000</v>
      </c>
    </row>
    <row r="81951" spans="20:21" x14ac:dyDescent="0.15">
      <c r="T81951" s="9">
        <v>763934055759.06604</v>
      </c>
      <c r="U81951" s="9">
        <v>4579631000000</v>
      </c>
    </row>
    <row r="81952" spans="20:21" x14ac:dyDescent="0.15">
      <c r="T81952" s="9">
        <v>852989116696.35205</v>
      </c>
      <c r="U81952" s="9">
        <v>4855215000000</v>
      </c>
    </row>
    <row r="81953" spans="20:21" x14ac:dyDescent="0.15">
      <c r="T81953" s="9">
        <v>948716630508.16699</v>
      </c>
      <c r="U81953" s="9">
        <v>5236438000000</v>
      </c>
    </row>
    <row r="81954" spans="20:21" x14ac:dyDescent="0.15">
      <c r="T81954" s="9">
        <v>988622824073.36694</v>
      </c>
      <c r="U81954" s="9">
        <v>5641580000000</v>
      </c>
    </row>
    <row r="81955" spans="20:21" x14ac:dyDescent="0.15">
      <c r="T81955" s="9">
        <v>1027379323856.15</v>
      </c>
      <c r="U81955" s="9">
        <v>5963144000000</v>
      </c>
    </row>
    <row r="81956" spans="20:21" x14ac:dyDescent="0.15">
      <c r="T81956" s="9">
        <v>1122543272896.8301</v>
      </c>
      <c r="U81956" s="9">
        <v>6158129000000</v>
      </c>
    </row>
    <row r="81957" spans="20:21" x14ac:dyDescent="0.15">
      <c r="T81957" s="9">
        <v>1282219772946.3201</v>
      </c>
      <c r="U81957" s="9">
        <v>6520327000000</v>
      </c>
    </row>
    <row r="81958" spans="20:21" x14ac:dyDescent="0.15">
      <c r="T81958" s="9">
        <v>1460239695280.22</v>
      </c>
      <c r="U81958" s="9">
        <v>6858559000000</v>
      </c>
    </row>
    <row r="81959" spans="20:21" x14ac:dyDescent="0.15">
      <c r="T81959" s="9">
        <v>1650608320717.1299</v>
      </c>
      <c r="U81959" s="9">
        <v>7287236000000</v>
      </c>
    </row>
    <row r="81960" spans="20:21" x14ac:dyDescent="0.15">
      <c r="T81960" s="9">
        <v>1831415202548.1001</v>
      </c>
      <c r="U81960" s="9">
        <v>7639749000000</v>
      </c>
    </row>
    <row r="81961" spans="20:21" x14ac:dyDescent="0.15">
      <c r="T81961" s="9">
        <v>2013138415391.3999</v>
      </c>
      <c r="U81961" s="9">
        <v>8073122000000</v>
      </c>
    </row>
    <row r="81962" spans="20:21" x14ac:dyDescent="0.15">
      <c r="T81962" s="9">
        <v>2199087579734.8799</v>
      </c>
      <c r="U81962" s="9">
        <v>8577554457000</v>
      </c>
    </row>
    <row r="81963" spans="20:21" x14ac:dyDescent="0.15">
      <c r="T81963" s="9">
        <v>2371626931008.4102</v>
      </c>
      <c r="U81963" s="9">
        <v>9062818202000</v>
      </c>
    </row>
    <row r="81964" spans="20:21" x14ac:dyDescent="0.15">
      <c r="T81964" s="9">
        <v>2553332721355.1499</v>
      </c>
      <c r="U81964" s="9">
        <v>9631174489000</v>
      </c>
    </row>
    <row r="81965" spans="20:21" x14ac:dyDescent="0.15">
      <c r="T81965" s="9">
        <v>2770113054357.8301</v>
      </c>
      <c r="U81965" s="9">
        <v>10250947997000</v>
      </c>
    </row>
    <row r="81966" spans="20:21" x14ac:dyDescent="0.15">
      <c r="T81966" s="9">
        <v>3001022295612.3501</v>
      </c>
      <c r="U81966" s="9">
        <v>10581929774000</v>
      </c>
    </row>
    <row r="81967" spans="20:21" x14ac:dyDescent="0.15">
      <c r="T81967" s="9">
        <v>3275124592017.1602</v>
      </c>
      <c r="U81967" s="9">
        <v>10929112955000</v>
      </c>
    </row>
    <row r="81968" spans="20:21" x14ac:dyDescent="0.15">
      <c r="T81968" s="9">
        <v>3603882596858.1099</v>
      </c>
      <c r="U81968" s="9">
        <v>11456442041000</v>
      </c>
    </row>
    <row r="81969" spans="20:21" x14ac:dyDescent="0.15">
      <c r="T81969" s="9">
        <v>3968365637613.6299</v>
      </c>
      <c r="U81969" s="9">
        <v>12217193198000</v>
      </c>
    </row>
    <row r="81970" spans="20:21" x14ac:dyDescent="0.15">
      <c r="T81970" s="9">
        <v>4420544703537.2402</v>
      </c>
      <c r="U81970" s="9">
        <v>13039199193000</v>
      </c>
    </row>
    <row r="81971" spans="20:21" x14ac:dyDescent="0.15">
      <c r="T81971" s="9">
        <v>4982880235433.3896</v>
      </c>
      <c r="U81971" s="9">
        <v>13815586948000</v>
      </c>
    </row>
    <row r="81972" spans="20:21" x14ac:dyDescent="0.15">
      <c r="T81972" s="9">
        <v>5691986992199.8604</v>
      </c>
      <c r="U81972" s="9">
        <v>14474226905000</v>
      </c>
    </row>
    <row r="81973" spans="20:21" x14ac:dyDescent="0.15">
      <c r="T81973" s="9">
        <v>6241302380960.0195</v>
      </c>
      <c r="U81973" s="9">
        <v>14769857911000</v>
      </c>
    </row>
    <row r="81974" spans="20:21" x14ac:dyDescent="0.15">
      <c r="T81974" s="9">
        <v>6827905267633.6299</v>
      </c>
      <c r="U81974" s="9">
        <v>14478064934000</v>
      </c>
    </row>
    <row r="81975" spans="20:21" x14ac:dyDescent="0.15">
      <c r="T81975" s="9">
        <v>7554112468317.7305</v>
      </c>
      <c r="U81975" s="9">
        <v>15048964444000</v>
      </c>
    </row>
    <row r="81976" spans="20:21" x14ac:dyDescent="0.15">
      <c r="T81976" s="9">
        <v>8275593072769.2598</v>
      </c>
      <c r="U81976" s="9">
        <v>15599728123000</v>
      </c>
    </row>
    <row r="81977" spans="20:21" x14ac:dyDescent="0.15">
      <c r="T81977" s="9">
        <v>8926363901575.5605</v>
      </c>
      <c r="U81977" s="9">
        <v>16253972230000</v>
      </c>
    </row>
    <row r="81978" spans="20:21" x14ac:dyDescent="0.15">
      <c r="T81978" s="9">
        <v>9619598720424.4609</v>
      </c>
      <c r="U81978" s="9">
        <v>16843190993000</v>
      </c>
    </row>
    <row r="81979" spans="20:21" x14ac:dyDescent="0.15">
      <c r="T81979" s="9">
        <v>10333927386102.801</v>
      </c>
      <c r="U81979" s="9">
        <v>17550680174000</v>
      </c>
    </row>
    <row r="81980" spans="20:21" x14ac:dyDescent="0.15">
      <c r="T81980" s="9">
        <v>11061573199439.699</v>
      </c>
      <c r="U81980" s="9">
        <v>18206020741000</v>
      </c>
    </row>
    <row r="81981" spans="20:21" x14ac:dyDescent="0.15">
      <c r="T81981" s="9">
        <v>11819154044004.9</v>
      </c>
      <c r="U81981" s="9">
        <v>18695110842000</v>
      </c>
    </row>
    <row r="81982" spans="20:21" x14ac:dyDescent="0.15">
      <c r="T81982" s="9">
        <v>12640254407508.1</v>
      </c>
      <c r="U81982" s="9">
        <v>19477336549000</v>
      </c>
    </row>
    <row r="81983" spans="20:21" x14ac:dyDescent="0.15">
      <c r="T81983" s="9">
        <v>13493442991864.699</v>
      </c>
      <c r="U81983" s="9">
        <v>20533057312000</v>
      </c>
    </row>
    <row r="81984" spans="20:21" x14ac:dyDescent="0.15">
      <c r="T81984" s="9">
        <v>14296370418805.1</v>
      </c>
      <c r="U81984" s="9">
        <v>21380976119000</v>
      </c>
    </row>
    <row r="81985" spans="20:21" x14ac:dyDescent="0.15">
      <c r="T81985" s="9">
        <v>14616414450558.4</v>
      </c>
      <c r="U81985" s="9">
        <v>21060473613000</v>
      </c>
    </row>
    <row r="81986" spans="20:21" x14ac:dyDescent="0.15">
      <c r="T81986" s="9">
        <v>15851132888547.1</v>
      </c>
      <c r="U81986" s="9">
        <v>23315080560000</v>
      </c>
    </row>
    <row r="81987" spans="20:21" x14ac:dyDescent="0.15">
      <c r="T81987" s="9">
        <v>16325209299766.801</v>
      </c>
      <c r="U81987" s="9">
        <v>25462700000000</v>
      </c>
    </row>
    <row r="98305" spans="20:21" x14ac:dyDescent="0.15">
      <c r="T98305" s="9" t="s">
        <v>45</v>
      </c>
      <c r="U98305" s="9" t="s">
        <v>44</v>
      </c>
    </row>
    <row r="98306" spans="20:21" x14ac:dyDescent="0.15">
      <c r="T98306" s="9" t="s">
        <v>43</v>
      </c>
      <c r="U98306" s="9" t="s">
        <v>42</v>
      </c>
    </row>
    <row r="98307" spans="20:21" x14ac:dyDescent="0.15">
      <c r="T98307" s="9" t="s">
        <v>41</v>
      </c>
      <c r="U98307" s="9" t="s">
        <v>40</v>
      </c>
    </row>
    <row r="98308" spans="20:21" x14ac:dyDescent="0.15">
      <c r="T98308" s="9" t="s">
        <v>39</v>
      </c>
      <c r="U98308" s="9" t="s">
        <v>38</v>
      </c>
    </row>
    <row r="98309" spans="20:21" x14ac:dyDescent="0.15">
      <c r="T98309" s="9">
        <v>158907457242.42899</v>
      </c>
      <c r="U98309" s="9">
        <v>543300000000</v>
      </c>
    </row>
    <row r="98310" spans="20:21" x14ac:dyDescent="0.15">
      <c r="T98310" s="9">
        <v>115573393646.185</v>
      </c>
      <c r="U98310" s="9">
        <v>563300000000</v>
      </c>
    </row>
    <row r="98311" spans="20:21" x14ac:dyDescent="0.15">
      <c r="T98311" s="9">
        <v>109124398292.05099</v>
      </c>
      <c r="U98311" s="9">
        <v>605100000000</v>
      </c>
    </row>
    <row r="98312" spans="20:21" x14ac:dyDescent="0.15">
      <c r="T98312" s="9">
        <v>120364211312.289</v>
      </c>
      <c r="U98312" s="9">
        <v>638600000000</v>
      </c>
    </row>
    <row r="98313" spans="20:21" x14ac:dyDescent="0.15">
      <c r="T98313" s="9">
        <v>142246424921.30899</v>
      </c>
      <c r="U98313" s="9">
        <v>685800000000</v>
      </c>
    </row>
    <row r="98314" spans="20:21" x14ac:dyDescent="0.15">
      <c r="T98314" s="9">
        <v>166357193951.10501</v>
      </c>
      <c r="U98314" s="9">
        <v>743700000000</v>
      </c>
    </row>
    <row r="98315" spans="20:21" x14ac:dyDescent="0.15">
      <c r="T98315" s="9">
        <v>184074235104.24799</v>
      </c>
      <c r="U98315" s="9">
        <v>815000000000</v>
      </c>
    </row>
    <row r="98316" spans="20:21" x14ac:dyDescent="0.15">
      <c r="T98316" s="9">
        <v>173453151731.27701</v>
      </c>
      <c r="U98316" s="9">
        <v>861700000000</v>
      </c>
    </row>
    <row r="98317" spans="20:21" x14ac:dyDescent="0.15">
      <c r="T98317" s="9">
        <v>166341572533.69101</v>
      </c>
      <c r="U98317" s="9">
        <v>942500000000</v>
      </c>
    </row>
    <row r="98318" spans="20:21" x14ac:dyDescent="0.15">
      <c r="T98318" s="9">
        <v>194519834914.35999</v>
      </c>
      <c r="U98318" s="9">
        <v>1019900000000</v>
      </c>
    </row>
    <row r="98319" spans="20:21" x14ac:dyDescent="0.15">
      <c r="T98319" s="9">
        <v>232062163046.44</v>
      </c>
      <c r="U98319" s="9">
        <v>1073303000000</v>
      </c>
    </row>
    <row r="98320" spans="20:21" x14ac:dyDescent="0.15">
      <c r="T98320" s="9">
        <v>248445751754.134</v>
      </c>
      <c r="U98320" s="9">
        <v>1164850000000</v>
      </c>
    </row>
    <row r="98321" spans="20:21" x14ac:dyDescent="0.15">
      <c r="T98321" s="9">
        <v>257911534896.49799</v>
      </c>
      <c r="U98321" s="9">
        <v>1279110000000</v>
      </c>
    </row>
    <row r="98322" spans="20:21" x14ac:dyDescent="0.15">
      <c r="T98322" s="9">
        <v>277925470006.599</v>
      </c>
      <c r="U98322" s="9">
        <v>1425376000000</v>
      </c>
    </row>
    <row r="98323" spans="20:21" x14ac:dyDescent="0.15">
      <c r="T98323" s="9">
        <v>284345548371.966</v>
      </c>
      <c r="U98323" s="9">
        <v>1545243000000</v>
      </c>
    </row>
    <row r="98324" spans="20:21" x14ac:dyDescent="0.15">
      <c r="T98324" s="9">
        <v>309140480182.89801</v>
      </c>
      <c r="U98324" s="9">
        <v>1684904000000</v>
      </c>
    </row>
    <row r="98325" spans="20:21" x14ac:dyDescent="0.15">
      <c r="T98325" s="9">
        <v>304286974638.82202</v>
      </c>
      <c r="U98325" s="9">
        <v>1873412000000</v>
      </c>
    </row>
    <row r="98326" spans="20:21" x14ac:dyDescent="0.15">
      <c r="T98326" s="9">
        <v>327321498623.151</v>
      </c>
      <c r="U98326" s="9">
        <v>2081826000000</v>
      </c>
    </row>
    <row r="98327" spans="20:21" x14ac:dyDescent="0.15">
      <c r="T98327" s="9">
        <v>364393859506.91699</v>
      </c>
      <c r="U98327" s="9">
        <v>2351599000000</v>
      </c>
    </row>
    <row r="98328" spans="20:21" x14ac:dyDescent="0.15">
      <c r="T98328" s="9">
        <v>392056180496.07098</v>
      </c>
      <c r="U98328" s="9">
        <v>2627333000000</v>
      </c>
    </row>
    <row r="98329" spans="20:21" x14ac:dyDescent="0.15">
      <c r="T98329" s="9">
        <v>422770430220.08099</v>
      </c>
      <c r="U98329" s="9">
        <v>2857307000000</v>
      </c>
    </row>
    <row r="98330" spans="20:21" x14ac:dyDescent="0.15">
      <c r="T98330" s="9">
        <v>444385672278.89001</v>
      </c>
      <c r="U98330" s="9">
        <v>3207041000000</v>
      </c>
    </row>
    <row r="98331" spans="20:21" x14ac:dyDescent="0.15">
      <c r="T98331" s="9">
        <v>484456434564.98102</v>
      </c>
      <c r="U98331" s="9">
        <v>3343789000000</v>
      </c>
    </row>
    <row r="98332" spans="20:21" x14ac:dyDescent="0.15">
      <c r="T98332" s="9">
        <v>536633373623.745</v>
      </c>
      <c r="U98332" s="9">
        <v>3634038000000</v>
      </c>
    </row>
    <row r="98333" spans="20:21" x14ac:dyDescent="0.15">
      <c r="T98333" s="9">
        <v>618156247357.86304</v>
      </c>
      <c r="U98333" s="9">
        <v>4037613000000</v>
      </c>
    </row>
    <row r="98334" spans="20:21" x14ac:dyDescent="0.15">
      <c r="T98334" s="9">
        <v>701178819512.74402</v>
      </c>
      <c r="U98334" s="9">
        <v>4338979000000</v>
      </c>
    </row>
    <row r="98335" spans="20:21" x14ac:dyDescent="0.15">
      <c r="T98335" s="9">
        <v>763934055759.06604</v>
      </c>
      <c r="U98335" s="9">
        <v>4579631000000</v>
      </c>
    </row>
    <row r="98336" spans="20:21" x14ac:dyDescent="0.15">
      <c r="T98336" s="9">
        <v>852989116696.35205</v>
      </c>
      <c r="U98336" s="9">
        <v>4855215000000</v>
      </c>
    </row>
    <row r="98337" spans="20:21" x14ac:dyDescent="0.15">
      <c r="T98337" s="9">
        <v>948716630508.16699</v>
      </c>
      <c r="U98337" s="9">
        <v>5236438000000</v>
      </c>
    </row>
    <row r="98338" spans="20:21" x14ac:dyDescent="0.15">
      <c r="T98338" s="9">
        <v>988622824073.36694</v>
      </c>
      <c r="U98338" s="9">
        <v>5641580000000</v>
      </c>
    </row>
    <row r="98339" spans="20:21" x14ac:dyDescent="0.15">
      <c r="T98339" s="9">
        <v>1027379323856.15</v>
      </c>
      <c r="U98339" s="9">
        <v>5963144000000</v>
      </c>
    </row>
    <row r="98340" spans="20:21" x14ac:dyDescent="0.15">
      <c r="T98340" s="9">
        <v>1122543272896.8301</v>
      </c>
      <c r="U98340" s="9">
        <v>6158129000000</v>
      </c>
    </row>
    <row r="98341" spans="20:21" x14ac:dyDescent="0.15">
      <c r="T98341" s="9">
        <v>1282219772946.3201</v>
      </c>
      <c r="U98341" s="9">
        <v>6520327000000</v>
      </c>
    </row>
    <row r="98342" spans="20:21" x14ac:dyDescent="0.15">
      <c r="T98342" s="9">
        <v>1460239695280.22</v>
      </c>
      <c r="U98342" s="9">
        <v>6858559000000</v>
      </c>
    </row>
    <row r="98343" spans="20:21" x14ac:dyDescent="0.15">
      <c r="T98343" s="9">
        <v>1650608320717.1299</v>
      </c>
      <c r="U98343" s="9">
        <v>7287236000000</v>
      </c>
    </row>
    <row r="98344" spans="20:21" x14ac:dyDescent="0.15">
      <c r="T98344" s="9">
        <v>1831415202548.1001</v>
      </c>
      <c r="U98344" s="9">
        <v>7639749000000</v>
      </c>
    </row>
    <row r="98345" spans="20:21" x14ac:dyDescent="0.15">
      <c r="T98345" s="9">
        <v>2013138415391.3999</v>
      </c>
      <c r="U98345" s="9">
        <v>8073122000000</v>
      </c>
    </row>
    <row r="98346" spans="20:21" x14ac:dyDescent="0.15">
      <c r="T98346" s="9">
        <v>2199087579734.8799</v>
      </c>
      <c r="U98346" s="9">
        <v>8577554457000</v>
      </c>
    </row>
    <row r="98347" spans="20:21" x14ac:dyDescent="0.15">
      <c r="T98347" s="9">
        <v>2371626931008.4102</v>
      </c>
      <c r="U98347" s="9">
        <v>9062818202000</v>
      </c>
    </row>
    <row r="98348" spans="20:21" x14ac:dyDescent="0.15">
      <c r="T98348" s="9">
        <v>2553332721355.1499</v>
      </c>
      <c r="U98348" s="9">
        <v>9631174489000</v>
      </c>
    </row>
    <row r="98349" spans="20:21" x14ac:dyDescent="0.15">
      <c r="T98349" s="9">
        <v>2770113054357.8301</v>
      </c>
      <c r="U98349" s="9">
        <v>10250947997000</v>
      </c>
    </row>
    <row r="98350" spans="20:21" x14ac:dyDescent="0.15">
      <c r="T98350" s="9">
        <v>3001022295612.3501</v>
      </c>
      <c r="U98350" s="9">
        <v>10581929774000</v>
      </c>
    </row>
    <row r="98351" spans="20:21" x14ac:dyDescent="0.15">
      <c r="T98351" s="9">
        <v>3275124592017.1602</v>
      </c>
      <c r="U98351" s="9">
        <v>10929112955000</v>
      </c>
    </row>
    <row r="98352" spans="20:21" x14ac:dyDescent="0.15">
      <c r="T98352" s="9">
        <v>3603882596858.1099</v>
      </c>
      <c r="U98352" s="9">
        <v>11456442041000</v>
      </c>
    </row>
    <row r="98353" spans="20:21" x14ac:dyDescent="0.15">
      <c r="T98353" s="9">
        <v>3968365637613.6299</v>
      </c>
      <c r="U98353" s="9">
        <v>12217193198000</v>
      </c>
    </row>
    <row r="98354" spans="20:21" x14ac:dyDescent="0.15">
      <c r="T98354" s="9">
        <v>4420544703537.2402</v>
      </c>
      <c r="U98354" s="9">
        <v>13039199193000</v>
      </c>
    </row>
    <row r="98355" spans="20:21" x14ac:dyDescent="0.15">
      <c r="T98355" s="9">
        <v>4982880235433.3896</v>
      </c>
      <c r="U98355" s="9">
        <v>13815586948000</v>
      </c>
    </row>
    <row r="98356" spans="20:21" x14ac:dyDescent="0.15">
      <c r="T98356" s="9">
        <v>5691986992199.8604</v>
      </c>
      <c r="U98356" s="9">
        <v>14474226905000</v>
      </c>
    </row>
    <row r="98357" spans="20:21" x14ac:dyDescent="0.15">
      <c r="T98357" s="9">
        <v>6241302380960.0195</v>
      </c>
      <c r="U98357" s="9">
        <v>14769857911000</v>
      </c>
    </row>
    <row r="98358" spans="20:21" x14ac:dyDescent="0.15">
      <c r="T98358" s="9">
        <v>6827905267633.6299</v>
      </c>
      <c r="U98358" s="9">
        <v>14478064934000</v>
      </c>
    </row>
    <row r="98359" spans="20:21" x14ac:dyDescent="0.15">
      <c r="T98359" s="9">
        <v>7554112468317.7305</v>
      </c>
      <c r="U98359" s="9">
        <v>15048964444000</v>
      </c>
    </row>
    <row r="98360" spans="20:21" x14ac:dyDescent="0.15">
      <c r="T98360" s="9">
        <v>8275593072769.2598</v>
      </c>
      <c r="U98360" s="9">
        <v>15599728123000</v>
      </c>
    </row>
    <row r="98361" spans="20:21" x14ac:dyDescent="0.15">
      <c r="T98361" s="9">
        <v>8926363901575.5605</v>
      </c>
      <c r="U98361" s="9">
        <v>16253972230000</v>
      </c>
    </row>
    <row r="98362" spans="20:21" x14ac:dyDescent="0.15">
      <c r="T98362" s="9">
        <v>9619598720424.4609</v>
      </c>
      <c r="U98362" s="9">
        <v>16843190993000</v>
      </c>
    </row>
    <row r="98363" spans="20:21" x14ac:dyDescent="0.15">
      <c r="T98363" s="9">
        <v>10333927386102.801</v>
      </c>
      <c r="U98363" s="9">
        <v>17550680174000</v>
      </c>
    </row>
    <row r="98364" spans="20:21" x14ac:dyDescent="0.15">
      <c r="T98364" s="9">
        <v>11061573199439.699</v>
      </c>
      <c r="U98364" s="9">
        <v>18206020741000</v>
      </c>
    </row>
    <row r="98365" spans="20:21" x14ac:dyDescent="0.15">
      <c r="T98365" s="9">
        <v>11819154044004.9</v>
      </c>
      <c r="U98365" s="9">
        <v>18695110842000</v>
      </c>
    </row>
    <row r="98366" spans="20:21" x14ac:dyDescent="0.15">
      <c r="T98366" s="9">
        <v>12640254407508.1</v>
      </c>
      <c r="U98366" s="9">
        <v>19477336549000</v>
      </c>
    </row>
    <row r="98367" spans="20:21" x14ac:dyDescent="0.15">
      <c r="T98367" s="9">
        <v>13493442991864.699</v>
      </c>
      <c r="U98367" s="9">
        <v>20533057312000</v>
      </c>
    </row>
    <row r="98368" spans="20:21" x14ac:dyDescent="0.15">
      <c r="T98368" s="9">
        <v>14296370418805.1</v>
      </c>
      <c r="U98368" s="9">
        <v>21380976119000</v>
      </c>
    </row>
    <row r="98369" spans="20:21" x14ac:dyDescent="0.15">
      <c r="T98369" s="9">
        <v>14616414450558.4</v>
      </c>
      <c r="U98369" s="9">
        <v>21060473613000</v>
      </c>
    </row>
    <row r="98370" spans="20:21" x14ac:dyDescent="0.15">
      <c r="T98370" s="9">
        <v>15851132888547.1</v>
      </c>
      <c r="U98370" s="9">
        <v>23315080560000</v>
      </c>
    </row>
    <row r="98371" spans="20:21" x14ac:dyDescent="0.15">
      <c r="T98371" s="9">
        <v>16325209299766.801</v>
      </c>
      <c r="U98371" s="9">
        <v>25462700000000</v>
      </c>
    </row>
    <row r="114689" spans="20:21" x14ac:dyDescent="0.15">
      <c r="T114689" s="9" t="s">
        <v>45</v>
      </c>
      <c r="U114689" s="9" t="s">
        <v>44</v>
      </c>
    </row>
    <row r="114690" spans="20:21" x14ac:dyDescent="0.15">
      <c r="T114690" s="9" t="s">
        <v>43</v>
      </c>
      <c r="U114690" s="9" t="s">
        <v>42</v>
      </c>
    </row>
    <row r="114691" spans="20:21" x14ac:dyDescent="0.15">
      <c r="T114691" s="9" t="s">
        <v>41</v>
      </c>
      <c r="U114691" s="9" t="s">
        <v>40</v>
      </c>
    </row>
    <row r="114692" spans="20:21" x14ac:dyDescent="0.15">
      <c r="T114692" s="9" t="s">
        <v>39</v>
      </c>
      <c r="U114692" s="9" t="s">
        <v>38</v>
      </c>
    </row>
    <row r="114693" spans="20:21" x14ac:dyDescent="0.15">
      <c r="T114693" s="9">
        <v>158907457242.42899</v>
      </c>
      <c r="U114693" s="9">
        <v>543300000000</v>
      </c>
    </row>
    <row r="114694" spans="20:21" x14ac:dyDescent="0.15">
      <c r="T114694" s="9">
        <v>115573393646.185</v>
      </c>
      <c r="U114694" s="9">
        <v>563300000000</v>
      </c>
    </row>
    <row r="114695" spans="20:21" x14ac:dyDescent="0.15">
      <c r="T114695" s="9">
        <v>109124398292.05099</v>
      </c>
      <c r="U114695" s="9">
        <v>605100000000</v>
      </c>
    </row>
    <row r="114696" spans="20:21" x14ac:dyDescent="0.15">
      <c r="T114696" s="9">
        <v>120364211312.289</v>
      </c>
      <c r="U114696" s="9">
        <v>638600000000</v>
      </c>
    </row>
    <row r="114697" spans="20:21" x14ac:dyDescent="0.15">
      <c r="T114697" s="9">
        <v>142246424921.30899</v>
      </c>
      <c r="U114697" s="9">
        <v>685800000000</v>
      </c>
    </row>
    <row r="114698" spans="20:21" x14ac:dyDescent="0.15">
      <c r="T114698" s="9">
        <v>166357193951.10501</v>
      </c>
      <c r="U114698" s="9">
        <v>743700000000</v>
      </c>
    </row>
    <row r="114699" spans="20:21" x14ac:dyDescent="0.15">
      <c r="T114699" s="9">
        <v>184074235104.24799</v>
      </c>
      <c r="U114699" s="9">
        <v>815000000000</v>
      </c>
    </row>
    <row r="114700" spans="20:21" x14ac:dyDescent="0.15">
      <c r="T114700" s="9">
        <v>173453151731.27701</v>
      </c>
      <c r="U114700" s="9">
        <v>861700000000</v>
      </c>
    </row>
    <row r="114701" spans="20:21" x14ac:dyDescent="0.15">
      <c r="T114701" s="9">
        <v>166341572533.69101</v>
      </c>
      <c r="U114701" s="9">
        <v>942500000000</v>
      </c>
    </row>
    <row r="114702" spans="20:21" x14ac:dyDescent="0.15">
      <c r="T114702" s="9">
        <v>194519834914.35999</v>
      </c>
      <c r="U114702" s="9">
        <v>1019900000000</v>
      </c>
    </row>
    <row r="114703" spans="20:21" x14ac:dyDescent="0.15">
      <c r="T114703" s="9">
        <v>232062163046.44</v>
      </c>
      <c r="U114703" s="9">
        <v>1073303000000</v>
      </c>
    </row>
    <row r="114704" spans="20:21" x14ac:dyDescent="0.15">
      <c r="T114704" s="9">
        <v>248445751754.134</v>
      </c>
      <c r="U114704" s="9">
        <v>1164850000000</v>
      </c>
    </row>
    <row r="114705" spans="20:21" x14ac:dyDescent="0.15">
      <c r="T114705" s="9">
        <v>257911534896.49799</v>
      </c>
      <c r="U114705" s="9">
        <v>1279110000000</v>
      </c>
    </row>
    <row r="114706" spans="20:21" x14ac:dyDescent="0.15">
      <c r="T114706" s="9">
        <v>277925470006.599</v>
      </c>
      <c r="U114706" s="9">
        <v>1425376000000</v>
      </c>
    </row>
    <row r="114707" spans="20:21" x14ac:dyDescent="0.15">
      <c r="T114707" s="9">
        <v>284345548371.966</v>
      </c>
      <c r="U114707" s="9">
        <v>1545243000000</v>
      </c>
    </row>
    <row r="114708" spans="20:21" x14ac:dyDescent="0.15">
      <c r="T114708" s="9">
        <v>309140480182.89801</v>
      </c>
      <c r="U114708" s="9">
        <v>1684904000000</v>
      </c>
    </row>
    <row r="114709" spans="20:21" x14ac:dyDescent="0.15">
      <c r="T114709" s="9">
        <v>304286974638.82202</v>
      </c>
      <c r="U114709" s="9">
        <v>1873412000000</v>
      </c>
    </row>
    <row r="114710" spans="20:21" x14ac:dyDescent="0.15">
      <c r="T114710" s="9">
        <v>327321498623.151</v>
      </c>
      <c r="U114710" s="9">
        <v>2081826000000</v>
      </c>
    </row>
    <row r="114711" spans="20:21" x14ac:dyDescent="0.15">
      <c r="T114711" s="9">
        <v>364393859506.91699</v>
      </c>
      <c r="U114711" s="9">
        <v>2351599000000</v>
      </c>
    </row>
    <row r="114712" spans="20:21" x14ac:dyDescent="0.15">
      <c r="T114712" s="9">
        <v>392056180496.07098</v>
      </c>
      <c r="U114712" s="9">
        <v>2627333000000</v>
      </c>
    </row>
    <row r="114713" spans="20:21" x14ac:dyDescent="0.15">
      <c r="T114713" s="9">
        <v>422770430220.08099</v>
      </c>
      <c r="U114713" s="9">
        <v>2857307000000</v>
      </c>
    </row>
    <row r="114714" spans="20:21" x14ac:dyDescent="0.15">
      <c r="T114714" s="9">
        <v>444385672278.89001</v>
      </c>
      <c r="U114714" s="9">
        <v>3207041000000</v>
      </c>
    </row>
    <row r="114715" spans="20:21" x14ac:dyDescent="0.15">
      <c r="T114715" s="9">
        <v>484456434564.98102</v>
      </c>
      <c r="U114715" s="9">
        <v>3343789000000</v>
      </c>
    </row>
    <row r="114716" spans="20:21" x14ac:dyDescent="0.15">
      <c r="T114716" s="9">
        <v>536633373623.745</v>
      </c>
      <c r="U114716" s="9">
        <v>3634038000000</v>
      </c>
    </row>
    <row r="114717" spans="20:21" x14ac:dyDescent="0.15">
      <c r="T114717" s="9">
        <v>618156247357.86304</v>
      </c>
      <c r="U114717" s="9">
        <v>4037613000000</v>
      </c>
    </row>
    <row r="114718" spans="20:21" x14ac:dyDescent="0.15">
      <c r="T114718" s="9">
        <v>701178819512.74402</v>
      </c>
      <c r="U114718" s="9">
        <v>4338979000000</v>
      </c>
    </row>
    <row r="114719" spans="20:21" x14ac:dyDescent="0.15">
      <c r="T114719" s="9">
        <v>763934055759.06604</v>
      </c>
      <c r="U114719" s="9">
        <v>4579631000000</v>
      </c>
    </row>
    <row r="114720" spans="20:21" x14ac:dyDescent="0.15">
      <c r="T114720" s="9">
        <v>852989116696.35205</v>
      </c>
      <c r="U114720" s="9">
        <v>4855215000000</v>
      </c>
    </row>
    <row r="114721" spans="20:21" x14ac:dyDescent="0.15">
      <c r="T114721" s="9">
        <v>948716630508.16699</v>
      </c>
      <c r="U114721" s="9">
        <v>5236438000000</v>
      </c>
    </row>
    <row r="114722" spans="20:21" x14ac:dyDescent="0.15">
      <c r="T114722" s="9">
        <v>988622824073.36694</v>
      </c>
      <c r="U114722" s="9">
        <v>5641580000000</v>
      </c>
    </row>
    <row r="114723" spans="20:21" x14ac:dyDescent="0.15">
      <c r="T114723" s="9">
        <v>1027379323856.15</v>
      </c>
      <c r="U114723" s="9">
        <v>5963144000000</v>
      </c>
    </row>
    <row r="114724" spans="20:21" x14ac:dyDescent="0.15">
      <c r="T114724" s="9">
        <v>1122543272896.8301</v>
      </c>
      <c r="U114724" s="9">
        <v>6158129000000</v>
      </c>
    </row>
    <row r="114725" spans="20:21" x14ac:dyDescent="0.15">
      <c r="T114725" s="9">
        <v>1282219772946.3201</v>
      </c>
      <c r="U114725" s="9">
        <v>6520327000000</v>
      </c>
    </row>
    <row r="114726" spans="20:21" x14ac:dyDescent="0.15">
      <c r="T114726" s="9">
        <v>1460239695280.22</v>
      </c>
      <c r="U114726" s="9">
        <v>6858559000000</v>
      </c>
    </row>
    <row r="114727" spans="20:21" x14ac:dyDescent="0.15">
      <c r="T114727" s="9">
        <v>1650608320717.1299</v>
      </c>
      <c r="U114727" s="9">
        <v>7287236000000</v>
      </c>
    </row>
    <row r="114728" spans="20:21" x14ac:dyDescent="0.15">
      <c r="T114728" s="9">
        <v>1831415202548.1001</v>
      </c>
      <c r="U114728" s="9">
        <v>7639749000000</v>
      </c>
    </row>
    <row r="114729" spans="20:21" x14ac:dyDescent="0.15">
      <c r="T114729" s="9">
        <v>2013138415391.3999</v>
      </c>
      <c r="U114729" s="9">
        <v>8073122000000</v>
      </c>
    </row>
    <row r="114730" spans="20:21" x14ac:dyDescent="0.15">
      <c r="T114730" s="9">
        <v>2199087579734.8799</v>
      </c>
      <c r="U114730" s="9">
        <v>8577554457000</v>
      </c>
    </row>
    <row r="114731" spans="20:21" x14ac:dyDescent="0.15">
      <c r="T114731" s="9">
        <v>2371626931008.4102</v>
      </c>
      <c r="U114731" s="9">
        <v>9062818202000</v>
      </c>
    </row>
    <row r="114732" spans="20:21" x14ac:dyDescent="0.15">
      <c r="T114732" s="9">
        <v>2553332721355.1499</v>
      </c>
      <c r="U114732" s="9">
        <v>9631174489000</v>
      </c>
    </row>
    <row r="114733" spans="20:21" x14ac:dyDescent="0.15">
      <c r="T114733" s="9">
        <v>2770113054357.8301</v>
      </c>
      <c r="U114733" s="9">
        <v>10250947997000</v>
      </c>
    </row>
    <row r="114734" spans="20:21" x14ac:dyDescent="0.15">
      <c r="T114734" s="9">
        <v>3001022295612.3501</v>
      </c>
      <c r="U114734" s="9">
        <v>10581929774000</v>
      </c>
    </row>
    <row r="114735" spans="20:21" x14ac:dyDescent="0.15">
      <c r="T114735" s="9">
        <v>3275124592017.1602</v>
      </c>
      <c r="U114735" s="9">
        <v>10929112955000</v>
      </c>
    </row>
    <row r="114736" spans="20:21" x14ac:dyDescent="0.15">
      <c r="T114736" s="9">
        <v>3603882596858.1099</v>
      </c>
      <c r="U114736" s="9">
        <v>11456442041000</v>
      </c>
    </row>
    <row r="114737" spans="20:21" x14ac:dyDescent="0.15">
      <c r="T114737" s="9">
        <v>3968365637613.6299</v>
      </c>
      <c r="U114737" s="9">
        <v>12217193198000</v>
      </c>
    </row>
    <row r="114738" spans="20:21" x14ac:dyDescent="0.15">
      <c r="T114738" s="9">
        <v>4420544703537.2402</v>
      </c>
      <c r="U114738" s="9">
        <v>13039199193000</v>
      </c>
    </row>
    <row r="114739" spans="20:21" x14ac:dyDescent="0.15">
      <c r="T114739" s="9">
        <v>4982880235433.3896</v>
      </c>
      <c r="U114739" s="9">
        <v>13815586948000</v>
      </c>
    </row>
    <row r="114740" spans="20:21" x14ac:dyDescent="0.15">
      <c r="T114740" s="9">
        <v>5691986992199.8604</v>
      </c>
      <c r="U114740" s="9">
        <v>14474226905000</v>
      </c>
    </row>
    <row r="114741" spans="20:21" x14ac:dyDescent="0.15">
      <c r="T114741" s="9">
        <v>6241302380960.0195</v>
      </c>
      <c r="U114741" s="9">
        <v>14769857911000</v>
      </c>
    </row>
    <row r="114742" spans="20:21" x14ac:dyDescent="0.15">
      <c r="T114742" s="9">
        <v>6827905267633.6299</v>
      </c>
      <c r="U114742" s="9">
        <v>14478064934000</v>
      </c>
    </row>
    <row r="114743" spans="20:21" x14ac:dyDescent="0.15">
      <c r="T114743" s="9">
        <v>7554112468317.7305</v>
      </c>
      <c r="U114743" s="9">
        <v>15048964444000</v>
      </c>
    </row>
    <row r="114744" spans="20:21" x14ac:dyDescent="0.15">
      <c r="T114744" s="9">
        <v>8275593072769.2598</v>
      </c>
      <c r="U114744" s="9">
        <v>15599728123000</v>
      </c>
    </row>
    <row r="114745" spans="20:21" x14ac:dyDescent="0.15">
      <c r="T114745" s="9">
        <v>8926363901575.5605</v>
      </c>
      <c r="U114745" s="9">
        <v>16253972230000</v>
      </c>
    </row>
    <row r="114746" spans="20:21" x14ac:dyDescent="0.15">
      <c r="T114746" s="9">
        <v>9619598720424.4609</v>
      </c>
      <c r="U114746" s="9">
        <v>16843190993000</v>
      </c>
    </row>
    <row r="114747" spans="20:21" x14ac:dyDescent="0.15">
      <c r="T114747" s="9">
        <v>10333927386102.801</v>
      </c>
      <c r="U114747" s="9">
        <v>17550680174000</v>
      </c>
    </row>
    <row r="114748" spans="20:21" x14ac:dyDescent="0.15">
      <c r="T114748" s="9">
        <v>11061573199439.699</v>
      </c>
      <c r="U114748" s="9">
        <v>18206020741000</v>
      </c>
    </row>
    <row r="114749" spans="20:21" x14ac:dyDescent="0.15">
      <c r="T114749" s="9">
        <v>11819154044004.9</v>
      </c>
      <c r="U114749" s="9">
        <v>18695110842000</v>
      </c>
    </row>
    <row r="114750" spans="20:21" x14ac:dyDescent="0.15">
      <c r="T114750" s="9">
        <v>12640254407508.1</v>
      </c>
      <c r="U114750" s="9">
        <v>19477336549000</v>
      </c>
    </row>
    <row r="114751" spans="20:21" x14ac:dyDescent="0.15">
      <c r="T114751" s="9">
        <v>13493442991864.699</v>
      </c>
      <c r="U114751" s="9">
        <v>20533057312000</v>
      </c>
    </row>
    <row r="114752" spans="20:21" x14ac:dyDescent="0.15">
      <c r="T114752" s="9">
        <v>14296370418805.1</v>
      </c>
      <c r="U114752" s="9">
        <v>21380976119000</v>
      </c>
    </row>
    <row r="114753" spans="20:21" x14ac:dyDescent="0.15">
      <c r="T114753" s="9">
        <v>14616414450558.4</v>
      </c>
      <c r="U114753" s="9">
        <v>21060473613000</v>
      </c>
    </row>
    <row r="114754" spans="20:21" x14ac:dyDescent="0.15">
      <c r="T114754" s="9">
        <v>15851132888547.1</v>
      </c>
      <c r="U114754" s="9">
        <v>23315080560000</v>
      </c>
    </row>
    <row r="114755" spans="20:21" x14ac:dyDescent="0.15">
      <c r="T114755" s="9">
        <v>16325209299766.801</v>
      </c>
      <c r="U114755" s="9">
        <v>25462700000000</v>
      </c>
    </row>
    <row r="131073" spans="20:21" x14ac:dyDescent="0.15">
      <c r="T131073" s="9" t="s">
        <v>45</v>
      </c>
      <c r="U131073" s="9" t="s">
        <v>44</v>
      </c>
    </row>
    <row r="131074" spans="20:21" x14ac:dyDescent="0.15">
      <c r="T131074" s="9" t="s">
        <v>43</v>
      </c>
      <c r="U131074" s="9" t="s">
        <v>42</v>
      </c>
    </row>
    <row r="131075" spans="20:21" x14ac:dyDescent="0.15">
      <c r="T131075" s="9" t="s">
        <v>41</v>
      </c>
      <c r="U131075" s="9" t="s">
        <v>40</v>
      </c>
    </row>
    <row r="131076" spans="20:21" x14ac:dyDescent="0.15">
      <c r="T131076" s="9" t="s">
        <v>39</v>
      </c>
      <c r="U131076" s="9" t="s">
        <v>38</v>
      </c>
    </row>
    <row r="131077" spans="20:21" x14ac:dyDescent="0.15">
      <c r="T131077" s="9">
        <v>158907457242.42899</v>
      </c>
      <c r="U131077" s="9">
        <v>543300000000</v>
      </c>
    </row>
    <row r="131078" spans="20:21" x14ac:dyDescent="0.15">
      <c r="T131078" s="9">
        <v>115573393646.185</v>
      </c>
      <c r="U131078" s="9">
        <v>563300000000</v>
      </c>
    </row>
    <row r="131079" spans="20:21" x14ac:dyDescent="0.15">
      <c r="T131079" s="9">
        <v>109124398292.05099</v>
      </c>
      <c r="U131079" s="9">
        <v>605100000000</v>
      </c>
    </row>
    <row r="131080" spans="20:21" x14ac:dyDescent="0.15">
      <c r="T131080" s="9">
        <v>120364211312.289</v>
      </c>
      <c r="U131080" s="9">
        <v>638600000000</v>
      </c>
    </row>
    <row r="131081" spans="20:21" x14ac:dyDescent="0.15">
      <c r="T131081" s="9">
        <v>142246424921.30899</v>
      </c>
      <c r="U131081" s="9">
        <v>685800000000</v>
      </c>
    </row>
    <row r="131082" spans="20:21" x14ac:dyDescent="0.15">
      <c r="T131082" s="9">
        <v>166357193951.10501</v>
      </c>
      <c r="U131082" s="9">
        <v>743700000000</v>
      </c>
    </row>
    <row r="131083" spans="20:21" x14ac:dyDescent="0.15">
      <c r="T131083" s="9">
        <v>184074235104.24799</v>
      </c>
      <c r="U131083" s="9">
        <v>815000000000</v>
      </c>
    </row>
    <row r="131084" spans="20:21" x14ac:dyDescent="0.15">
      <c r="T131084" s="9">
        <v>173453151731.27701</v>
      </c>
      <c r="U131084" s="9">
        <v>861700000000</v>
      </c>
    </row>
    <row r="131085" spans="20:21" x14ac:dyDescent="0.15">
      <c r="T131085" s="9">
        <v>166341572533.69101</v>
      </c>
      <c r="U131085" s="9">
        <v>942500000000</v>
      </c>
    </row>
    <row r="131086" spans="20:21" x14ac:dyDescent="0.15">
      <c r="T131086" s="9">
        <v>194519834914.35999</v>
      </c>
      <c r="U131086" s="9">
        <v>1019900000000</v>
      </c>
    </row>
    <row r="131087" spans="20:21" x14ac:dyDescent="0.15">
      <c r="T131087" s="9">
        <v>232062163046.44</v>
      </c>
      <c r="U131087" s="9">
        <v>1073303000000</v>
      </c>
    </row>
    <row r="131088" spans="20:21" x14ac:dyDescent="0.15">
      <c r="T131088" s="9">
        <v>248445751754.134</v>
      </c>
      <c r="U131088" s="9">
        <v>1164850000000</v>
      </c>
    </row>
    <row r="131089" spans="20:21" x14ac:dyDescent="0.15">
      <c r="T131089" s="9">
        <v>257911534896.49799</v>
      </c>
      <c r="U131089" s="9">
        <v>1279110000000</v>
      </c>
    </row>
    <row r="131090" spans="20:21" x14ac:dyDescent="0.15">
      <c r="T131090" s="9">
        <v>277925470006.599</v>
      </c>
      <c r="U131090" s="9">
        <v>1425376000000</v>
      </c>
    </row>
    <row r="131091" spans="20:21" x14ac:dyDescent="0.15">
      <c r="T131091" s="9">
        <v>284345548371.966</v>
      </c>
      <c r="U131091" s="9">
        <v>1545243000000</v>
      </c>
    </row>
    <row r="131092" spans="20:21" x14ac:dyDescent="0.15">
      <c r="T131092" s="9">
        <v>309140480182.89801</v>
      </c>
      <c r="U131092" s="9">
        <v>1684904000000</v>
      </c>
    </row>
    <row r="131093" spans="20:21" x14ac:dyDescent="0.15">
      <c r="T131093" s="9">
        <v>304286974638.82202</v>
      </c>
      <c r="U131093" s="9">
        <v>1873412000000</v>
      </c>
    </row>
    <row r="131094" spans="20:21" x14ac:dyDescent="0.15">
      <c r="T131094" s="9">
        <v>327321498623.151</v>
      </c>
      <c r="U131094" s="9">
        <v>2081826000000</v>
      </c>
    </row>
    <row r="131095" spans="20:21" x14ac:dyDescent="0.15">
      <c r="T131095" s="9">
        <v>364393859506.91699</v>
      </c>
      <c r="U131095" s="9">
        <v>2351599000000</v>
      </c>
    </row>
    <row r="131096" spans="20:21" x14ac:dyDescent="0.15">
      <c r="T131096" s="9">
        <v>392056180496.07098</v>
      </c>
      <c r="U131096" s="9">
        <v>2627333000000</v>
      </c>
    </row>
    <row r="131097" spans="20:21" x14ac:dyDescent="0.15">
      <c r="T131097" s="9">
        <v>422770430220.08099</v>
      </c>
      <c r="U131097" s="9">
        <v>2857307000000</v>
      </c>
    </row>
    <row r="131098" spans="20:21" x14ac:dyDescent="0.15">
      <c r="T131098" s="9">
        <v>444385672278.89001</v>
      </c>
      <c r="U131098" s="9">
        <v>3207041000000</v>
      </c>
    </row>
    <row r="131099" spans="20:21" x14ac:dyDescent="0.15">
      <c r="T131099" s="9">
        <v>484456434564.98102</v>
      </c>
      <c r="U131099" s="9">
        <v>3343789000000</v>
      </c>
    </row>
    <row r="131100" spans="20:21" x14ac:dyDescent="0.15">
      <c r="T131100" s="9">
        <v>536633373623.745</v>
      </c>
      <c r="U131100" s="9">
        <v>3634038000000</v>
      </c>
    </row>
    <row r="131101" spans="20:21" x14ac:dyDescent="0.15">
      <c r="T131101" s="9">
        <v>618156247357.86304</v>
      </c>
      <c r="U131101" s="9">
        <v>4037613000000</v>
      </c>
    </row>
    <row r="131102" spans="20:21" x14ac:dyDescent="0.15">
      <c r="T131102" s="9">
        <v>701178819512.74402</v>
      </c>
      <c r="U131102" s="9">
        <v>4338979000000</v>
      </c>
    </row>
    <row r="131103" spans="20:21" x14ac:dyDescent="0.15">
      <c r="T131103" s="9">
        <v>763934055759.06604</v>
      </c>
      <c r="U131103" s="9">
        <v>4579631000000</v>
      </c>
    </row>
    <row r="131104" spans="20:21" x14ac:dyDescent="0.15">
      <c r="T131104" s="9">
        <v>852989116696.35205</v>
      </c>
      <c r="U131104" s="9">
        <v>4855215000000</v>
      </c>
    </row>
    <row r="131105" spans="20:21" x14ac:dyDescent="0.15">
      <c r="T131105" s="9">
        <v>948716630508.16699</v>
      </c>
      <c r="U131105" s="9">
        <v>5236438000000</v>
      </c>
    </row>
    <row r="131106" spans="20:21" x14ac:dyDescent="0.15">
      <c r="T131106" s="9">
        <v>988622824073.36694</v>
      </c>
      <c r="U131106" s="9">
        <v>5641580000000</v>
      </c>
    </row>
    <row r="131107" spans="20:21" x14ac:dyDescent="0.15">
      <c r="T131107" s="9">
        <v>1027379323856.15</v>
      </c>
      <c r="U131107" s="9">
        <v>5963144000000</v>
      </c>
    </row>
    <row r="131108" spans="20:21" x14ac:dyDescent="0.15">
      <c r="T131108" s="9">
        <v>1122543272896.8301</v>
      </c>
      <c r="U131108" s="9">
        <v>6158129000000</v>
      </c>
    </row>
    <row r="131109" spans="20:21" x14ac:dyDescent="0.15">
      <c r="T131109" s="9">
        <v>1282219772946.3201</v>
      </c>
      <c r="U131109" s="9">
        <v>6520327000000</v>
      </c>
    </row>
    <row r="131110" spans="20:21" x14ac:dyDescent="0.15">
      <c r="T131110" s="9">
        <v>1460239695280.22</v>
      </c>
      <c r="U131110" s="9">
        <v>6858559000000</v>
      </c>
    </row>
    <row r="131111" spans="20:21" x14ac:dyDescent="0.15">
      <c r="T131111" s="9">
        <v>1650608320717.1299</v>
      </c>
      <c r="U131111" s="9">
        <v>7287236000000</v>
      </c>
    </row>
    <row r="131112" spans="20:21" x14ac:dyDescent="0.15">
      <c r="T131112" s="9">
        <v>1831415202548.1001</v>
      </c>
      <c r="U131112" s="9">
        <v>7639749000000</v>
      </c>
    </row>
    <row r="131113" spans="20:21" x14ac:dyDescent="0.15">
      <c r="T131113" s="9">
        <v>2013138415391.3999</v>
      </c>
      <c r="U131113" s="9">
        <v>8073122000000</v>
      </c>
    </row>
    <row r="131114" spans="20:21" x14ac:dyDescent="0.15">
      <c r="T131114" s="9">
        <v>2199087579734.8799</v>
      </c>
      <c r="U131114" s="9">
        <v>8577554457000</v>
      </c>
    </row>
    <row r="131115" spans="20:21" x14ac:dyDescent="0.15">
      <c r="T131115" s="9">
        <v>2371626931008.4102</v>
      </c>
      <c r="U131115" s="9">
        <v>9062818202000</v>
      </c>
    </row>
    <row r="131116" spans="20:21" x14ac:dyDescent="0.15">
      <c r="T131116" s="9">
        <v>2553332721355.1499</v>
      </c>
      <c r="U131116" s="9">
        <v>9631174489000</v>
      </c>
    </row>
    <row r="131117" spans="20:21" x14ac:dyDescent="0.15">
      <c r="T131117" s="9">
        <v>2770113054357.8301</v>
      </c>
      <c r="U131117" s="9">
        <v>10250947997000</v>
      </c>
    </row>
    <row r="131118" spans="20:21" x14ac:dyDescent="0.15">
      <c r="T131118" s="9">
        <v>3001022295612.3501</v>
      </c>
      <c r="U131118" s="9">
        <v>10581929774000</v>
      </c>
    </row>
    <row r="131119" spans="20:21" x14ac:dyDescent="0.15">
      <c r="T131119" s="9">
        <v>3275124592017.1602</v>
      </c>
      <c r="U131119" s="9">
        <v>10929112955000</v>
      </c>
    </row>
    <row r="131120" spans="20:21" x14ac:dyDescent="0.15">
      <c r="T131120" s="9">
        <v>3603882596858.1099</v>
      </c>
      <c r="U131120" s="9">
        <v>11456442041000</v>
      </c>
    </row>
    <row r="131121" spans="20:21" x14ac:dyDescent="0.15">
      <c r="T131121" s="9">
        <v>3968365637613.6299</v>
      </c>
      <c r="U131121" s="9">
        <v>12217193198000</v>
      </c>
    </row>
    <row r="131122" spans="20:21" x14ac:dyDescent="0.15">
      <c r="T131122" s="9">
        <v>4420544703537.2402</v>
      </c>
      <c r="U131122" s="9">
        <v>13039199193000</v>
      </c>
    </row>
    <row r="131123" spans="20:21" x14ac:dyDescent="0.15">
      <c r="T131123" s="9">
        <v>4982880235433.3896</v>
      </c>
      <c r="U131123" s="9">
        <v>13815586948000</v>
      </c>
    </row>
    <row r="131124" spans="20:21" x14ac:dyDescent="0.15">
      <c r="T131124" s="9">
        <v>5691986992199.8604</v>
      </c>
      <c r="U131124" s="9">
        <v>14474226905000</v>
      </c>
    </row>
    <row r="131125" spans="20:21" x14ac:dyDescent="0.15">
      <c r="T131125" s="9">
        <v>6241302380960.0195</v>
      </c>
      <c r="U131125" s="9">
        <v>14769857911000</v>
      </c>
    </row>
    <row r="131126" spans="20:21" x14ac:dyDescent="0.15">
      <c r="T131126" s="9">
        <v>6827905267633.6299</v>
      </c>
      <c r="U131126" s="9">
        <v>14478064934000</v>
      </c>
    </row>
    <row r="131127" spans="20:21" x14ac:dyDescent="0.15">
      <c r="T131127" s="9">
        <v>7554112468317.7305</v>
      </c>
      <c r="U131127" s="9">
        <v>15048964444000</v>
      </c>
    </row>
    <row r="131128" spans="20:21" x14ac:dyDescent="0.15">
      <c r="T131128" s="9">
        <v>8275593072769.2598</v>
      </c>
      <c r="U131128" s="9">
        <v>15599728123000</v>
      </c>
    </row>
    <row r="131129" spans="20:21" x14ac:dyDescent="0.15">
      <c r="T131129" s="9">
        <v>8926363901575.5605</v>
      </c>
      <c r="U131129" s="9">
        <v>16253972230000</v>
      </c>
    </row>
    <row r="131130" spans="20:21" x14ac:dyDescent="0.15">
      <c r="T131130" s="9">
        <v>9619598720424.4609</v>
      </c>
      <c r="U131130" s="9">
        <v>16843190993000</v>
      </c>
    </row>
    <row r="131131" spans="20:21" x14ac:dyDescent="0.15">
      <c r="T131131" s="9">
        <v>10333927386102.801</v>
      </c>
      <c r="U131131" s="9">
        <v>17550680174000</v>
      </c>
    </row>
    <row r="131132" spans="20:21" x14ac:dyDescent="0.15">
      <c r="T131132" s="9">
        <v>11061573199439.699</v>
      </c>
      <c r="U131132" s="9">
        <v>18206020741000</v>
      </c>
    </row>
    <row r="131133" spans="20:21" x14ac:dyDescent="0.15">
      <c r="T131133" s="9">
        <v>11819154044004.9</v>
      </c>
      <c r="U131133" s="9">
        <v>18695110842000</v>
      </c>
    </row>
    <row r="131134" spans="20:21" x14ac:dyDescent="0.15">
      <c r="T131134" s="9">
        <v>12640254407508.1</v>
      </c>
      <c r="U131134" s="9">
        <v>19477336549000</v>
      </c>
    </row>
    <row r="131135" spans="20:21" x14ac:dyDescent="0.15">
      <c r="T131135" s="9">
        <v>13493442991864.699</v>
      </c>
      <c r="U131135" s="9">
        <v>20533057312000</v>
      </c>
    </row>
    <row r="131136" spans="20:21" x14ac:dyDescent="0.15">
      <c r="T131136" s="9">
        <v>14296370418805.1</v>
      </c>
      <c r="U131136" s="9">
        <v>21380976119000</v>
      </c>
    </row>
    <row r="131137" spans="20:21" x14ac:dyDescent="0.15">
      <c r="T131137" s="9">
        <v>14616414450558.4</v>
      </c>
      <c r="U131137" s="9">
        <v>21060473613000</v>
      </c>
    </row>
    <row r="131138" spans="20:21" x14ac:dyDescent="0.15">
      <c r="T131138" s="9">
        <v>15851132888547.1</v>
      </c>
      <c r="U131138" s="9">
        <v>23315080560000</v>
      </c>
    </row>
    <row r="131139" spans="20:21" x14ac:dyDescent="0.15">
      <c r="T131139" s="9">
        <v>16325209299766.801</v>
      </c>
      <c r="U131139" s="9">
        <v>25462700000000</v>
      </c>
    </row>
    <row r="147457" spans="20:21" x14ac:dyDescent="0.15">
      <c r="T147457" s="9" t="s">
        <v>45</v>
      </c>
      <c r="U147457" s="9" t="s">
        <v>44</v>
      </c>
    </row>
    <row r="147458" spans="20:21" x14ac:dyDescent="0.15">
      <c r="T147458" s="9" t="s">
        <v>43</v>
      </c>
      <c r="U147458" s="9" t="s">
        <v>42</v>
      </c>
    </row>
    <row r="147459" spans="20:21" x14ac:dyDescent="0.15">
      <c r="T147459" s="9" t="s">
        <v>41</v>
      </c>
      <c r="U147459" s="9" t="s">
        <v>40</v>
      </c>
    </row>
    <row r="147460" spans="20:21" x14ac:dyDescent="0.15">
      <c r="T147460" s="9" t="s">
        <v>39</v>
      </c>
      <c r="U147460" s="9" t="s">
        <v>38</v>
      </c>
    </row>
    <row r="147461" spans="20:21" x14ac:dyDescent="0.15">
      <c r="T147461" s="9">
        <v>158907457242.42899</v>
      </c>
      <c r="U147461" s="9">
        <v>543300000000</v>
      </c>
    </row>
    <row r="147462" spans="20:21" x14ac:dyDescent="0.15">
      <c r="T147462" s="9">
        <v>115573393646.185</v>
      </c>
      <c r="U147462" s="9">
        <v>563300000000</v>
      </c>
    </row>
    <row r="147463" spans="20:21" x14ac:dyDescent="0.15">
      <c r="T147463" s="9">
        <v>109124398292.05099</v>
      </c>
      <c r="U147463" s="9">
        <v>605100000000</v>
      </c>
    </row>
    <row r="147464" spans="20:21" x14ac:dyDescent="0.15">
      <c r="T147464" s="9">
        <v>120364211312.289</v>
      </c>
      <c r="U147464" s="9">
        <v>638600000000</v>
      </c>
    </row>
    <row r="147465" spans="20:21" x14ac:dyDescent="0.15">
      <c r="T147465" s="9">
        <v>142246424921.30899</v>
      </c>
      <c r="U147465" s="9">
        <v>685800000000</v>
      </c>
    </row>
    <row r="147466" spans="20:21" x14ac:dyDescent="0.15">
      <c r="T147466" s="9">
        <v>166357193951.10501</v>
      </c>
      <c r="U147466" s="9">
        <v>743700000000</v>
      </c>
    </row>
    <row r="147467" spans="20:21" x14ac:dyDescent="0.15">
      <c r="T147467" s="9">
        <v>184074235104.24799</v>
      </c>
      <c r="U147467" s="9">
        <v>815000000000</v>
      </c>
    </row>
    <row r="147468" spans="20:21" x14ac:dyDescent="0.15">
      <c r="T147468" s="9">
        <v>173453151731.27701</v>
      </c>
      <c r="U147468" s="9">
        <v>861700000000</v>
      </c>
    </row>
    <row r="147469" spans="20:21" x14ac:dyDescent="0.15">
      <c r="T147469" s="9">
        <v>166341572533.69101</v>
      </c>
      <c r="U147469" s="9">
        <v>942500000000</v>
      </c>
    </row>
    <row r="147470" spans="20:21" x14ac:dyDescent="0.15">
      <c r="T147470" s="9">
        <v>194519834914.35999</v>
      </c>
      <c r="U147470" s="9">
        <v>1019900000000</v>
      </c>
    </row>
    <row r="147471" spans="20:21" x14ac:dyDescent="0.15">
      <c r="T147471" s="9">
        <v>232062163046.44</v>
      </c>
      <c r="U147471" s="9">
        <v>1073303000000</v>
      </c>
    </row>
    <row r="147472" spans="20:21" x14ac:dyDescent="0.15">
      <c r="T147472" s="9">
        <v>248445751754.134</v>
      </c>
      <c r="U147472" s="9">
        <v>1164850000000</v>
      </c>
    </row>
    <row r="147473" spans="20:21" x14ac:dyDescent="0.15">
      <c r="T147473" s="9">
        <v>257911534896.49799</v>
      </c>
      <c r="U147473" s="9">
        <v>1279110000000</v>
      </c>
    </row>
    <row r="147474" spans="20:21" x14ac:dyDescent="0.15">
      <c r="T147474" s="9">
        <v>277925470006.599</v>
      </c>
      <c r="U147474" s="9">
        <v>1425376000000</v>
      </c>
    </row>
    <row r="147475" spans="20:21" x14ac:dyDescent="0.15">
      <c r="T147475" s="9">
        <v>284345548371.966</v>
      </c>
      <c r="U147475" s="9">
        <v>1545243000000</v>
      </c>
    </row>
    <row r="147476" spans="20:21" x14ac:dyDescent="0.15">
      <c r="T147476" s="9">
        <v>309140480182.89801</v>
      </c>
      <c r="U147476" s="9">
        <v>1684904000000</v>
      </c>
    </row>
    <row r="147477" spans="20:21" x14ac:dyDescent="0.15">
      <c r="T147477" s="9">
        <v>304286974638.82202</v>
      </c>
      <c r="U147477" s="9">
        <v>1873412000000</v>
      </c>
    </row>
    <row r="147478" spans="20:21" x14ac:dyDescent="0.15">
      <c r="T147478" s="9">
        <v>327321498623.151</v>
      </c>
      <c r="U147478" s="9">
        <v>2081826000000</v>
      </c>
    </row>
    <row r="147479" spans="20:21" x14ac:dyDescent="0.15">
      <c r="T147479" s="9">
        <v>364393859506.91699</v>
      </c>
      <c r="U147479" s="9">
        <v>2351599000000</v>
      </c>
    </row>
    <row r="147480" spans="20:21" x14ac:dyDescent="0.15">
      <c r="T147480" s="9">
        <v>392056180496.07098</v>
      </c>
      <c r="U147480" s="9">
        <v>2627333000000</v>
      </c>
    </row>
    <row r="147481" spans="20:21" x14ac:dyDescent="0.15">
      <c r="T147481" s="9">
        <v>422770430220.08099</v>
      </c>
      <c r="U147481" s="9">
        <v>2857307000000</v>
      </c>
    </row>
    <row r="147482" spans="20:21" x14ac:dyDescent="0.15">
      <c r="T147482" s="9">
        <v>444385672278.89001</v>
      </c>
      <c r="U147482" s="9">
        <v>3207041000000</v>
      </c>
    </row>
    <row r="147483" spans="20:21" x14ac:dyDescent="0.15">
      <c r="T147483" s="9">
        <v>484456434564.98102</v>
      </c>
      <c r="U147483" s="9">
        <v>3343789000000</v>
      </c>
    </row>
    <row r="147484" spans="20:21" x14ac:dyDescent="0.15">
      <c r="T147484" s="9">
        <v>536633373623.745</v>
      </c>
      <c r="U147484" s="9">
        <v>3634038000000</v>
      </c>
    </row>
    <row r="147485" spans="20:21" x14ac:dyDescent="0.15">
      <c r="T147485" s="9">
        <v>618156247357.86304</v>
      </c>
      <c r="U147485" s="9">
        <v>4037613000000</v>
      </c>
    </row>
    <row r="147486" spans="20:21" x14ac:dyDescent="0.15">
      <c r="T147486" s="9">
        <v>701178819512.74402</v>
      </c>
      <c r="U147486" s="9">
        <v>4338979000000</v>
      </c>
    </row>
    <row r="147487" spans="20:21" x14ac:dyDescent="0.15">
      <c r="T147487" s="9">
        <v>763934055759.06604</v>
      </c>
      <c r="U147487" s="9">
        <v>4579631000000</v>
      </c>
    </row>
    <row r="147488" spans="20:21" x14ac:dyDescent="0.15">
      <c r="T147488" s="9">
        <v>852989116696.35205</v>
      </c>
      <c r="U147488" s="9">
        <v>4855215000000</v>
      </c>
    </row>
    <row r="147489" spans="20:21" x14ac:dyDescent="0.15">
      <c r="T147489" s="9">
        <v>948716630508.16699</v>
      </c>
      <c r="U147489" s="9">
        <v>5236438000000</v>
      </c>
    </row>
    <row r="147490" spans="20:21" x14ac:dyDescent="0.15">
      <c r="T147490" s="9">
        <v>988622824073.36694</v>
      </c>
      <c r="U147490" s="9">
        <v>5641580000000</v>
      </c>
    </row>
    <row r="147491" spans="20:21" x14ac:dyDescent="0.15">
      <c r="T147491" s="9">
        <v>1027379323856.15</v>
      </c>
      <c r="U147491" s="9">
        <v>5963144000000</v>
      </c>
    </row>
    <row r="147492" spans="20:21" x14ac:dyDescent="0.15">
      <c r="T147492" s="9">
        <v>1122543272896.8301</v>
      </c>
      <c r="U147492" s="9">
        <v>6158129000000</v>
      </c>
    </row>
    <row r="147493" spans="20:21" x14ac:dyDescent="0.15">
      <c r="T147493" s="9">
        <v>1282219772946.3201</v>
      </c>
      <c r="U147493" s="9">
        <v>6520327000000</v>
      </c>
    </row>
    <row r="147494" spans="20:21" x14ac:dyDescent="0.15">
      <c r="T147494" s="9">
        <v>1460239695280.22</v>
      </c>
      <c r="U147494" s="9">
        <v>6858559000000</v>
      </c>
    </row>
    <row r="147495" spans="20:21" x14ac:dyDescent="0.15">
      <c r="T147495" s="9">
        <v>1650608320717.1299</v>
      </c>
      <c r="U147495" s="9">
        <v>7287236000000</v>
      </c>
    </row>
    <row r="147496" spans="20:21" x14ac:dyDescent="0.15">
      <c r="T147496" s="9">
        <v>1831415202548.1001</v>
      </c>
      <c r="U147496" s="9">
        <v>7639749000000</v>
      </c>
    </row>
    <row r="147497" spans="20:21" x14ac:dyDescent="0.15">
      <c r="T147497" s="9">
        <v>2013138415391.3999</v>
      </c>
      <c r="U147497" s="9">
        <v>8073122000000</v>
      </c>
    </row>
    <row r="147498" spans="20:21" x14ac:dyDescent="0.15">
      <c r="T147498" s="9">
        <v>2199087579734.8799</v>
      </c>
      <c r="U147498" s="9">
        <v>8577554457000</v>
      </c>
    </row>
    <row r="147499" spans="20:21" x14ac:dyDescent="0.15">
      <c r="T147499" s="9">
        <v>2371626931008.4102</v>
      </c>
      <c r="U147499" s="9">
        <v>9062818202000</v>
      </c>
    </row>
    <row r="147500" spans="20:21" x14ac:dyDescent="0.15">
      <c r="T147500" s="9">
        <v>2553332721355.1499</v>
      </c>
      <c r="U147500" s="9">
        <v>9631174489000</v>
      </c>
    </row>
    <row r="147501" spans="20:21" x14ac:dyDescent="0.15">
      <c r="T147501" s="9">
        <v>2770113054357.8301</v>
      </c>
      <c r="U147501" s="9">
        <v>10250947997000</v>
      </c>
    </row>
    <row r="147502" spans="20:21" x14ac:dyDescent="0.15">
      <c r="T147502" s="9">
        <v>3001022295612.3501</v>
      </c>
      <c r="U147502" s="9">
        <v>10581929774000</v>
      </c>
    </row>
    <row r="147503" spans="20:21" x14ac:dyDescent="0.15">
      <c r="T147503" s="9">
        <v>3275124592017.1602</v>
      </c>
      <c r="U147503" s="9">
        <v>10929112955000</v>
      </c>
    </row>
    <row r="147504" spans="20:21" x14ac:dyDescent="0.15">
      <c r="T147504" s="9">
        <v>3603882596858.1099</v>
      </c>
      <c r="U147504" s="9">
        <v>11456442041000</v>
      </c>
    </row>
    <row r="147505" spans="20:21" x14ac:dyDescent="0.15">
      <c r="T147505" s="9">
        <v>3968365637613.6299</v>
      </c>
      <c r="U147505" s="9">
        <v>12217193198000</v>
      </c>
    </row>
    <row r="147506" spans="20:21" x14ac:dyDescent="0.15">
      <c r="T147506" s="9">
        <v>4420544703537.2402</v>
      </c>
      <c r="U147506" s="9">
        <v>13039199193000</v>
      </c>
    </row>
    <row r="147507" spans="20:21" x14ac:dyDescent="0.15">
      <c r="T147507" s="9">
        <v>4982880235433.3896</v>
      </c>
      <c r="U147507" s="9">
        <v>13815586948000</v>
      </c>
    </row>
    <row r="147508" spans="20:21" x14ac:dyDescent="0.15">
      <c r="T147508" s="9">
        <v>5691986992199.8604</v>
      </c>
      <c r="U147508" s="9">
        <v>14474226905000</v>
      </c>
    </row>
    <row r="147509" spans="20:21" x14ac:dyDescent="0.15">
      <c r="T147509" s="9">
        <v>6241302380960.0195</v>
      </c>
      <c r="U147509" s="9">
        <v>14769857911000</v>
      </c>
    </row>
    <row r="147510" spans="20:21" x14ac:dyDescent="0.15">
      <c r="T147510" s="9">
        <v>6827905267633.6299</v>
      </c>
      <c r="U147510" s="9">
        <v>14478064934000</v>
      </c>
    </row>
    <row r="147511" spans="20:21" x14ac:dyDescent="0.15">
      <c r="T147511" s="9">
        <v>7554112468317.7305</v>
      </c>
      <c r="U147511" s="9">
        <v>15048964444000</v>
      </c>
    </row>
    <row r="147512" spans="20:21" x14ac:dyDescent="0.15">
      <c r="T147512" s="9">
        <v>8275593072769.2598</v>
      </c>
      <c r="U147512" s="9">
        <v>15599728123000</v>
      </c>
    </row>
    <row r="147513" spans="20:21" x14ac:dyDescent="0.15">
      <c r="T147513" s="9">
        <v>8926363901575.5605</v>
      </c>
      <c r="U147513" s="9">
        <v>16253972230000</v>
      </c>
    </row>
    <row r="147514" spans="20:21" x14ac:dyDescent="0.15">
      <c r="T147514" s="9">
        <v>9619598720424.4609</v>
      </c>
      <c r="U147514" s="9">
        <v>16843190993000</v>
      </c>
    </row>
    <row r="147515" spans="20:21" x14ac:dyDescent="0.15">
      <c r="T147515" s="9">
        <v>10333927386102.801</v>
      </c>
      <c r="U147515" s="9">
        <v>17550680174000</v>
      </c>
    </row>
    <row r="147516" spans="20:21" x14ac:dyDescent="0.15">
      <c r="T147516" s="9">
        <v>11061573199439.699</v>
      </c>
      <c r="U147516" s="9">
        <v>18206020741000</v>
      </c>
    </row>
    <row r="147517" spans="20:21" x14ac:dyDescent="0.15">
      <c r="T147517" s="9">
        <v>11819154044004.9</v>
      </c>
      <c r="U147517" s="9">
        <v>18695110842000</v>
      </c>
    </row>
    <row r="147518" spans="20:21" x14ac:dyDescent="0.15">
      <c r="T147518" s="9">
        <v>12640254407508.1</v>
      </c>
      <c r="U147518" s="9">
        <v>19477336549000</v>
      </c>
    </row>
    <row r="147519" spans="20:21" x14ac:dyDescent="0.15">
      <c r="T147519" s="9">
        <v>13493442991864.699</v>
      </c>
      <c r="U147519" s="9">
        <v>20533057312000</v>
      </c>
    </row>
    <row r="147520" spans="20:21" x14ac:dyDescent="0.15">
      <c r="T147520" s="9">
        <v>14296370418805.1</v>
      </c>
      <c r="U147520" s="9">
        <v>21380976119000</v>
      </c>
    </row>
    <row r="147521" spans="20:21" x14ac:dyDescent="0.15">
      <c r="T147521" s="9">
        <v>14616414450558.4</v>
      </c>
      <c r="U147521" s="9">
        <v>21060473613000</v>
      </c>
    </row>
    <row r="147522" spans="20:21" x14ac:dyDescent="0.15">
      <c r="T147522" s="9">
        <v>15851132888547.1</v>
      </c>
      <c r="U147522" s="9">
        <v>23315080560000</v>
      </c>
    </row>
    <row r="147523" spans="20:21" x14ac:dyDescent="0.15">
      <c r="T147523" s="9">
        <v>16325209299766.801</v>
      </c>
      <c r="U147523" s="9">
        <v>25462700000000</v>
      </c>
    </row>
    <row r="163841" spans="20:21" x14ac:dyDescent="0.15">
      <c r="T163841" s="9" t="s">
        <v>45</v>
      </c>
      <c r="U163841" s="9" t="s">
        <v>44</v>
      </c>
    </row>
    <row r="163842" spans="20:21" x14ac:dyDescent="0.15">
      <c r="T163842" s="9" t="s">
        <v>43</v>
      </c>
      <c r="U163842" s="9" t="s">
        <v>42</v>
      </c>
    </row>
    <row r="163843" spans="20:21" x14ac:dyDescent="0.15">
      <c r="T163843" s="9" t="s">
        <v>41</v>
      </c>
      <c r="U163843" s="9" t="s">
        <v>40</v>
      </c>
    </row>
    <row r="163844" spans="20:21" x14ac:dyDescent="0.15">
      <c r="T163844" s="9" t="s">
        <v>39</v>
      </c>
      <c r="U163844" s="9" t="s">
        <v>38</v>
      </c>
    </row>
    <row r="163845" spans="20:21" x14ac:dyDescent="0.15">
      <c r="T163845" s="9">
        <v>158907457242.42899</v>
      </c>
      <c r="U163845" s="9">
        <v>543300000000</v>
      </c>
    </row>
    <row r="163846" spans="20:21" x14ac:dyDescent="0.15">
      <c r="T163846" s="9">
        <v>115573393646.185</v>
      </c>
      <c r="U163846" s="9">
        <v>563300000000</v>
      </c>
    </row>
    <row r="163847" spans="20:21" x14ac:dyDescent="0.15">
      <c r="T163847" s="9">
        <v>109124398292.05099</v>
      </c>
      <c r="U163847" s="9">
        <v>605100000000</v>
      </c>
    </row>
    <row r="163848" spans="20:21" x14ac:dyDescent="0.15">
      <c r="T163848" s="9">
        <v>120364211312.289</v>
      </c>
      <c r="U163848" s="9">
        <v>638600000000</v>
      </c>
    </row>
    <row r="163849" spans="20:21" x14ac:dyDescent="0.15">
      <c r="T163849" s="9">
        <v>142246424921.30899</v>
      </c>
      <c r="U163849" s="9">
        <v>685800000000</v>
      </c>
    </row>
    <row r="163850" spans="20:21" x14ac:dyDescent="0.15">
      <c r="T163850" s="9">
        <v>166357193951.10501</v>
      </c>
      <c r="U163850" s="9">
        <v>743700000000</v>
      </c>
    </row>
    <row r="163851" spans="20:21" x14ac:dyDescent="0.15">
      <c r="T163851" s="9">
        <v>184074235104.24799</v>
      </c>
      <c r="U163851" s="9">
        <v>815000000000</v>
      </c>
    </row>
    <row r="163852" spans="20:21" x14ac:dyDescent="0.15">
      <c r="T163852" s="9">
        <v>173453151731.27701</v>
      </c>
      <c r="U163852" s="9">
        <v>861700000000</v>
      </c>
    </row>
    <row r="163853" spans="20:21" x14ac:dyDescent="0.15">
      <c r="T163853" s="9">
        <v>166341572533.69101</v>
      </c>
      <c r="U163853" s="9">
        <v>942500000000</v>
      </c>
    </row>
    <row r="163854" spans="20:21" x14ac:dyDescent="0.15">
      <c r="T163854" s="9">
        <v>194519834914.35999</v>
      </c>
      <c r="U163854" s="9">
        <v>1019900000000</v>
      </c>
    </row>
    <row r="163855" spans="20:21" x14ac:dyDescent="0.15">
      <c r="T163855" s="9">
        <v>232062163046.44</v>
      </c>
      <c r="U163855" s="9">
        <v>1073303000000</v>
      </c>
    </row>
    <row r="163856" spans="20:21" x14ac:dyDescent="0.15">
      <c r="T163856" s="9">
        <v>248445751754.134</v>
      </c>
      <c r="U163856" s="9">
        <v>1164850000000</v>
      </c>
    </row>
    <row r="163857" spans="20:21" x14ac:dyDescent="0.15">
      <c r="T163857" s="9">
        <v>257911534896.49799</v>
      </c>
      <c r="U163857" s="9">
        <v>1279110000000</v>
      </c>
    </row>
    <row r="163858" spans="20:21" x14ac:dyDescent="0.15">
      <c r="T163858" s="9">
        <v>277925470006.599</v>
      </c>
      <c r="U163858" s="9">
        <v>1425376000000</v>
      </c>
    </row>
    <row r="163859" spans="20:21" x14ac:dyDescent="0.15">
      <c r="T163859" s="9">
        <v>284345548371.966</v>
      </c>
      <c r="U163859" s="9">
        <v>1545243000000</v>
      </c>
    </row>
    <row r="163860" spans="20:21" x14ac:dyDescent="0.15">
      <c r="T163860" s="9">
        <v>309140480182.89801</v>
      </c>
      <c r="U163860" s="9">
        <v>1684904000000</v>
      </c>
    </row>
    <row r="163861" spans="20:21" x14ac:dyDescent="0.15">
      <c r="T163861" s="9">
        <v>304286974638.82202</v>
      </c>
      <c r="U163861" s="9">
        <v>1873412000000</v>
      </c>
    </row>
    <row r="163862" spans="20:21" x14ac:dyDescent="0.15">
      <c r="T163862" s="9">
        <v>327321498623.151</v>
      </c>
      <c r="U163862" s="9">
        <v>2081826000000</v>
      </c>
    </row>
    <row r="163863" spans="20:21" x14ac:dyDescent="0.15">
      <c r="T163863" s="9">
        <v>364393859506.91699</v>
      </c>
      <c r="U163863" s="9">
        <v>2351599000000</v>
      </c>
    </row>
    <row r="163864" spans="20:21" x14ac:dyDescent="0.15">
      <c r="T163864" s="9">
        <v>392056180496.07098</v>
      </c>
      <c r="U163864" s="9">
        <v>2627333000000</v>
      </c>
    </row>
    <row r="163865" spans="20:21" x14ac:dyDescent="0.15">
      <c r="T163865" s="9">
        <v>422770430220.08099</v>
      </c>
      <c r="U163865" s="9">
        <v>2857307000000</v>
      </c>
    </row>
    <row r="163866" spans="20:21" x14ac:dyDescent="0.15">
      <c r="T163866" s="9">
        <v>444385672278.89001</v>
      </c>
      <c r="U163866" s="9">
        <v>3207041000000</v>
      </c>
    </row>
    <row r="163867" spans="20:21" x14ac:dyDescent="0.15">
      <c r="T163867" s="9">
        <v>484456434564.98102</v>
      </c>
      <c r="U163867" s="9">
        <v>3343789000000</v>
      </c>
    </row>
    <row r="163868" spans="20:21" x14ac:dyDescent="0.15">
      <c r="T163868" s="9">
        <v>536633373623.745</v>
      </c>
      <c r="U163868" s="9">
        <v>3634038000000</v>
      </c>
    </row>
    <row r="163869" spans="20:21" x14ac:dyDescent="0.15">
      <c r="T163869" s="9">
        <v>618156247357.86304</v>
      </c>
      <c r="U163869" s="9">
        <v>4037613000000</v>
      </c>
    </row>
    <row r="163870" spans="20:21" x14ac:dyDescent="0.15">
      <c r="T163870" s="9">
        <v>701178819512.74402</v>
      </c>
      <c r="U163870" s="9">
        <v>4338979000000</v>
      </c>
    </row>
    <row r="163871" spans="20:21" x14ac:dyDescent="0.15">
      <c r="T163871" s="9">
        <v>763934055759.06604</v>
      </c>
      <c r="U163871" s="9">
        <v>4579631000000</v>
      </c>
    </row>
    <row r="163872" spans="20:21" x14ac:dyDescent="0.15">
      <c r="T163872" s="9">
        <v>852989116696.35205</v>
      </c>
      <c r="U163872" s="9">
        <v>4855215000000</v>
      </c>
    </row>
    <row r="163873" spans="20:21" x14ac:dyDescent="0.15">
      <c r="T163873" s="9">
        <v>948716630508.16699</v>
      </c>
      <c r="U163873" s="9">
        <v>5236438000000</v>
      </c>
    </row>
    <row r="163874" spans="20:21" x14ac:dyDescent="0.15">
      <c r="T163874" s="9">
        <v>988622824073.36694</v>
      </c>
      <c r="U163874" s="9">
        <v>5641580000000</v>
      </c>
    </row>
    <row r="163875" spans="20:21" x14ac:dyDescent="0.15">
      <c r="T163875" s="9">
        <v>1027379323856.15</v>
      </c>
      <c r="U163875" s="9">
        <v>5963144000000</v>
      </c>
    </row>
    <row r="163876" spans="20:21" x14ac:dyDescent="0.15">
      <c r="T163876" s="9">
        <v>1122543272896.8301</v>
      </c>
      <c r="U163876" s="9">
        <v>6158129000000</v>
      </c>
    </row>
    <row r="163877" spans="20:21" x14ac:dyDescent="0.15">
      <c r="T163877" s="9">
        <v>1282219772946.3201</v>
      </c>
      <c r="U163877" s="9">
        <v>6520327000000</v>
      </c>
    </row>
    <row r="163878" spans="20:21" x14ac:dyDescent="0.15">
      <c r="T163878" s="9">
        <v>1460239695280.22</v>
      </c>
      <c r="U163878" s="9">
        <v>6858559000000</v>
      </c>
    </row>
    <row r="163879" spans="20:21" x14ac:dyDescent="0.15">
      <c r="T163879" s="9">
        <v>1650608320717.1299</v>
      </c>
      <c r="U163879" s="9">
        <v>7287236000000</v>
      </c>
    </row>
    <row r="163880" spans="20:21" x14ac:dyDescent="0.15">
      <c r="T163880" s="9">
        <v>1831415202548.1001</v>
      </c>
      <c r="U163880" s="9">
        <v>7639749000000</v>
      </c>
    </row>
    <row r="163881" spans="20:21" x14ac:dyDescent="0.15">
      <c r="T163881" s="9">
        <v>2013138415391.3999</v>
      </c>
      <c r="U163881" s="9">
        <v>8073122000000</v>
      </c>
    </row>
    <row r="163882" spans="20:21" x14ac:dyDescent="0.15">
      <c r="T163882" s="9">
        <v>2199087579734.8799</v>
      </c>
      <c r="U163882" s="9">
        <v>8577554457000</v>
      </c>
    </row>
    <row r="163883" spans="20:21" x14ac:dyDescent="0.15">
      <c r="T163883" s="9">
        <v>2371626931008.4102</v>
      </c>
      <c r="U163883" s="9">
        <v>9062818202000</v>
      </c>
    </row>
    <row r="163884" spans="20:21" x14ac:dyDescent="0.15">
      <c r="T163884" s="9">
        <v>2553332721355.1499</v>
      </c>
      <c r="U163884" s="9">
        <v>9631174489000</v>
      </c>
    </row>
    <row r="163885" spans="20:21" x14ac:dyDescent="0.15">
      <c r="T163885" s="9">
        <v>2770113054357.8301</v>
      </c>
      <c r="U163885" s="9">
        <v>10250947997000</v>
      </c>
    </row>
    <row r="163886" spans="20:21" x14ac:dyDescent="0.15">
      <c r="T163886" s="9">
        <v>3001022295612.3501</v>
      </c>
      <c r="U163886" s="9">
        <v>10581929774000</v>
      </c>
    </row>
    <row r="163887" spans="20:21" x14ac:dyDescent="0.15">
      <c r="T163887" s="9">
        <v>3275124592017.1602</v>
      </c>
      <c r="U163887" s="9">
        <v>10929112955000</v>
      </c>
    </row>
    <row r="163888" spans="20:21" x14ac:dyDescent="0.15">
      <c r="T163888" s="9">
        <v>3603882596858.1099</v>
      </c>
      <c r="U163888" s="9">
        <v>11456442041000</v>
      </c>
    </row>
    <row r="163889" spans="20:21" x14ac:dyDescent="0.15">
      <c r="T163889" s="9">
        <v>3968365637613.6299</v>
      </c>
      <c r="U163889" s="9">
        <v>12217193198000</v>
      </c>
    </row>
    <row r="163890" spans="20:21" x14ac:dyDescent="0.15">
      <c r="T163890" s="9">
        <v>4420544703537.2402</v>
      </c>
      <c r="U163890" s="9">
        <v>13039199193000</v>
      </c>
    </row>
    <row r="163891" spans="20:21" x14ac:dyDescent="0.15">
      <c r="T163891" s="9">
        <v>4982880235433.3896</v>
      </c>
      <c r="U163891" s="9">
        <v>13815586948000</v>
      </c>
    </row>
    <row r="163892" spans="20:21" x14ac:dyDescent="0.15">
      <c r="T163892" s="9">
        <v>5691986992199.8604</v>
      </c>
      <c r="U163892" s="9">
        <v>14474226905000</v>
      </c>
    </row>
    <row r="163893" spans="20:21" x14ac:dyDescent="0.15">
      <c r="T163893" s="9">
        <v>6241302380960.0195</v>
      </c>
      <c r="U163893" s="9">
        <v>14769857911000</v>
      </c>
    </row>
    <row r="163894" spans="20:21" x14ac:dyDescent="0.15">
      <c r="T163894" s="9">
        <v>6827905267633.6299</v>
      </c>
      <c r="U163894" s="9">
        <v>14478064934000</v>
      </c>
    </row>
    <row r="163895" spans="20:21" x14ac:dyDescent="0.15">
      <c r="T163895" s="9">
        <v>7554112468317.7305</v>
      </c>
      <c r="U163895" s="9">
        <v>15048964444000</v>
      </c>
    </row>
    <row r="163896" spans="20:21" x14ac:dyDescent="0.15">
      <c r="T163896" s="9">
        <v>8275593072769.2598</v>
      </c>
      <c r="U163896" s="9">
        <v>15599728123000</v>
      </c>
    </row>
    <row r="163897" spans="20:21" x14ac:dyDescent="0.15">
      <c r="T163897" s="9">
        <v>8926363901575.5605</v>
      </c>
      <c r="U163897" s="9">
        <v>16253972230000</v>
      </c>
    </row>
    <row r="163898" spans="20:21" x14ac:dyDescent="0.15">
      <c r="T163898" s="9">
        <v>9619598720424.4609</v>
      </c>
      <c r="U163898" s="9">
        <v>16843190993000</v>
      </c>
    </row>
    <row r="163899" spans="20:21" x14ac:dyDescent="0.15">
      <c r="T163899" s="9">
        <v>10333927386102.801</v>
      </c>
      <c r="U163899" s="9">
        <v>17550680174000</v>
      </c>
    </row>
    <row r="163900" spans="20:21" x14ac:dyDescent="0.15">
      <c r="T163900" s="9">
        <v>11061573199439.699</v>
      </c>
      <c r="U163900" s="9">
        <v>18206020741000</v>
      </c>
    </row>
    <row r="163901" spans="20:21" x14ac:dyDescent="0.15">
      <c r="T163901" s="9">
        <v>11819154044004.9</v>
      </c>
      <c r="U163901" s="9">
        <v>18695110842000</v>
      </c>
    </row>
    <row r="163902" spans="20:21" x14ac:dyDescent="0.15">
      <c r="T163902" s="9">
        <v>12640254407508.1</v>
      </c>
      <c r="U163902" s="9">
        <v>19477336549000</v>
      </c>
    </row>
    <row r="163903" spans="20:21" x14ac:dyDescent="0.15">
      <c r="T163903" s="9">
        <v>13493442991864.699</v>
      </c>
      <c r="U163903" s="9">
        <v>20533057312000</v>
      </c>
    </row>
    <row r="163904" spans="20:21" x14ac:dyDescent="0.15">
      <c r="T163904" s="9">
        <v>14296370418805.1</v>
      </c>
      <c r="U163904" s="9">
        <v>21380976119000</v>
      </c>
    </row>
    <row r="163905" spans="20:21" x14ac:dyDescent="0.15">
      <c r="T163905" s="9">
        <v>14616414450558.4</v>
      </c>
      <c r="U163905" s="9">
        <v>21060473613000</v>
      </c>
    </row>
    <row r="163906" spans="20:21" x14ac:dyDescent="0.15">
      <c r="T163906" s="9">
        <v>15851132888547.1</v>
      </c>
      <c r="U163906" s="9">
        <v>23315080560000</v>
      </c>
    </row>
    <row r="163907" spans="20:21" x14ac:dyDescent="0.15">
      <c r="T163907" s="9">
        <v>16325209299766.801</v>
      </c>
      <c r="U163907" s="9">
        <v>25462700000000</v>
      </c>
    </row>
    <row r="180225" spans="20:21" x14ac:dyDescent="0.15">
      <c r="T180225" s="9" t="s">
        <v>45</v>
      </c>
      <c r="U180225" s="9" t="s">
        <v>44</v>
      </c>
    </row>
    <row r="180226" spans="20:21" x14ac:dyDescent="0.15">
      <c r="T180226" s="9" t="s">
        <v>43</v>
      </c>
      <c r="U180226" s="9" t="s">
        <v>42</v>
      </c>
    </row>
    <row r="180227" spans="20:21" x14ac:dyDescent="0.15">
      <c r="T180227" s="9" t="s">
        <v>41</v>
      </c>
      <c r="U180227" s="9" t="s">
        <v>40</v>
      </c>
    </row>
    <row r="180228" spans="20:21" x14ac:dyDescent="0.15">
      <c r="T180228" s="9" t="s">
        <v>39</v>
      </c>
      <c r="U180228" s="9" t="s">
        <v>38</v>
      </c>
    </row>
    <row r="180229" spans="20:21" x14ac:dyDescent="0.15">
      <c r="T180229" s="9">
        <v>158907457242.42899</v>
      </c>
      <c r="U180229" s="9">
        <v>543300000000</v>
      </c>
    </row>
    <row r="180230" spans="20:21" x14ac:dyDescent="0.15">
      <c r="T180230" s="9">
        <v>115573393646.185</v>
      </c>
      <c r="U180230" s="9">
        <v>563300000000</v>
      </c>
    </row>
    <row r="180231" spans="20:21" x14ac:dyDescent="0.15">
      <c r="T180231" s="9">
        <v>109124398292.05099</v>
      </c>
      <c r="U180231" s="9">
        <v>605100000000</v>
      </c>
    </row>
    <row r="180232" spans="20:21" x14ac:dyDescent="0.15">
      <c r="T180232" s="9">
        <v>120364211312.289</v>
      </c>
      <c r="U180232" s="9">
        <v>638600000000</v>
      </c>
    </row>
    <row r="180233" spans="20:21" x14ac:dyDescent="0.15">
      <c r="T180233" s="9">
        <v>142246424921.30899</v>
      </c>
      <c r="U180233" s="9">
        <v>685800000000</v>
      </c>
    </row>
    <row r="180234" spans="20:21" x14ac:dyDescent="0.15">
      <c r="T180234" s="9">
        <v>166357193951.10501</v>
      </c>
      <c r="U180234" s="9">
        <v>743700000000</v>
      </c>
    </row>
    <row r="180235" spans="20:21" x14ac:dyDescent="0.15">
      <c r="T180235" s="9">
        <v>184074235104.24799</v>
      </c>
      <c r="U180235" s="9">
        <v>815000000000</v>
      </c>
    </row>
    <row r="180236" spans="20:21" x14ac:dyDescent="0.15">
      <c r="T180236" s="9">
        <v>173453151731.27701</v>
      </c>
      <c r="U180236" s="9">
        <v>861700000000</v>
      </c>
    </row>
    <row r="180237" spans="20:21" x14ac:dyDescent="0.15">
      <c r="T180237" s="9">
        <v>166341572533.69101</v>
      </c>
      <c r="U180237" s="9">
        <v>942500000000</v>
      </c>
    </row>
    <row r="180238" spans="20:21" x14ac:dyDescent="0.15">
      <c r="T180238" s="9">
        <v>194519834914.35999</v>
      </c>
      <c r="U180238" s="9">
        <v>1019900000000</v>
      </c>
    </row>
    <row r="180239" spans="20:21" x14ac:dyDescent="0.15">
      <c r="T180239" s="9">
        <v>232062163046.44</v>
      </c>
      <c r="U180239" s="9">
        <v>1073303000000</v>
      </c>
    </row>
    <row r="180240" spans="20:21" x14ac:dyDescent="0.15">
      <c r="T180240" s="9">
        <v>248445751754.134</v>
      </c>
      <c r="U180240" s="9">
        <v>1164850000000</v>
      </c>
    </row>
    <row r="180241" spans="20:21" x14ac:dyDescent="0.15">
      <c r="T180241" s="9">
        <v>257911534896.49799</v>
      </c>
      <c r="U180241" s="9">
        <v>1279110000000</v>
      </c>
    </row>
    <row r="180242" spans="20:21" x14ac:dyDescent="0.15">
      <c r="T180242" s="9">
        <v>277925470006.599</v>
      </c>
      <c r="U180242" s="9">
        <v>1425376000000</v>
      </c>
    </row>
    <row r="180243" spans="20:21" x14ac:dyDescent="0.15">
      <c r="T180243" s="9">
        <v>284345548371.966</v>
      </c>
      <c r="U180243" s="9">
        <v>1545243000000</v>
      </c>
    </row>
    <row r="180244" spans="20:21" x14ac:dyDescent="0.15">
      <c r="T180244" s="9">
        <v>309140480182.89801</v>
      </c>
      <c r="U180244" s="9">
        <v>1684904000000</v>
      </c>
    </row>
    <row r="180245" spans="20:21" x14ac:dyDescent="0.15">
      <c r="T180245" s="9">
        <v>304286974638.82202</v>
      </c>
      <c r="U180245" s="9">
        <v>1873412000000</v>
      </c>
    </row>
    <row r="180246" spans="20:21" x14ac:dyDescent="0.15">
      <c r="T180246" s="9">
        <v>327321498623.151</v>
      </c>
      <c r="U180246" s="9">
        <v>2081826000000</v>
      </c>
    </row>
    <row r="180247" spans="20:21" x14ac:dyDescent="0.15">
      <c r="T180247" s="9">
        <v>364393859506.91699</v>
      </c>
      <c r="U180247" s="9">
        <v>2351599000000</v>
      </c>
    </row>
    <row r="180248" spans="20:21" x14ac:dyDescent="0.15">
      <c r="T180248" s="9">
        <v>392056180496.07098</v>
      </c>
      <c r="U180248" s="9">
        <v>2627333000000</v>
      </c>
    </row>
    <row r="180249" spans="20:21" x14ac:dyDescent="0.15">
      <c r="T180249" s="9">
        <v>422770430220.08099</v>
      </c>
      <c r="U180249" s="9">
        <v>2857307000000</v>
      </c>
    </row>
    <row r="180250" spans="20:21" x14ac:dyDescent="0.15">
      <c r="T180250" s="9">
        <v>444385672278.89001</v>
      </c>
      <c r="U180250" s="9">
        <v>3207041000000</v>
      </c>
    </row>
    <row r="180251" spans="20:21" x14ac:dyDescent="0.15">
      <c r="T180251" s="9">
        <v>484456434564.98102</v>
      </c>
      <c r="U180251" s="9">
        <v>3343789000000</v>
      </c>
    </row>
    <row r="180252" spans="20:21" x14ac:dyDescent="0.15">
      <c r="T180252" s="9">
        <v>536633373623.745</v>
      </c>
      <c r="U180252" s="9">
        <v>3634038000000</v>
      </c>
    </row>
    <row r="180253" spans="20:21" x14ac:dyDescent="0.15">
      <c r="T180253" s="9">
        <v>618156247357.86304</v>
      </c>
      <c r="U180253" s="9">
        <v>4037613000000</v>
      </c>
    </row>
    <row r="180254" spans="20:21" x14ac:dyDescent="0.15">
      <c r="T180254" s="9">
        <v>701178819512.74402</v>
      </c>
      <c r="U180254" s="9">
        <v>4338979000000</v>
      </c>
    </row>
    <row r="180255" spans="20:21" x14ac:dyDescent="0.15">
      <c r="T180255" s="9">
        <v>763934055759.06604</v>
      </c>
      <c r="U180255" s="9">
        <v>4579631000000</v>
      </c>
    </row>
    <row r="180256" spans="20:21" x14ac:dyDescent="0.15">
      <c r="T180256" s="9">
        <v>852989116696.35205</v>
      </c>
      <c r="U180256" s="9">
        <v>4855215000000</v>
      </c>
    </row>
    <row r="180257" spans="20:21" x14ac:dyDescent="0.15">
      <c r="T180257" s="9">
        <v>948716630508.16699</v>
      </c>
      <c r="U180257" s="9">
        <v>5236438000000</v>
      </c>
    </row>
    <row r="180258" spans="20:21" x14ac:dyDescent="0.15">
      <c r="T180258" s="9">
        <v>988622824073.36694</v>
      </c>
      <c r="U180258" s="9">
        <v>5641580000000</v>
      </c>
    </row>
    <row r="180259" spans="20:21" x14ac:dyDescent="0.15">
      <c r="T180259" s="9">
        <v>1027379323856.15</v>
      </c>
      <c r="U180259" s="9">
        <v>5963144000000</v>
      </c>
    </row>
    <row r="180260" spans="20:21" x14ac:dyDescent="0.15">
      <c r="T180260" s="9">
        <v>1122543272896.8301</v>
      </c>
      <c r="U180260" s="9">
        <v>6158129000000</v>
      </c>
    </row>
    <row r="180261" spans="20:21" x14ac:dyDescent="0.15">
      <c r="T180261" s="9">
        <v>1282219772946.3201</v>
      </c>
      <c r="U180261" s="9">
        <v>6520327000000</v>
      </c>
    </row>
    <row r="180262" spans="20:21" x14ac:dyDescent="0.15">
      <c r="T180262" s="9">
        <v>1460239695280.22</v>
      </c>
      <c r="U180262" s="9">
        <v>6858559000000</v>
      </c>
    </row>
    <row r="180263" spans="20:21" x14ac:dyDescent="0.15">
      <c r="T180263" s="9">
        <v>1650608320717.1299</v>
      </c>
      <c r="U180263" s="9">
        <v>7287236000000</v>
      </c>
    </row>
    <row r="180264" spans="20:21" x14ac:dyDescent="0.15">
      <c r="T180264" s="9">
        <v>1831415202548.1001</v>
      </c>
      <c r="U180264" s="9">
        <v>7639749000000</v>
      </c>
    </row>
    <row r="180265" spans="20:21" x14ac:dyDescent="0.15">
      <c r="T180265" s="9">
        <v>2013138415391.3999</v>
      </c>
      <c r="U180265" s="9">
        <v>8073122000000</v>
      </c>
    </row>
    <row r="180266" spans="20:21" x14ac:dyDescent="0.15">
      <c r="T180266" s="9">
        <v>2199087579734.8799</v>
      </c>
      <c r="U180266" s="9">
        <v>8577554457000</v>
      </c>
    </row>
    <row r="180267" spans="20:21" x14ac:dyDescent="0.15">
      <c r="T180267" s="9">
        <v>2371626931008.4102</v>
      </c>
      <c r="U180267" s="9">
        <v>9062818202000</v>
      </c>
    </row>
    <row r="180268" spans="20:21" x14ac:dyDescent="0.15">
      <c r="T180268" s="9">
        <v>2553332721355.1499</v>
      </c>
      <c r="U180268" s="9">
        <v>9631174489000</v>
      </c>
    </row>
    <row r="180269" spans="20:21" x14ac:dyDescent="0.15">
      <c r="T180269" s="9">
        <v>2770113054357.8301</v>
      </c>
      <c r="U180269" s="9">
        <v>10250947997000</v>
      </c>
    </row>
    <row r="180270" spans="20:21" x14ac:dyDescent="0.15">
      <c r="T180270" s="9">
        <v>3001022295612.3501</v>
      </c>
      <c r="U180270" s="9">
        <v>10581929774000</v>
      </c>
    </row>
    <row r="180271" spans="20:21" x14ac:dyDescent="0.15">
      <c r="T180271" s="9">
        <v>3275124592017.1602</v>
      </c>
      <c r="U180271" s="9">
        <v>10929112955000</v>
      </c>
    </row>
    <row r="180272" spans="20:21" x14ac:dyDescent="0.15">
      <c r="T180272" s="9">
        <v>3603882596858.1099</v>
      </c>
      <c r="U180272" s="9">
        <v>11456442041000</v>
      </c>
    </row>
    <row r="180273" spans="20:21" x14ac:dyDescent="0.15">
      <c r="T180273" s="9">
        <v>3968365637613.6299</v>
      </c>
      <c r="U180273" s="9">
        <v>12217193198000</v>
      </c>
    </row>
    <row r="180274" spans="20:21" x14ac:dyDescent="0.15">
      <c r="T180274" s="9">
        <v>4420544703537.2402</v>
      </c>
      <c r="U180274" s="9">
        <v>13039199193000</v>
      </c>
    </row>
    <row r="180275" spans="20:21" x14ac:dyDescent="0.15">
      <c r="T180275" s="9">
        <v>4982880235433.3896</v>
      </c>
      <c r="U180275" s="9">
        <v>13815586948000</v>
      </c>
    </row>
    <row r="180276" spans="20:21" x14ac:dyDescent="0.15">
      <c r="T180276" s="9">
        <v>5691986992199.8604</v>
      </c>
      <c r="U180276" s="9">
        <v>14474226905000</v>
      </c>
    </row>
    <row r="180277" spans="20:21" x14ac:dyDescent="0.15">
      <c r="T180277" s="9">
        <v>6241302380960.0195</v>
      </c>
      <c r="U180277" s="9">
        <v>14769857911000</v>
      </c>
    </row>
    <row r="180278" spans="20:21" x14ac:dyDescent="0.15">
      <c r="T180278" s="9">
        <v>6827905267633.6299</v>
      </c>
      <c r="U180278" s="9">
        <v>14478064934000</v>
      </c>
    </row>
    <row r="180279" spans="20:21" x14ac:dyDescent="0.15">
      <c r="T180279" s="9">
        <v>7554112468317.7305</v>
      </c>
      <c r="U180279" s="9">
        <v>15048964444000</v>
      </c>
    </row>
    <row r="180280" spans="20:21" x14ac:dyDescent="0.15">
      <c r="T180280" s="9">
        <v>8275593072769.2598</v>
      </c>
      <c r="U180280" s="9">
        <v>15599728123000</v>
      </c>
    </row>
    <row r="180281" spans="20:21" x14ac:dyDescent="0.15">
      <c r="T180281" s="9">
        <v>8926363901575.5605</v>
      </c>
      <c r="U180281" s="9">
        <v>16253972230000</v>
      </c>
    </row>
    <row r="180282" spans="20:21" x14ac:dyDescent="0.15">
      <c r="T180282" s="9">
        <v>9619598720424.4609</v>
      </c>
      <c r="U180282" s="9">
        <v>16843190993000</v>
      </c>
    </row>
    <row r="180283" spans="20:21" x14ac:dyDescent="0.15">
      <c r="T180283" s="9">
        <v>10333927386102.801</v>
      </c>
      <c r="U180283" s="9">
        <v>17550680174000</v>
      </c>
    </row>
    <row r="180284" spans="20:21" x14ac:dyDescent="0.15">
      <c r="T180284" s="9">
        <v>11061573199439.699</v>
      </c>
      <c r="U180284" s="9">
        <v>18206020741000</v>
      </c>
    </row>
    <row r="180285" spans="20:21" x14ac:dyDescent="0.15">
      <c r="T180285" s="9">
        <v>11819154044004.9</v>
      </c>
      <c r="U180285" s="9">
        <v>18695110842000</v>
      </c>
    </row>
    <row r="180286" spans="20:21" x14ac:dyDescent="0.15">
      <c r="T180286" s="9">
        <v>12640254407508.1</v>
      </c>
      <c r="U180286" s="9">
        <v>19477336549000</v>
      </c>
    </row>
    <row r="180287" spans="20:21" x14ac:dyDescent="0.15">
      <c r="T180287" s="9">
        <v>13493442991864.699</v>
      </c>
      <c r="U180287" s="9">
        <v>20533057312000</v>
      </c>
    </row>
    <row r="180288" spans="20:21" x14ac:dyDescent="0.15">
      <c r="T180288" s="9">
        <v>14296370418805.1</v>
      </c>
      <c r="U180288" s="9">
        <v>21380976119000</v>
      </c>
    </row>
    <row r="180289" spans="20:21" x14ac:dyDescent="0.15">
      <c r="T180289" s="9">
        <v>14616414450558.4</v>
      </c>
      <c r="U180289" s="9">
        <v>21060473613000</v>
      </c>
    </row>
    <row r="180290" spans="20:21" x14ac:dyDescent="0.15">
      <c r="T180290" s="9">
        <v>15851132888547.1</v>
      </c>
      <c r="U180290" s="9">
        <v>23315080560000</v>
      </c>
    </row>
    <row r="180291" spans="20:21" x14ac:dyDescent="0.15">
      <c r="T180291" s="9">
        <v>16325209299766.801</v>
      </c>
      <c r="U180291" s="9">
        <v>25462700000000</v>
      </c>
    </row>
    <row r="196609" spans="20:21" x14ac:dyDescent="0.15">
      <c r="T196609" s="9" t="s">
        <v>45</v>
      </c>
      <c r="U196609" s="9" t="s">
        <v>44</v>
      </c>
    </row>
    <row r="196610" spans="20:21" x14ac:dyDescent="0.15">
      <c r="T196610" s="9" t="s">
        <v>43</v>
      </c>
      <c r="U196610" s="9" t="s">
        <v>42</v>
      </c>
    </row>
    <row r="196611" spans="20:21" x14ac:dyDescent="0.15">
      <c r="T196611" s="9" t="s">
        <v>41</v>
      </c>
      <c r="U196611" s="9" t="s">
        <v>40</v>
      </c>
    </row>
    <row r="196612" spans="20:21" x14ac:dyDescent="0.15">
      <c r="T196612" s="9" t="s">
        <v>39</v>
      </c>
      <c r="U196612" s="9" t="s">
        <v>38</v>
      </c>
    </row>
    <row r="196613" spans="20:21" x14ac:dyDescent="0.15">
      <c r="T196613" s="9">
        <v>158907457242.42899</v>
      </c>
      <c r="U196613" s="9">
        <v>543300000000</v>
      </c>
    </row>
    <row r="196614" spans="20:21" x14ac:dyDescent="0.15">
      <c r="T196614" s="9">
        <v>115573393646.185</v>
      </c>
      <c r="U196614" s="9">
        <v>563300000000</v>
      </c>
    </row>
    <row r="196615" spans="20:21" x14ac:dyDescent="0.15">
      <c r="T196615" s="9">
        <v>109124398292.05099</v>
      </c>
      <c r="U196615" s="9">
        <v>605100000000</v>
      </c>
    </row>
    <row r="196616" spans="20:21" x14ac:dyDescent="0.15">
      <c r="T196616" s="9">
        <v>120364211312.289</v>
      </c>
      <c r="U196616" s="9">
        <v>638600000000</v>
      </c>
    </row>
    <row r="196617" spans="20:21" x14ac:dyDescent="0.15">
      <c r="T196617" s="9">
        <v>142246424921.30899</v>
      </c>
      <c r="U196617" s="9">
        <v>685800000000</v>
      </c>
    </row>
    <row r="196618" spans="20:21" x14ac:dyDescent="0.15">
      <c r="T196618" s="9">
        <v>166357193951.10501</v>
      </c>
      <c r="U196618" s="9">
        <v>743700000000</v>
      </c>
    </row>
    <row r="196619" spans="20:21" x14ac:dyDescent="0.15">
      <c r="T196619" s="9">
        <v>184074235104.24799</v>
      </c>
      <c r="U196619" s="9">
        <v>815000000000</v>
      </c>
    </row>
    <row r="196620" spans="20:21" x14ac:dyDescent="0.15">
      <c r="T196620" s="9">
        <v>173453151731.27701</v>
      </c>
      <c r="U196620" s="9">
        <v>861700000000</v>
      </c>
    </row>
    <row r="196621" spans="20:21" x14ac:dyDescent="0.15">
      <c r="T196621" s="9">
        <v>166341572533.69101</v>
      </c>
      <c r="U196621" s="9">
        <v>942500000000</v>
      </c>
    </row>
    <row r="196622" spans="20:21" x14ac:dyDescent="0.15">
      <c r="T196622" s="9">
        <v>194519834914.35999</v>
      </c>
      <c r="U196622" s="9">
        <v>1019900000000</v>
      </c>
    </row>
    <row r="196623" spans="20:21" x14ac:dyDescent="0.15">
      <c r="T196623" s="9">
        <v>232062163046.44</v>
      </c>
      <c r="U196623" s="9">
        <v>1073303000000</v>
      </c>
    </row>
    <row r="196624" spans="20:21" x14ac:dyDescent="0.15">
      <c r="T196624" s="9">
        <v>248445751754.134</v>
      </c>
      <c r="U196624" s="9">
        <v>1164850000000</v>
      </c>
    </row>
    <row r="196625" spans="20:21" x14ac:dyDescent="0.15">
      <c r="T196625" s="9">
        <v>257911534896.49799</v>
      </c>
      <c r="U196625" s="9">
        <v>1279110000000</v>
      </c>
    </row>
    <row r="196626" spans="20:21" x14ac:dyDescent="0.15">
      <c r="T196626" s="9">
        <v>277925470006.599</v>
      </c>
      <c r="U196626" s="9">
        <v>1425376000000</v>
      </c>
    </row>
    <row r="196627" spans="20:21" x14ac:dyDescent="0.15">
      <c r="T196627" s="9">
        <v>284345548371.966</v>
      </c>
      <c r="U196627" s="9">
        <v>1545243000000</v>
      </c>
    </row>
    <row r="196628" spans="20:21" x14ac:dyDescent="0.15">
      <c r="T196628" s="9">
        <v>309140480182.89801</v>
      </c>
      <c r="U196628" s="9">
        <v>1684904000000</v>
      </c>
    </row>
    <row r="196629" spans="20:21" x14ac:dyDescent="0.15">
      <c r="T196629" s="9">
        <v>304286974638.82202</v>
      </c>
      <c r="U196629" s="9">
        <v>1873412000000</v>
      </c>
    </row>
    <row r="196630" spans="20:21" x14ac:dyDescent="0.15">
      <c r="T196630" s="9">
        <v>327321498623.151</v>
      </c>
      <c r="U196630" s="9">
        <v>2081826000000</v>
      </c>
    </row>
    <row r="196631" spans="20:21" x14ac:dyDescent="0.15">
      <c r="T196631" s="9">
        <v>364393859506.91699</v>
      </c>
      <c r="U196631" s="9">
        <v>2351599000000</v>
      </c>
    </row>
    <row r="196632" spans="20:21" x14ac:dyDescent="0.15">
      <c r="T196632" s="9">
        <v>392056180496.07098</v>
      </c>
      <c r="U196632" s="9">
        <v>2627333000000</v>
      </c>
    </row>
    <row r="196633" spans="20:21" x14ac:dyDescent="0.15">
      <c r="T196633" s="9">
        <v>422770430220.08099</v>
      </c>
      <c r="U196633" s="9">
        <v>2857307000000</v>
      </c>
    </row>
    <row r="196634" spans="20:21" x14ac:dyDescent="0.15">
      <c r="T196634" s="9">
        <v>444385672278.89001</v>
      </c>
      <c r="U196634" s="9">
        <v>3207041000000</v>
      </c>
    </row>
    <row r="196635" spans="20:21" x14ac:dyDescent="0.15">
      <c r="T196635" s="9">
        <v>484456434564.98102</v>
      </c>
      <c r="U196635" s="9">
        <v>3343789000000</v>
      </c>
    </row>
    <row r="196636" spans="20:21" x14ac:dyDescent="0.15">
      <c r="T196636" s="9">
        <v>536633373623.745</v>
      </c>
      <c r="U196636" s="9">
        <v>3634038000000</v>
      </c>
    </row>
    <row r="196637" spans="20:21" x14ac:dyDescent="0.15">
      <c r="T196637" s="9">
        <v>618156247357.86304</v>
      </c>
      <c r="U196637" s="9">
        <v>4037613000000</v>
      </c>
    </row>
    <row r="196638" spans="20:21" x14ac:dyDescent="0.15">
      <c r="T196638" s="9">
        <v>701178819512.74402</v>
      </c>
      <c r="U196638" s="9">
        <v>4338979000000</v>
      </c>
    </row>
    <row r="196639" spans="20:21" x14ac:dyDescent="0.15">
      <c r="T196639" s="9">
        <v>763934055759.06604</v>
      </c>
      <c r="U196639" s="9">
        <v>4579631000000</v>
      </c>
    </row>
    <row r="196640" spans="20:21" x14ac:dyDescent="0.15">
      <c r="T196640" s="9">
        <v>852989116696.35205</v>
      </c>
      <c r="U196640" s="9">
        <v>4855215000000</v>
      </c>
    </row>
    <row r="196641" spans="20:21" x14ac:dyDescent="0.15">
      <c r="T196641" s="9">
        <v>948716630508.16699</v>
      </c>
      <c r="U196641" s="9">
        <v>5236438000000</v>
      </c>
    </row>
    <row r="196642" spans="20:21" x14ac:dyDescent="0.15">
      <c r="T196642" s="9">
        <v>988622824073.36694</v>
      </c>
      <c r="U196642" s="9">
        <v>5641580000000</v>
      </c>
    </row>
    <row r="196643" spans="20:21" x14ac:dyDescent="0.15">
      <c r="T196643" s="9">
        <v>1027379323856.15</v>
      </c>
      <c r="U196643" s="9">
        <v>5963144000000</v>
      </c>
    </row>
    <row r="196644" spans="20:21" x14ac:dyDescent="0.15">
      <c r="T196644" s="9">
        <v>1122543272896.8301</v>
      </c>
      <c r="U196644" s="9">
        <v>6158129000000</v>
      </c>
    </row>
    <row r="196645" spans="20:21" x14ac:dyDescent="0.15">
      <c r="T196645" s="9">
        <v>1282219772946.3201</v>
      </c>
      <c r="U196645" s="9">
        <v>6520327000000</v>
      </c>
    </row>
    <row r="196646" spans="20:21" x14ac:dyDescent="0.15">
      <c r="T196646" s="9">
        <v>1460239695280.22</v>
      </c>
      <c r="U196646" s="9">
        <v>6858559000000</v>
      </c>
    </row>
    <row r="196647" spans="20:21" x14ac:dyDescent="0.15">
      <c r="T196647" s="9">
        <v>1650608320717.1299</v>
      </c>
      <c r="U196647" s="9">
        <v>7287236000000</v>
      </c>
    </row>
    <row r="196648" spans="20:21" x14ac:dyDescent="0.15">
      <c r="T196648" s="9">
        <v>1831415202548.1001</v>
      </c>
      <c r="U196648" s="9">
        <v>7639749000000</v>
      </c>
    </row>
    <row r="196649" spans="20:21" x14ac:dyDescent="0.15">
      <c r="T196649" s="9">
        <v>2013138415391.3999</v>
      </c>
      <c r="U196649" s="9">
        <v>8073122000000</v>
      </c>
    </row>
    <row r="196650" spans="20:21" x14ac:dyDescent="0.15">
      <c r="T196650" s="9">
        <v>2199087579734.8799</v>
      </c>
      <c r="U196650" s="9">
        <v>8577554457000</v>
      </c>
    </row>
    <row r="196651" spans="20:21" x14ac:dyDescent="0.15">
      <c r="T196651" s="9">
        <v>2371626931008.4102</v>
      </c>
      <c r="U196651" s="9">
        <v>9062818202000</v>
      </c>
    </row>
    <row r="196652" spans="20:21" x14ac:dyDescent="0.15">
      <c r="T196652" s="9">
        <v>2553332721355.1499</v>
      </c>
      <c r="U196652" s="9">
        <v>9631174489000</v>
      </c>
    </row>
    <row r="196653" spans="20:21" x14ac:dyDescent="0.15">
      <c r="T196653" s="9">
        <v>2770113054357.8301</v>
      </c>
      <c r="U196653" s="9">
        <v>10250947997000</v>
      </c>
    </row>
    <row r="196654" spans="20:21" x14ac:dyDescent="0.15">
      <c r="T196654" s="9">
        <v>3001022295612.3501</v>
      </c>
      <c r="U196654" s="9">
        <v>10581929774000</v>
      </c>
    </row>
    <row r="196655" spans="20:21" x14ac:dyDescent="0.15">
      <c r="T196655" s="9">
        <v>3275124592017.1602</v>
      </c>
      <c r="U196655" s="9">
        <v>10929112955000</v>
      </c>
    </row>
    <row r="196656" spans="20:21" x14ac:dyDescent="0.15">
      <c r="T196656" s="9">
        <v>3603882596858.1099</v>
      </c>
      <c r="U196656" s="9">
        <v>11456442041000</v>
      </c>
    </row>
    <row r="196657" spans="20:21" x14ac:dyDescent="0.15">
      <c r="T196657" s="9">
        <v>3968365637613.6299</v>
      </c>
      <c r="U196657" s="9">
        <v>12217193198000</v>
      </c>
    </row>
    <row r="196658" spans="20:21" x14ac:dyDescent="0.15">
      <c r="T196658" s="9">
        <v>4420544703537.2402</v>
      </c>
      <c r="U196658" s="9">
        <v>13039199193000</v>
      </c>
    </row>
    <row r="196659" spans="20:21" x14ac:dyDescent="0.15">
      <c r="T196659" s="9">
        <v>4982880235433.3896</v>
      </c>
      <c r="U196659" s="9">
        <v>13815586948000</v>
      </c>
    </row>
    <row r="196660" spans="20:21" x14ac:dyDescent="0.15">
      <c r="T196660" s="9">
        <v>5691986992199.8604</v>
      </c>
      <c r="U196660" s="9">
        <v>14474226905000</v>
      </c>
    </row>
    <row r="196661" spans="20:21" x14ac:dyDescent="0.15">
      <c r="T196661" s="9">
        <v>6241302380960.0195</v>
      </c>
      <c r="U196661" s="9">
        <v>14769857911000</v>
      </c>
    </row>
    <row r="196662" spans="20:21" x14ac:dyDescent="0.15">
      <c r="T196662" s="9">
        <v>6827905267633.6299</v>
      </c>
      <c r="U196662" s="9">
        <v>14478064934000</v>
      </c>
    </row>
    <row r="196663" spans="20:21" x14ac:dyDescent="0.15">
      <c r="T196663" s="9">
        <v>7554112468317.7305</v>
      </c>
      <c r="U196663" s="9">
        <v>15048964444000</v>
      </c>
    </row>
    <row r="196664" spans="20:21" x14ac:dyDescent="0.15">
      <c r="T196664" s="9">
        <v>8275593072769.2598</v>
      </c>
      <c r="U196664" s="9">
        <v>15599728123000</v>
      </c>
    </row>
    <row r="196665" spans="20:21" x14ac:dyDescent="0.15">
      <c r="T196665" s="9">
        <v>8926363901575.5605</v>
      </c>
      <c r="U196665" s="9">
        <v>16253972230000</v>
      </c>
    </row>
    <row r="196666" spans="20:21" x14ac:dyDescent="0.15">
      <c r="T196666" s="9">
        <v>9619598720424.4609</v>
      </c>
      <c r="U196666" s="9">
        <v>16843190993000</v>
      </c>
    </row>
    <row r="196667" spans="20:21" x14ac:dyDescent="0.15">
      <c r="T196667" s="9">
        <v>10333927386102.801</v>
      </c>
      <c r="U196667" s="9">
        <v>17550680174000</v>
      </c>
    </row>
    <row r="196668" spans="20:21" x14ac:dyDescent="0.15">
      <c r="T196668" s="9">
        <v>11061573199439.699</v>
      </c>
      <c r="U196668" s="9">
        <v>18206020741000</v>
      </c>
    </row>
    <row r="196669" spans="20:21" x14ac:dyDescent="0.15">
      <c r="T196669" s="9">
        <v>11819154044004.9</v>
      </c>
      <c r="U196669" s="9">
        <v>18695110842000</v>
      </c>
    </row>
    <row r="196670" spans="20:21" x14ac:dyDescent="0.15">
      <c r="T196670" s="9">
        <v>12640254407508.1</v>
      </c>
      <c r="U196670" s="9">
        <v>19477336549000</v>
      </c>
    </row>
    <row r="196671" spans="20:21" x14ac:dyDescent="0.15">
      <c r="T196671" s="9">
        <v>13493442991864.699</v>
      </c>
      <c r="U196671" s="9">
        <v>20533057312000</v>
      </c>
    </row>
    <row r="196672" spans="20:21" x14ac:dyDescent="0.15">
      <c r="T196672" s="9">
        <v>14296370418805.1</v>
      </c>
      <c r="U196672" s="9">
        <v>21380976119000</v>
      </c>
    </row>
    <row r="196673" spans="20:21" x14ac:dyDescent="0.15">
      <c r="T196673" s="9">
        <v>14616414450558.4</v>
      </c>
      <c r="U196673" s="9">
        <v>21060473613000</v>
      </c>
    </row>
    <row r="196674" spans="20:21" x14ac:dyDescent="0.15">
      <c r="T196674" s="9">
        <v>15851132888547.1</v>
      </c>
      <c r="U196674" s="9">
        <v>23315080560000</v>
      </c>
    </row>
    <row r="196675" spans="20:21" x14ac:dyDescent="0.15">
      <c r="T196675" s="9">
        <v>16325209299766.801</v>
      </c>
      <c r="U196675" s="9">
        <v>25462700000000</v>
      </c>
    </row>
    <row r="212993" spans="20:21" x14ac:dyDescent="0.15">
      <c r="T212993" s="9" t="s">
        <v>45</v>
      </c>
      <c r="U212993" s="9" t="s">
        <v>44</v>
      </c>
    </row>
    <row r="212994" spans="20:21" x14ac:dyDescent="0.15">
      <c r="T212994" s="9" t="s">
        <v>43</v>
      </c>
      <c r="U212994" s="9" t="s">
        <v>42</v>
      </c>
    </row>
    <row r="212995" spans="20:21" x14ac:dyDescent="0.15">
      <c r="T212995" s="9" t="s">
        <v>41</v>
      </c>
      <c r="U212995" s="9" t="s">
        <v>40</v>
      </c>
    </row>
    <row r="212996" spans="20:21" x14ac:dyDescent="0.15">
      <c r="T212996" s="9" t="s">
        <v>39</v>
      </c>
      <c r="U212996" s="9" t="s">
        <v>38</v>
      </c>
    </row>
    <row r="212997" spans="20:21" x14ac:dyDescent="0.15">
      <c r="T212997" s="9">
        <v>158907457242.42899</v>
      </c>
      <c r="U212997" s="9">
        <v>543300000000</v>
      </c>
    </row>
    <row r="212998" spans="20:21" x14ac:dyDescent="0.15">
      <c r="T212998" s="9">
        <v>115573393646.185</v>
      </c>
      <c r="U212998" s="9">
        <v>563300000000</v>
      </c>
    </row>
    <row r="212999" spans="20:21" x14ac:dyDescent="0.15">
      <c r="T212999" s="9">
        <v>109124398292.05099</v>
      </c>
      <c r="U212999" s="9">
        <v>605100000000</v>
      </c>
    </row>
    <row r="213000" spans="20:21" x14ac:dyDescent="0.15">
      <c r="T213000" s="9">
        <v>120364211312.289</v>
      </c>
      <c r="U213000" s="9">
        <v>638600000000</v>
      </c>
    </row>
    <row r="213001" spans="20:21" x14ac:dyDescent="0.15">
      <c r="T213001" s="9">
        <v>142246424921.30899</v>
      </c>
      <c r="U213001" s="9">
        <v>685800000000</v>
      </c>
    </row>
    <row r="213002" spans="20:21" x14ac:dyDescent="0.15">
      <c r="T213002" s="9">
        <v>166357193951.10501</v>
      </c>
      <c r="U213002" s="9">
        <v>743700000000</v>
      </c>
    </row>
    <row r="213003" spans="20:21" x14ac:dyDescent="0.15">
      <c r="T213003" s="9">
        <v>184074235104.24799</v>
      </c>
      <c r="U213003" s="9">
        <v>815000000000</v>
      </c>
    </row>
    <row r="213004" spans="20:21" x14ac:dyDescent="0.15">
      <c r="T213004" s="9">
        <v>173453151731.27701</v>
      </c>
      <c r="U213004" s="9">
        <v>861700000000</v>
      </c>
    </row>
    <row r="213005" spans="20:21" x14ac:dyDescent="0.15">
      <c r="T213005" s="9">
        <v>166341572533.69101</v>
      </c>
      <c r="U213005" s="9">
        <v>942500000000</v>
      </c>
    </row>
    <row r="213006" spans="20:21" x14ac:dyDescent="0.15">
      <c r="T213006" s="9">
        <v>194519834914.35999</v>
      </c>
      <c r="U213006" s="9">
        <v>1019900000000</v>
      </c>
    </row>
    <row r="213007" spans="20:21" x14ac:dyDescent="0.15">
      <c r="T213007" s="9">
        <v>232062163046.44</v>
      </c>
      <c r="U213007" s="9">
        <v>1073303000000</v>
      </c>
    </row>
    <row r="213008" spans="20:21" x14ac:dyDescent="0.15">
      <c r="T213008" s="9">
        <v>248445751754.134</v>
      </c>
      <c r="U213008" s="9">
        <v>1164850000000</v>
      </c>
    </row>
    <row r="213009" spans="20:21" x14ac:dyDescent="0.15">
      <c r="T213009" s="9">
        <v>257911534896.49799</v>
      </c>
      <c r="U213009" s="9">
        <v>1279110000000</v>
      </c>
    </row>
    <row r="213010" spans="20:21" x14ac:dyDescent="0.15">
      <c r="T213010" s="9">
        <v>277925470006.599</v>
      </c>
      <c r="U213010" s="9">
        <v>1425376000000</v>
      </c>
    </row>
    <row r="213011" spans="20:21" x14ac:dyDescent="0.15">
      <c r="T213011" s="9">
        <v>284345548371.966</v>
      </c>
      <c r="U213011" s="9">
        <v>1545243000000</v>
      </c>
    </row>
    <row r="213012" spans="20:21" x14ac:dyDescent="0.15">
      <c r="T213012" s="9">
        <v>309140480182.89801</v>
      </c>
      <c r="U213012" s="9">
        <v>1684904000000</v>
      </c>
    </row>
    <row r="213013" spans="20:21" x14ac:dyDescent="0.15">
      <c r="T213013" s="9">
        <v>304286974638.82202</v>
      </c>
      <c r="U213013" s="9">
        <v>1873412000000</v>
      </c>
    </row>
    <row r="213014" spans="20:21" x14ac:dyDescent="0.15">
      <c r="T213014" s="9">
        <v>327321498623.151</v>
      </c>
      <c r="U213014" s="9">
        <v>2081826000000</v>
      </c>
    </row>
    <row r="213015" spans="20:21" x14ac:dyDescent="0.15">
      <c r="T213015" s="9">
        <v>364393859506.91699</v>
      </c>
      <c r="U213015" s="9">
        <v>2351599000000</v>
      </c>
    </row>
    <row r="213016" spans="20:21" x14ac:dyDescent="0.15">
      <c r="T213016" s="9">
        <v>392056180496.07098</v>
      </c>
      <c r="U213016" s="9">
        <v>2627333000000</v>
      </c>
    </row>
    <row r="213017" spans="20:21" x14ac:dyDescent="0.15">
      <c r="T213017" s="9">
        <v>422770430220.08099</v>
      </c>
      <c r="U213017" s="9">
        <v>2857307000000</v>
      </c>
    </row>
    <row r="213018" spans="20:21" x14ac:dyDescent="0.15">
      <c r="T213018" s="9">
        <v>444385672278.89001</v>
      </c>
      <c r="U213018" s="9">
        <v>3207041000000</v>
      </c>
    </row>
    <row r="213019" spans="20:21" x14ac:dyDescent="0.15">
      <c r="T213019" s="9">
        <v>484456434564.98102</v>
      </c>
      <c r="U213019" s="9">
        <v>3343789000000</v>
      </c>
    </row>
    <row r="213020" spans="20:21" x14ac:dyDescent="0.15">
      <c r="T213020" s="9">
        <v>536633373623.745</v>
      </c>
      <c r="U213020" s="9">
        <v>3634038000000</v>
      </c>
    </row>
    <row r="213021" spans="20:21" x14ac:dyDescent="0.15">
      <c r="T213021" s="9">
        <v>618156247357.86304</v>
      </c>
      <c r="U213021" s="9">
        <v>4037613000000</v>
      </c>
    </row>
    <row r="213022" spans="20:21" x14ac:dyDescent="0.15">
      <c r="T213022" s="9">
        <v>701178819512.74402</v>
      </c>
      <c r="U213022" s="9">
        <v>4338979000000</v>
      </c>
    </row>
    <row r="213023" spans="20:21" x14ac:dyDescent="0.15">
      <c r="T213023" s="9">
        <v>763934055759.06604</v>
      </c>
      <c r="U213023" s="9">
        <v>4579631000000</v>
      </c>
    </row>
    <row r="213024" spans="20:21" x14ac:dyDescent="0.15">
      <c r="T213024" s="9">
        <v>852989116696.35205</v>
      </c>
      <c r="U213024" s="9">
        <v>4855215000000</v>
      </c>
    </row>
    <row r="213025" spans="20:21" x14ac:dyDescent="0.15">
      <c r="T213025" s="9">
        <v>948716630508.16699</v>
      </c>
      <c r="U213025" s="9">
        <v>5236438000000</v>
      </c>
    </row>
    <row r="213026" spans="20:21" x14ac:dyDescent="0.15">
      <c r="T213026" s="9">
        <v>988622824073.36694</v>
      </c>
      <c r="U213026" s="9">
        <v>5641580000000</v>
      </c>
    </row>
    <row r="213027" spans="20:21" x14ac:dyDescent="0.15">
      <c r="T213027" s="9">
        <v>1027379323856.15</v>
      </c>
      <c r="U213027" s="9">
        <v>5963144000000</v>
      </c>
    </row>
    <row r="213028" spans="20:21" x14ac:dyDescent="0.15">
      <c r="T213028" s="9">
        <v>1122543272896.8301</v>
      </c>
      <c r="U213028" s="9">
        <v>6158129000000</v>
      </c>
    </row>
    <row r="213029" spans="20:21" x14ac:dyDescent="0.15">
      <c r="T213029" s="9">
        <v>1282219772946.3201</v>
      </c>
      <c r="U213029" s="9">
        <v>6520327000000</v>
      </c>
    </row>
    <row r="213030" spans="20:21" x14ac:dyDescent="0.15">
      <c r="T213030" s="9">
        <v>1460239695280.22</v>
      </c>
      <c r="U213030" s="9">
        <v>6858559000000</v>
      </c>
    </row>
    <row r="213031" spans="20:21" x14ac:dyDescent="0.15">
      <c r="T213031" s="9">
        <v>1650608320717.1299</v>
      </c>
      <c r="U213031" s="9">
        <v>7287236000000</v>
      </c>
    </row>
    <row r="213032" spans="20:21" x14ac:dyDescent="0.15">
      <c r="T213032" s="9">
        <v>1831415202548.1001</v>
      </c>
      <c r="U213032" s="9">
        <v>7639749000000</v>
      </c>
    </row>
    <row r="213033" spans="20:21" x14ac:dyDescent="0.15">
      <c r="T213033" s="9">
        <v>2013138415391.3999</v>
      </c>
      <c r="U213033" s="9">
        <v>8073122000000</v>
      </c>
    </row>
    <row r="213034" spans="20:21" x14ac:dyDescent="0.15">
      <c r="T213034" s="9">
        <v>2199087579734.8799</v>
      </c>
      <c r="U213034" s="9">
        <v>8577554457000</v>
      </c>
    </row>
    <row r="213035" spans="20:21" x14ac:dyDescent="0.15">
      <c r="T213035" s="9">
        <v>2371626931008.4102</v>
      </c>
      <c r="U213035" s="9">
        <v>9062818202000</v>
      </c>
    </row>
    <row r="213036" spans="20:21" x14ac:dyDescent="0.15">
      <c r="T213036" s="9">
        <v>2553332721355.1499</v>
      </c>
      <c r="U213036" s="9">
        <v>9631174489000</v>
      </c>
    </row>
    <row r="213037" spans="20:21" x14ac:dyDescent="0.15">
      <c r="T213037" s="9">
        <v>2770113054357.8301</v>
      </c>
      <c r="U213037" s="9">
        <v>10250947997000</v>
      </c>
    </row>
    <row r="213038" spans="20:21" x14ac:dyDescent="0.15">
      <c r="T213038" s="9">
        <v>3001022295612.3501</v>
      </c>
      <c r="U213038" s="9">
        <v>10581929774000</v>
      </c>
    </row>
    <row r="213039" spans="20:21" x14ac:dyDescent="0.15">
      <c r="T213039" s="9">
        <v>3275124592017.1602</v>
      </c>
      <c r="U213039" s="9">
        <v>10929112955000</v>
      </c>
    </row>
    <row r="213040" spans="20:21" x14ac:dyDescent="0.15">
      <c r="T213040" s="9">
        <v>3603882596858.1099</v>
      </c>
      <c r="U213040" s="9">
        <v>11456442041000</v>
      </c>
    </row>
    <row r="213041" spans="20:21" x14ac:dyDescent="0.15">
      <c r="T213041" s="9">
        <v>3968365637613.6299</v>
      </c>
      <c r="U213041" s="9">
        <v>12217193198000</v>
      </c>
    </row>
    <row r="213042" spans="20:21" x14ac:dyDescent="0.15">
      <c r="T213042" s="9">
        <v>4420544703537.2402</v>
      </c>
      <c r="U213042" s="9">
        <v>13039199193000</v>
      </c>
    </row>
    <row r="213043" spans="20:21" x14ac:dyDescent="0.15">
      <c r="T213043" s="9">
        <v>4982880235433.3896</v>
      </c>
      <c r="U213043" s="9">
        <v>13815586948000</v>
      </c>
    </row>
    <row r="213044" spans="20:21" x14ac:dyDescent="0.15">
      <c r="T213044" s="9">
        <v>5691986992199.8604</v>
      </c>
      <c r="U213044" s="9">
        <v>14474226905000</v>
      </c>
    </row>
    <row r="213045" spans="20:21" x14ac:dyDescent="0.15">
      <c r="T213045" s="9">
        <v>6241302380960.0195</v>
      </c>
      <c r="U213045" s="9">
        <v>14769857911000</v>
      </c>
    </row>
    <row r="213046" spans="20:21" x14ac:dyDescent="0.15">
      <c r="T213046" s="9">
        <v>6827905267633.6299</v>
      </c>
      <c r="U213046" s="9">
        <v>14478064934000</v>
      </c>
    </row>
    <row r="213047" spans="20:21" x14ac:dyDescent="0.15">
      <c r="T213047" s="9">
        <v>7554112468317.7305</v>
      </c>
      <c r="U213047" s="9">
        <v>15048964444000</v>
      </c>
    </row>
    <row r="213048" spans="20:21" x14ac:dyDescent="0.15">
      <c r="T213048" s="9">
        <v>8275593072769.2598</v>
      </c>
      <c r="U213048" s="9">
        <v>15599728123000</v>
      </c>
    </row>
    <row r="213049" spans="20:21" x14ac:dyDescent="0.15">
      <c r="T213049" s="9">
        <v>8926363901575.5605</v>
      </c>
      <c r="U213049" s="9">
        <v>16253972230000</v>
      </c>
    </row>
    <row r="213050" spans="20:21" x14ac:dyDescent="0.15">
      <c r="T213050" s="9">
        <v>9619598720424.4609</v>
      </c>
      <c r="U213050" s="9">
        <v>16843190993000</v>
      </c>
    </row>
    <row r="213051" spans="20:21" x14ac:dyDescent="0.15">
      <c r="T213051" s="9">
        <v>10333927386102.801</v>
      </c>
      <c r="U213051" s="9">
        <v>17550680174000</v>
      </c>
    </row>
    <row r="213052" spans="20:21" x14ac:dyDescent="0.15">
      <c r="T213052" s="9">
        <v>11061573199439.699</v>
      </c>
      <c r="U213052" s="9">
        <v>18206020741000</v>
      </c>
    </row>
    <row r="213053" spans="20:21" x14ac:dyDescent="0.15">
      <c r="T213053" s="9">
        <v>11819154044004.9</v>
      </c>
      <c r="U213053" s="9">
        <v>18695110842000</v>
      </c>
    </row>
    <row r="213054" spans="20:21" x14ac:dyDescent="0.15">
      <c r="T213054" s="9">
        <v>12640254407508.1</v>
      </c>
      <c r="U213054" s="9">
        <v>19477336549000</v>
      </c>
    </row>
    <row r="213055" spans="20:21" x14ac:dyDescent="0.15">
      <c r="T213055" s="9">
        <v>13493442991864.699</v>
      </c>
      <c r="U213055" s="9">
        <v>20533057312000</v>
      </c>
    </row>
    <row r="213056" spans="20:21" x14ac:dyDescent="0.15">
      <c r="T213056" s="9">
        <v>14296370418805.1</v>
      </c>
      <c r="U213056" s="9">
        <v>21380976119000</v>
      </c>
    </row>
    <row r="213057" spans="20:21" x14ac:dyDescent="0.15">
      <c r="T213057" s="9">
        <v>14616414450558.4</v>
      </c>
      <c r="U213057" s="9">
        <v>21060473613000</v>
      </c>
    </row>
    <row r="213058" spans="20:21" x14ac:dyDescent="0.15">
      <c r="T213058" s="9">
        <v>15851132888547.1</v>
      </c>
      <c r="U213058" s="9">
        <v>23315080560000</v>
      </c>
    </row>
    <row r="213059" spans="20:21" x14ac:dyDescent="0.15">
      <c r="T213059" s="9">
        <v>16325209299766.801</v>
      </c>
      <c r="U213059" s="9">
        <v>25462700000000</v>
      </c>
    </row>
    <row r="229377" spans="20:21" x14ac:dyDescent="0.15">
      <c r="T229377" s="9" t="s">
        <v>45</v>
      </c>
      <c r="U229377" s="9" t="s">
        <v>44</v>
      </c>
    </row>
    <row r="229378" spans="20:21" x14ac:dyDescent="0.15">
      <c r="T229378" s="9" t="s">
        <v>43</v>
      </c>
      <c r="U229378" s="9" t="s">
        <v>42</v>
      </c>
    </row>
    <row r="229379" spans="20:21" x14ac:dyDescent="0.15">
      <c r="T229379" s="9" t="s">
        <v>41</v>
      </c>
      <c r="U229379" s="9" t="s">
        <v>40</v>
      </c>
    </row>
    <row r="229380" spans="20:21" x14ac:dyDescent="0.15">
      <c r="T229380" s="9" t="s">
        <v>39</v>
      </c>
      <c r="U229380" s="9" t="s">
        <v>38</v>
      </c>
    </row>
    <row r="229381" spans="20:21" x14ac:dyDescent="0.15">
      <c r="T229381" s="9">
        <v>158907457242.42899</v>
      </c>
      <c r="U229381" s="9">
        <v>543300000000</v>
      </c>
    </row>
    <row r="229382" spans="20:21" x14ac:dyDescent="0.15">
      <c r="T229382" s="9">
        <v>115573393646.185</v>
      </c>
      <c r="U229382" s="9">
        <v>563300000000</v>
      </c>
    </row>
    <row r="229383" spans="20:21" x14ac:dyDescent="0.15">
      <c r="T229383" s="9">
        <v>109124398292.05099</v>
      </c>
      <c r="U229383" s="9">
        <v>605100000000</v>
      </c>
    </row>
    <row r="229384" spans="20:21" x14ac:dyDescent="0.15">
      <c r="T229384" s="9">
        <v>120364211312.289</v>
      </c>
      <c r="U229384" s="9">
        <v>638600000000</v>
      </c>
    </row>
    <row r="229385" spans="20:21" x14ac:dyDescent="0.15">
      <c r="T229385" s="9">
        <v>142246424921.30899</v>
      </c>
      <c r="U229385" s="9">
        <v>685800000000</v>
      </c>
    </row>
    <row r="229386" spans="20:21" x14ac:dyDescent="0.15">
      <c r="T229386" s="9">
        <v>166357193951.10501</v>
      </c>
      <c r="U229386" s="9">
        <v>743700000000</v>
      </c>
    </row>
    <row r="229387" spans="20:21" x14ac:dyDescent="0.15">
      <c r="T229387" s="9">
        <v>184074235104.24799</v>
      </c>
      <c r="U229387" s="9">
        <v>815000000000</v>
      </c>
    </row>
    <row r="229388" spans="20:21" x14ac:dyDescent="0.15">
      <c r="T229388" s="9">
        <v>173453151731.27701</v>
      </c>
      <c r="U229388" s="9">
        <v>861700000000</v>
      </c>
    </row>
    <row r="229389" spans="20:21" x14ac:dyDescent="0.15">
      <c r="T229389" s="9">
        <v>166341572533.69101</v>
      </c>
      <c r="U229389" s="9">
        <v>942500000000</v>
      </c>
    </row>
    <row r="229390" spans="20:21" x14ac:dyDescent="0.15">
      <c r="T229390" s="9">
        <v>194519834914.35999</v>
      </c>
      <c r="U229390" s="9">
        <v>1019900000000</v>
      </c>
    </row>
    <row r="229391" spans="20:21" x14ac:dyDescent="0.15">
      <c r="T229391" s="9">
        <v>232062163046.44</v>
      </c>
      <c r="U229391" s="9">
        <v>1073303000000</v>
      </c>
    </row>
    <row r="229392" spans="20:21" x14ac:dyDescent="0.15">
      <c r="T229392" s="9">
        <v>248445751754.134</v>
      </c>
      <c r="U229392" s="9">
        <v>1164850000000</v>
      </c>
    </row>
    <row r="229393" spans="20:21" x14ac:dyDescent="0.15">
      <c r="T229393" s="9">
        <v>257911534896.49799</v>
      </c>
      <c r="U229393" s="9">
        <v>1279110000000</v>
      </c>
    </row>
    <row r="229394" spans="20:21" x14ac:dyDescent="0.15">
      <c r="T229394" s="9">
        <v>277925470006.599</v>
      </c>
      <c r="U229394" s="9">
        <v>1425376000000</v>
      </c>
    </row>
    <row r="229395" spans="20:21" x14ac:dyDescent="0.15">
      <c r="T229395" s="9">
        <v>284345548371.966</v>
      </c>
      <c r="U229395" s="9">
        <v>1545243000000</v>
      </c>
    </row>
    <row r="229396" spans="20:21" x14ac:dyDescent="0.15">
      <c r="T229396" s="9">
        <v>309140480182.89801</v>
      </c>
      <c r="U229396" s="9">
        <v>1684904000000</v>
      </c>
    </row>
    <row r="229397" spans="20:21" x14ac:dyDescent="0.15">
      <c r="T229397" s="9">
        <v>304286974638.82202</v>
      </c>
      <c r="U229397" s="9">
        <v>1873412000000</v>
      </c>
    </row>
    <row r="229398" spans="20:21" x14ac:dyDescent="0.15">
      <c r="T229398" s="9">
        <v>327321498623.151</v>
      </c>
      <c r="U229398" s="9">
        <v>2081826000000</v>
      </c>
    </row>
    <row r="229399" spans="20:21" x14ac:dyDescent="0.15">
      <c r="T229399" s="9">
        <v>364393859506.91699</v>
      </c>
      <c r="U229399" s="9">
        <v>2351599000000</v>
      </c>
    </row>
    <row r="229400" spans="20:21" x14ac:dyDescent="0.15">
      <c r="T229400" s="9">
        <v>392056180496.07098</v>
      </c>
      <c r="U229400" s="9">
        <v>2627333000000</v>
      </c>
    </row>
    <row r="229401" spans="20:21" x14ac:dyDescent="0.15">
      <c r="T229401" s="9">
        <v>422770430220.08099</v>
      </c>
      <c r="U229401" s="9">
        <v>2857307000000</v>
      </c>
    </row>
    <row r="229402" spans="20:21" x14ac:dyDescent="0.15">
      <c r="T229402" s="9">
        <v>444385672278.89001</v>
      </c>
      <c r="U229402" s="9">
        <v>3207041000000</v>
      </c>
    </row>
    <row r="229403" spans="20:21" x14ac:dyDescent="0.15">
      <c r="T229403" s="9">
        <v>484456434564.98102</v>
      </c>
      <c r="U229403" s="9">
        <v>3343789000000</v>
      </c>
    </row>
    <row r="229404" spans="20:21" x14ac:dyDescent="0.15">
      <c r="T229404" s="9">
        <v>536633373623.745</v>
      </c>
      <c r="U229404" s="9">
        <v>3634038000000</v>
      </c>
    </row>
    <row r="229405" spans="20:21" x14ac:dyDescent="0.15">
      <c r="T229405" s="9">
        <v>618156247357.86304</v>
      </c>
      <c r="U229405" s="9">
        <v>4037613000000</v>
      </c>
    </row>
    <row r="229406" spans="20:21" x14ac:dyDescent="0.15">
      <c r="T229406" s="9">
        <v>701178819512.74402</v>
      </c>
      <c r="U229406" s="9">
        <v>4338979000000</v>
      </c>
    </row>
    <row r="229407" spans="20:21" x14ac:dyDescent="0.15">
      <c r="T229407" s="9">
        <v>763934055759.06604</v>
      </c>
      <c r="U229407" s="9">
        <v>4579631000000</v>
      </c>
    </row>
    <row r="229408" spans="20:21" x14ac:dyDescent="0.15">
      <c r="T229408" s="9">
        <v>852989116696.35205</v>
      </c>
      <c r="U229408" s="9">
        <v>4855215000000</v>
      </c>
    </row>
    <row r="229409" spans="20:21" x14ac:dyDescent="0.15">
      <c r="T229409" s="9">
        <v>948716630508.16699</v>
      </c>
      <c r="U229409" s="9">
        <v>5236438000000</v>
      </c>
    </row>
    <row r="229410" spans="20:21" x14ac:dyDescent="0.15">
      <c r="T229410" s="9">
        <v>988622824073.36694</v>
      </c>
      <c r="U229410" s="9">
        <v>5641580000000</v>
      </c>
    </row>
    <row r="229411" spans="20:21" x14ac:dyDescent="0.15">
      <c r="T229411" s="9">
        <v>1027379323856.15</v>
      </c>
      <c r="U229411" s="9">
        <v>5963144000000</v>
      </c>
    </row>
    <row r="229412" spans="20:21" x14ac:dyDescent="0.15">
      <c r="T229412" s="9">
        <v>1122543272896.8301</v>
      </c>
      <c r="U229412" s="9">
        <v>6158129000000</v>
      </c>
    </row>
    <row r="229413" spans="20:21" x14ac:dyDescent="0.15">
      <c r="T229413" s="9">
        <v>1282219772946.3201</v>
      </c>
      <c r="U229413" s="9">
        <v>6520327000000</v>
      </c>
    </row>
    <row r="229414" spans="20:21" x14ac:dyDescent="0.15">
      <c r="T229414" s="9">
        <v>1460239695280.22</v>
      </c>
      <c r="U229414" s="9">
        <v>6858559000000</v>
      </c>
    </row>
    <row r="229415" spans="20:21" x14ac:dyDescent="0.15">
      <c r="T229415" s="9">
        <v>1650608320717.1299</v>
      </c>
      <c r="U229415" s="9">
        <v>7287236000000</v>
      </c>
    </row>
    <row r="229416" spans="20:21" x14ac:dyDescent="0.15">
      <c r="T229416" s="9">
        <v>1831415202548.1001</v>
      </c>
      <c r="U229416" s="9">
        <v>7639749000000</v>
      </c>
    </row>
    <row r="229417" spans="20:21" x14ac:dyDescent="0.15">
      <c r="T229417" s="9">
        <v>2013138415391.3999</v>
      </c>
      <c r="U229417" s="9">
        <v>8073122000000</v>
      </c>
    </row>
    <row r="229418" spans="20:21" x14ac:dyDescent="0.15">
      <c r="T229418" s="9">
        <v>2199087579734.8799</v>
      </c>
      <c r="U229418" s="9">
        <v>8577554457000</v>
      </c>
    </row>
    <row r="229419" spans="20:21" x14ac:dyDescent="0.15">
      <c r="T229419" s="9">
        <v>2371626931008.4102</v>
      </c>
      <c r="U229419" s="9">
        <v>9062818202000</v>
      </c>
    </row>
    <row r="229420" spans="20:21" x14ac:dyDescent="0.15">
      <c r="T229420" s="9">
        <v>2553332721355.1499</v>
      </c>
      <c r="U229420" s="9">
        <v>9631174489000</v>
      </c>
    </row>
    <row r="229421" spans="20:21" x14ac:dyDescent="0.15">
      <c r="T229421" s="9">
        <v>2770113054357.8301</v>
      </c>
      <c r="U229421" s="9">
        <v>10250947997000</v>
      </c>
    </row>
    <row r="229422" spans="20:21" x14ac:dyDescent="0.15">
      <c r="T229422" s="9">
        <v>3001022295612.3501</v>
      </c>
      <c r="U229422" s="9">
        <v>10581929774000</v>
      </c>
    </row>
    <row r="229423" spans="20:21" x14ac:dyDescent="0.15">
      <c r="T229423" s="9">
        <v>3275124592017.1602</v>
      </c>
      <c r="U229423" s="9">
        <v>10929112955000</v>
      </c>
    </row>
    <row r="229424" spans="20:21" x14ac:dyDescent="0.15">
      <c r="T229424" s="9">
        <v>3603882596858.1099</v>
      </c>
      <c r="U229424" s="9">
        <v>11456442041000</v>
      </c>
    </row>
    <row r="229425" spans="20:21" x14ac:dyDescent="0.15">
      <c r="T229425" s="9">
        <v>3968365637613.6299</v>
      </c>
      <c r="U229425" s="9">
        <v>12217193198000</v>
      </c>
    </row>
    <row r="229426" spans="20:21" x14ac:dyDescent="0.15">
      <c r="T229426" s="9">
        <v>4420544703537.2402</v>
      </c>
      <c r="U229426" s="9">
        <v>13039199193000</v>
      </c>
    </row>
    <row r="229427" spans="20:21" x14ac:dyDescent="0.15">
      <c r="T229427" s="9">
        <v>4982880235433.3896</v>
      </c>
      <c r="U229427" s="9">
        <v>13815586948000</v>
      </c>
    </row>
    <row r="229428" spans="20:21" x14ac:dyDescent="0.15">
      <c r="T229428" s="9">
        <v>5691986992199.8604</v>
      </c>
      <c r="U229428" s="9">
        <v>14474226905000</v>
      </c>
    </row>
    <row r="229429" spans="20:21" x14ac:dyDescent="0.15">
      <c r="T229429" s="9">
        <v>6241302380960.0195</v>
      </c>
      <c r="U229429" s="9">
        <v>14769857911000</v>
      </c>
    </row>
    <row r="229430" spans="20:21" x14ac:dyDescent="0.15">
      <c r="T229430" s="9">
        <v>6827905267633.6299</v>
      </c>
      <c r="U229430" s="9">
        <v>14478064934000</v>
      </c>
    </row>
    <row r="229431" spans="20:21" x14ac:dyDescent="0.15">
      <c r="T229431" s="9">
        <v>7554112468317.7305</v>
      </c>
      <c r="U229431" s="9">
        <v>15048964444000</v>
      </c>
    </row>
    <row r="229432" spans="20:21" x14ac:dyDescent="0.15">
      <c r="T229432" s="9">
        <v>8275593072769.2598</v>
      </c>
      <c r="U229432" s="9">
        <v>15599728123000</v>
      </c>
    </row>
    <row r="229433" spans="20:21" x14ac:dyDescent="0.15">
      <c r="T229433" s="9">
        <v>8926363901575.5605</v>
      </c>
      <c r="U229433" s="9">
        <v>16253972230000</v>
      </c>
    </row>
    <row r="229434" spans="20:21" x14ac:dyDescent="0.15">
      <c r="T229434" s="9">
        <v>9619598720424.4609</v>
      </c>
      <c r="U229434" s="9">
        <v>16843190993000</v>
      </c>
    </row>
    <row r="229435" spans="20:21" x14ac:dyDescent="0.15">
      <c r="T229435" s="9">
        <v>10333927386102.801</v>
      </c>
      <c r="U229435" s="9">
        <v>17550680174000</v>
      </c>
    </row>
    <row r="229436" spans="20:21" x14ac:dyDescent="0.15">
      <c r="T229436" s="9">
        <v>11061573199439.699</v>
      </c>
      <c r="U229436" s="9">
        <v>18206020741000</v>
      </c>
    </row>
    <row r="229437" spans="20:21" x14ac:dyDescent="0.15">
      <c r="T229437" s="9">
        <v>11819154044004.9</v>
      </c>
      <c r="U229437" s="9">
        <v>18695110842000</v>
      </c>
    </row>
    <row r="229438" spans="20:21" x14ac:dyDescent="0.15">
      <c r="T229438" s="9">
        <v>12640254407508.1</v>
      </c>
      <c r="U229438" s="9">
        <v>19477336549000</v>
      </c>
    </row>
    <row r="229439" spans="20:21" x14ac:dyDescent="0.15">
      <c r="T229439" s="9">
        <v>13493442991864.699</v>
      </c>
      <c r="U229439" s="9">
        <v>20533057312000</v>
      </c>
    </row>
    <row r="229440" spans="20:21" x14ac:dyDescent="0.15">
      <c r="T229440" s="9">
        <v>14296370418805.1</v>
      </c>
      <c r="U229440" s="9">
        <v>21380976119000</v>
      </c>
    </row>
    <row r="229441" spans="20:21" x14ac:dyDescent="0.15">
      <c r="T229441" s="9">
        <v>14616414450558.4</v>
      </c>
      <c r="U229441" s="9">
        <v>21060473613000</v>
      </c>
    </row>
    <row r="229442" spans="20:21" x14ac:dyDescent="0.15">
      <c r="T229442" s="9">
        <v>15851132888547.1</v>
      </c>
      <c r="U229442" s="9">
        <v>23315080560000</v>
      </c>
    </row>
    <row r="229443" spans="20:21" x14ac:dyDescent="0.15">
      <c r="T229443" s="9">
        <v>16325209299766.801</v>
      </c>
      <c r="U229443" s="9">
        <v>25462700000000</v>
      </c>
    </row>
    <row r="245761" spans="20:21" x14ac:dyDescent="0.15">
      <c r="T245761" s="9" t="s">
        <v>45</v>
      </c>
      <c r="U245761" s="9" t="s">
        <v>44</v>
      </c>
    </row>
    <row r="245762" spans="20:21" x14ac:dyDescent="0.15">
      <c r="T245762" s="9" t="s">
        <v>43</v>
      </c>
      <c r="U245762" s="9" t="s">
        <v>42</v>
      </c>
    </row>
    <row r="245763" spans="20:21" x14ac:dyDescent="0.15">
      <c r="T245763" s="9" t="s">
        <v>41</v>
      </c>
      <c r="U245763" s="9" t="s">
        <v>40</v>
      </c>
    </row>
    <row r="245764" spans="20:21" x14ac:dyDescent="0.15">
      <c r="T245764" s="9" t="s">
        <v>39</v>
      </c>
      <c r="U245764" s="9" t="s">
        <v>38</v>
      </c>
    </row>
    <row r="245765" spans="20:21" x14ac:dyDescent="0.15">
      <c r="T245765" s="9">
        <v>158907457242.42899</v>
      </c>
      <c r="U245765" s="9">
        <v>543300000000</v>
      </c>
    </row>
    <row r="245766" spans="20:21" x14ac:dyDescent="0.15">
      <c r="T245766" s="9">
        <v>115573393646.185</v>
      </c>
      <c r="U245766" s="9">
        <v>563300000000</v>
      </c>
    </row>
    <row r="245767" spans="20:21" x14ac:dyDescent="0.15">
      <c r="T245767" s="9">
        <v>109124398292.05099</v>
      </c>
      <c r="U245767" s="9">
        <v>605100000000</v>
      </c>
    </row>
    <row r="245768" spans="20:21" x14ac:dyDescent="0.15">
      <c r="T245768" s="9">
        <v>120364211312.289</v>
      </c>
      <c r="U245768" s="9">
        <v>638600000000</v>
      </c>
    </row>
    <row r="245769" spans="20:21" x14ac:dyDescent="0.15">
      <c r="T245769" s="9">
        <v>142246424921.30899</v>
      </c>
      <c r="U245769" s="9">
        <v>685800000000</v>
      </c>
    </row>
    <row r="245770" spans="20:21" x14ac:dyDescent="0.15">
      <c r="T245770" s="9">
        <v>166357193951.10501</v>
      </c>
      <c r="U245770" s="9">
        <v>743700000000</v>
      </c>
    </row>
    <row r="245771" spans="20:21" x14ac:dyDescent="0.15">
      <c r="T245771" s="9">
        <v>184074235104.24799</v>
      </c>
      <c r="U245771" s="9">
        <v>815000000000</v>
      </c>
    </row>
    <row r="245772" spans="20:21" x14ac:dyDescent="0.15">
      <c r="T245772" s="9">
        <v>173453151731.27701</v>
      </c>
      <c r="U245772" s="9">
        <v>861700000000</v>
      </c>
    </row>
    <row r="245773" spans="20:21" x14ac:dyDescent="0.15">
      <c r="T245773" s="9">
        <v>166341572533.69101</v>
      </c>
      <c r="U245773" s="9">
        <v>942500000000</v>
      </c>
    </row>
    <row r="245774" spans="20:21" x14ac:dyDescent="0.15">
      <c r="T245774" s="9">
        <v>194519834914.35999</v>
      </c>
      <c r="U245774" s="9">
        <v>1019900000000</v>
      </c>
    </row>
    <row r="245775" spans="20:21" x14ac:dyDescent="0.15">
      <c r="T245775" s="9">
        <v>232062163046.44</v>
      </c>
      <c r="U245775" s="9">
        <v>1073303000000</v>
      </c>
    </row>
    <row r="245776" spans="20:21" x14ac:dyDescent="0.15">
      <c r="T245776" s="9">
        <v>248445751754.134</v>
      </c>
      <c r="U245776" s="9">
        <v>1164850000000</v>
      </c>
    </row>
    <row r="245777" spans="20:21" x14ac:dyDescent="0.15">
      <c r="T245777" s="9">
        <v>257911534896.49799</v>
      </c>
      <c r="U245777" s="9">
        <v>1279110000000</v>
      </c>
    </row>
    <row r="245778" spans="20:21" x14ac:dyDescent="0.15">
      <c r="T245778" s="9">
        <v>277925470006.599</v>
      </c>
      <c r="U245778" s="9">
        <v>1425376000000</v>
      </c>
    </row>
    <row r="245779" spans="20:21" x14ac:dyDescent="0.15">
      <c r="T245779" s="9">
        <v>284345548371.966</v>
      </c>
      <c r="U245779" s="9">
        <v>1545243000000</v>
      </c>
    </row>
    <row r="245780" spans="20:21" x14ac:dyDescent="0.15">
      <c r="T245780" s="9">
        <v>309140480182.89801</v>
      </c>
      <c r="U245780" s="9">
        <v>1684904000000</v>
      </c>
    </row>
    <row r="245781" spans="20:21" x14ac:dyDescent="0.15">
      <c r="T245781" s="9">
        <v>304286974638.82202</v>
      </c>
      <c r="U245781" s="9">
        <v>1873412000000</v>
      </c>
    </row>
    <row r="245782" spans="20:21" x14ac:dyDescent="0.15">
      <c r="T245782" s="9">
        <v>327321498623.151</v>
      </c>
      <c r="U245782" s="9">
        <v>2081826000000</v>
      </c>
    </row>
    <row r="245783" spans="20:21" x14ac:dyDescent="0.15">
      <c r="T245783" s="9">
        <v>364393859506.91699</v>
      </c>
      <c r="U245783" s="9">
        <v>2351599000000</v>
      </c>
    </row>
    <row r="245784" spans="20:21" x14ac:dyDescent="0.15">
      <c r="T245784" s="9">
        <v>392056180496.07098</v>
      </c>
      <c r="U245784" s="9">
        <v>2627333000000</v>
      </c>
    </row>
    <row r="245785" spans="20:21" x14ac:dyDescent="0.15">
      <c r="T245785" s="9">
        <v>422770430220.08099</v>
      </c>
      <c r="U245785" s="9">
        <v>2857307000000</v>
      </c>
    </row>
    <row r="245786" spans="20:21" x14ac:dyDescent="0.15">
      <c r="T245786" s="9">
        <v>444385672278.89001</v>
      </c>
      <c r="U245786" s="9">
        <v>3207041000000</v>
      </c>
    </row>
    <row r="245787" spans="20:21" x14ac:dyDescent="0.15">
      <c r="T245787" s="9">
        <v>484456434564.98102</v>
      </c>
      <c r="U245787" s="9">
        <v>3343789000000</v>
      </c>
    </row>
    <row r="245788" spans="20:21" x14ac:dyDescent="0.15">
      <c r="T245788" s="9">
        <v>536633373623.745</v>
      </c>
      <c r="U245788" s="9">
        <v>3634038000000</v>
      </c>
    </row>
    <row r="245789" spans="20:21" x14ac:dyDescent="0.15">
      <c r="T245789" s="9">
        <v>618156247357.86304</v>
      </c>
      <c r="U245789" s="9">
        <v>4037613000000</v>
      </c>
    </row>
    <row r="245790" spans="20:21" x14ac:dyDescent="0.15">
      <c r="T245790" s="9">
        <v>701178819512.74402</v>
      </c>
      <c r="U245790" s="9">
        <v>4338979000000</v>
      </c>
    </row>
    <row r="245791" spans="20:21" x14ac:dyDescent="0.15">
      <c r="T245791" s="9">
        <v>763934055759.06604</v>
      </c>
      <c r="U245791" s="9">
        <v>4579631000000</v>
      </c>
    </row>
    <row r="245792" spans="20:21" x14ac:dyDescent="0.15">
      <c r="T245792" s="9">
        <v>852989116696.35205</v>
      </c>
      <c r="U245792" s="9">
        <v>4855215000000</v>
      </c>
    </row>
    <row r="245793" spans="20:21" x14ac:dyDescent="0.15">
      <c r="T245793" s="9">
        <v>948716630508.16699</v>
      </c>
      <c r="U245793" s="9">
        <v>5236438000000</v>
      </c>
    </row>
    <row r="245794" spans="20:21" x14ac:dyDescent="0.15">
      <c r="T245794" s="9">
        <v>988622824073.36694</v>
      </c>
      <c r="U245794" s="9">
        <v>5641580000000</v>
      </c>
    </row>
    <row r="245795" spans="20:21" x14ac:dyDescent="0.15">
      <c r="T245795" s="9">
        <v>1027379323856.15</v>
      </c>
      <c r="U245795" s="9">
        <v>5963144000000</v>
      </c>
    </row>
    <row r="245796" spans="20:21" x14ac:dyDescent="0.15">
      <c r="T245796" s="9">
        <v>1122543272896.8301</v>
      </c>
      <c r="U245796" s="9">
        <v>6158129000000</v>
      </c>
    </row>
    <row r="245797" spans="20:21" x14ac:dyDescent="0.15">
      <c r="T245797" s="9">
        <v>1282219772946.3201</v>
      </c>
      <c r="U245797" s="9">
        <v>6520327000000</v>
      </c>
    </row>
    <row r="245798" spans="20:21" x14ac:dyDescent="0.15">
      <c r="T245798" s="9">
        <v>1460239695280.22</v>
      </c>
      <c r="U245798" s="9">
        <v>6858559000000</v>
      </c>
    </row>
    <row r="245799" spans="20:21" x14ac:dyDescent="0.15">
      <c r="T245799" s="9">
        <v>1650608320717.1299</v>
      </c>
      <c r="U245799" s="9">
        <v>7287236000000</v>
      </c>
    </row>
    <row r="245800" spans="20:21" x14ac:dyDescent="0.15">
      <c r="T245800" s="9">
        <v>1831415202548.1001</v>
      </c>
      <c r="U245800" s="9">
        <v>7639749000000</v>
      </c>
    </row>
    <row r="245801" spans="20:21" x14ac:dyDescent="0.15">
      <c r="T245801" s="9">
        <v>2013138415391.3999</v>
      </c>
      <c r="U245801" s="9">
        <v>8073122000000</v>
      </c>
    </row>
    <row r="245802" spans="20:21" x14ac:dyDescent="0.15">
      <c r="T245802" s="9">
        <v>2199087579734.8799</v>
      </c>
      <c r="U245802" s="9">
        <v>8577554457000</v>
      </c>
    </row>
    <row r="245803" spans="20:21" x14ac:dyDescent="0.15">
      <c r="T245803" s="9">
        <v>2371626931008.4102</v>
      </c>
      <c r="U245803" s="9">
        <v>9062818202000</v>
      </c>
    </row>
    <row r="245804" spans="20:21" x14ac:dyDescent="0.15">
      <c r="T245804" s="9">
        <v>2553332721355.1499</v>
      </c>
      <c r="U245804" s="9">
        <v>9631174489000</v>
      </c>
    </row>
    <row r="245805" spans="20:21" x14ac:dyDescent="0.15">
      <c r="T245805" s="9">
        <v>2770113054357.8301</v>
      </c>
      <c r="U245805" s="9">
        <v>10250947997000</v>
      </c>
    </row>
    <row r="245806" spans="20:21" x14ac:dyDescent="0.15">
      <c r="T245806" s="9">
        <v>3001022295612.3501</v>
      </c>
      <c r="U245806" s="9">
        <v>10581929774000</v>
      </c>
    </row>
    <row r="245807" spans="20:21" x14ac:dyDescent="0.15">
      <c r="T245807" s="9">
        <v>3275124592017.1602</v>
      </c>
      <c r="U245807" s="9">
        <v>10929112955000</v>
      </c>
    </row>
    <row r="245808" spans="20:21" x14ac:dyDescent="0.15">
      <c r="T245808" s="9">
        <v>3603882596858.1099</v>
      </c>
      <c r="U245808" s="9">
        <v>11456442041000</v>
      </c>
    </row>
    <row r="245809" spans="20:21" x14ac:dyDescent="0.15">
      <c r="T245809" s="9">
        <v>3968365637613.6299</v>
      </c>
      <c r="U245809" s="9">
        <v>12217193198000</v>
      </c>
    </row>
    <row r="245810" spans="20:21" x14ac:dyDescent="0.15">
      <c r="T245810" s="9">
        <v>4420544703537.2402</v>
      </c>
      <c r="U245810" s="9">
        <v>13039199193000</v>
      </c>
    </row>
    <row r="245811" spans="20:21" x14ac:dyDescent="0.15">
      <c r="T245811" s="9">
        <v>4982880235433.3896</v>
      </c>
      <c r="U245811" s="9">
        <v>13815586948000</v>
      </c>
    </row>
    <row r="245812" spans="20:21" x14ac:dyDescent="0.15">
      <c r="T245812" s="9">
        <v>5691986992199.8604</v>
      </c>
      <c r="U245812" s="9">
        <v>14474226905000</v>
      </c>
    </row>
    <row r="245813" spans="20:21" x14ac:dyDescent="0.15">
      <c r="T245813" s="9">
        <v>6241302380960.0195</v>
      </c>
      <c r="U245813" s="9">
        <v>14769857911000</v>
      </c>
    </row>
    <row r="245814" spans="20:21" x14ac:dyDescent="0.15">
      <c r="T245814" s="9">
        <v>6827905267633.6299</v>
      </c>
      <c r="U245814" s="9">
        <v>14478064934000</v>
      </c>
    </row>
    <row r="245815" spans="20:21" x14ac:dyDescent="0.15">
      <c r="T245815" s="9">
        <v>7554112468317.7305</v>
      </c>
      <c r="U245815" s="9">
        <v>15048964444000</v>
      </c>
    </row>
    <row r="245816" spans="20:21" x14ac:dyDescent="0.15">
      <c r="T245816" s="9">
        <v>8275593072769.2598</v>
      </c>
      <c r="U245816" s="9">
        <v>15599728123000</v>
      </c>
    </row>
    <row r="245817" spans="20:21" x14ac:dyDescent="0.15">
      <c r="T245817" s="9">
        <v>8926363901575.5605</v>
      </c>
      <c r="U245817" s="9">
        <v>16253972230000</v>
      </c>
    </row>
    <row r="245818" spans="20:21" x14ac:dyDescent="0.15">
      <c r="T245818" s="9">
        <v>9619598720424.4609</v>
      </c>
      <c r="U245818" s="9">
        <v>16843190993000</v>
      </c>
    </row>
    <row r="245819" spans="20:21" x14ac:dyDescent="0.15">
      <c r="T245819" s="9">
        <v>10333927386102.801</v>
      </c>
      <c r="U245819" s="9">
        <v>17550680174000</v>
      </c>
    </row>
    <row r="245820" spans="20:21" x14ac:dyDescent="0.15">
      <c r="T245820" s="9">
        <v>11061573199439.699</v>
      </c>
      <c r="U245820" s="9">
        <v>18206020741000</v>
      </c>
    </row>
    <row r="245821" spans="20:21" x14ac:dyDescent="0.15">
      <c r="T245821" s="9">
        <v>11819154044004.9</v>
      </c>
      <c r="U245821" s="9">
        <v>18695110842000</v>
      </c>
    </row>
    <row r="245822" spans="20:21" x14ac:dyDescent="0.15">
      <c r="T245822" s="9">
        <v>12640254407508.1</v>
      </c>
      <c r="U245822" s="9">
        <v>19477336549000</v>
      </c>
    </row>
    <row r="245823" spans="20:21" x14ac:dyDescent="0.15">
      <c r="T245823" s="9">
        <v>13493442991864.699</v>
      </c>
      <c r="U245823" s="9">
        <v>20533057312000</v>
      </c>
    </row>
    <row r="245824" spans="20:21" x14ac:dyDescent="0.15">
      <c r="T245824" s="9">
        <v>14296370418805.1</v>
      </c>
      <c r="U245824" s="9">
        <v>21380976119000</v>
      </c>
    </row>
    <row r="245825" spans="20:21" x14ac:dyDescent="0.15">
      <c r="T245825" s="9">
        <v>14616414450558.4</v>
      </c>
      <c r="U245825" s="9">
        <v>21060473613000</v>
      </c>
    </row>
    <row r="245826" spans="20:21" x14ac:dyDescent="0.15">
      <c r="T245826" s="9">
        <v>15851132888547.1</v>
      </c>
      <c r="U245826" s="9">
        <v>23315080560000</v>
      </c>
    </row>
    <row r="245827" spans="20:21" x14ac:dyDescent="0.15">
      <c r="T245827" s="9">
        <v>16325209299766.801</v>
      </c>
      <c r="U245827" s="9">
        <v>25462700000000</v>
      </c>
    </row>
    <row r="262145" spans="20:21" x14ac:dyDescent="0.15">
      <c r="T262145" s="9" t="s">
        <v>45</v>
      </c>
      <c r="U262145" s="9" t="s">
        <v>44</v>
      </c>
    </row>
    <row r="262146" spans="20:21" x14ac:dyDescent="0.15">
      <c r="T262146" s="9" t="s">
        <v>43</v>
      </c>
      <c r="U262146" s="9" t="s">
        <v>42</v>
      </c>
    </row>
    <row r="262147" spans="20:21" x14ac:dyDescent="0.15">
      <c r="T262147" s="9" t="s">
        <v>41</v>
      </c>
      <c r="U262147" s="9" t="s">
        <v>40</v>
      </c>
    </row>
    <row r="262148" spans="20:21" x14ac:dyDescent="0.15">
      <c r="T262148" s="9" t="s">
        <v>39</v>
      </c>
      <c r="U262148" s="9" t="s">
        <v>38</v>
      </c>
    </row>
    <row r="262149" spans="20:21" x14ac:dyDescent="0.15">
      <c r="T262149" s="9">
        <v>158907457242.42899</v>
      </c>
      <c r="U262149" s="9">
        <v>543300000000</v>
      </c>
    </row>
    <row r="262150" spans="20:21" x14ac:dyDescent="0.15">
      <c r="T262150" s="9">
        <v>115573393646.185</v>
      </c>
      <c r="U262150" s="9">
        <v>563300000000</v>
      </c>
    </row>
    <row r="262151" spans="20:21" x14ac:dyDescent="0.15">
      <c r="T262151" s="9">
        <v>109124398292.05099</v>
      </c>
      <c r="U262151" s="9">
        <v>605100000000</v>
      </c>
    </row>
    <row r="262152" spans="20:21" x14ac:dyDescent="0.15">
      <c r="T262152" s="9">
        <v>120364211312.289</v>
      </c>
      <c r="U262152" s="9">
        <v>638600000000</v>
      </c>
    </row>
    <row r="262153" spans="20:21" x14ac:dyDescent="0.15">
      <c r="T262153" s="9">
        <v>142246424921.30899</v>
      </c>
      <c r="U262153" s="9">
        <v>685800000000</v>
      </c>
    </row>
    <row r="262154" spans="20:21" x14ac:dyDescent="0.15">
      <c r="T262154" s="9">
        <v>166357193951.10501</v>
      </c>
      <c r="U262154" s="9">
        <v>743700000000</v>
      </c>
    </row>
    <row r="262155" spans="20:21" x14ac:dyDescent="0.15">
      <c r="T262155" s="9">
        <v>184074235104.24799</v>
      </c>
      <c r="U262155" s="9">
        <v>815000000000</v>
      </c>
    </row>
    <row r="262156" spans="20:21" x14ac:dyDescent="0.15">
      <c r="T262156" s="9">
        <v>173453151731.27701</v>
      </c>
      <c r="U262156" s="9">
        <v>861700000000</v>
      </c>
    </row>
    <row r="262157" spans="20:21" x14ac:dyDescent="0.15">
      <c r="T262157" s="9">
        <v>166341572533.69101</v>
      </c>
      <c r="U262157" s="9">
        <v>942500000000</v>
      </c>
    </row>
    <row r="262158" spans="20:21" x14ac:dyDescent="0.15">
      <c r="T262158" s="9">
        <v>194519834914.35999</v>
      </c>
      <c r="U262158" s="9">
        <v>1019900000000</v>
      </c>
    </row>
    <row r="262159" spans="20:21" x14ac:dyDescent="0.15">
      <c r="T262159" s="9">
        <v>232062163046.44</v>
      </c>
      <c r="U262159" s="9">
        <v>1073303000000</v>
      </c>
    </row>
    <row r="262160" spans="20:21" x14ac:dyDescent="0.15">
      <c r="T262160" s="9">
        <v>248445751754.134</v>
      </c>
      <c r="U262160" s="9">
        <v>1164850000000</v>
      </c>
    </row>
    <row r="262161" spans="20:21" x14ac:dyDescent="0.15">
      <c r="T262161" s="9">
        <v>257911534896.49799</v>
      </c>
      <c r="U262161" s="9">
        <v>1279110000000</v>
      </c>
    </row>
    <row r="262162" spans="20:21" x14ac:dyDescent="0.15">
      <c r="T262162" s="9">
        <v>277925470006.599</v>
      </c>
      <c r="U262162" s="9">
        <v>1425376000000</v>
      </c>
    </row>
    <row r="262163" spans="20:21" x14ac:dyDescent="0.15">
      <c r="T262163" s="9">
        <v>284345548371.966</v>
      </c>
      <c r="U262163" s="9">
        <v>1545243000000</v>
      </c>
    </row>
    <row r="262164" spans="20:21" x14ac:dyDescent="0.15">
      <c r="T262164" s="9">
        <v>309140480182.89801</v>
      </c>
      <c r="U262164" s="9">
        <v>1684904000000</v>
      </c>
    </row>
    <row r="262165" spans="20:21" x14ac:dyDescent="0.15">
      <c r="T262165" s="9">
        <v>304286974638.82202</v>
      </c>
      <c r="U262165" s="9">
        <v>1873412000000</v>
      </c>
    </row>
    <row r="262166" spans="20:21" x14ac:dyDescent="0.15">
      <c r="T262166" s="9">
        <v>327321498623.151</v>
      </c>
      <c r="U262166" s="9">
        <v>2081826000000</v>
      </c>
    </row>
    <row r="262167" spans="20:21" x14ac:dyDescent="0.15">
      <c r="T262167" s="9">
        <v>364393859506.91699</v>
      </c>
      <c r="U262167" s="9">
        <v>2351599000000</v>
      </c>
    </row>
    <row r="262168" spans="20:21" x14ac:dyDescent="0.15">
      <c r="T262168" s="9">
        <v>392056180496.07098</v>
      </c>
      <c r="U262168" s="9">
        <v>2627333000000</v>
      </c>
    </row>
    <row r="262169" spans="20:21" x14ac:dyDescent="0.15">
      <c r="T262169" s="9">
        <v>422770430220.08099</v>
      </c>
      <c r="U262169" s="9">
        <v>2857307000000</v>
      </c>
    </row>
    <row r="262170" spans="20:21" x14ac:dyDescent="0.15">
      <c r="T262170" s="9">
        <v>444385672278.89001</v>
      </c>
      <c r="U262170" s="9">
        <v>3207041000000</v>
      </c>
    </row>
    <row r="262171" spans="20:21" x14ac:dyDescent="0.15">
      <c r="T262171" s="9">
        <v>484456434564.98102</v>
      </c>
      <c r="U262171" s="9">
        <v>3343789000000</v>
      </c>
    </row>
    <row r="262172" spans="20:21" x14ac:dyDescent="0.15">
      <c r="T262172" s="9">
        <v>536633373623.745</v>
      </c>
      <c r="U262172" s="9">
        <v>3634038000000</v>
      </c>
    </row>
    <row r="262173" spans="20:21" x14ac:dyDescent="0.15">
      <c r="T262173" s="9">
        <v>618156247357.86304</v>
      </c>
      <c r="U262173" s="9">
        <v>4037613000000</v>
      </c>
    </row>
    <row r="262174" spans="20:21" x14ac:dyDescent="0.15">
      <c r="T262174" s="9">
        <v>701178819512.74402</v>
      </c>
      <c r="U262174" s="9">
        <v>4338979000000</v>
      </c>
    </row>
    <row r="262175" spans="20:21" x14ac:dyDescent="0.15">
      <c r="T262175" s="9">
        <v>763934055759.06604</v>
      </c>
      <c r="U262175" s="9">
        <v>4579631000000</v>
      </c>
    </row>
    <row r="262176" spans="20:21" x14ac:dyDescent="0.15">
      <c r="T262176" s="9">
        <v>852989116696.35205</v>
      </c>
      <c r="U262176" s="9">
        <v>4855215000000</v>
      </c>
    </row>
    <row r="262177" spans="20:21" x14ac:dyDescent="0.15">
      <c r="T262177" s="9">
        <v>948716630508.16699</v>
      </c>
      <c r="U262177" s="9">
        <v>5236438000000</v>
      </c>
    </row>
    <row r="262178" spans="20:21" x14ac:dyDescent="0.15">
      <c r="T262178" s="9">
        <v>988622824073.36694</v>
      </c>
      <c r="U262178" s="9">
        <v>5641580000000</v>
      </c>
    </row>
    <row r="262179" spans="20:21" x14ac:dyDescent="0.15">
      <c r="T262179" s="9">
        <v>1027379323856.15</v>
      </c>
      <c r="U262179" s="9">
        <v>5963144000000</v>
      </c>
    </row>
    <row r="262180" spans="20:21" x14ac:dyDescent="0.15">
      <c r="T262180" s="9">
        <v>1122543272896.8301</v>
      </c>
      <c r="U262180" s="9">
        <v>6158129000000</v>
      </c>
    </row>
    <row r="262181" spans="20:21" x14ac:dyDescent="0.15">
      <c r="T262181" s="9">
        <v>1282219772946.3201</v>
      </c>
      <c r="U262181" s="9">
        <v>6520327000000</v>
      </c>
    </row>
    <row r="262182" spans="20:21" x14ac:dyDescent="0.15">
      <c r="T262182" s="9">
        <v>1460239695280.22</v>
      </c>
      <c r="U262182" s="9">
        <v>6858559000000</v>
      </c>
    </row>
    <row r="262183" spans="20:21" x14ac:dyDescent="0.15">
      <c r="T262183" s="9">
        <v>1650608320717.1299</v>
      </c>
      <c r="U262183" s="9">
        <v>7287236000000</v>
      </c>
    </row>
    <row r="262184" spans="20:21" x14ac:dyDescent="0.15">
      <c r="T262184" s="9">
        <v>1831415202548.1001</v>
      </c>
      <c r="U262184" s="9">
        <v>7639749000000</v>
      </c>
    </row>
    <row r="262185" spans="20:21" x14ac:dyDescent="0.15">
      <c r="T262185" s="9">
        <v>2013138415391.3999</v>
      </c>
      <c r="U262185" s="9">
        <v>8073122000000</v>
      </c>
    </row>
    <row r="262186" spans="20:21" x14ac:dyDescent="0.15">
      <c r="T262186" s="9">
        <v>2199087579734.8799</v>
      </c>
      <c r="U262186" s="9">
        <v>8577554457000</v>
      </c>
    </row>
    <row r="262187" spans="20:21" x14ac:dyDescent="0.15">
      <c r="T262187" s="9">
        <v>2371626931008.4102</v>
      </c>
      <c r="U262187" s="9">
        <v>9062818202000</v>
      </c>
    </row>
    <row r="262188" spans="20:21" x14ac:dyDescent="0.15">
      <c r="T262188" s="9">
        <v>2553332721355.1499</v>
      </c>
      <c r="U262188" s="9">
        <v>9631174489000</v>
      </c>
    </row>
    <row r="262189" spans="20:21" x14ac:dyDescent="0.15">
      <c r="T262189" s="9">
        <v>2770113054357.8301</v>
      </c>
      <c r="U262189" s="9">
        <v>10250947997000</v>
      </c>
    </row>
    <row r="262190" spans="20:21" x14ac:dyDescent="0.15">
      <c r="T262190" s="9">
        <v>3001022295612.3501</v>
      </c>
      <c r="U262190" s="9">
        <v>10581929774000</v>
      </c>
    </row>
    <row r="262191" spans="20:21" x14ac:dyDescent="0.15">
      <c r="T262191" s="9">
        <v>3275124592017.1602</v>
      </c>
      <c r="U262191" s="9">
        <v>10929112955000</v>
      </c>
    </row>
    <row r="262192" spans="20:21" x14ac:dyDescent="0.15">
      <c r="T262192" s="9">
        <v>3603882596858.1099</v>
      </c>
      <c r="U262192" s="9">
        <v>11456442041000</v>
      </c>
    </row>
    <row r="262193" spans="20:21" x14ac:dyDescent="0.15">
      <c r="T262193" s="9">
        <v>3968365637613.6299</v>
      </c>
      <c r="U262193" s="9">
        <v>12217193198000</v>
      </c>
    </row>
    <row r="262194" spans="20:21" x14ac:dyDescent="0.15">
      <c r="T262194" s="9">
        <v>4420544703537.2402</v>
      </c>
      <c r="U262194" s="9">
        <v>13039199193000</v>
      </c>
    </row>
    <row r="262195" spans="20:21" x14ac:dyDescent="0.15">
      <c r="T262195" s="9">
        <v>4982880235433.3896</v>
      </c>
      <c r="U262195" s="9">
        <v>13815586948000</v>
      </c>
    </row>
    <row r="262196" spans="20:21" x14ac:dyDescent="0.15">
      <c r="T262196" s="9">
        <v>5691986992199.8604</v>
      </c>
      <c r="U262196" s="9">
        <v>14474226905000</v>
      </c>
    </row>
    <row r="262197" spans="20:21" x14ac:dyDescent="0.15">
      <c r="T262197" s="9">
        <v>6241302380960.0195</v>
      </c>
      <c r="U262197" s="9">
        <v>14769857911000</v>
      </c>
    </row>
    <row r="262198" spans="20:21" x14ac:dyDescent="0.15">
      <c r="T262198" s="9">
        <v>6827905267633.6299</v>
      </c>
      <c r="U262198" s="9">
        <v>14478064934000</v>
      </c>
    </row>
    <row r="262199" spans="20:21" x14ac:dyDescent="0.15">
      <c r="T262199" s="9">
        <v>7554112468317.7305</v>
      </c>
      <c r="U262199" s="9">
        <v>15048964444000</v>
      </c>
    </row>
    <row r="262200" spans="20:21" x14ac:dyDescent="0.15">
      <c r="T262200" s="9">
        <v>8275593072769.2598</v>
      </c>
      <c r="U262200" s="9">
        <v>15599728123000</v>
      </c>
    </row>
    <row r="262201" spans="20:21" x14ac:dyDescent="0.15">
      <c r="T262201" s="9">
        <v>8926363901575.5605</v>
      </c>
      <c r="U262201" s="9">
        <v>16253972230000</v>
      </c>
    </row>
    <row r="262202" spans="20:21" x14ac:dyDescent="0.15">
      <c r="T262202" s="9">
        <v>9619598720424.4609</v>
      </c>
      <c r="U262202" s="9">
        <v>16843190993000</v>
      </c>
    </row>
    <row r="262203" spans="20:21" x14ac:dyDescent="0.15">
      <c r="T262203" s="9">
        <v>10333927386102.801</v>
      </c>
      <c r="U262203" s="9">
        <v>17550680174000</v>
      </c>
    </row>
    <row r="262204" spans="20:21" x14ac:dyDescent="0.15">
      <c r="T262204" s="9">
        <v>11061573199439.699</v>
      </c>
      <c r="U262204" s="9">
        <v>18206020741000</v>
      </c>
    </row>
    <row r="262205" spans="20:21" x14ac:dyDescent="0.15">
      <c r="T262205" s="9">
        <v>11819154044004.9</v>
      </c>
      <c r="U262205" s="9">
        <v>18695110842000</v>
      </c>
    </row>
    <row r="262206" spans="20:21" x14ac:dyDescent="0.15">
      <c r="T262206" s="9">
        <v>12640254407508.1</v>
      </c>
      <c r="U262206" s="9">
        <v>19477336549000</v>
      </c>
    </row>
    <row r="262207" spans="20:21" x14ac:dyDescent="0.15">
      <c r="T262207" s="9">
        <v>13493442991864.699</v>
      </c>
      <c r="U262207" s="9">
        <v>20533057312000</v>
      </c>
    </row>
    <row r="262208" spans="20:21" x14ac:dyDescent="0.15">
      <c r="T262208" s="9">
        <v>14296370418805.1</v>
      </c>
      <c r="U262208" s="9">
        <v>21380976119000</v>
      </c>
    </row>
    <row r="262209" spans="20:21" x14ac:dyDescent="0.15">
      <c r="T262209" s="9">
        <v>14616414450558.4</v>
      </c>
      <c r="U262209" s="9">
        <v>21060473613000</v>
      </c>
    </row>
    <row r="262210" spans="20:21" x14ac:dyDescent="0.15">
      <c r="T262210" s="9">
        <v>15851132888547.1</v>
      </c>
      <c r="U262210" s="9">
        <v>23315080560000</v>
      </c>
    </row>
    <row r="262211" spans="20:21" x14ac:dyDescent="0.15">
      <c r="T262211" s="9">
        <v>16325209299766.801</v>
      </c>
      <c r="U262211" s="9">
        <v>25462700000000</v>
      </c>
    </row>
    <row r="278529" spans="20:21" x14ac:dyDescent="0.15">
      <c r="T278529" s="9" t="s">
        <v>45</v>
      </c>
      <c r="U278529" s="9" t="s">
        <v>44</v>
      </c>
    </row>
    <row r="278530" spans="20:21" x14ac:dyDescent="0.15">
      <c r="T278530" s="9" t="s">
        <v>43</v>
      </c>
      <c r="U278530" s="9" t="s">
        <v>42</v>
      </c>
    </row>
    <row r="278531" spans="20:21" x14ac:dyDescent="0.15">
      <c r="T278531" s="9" t="s">
        <v>41</v>
      </c>
      <c r="U278531" s="9" t="s">
        <v>40</v>
      </c>
    </row>
    <row r="278532" spans="20:21" x14ac:dyDescent="0.15">
      <c r="T278532" s="9" t="s">
        <v>39</v>
      </c>
      <c r="U278532" s="9" t="s">
        <v>38</v>
      </c>
    </row>
    <row r="278533" spans="20:21" x14ac:dyDescent="0.15">
      <c r="T278533" s="9">
        <v>158907457242.42899</v>
      </c>
      <c r="U278533" s="9">
        <v>543300000000</v>
      </c>
    </row>
    <row r="278534" spans="20:21" x14ac:dyDescent="0.15">
      <c r="T278534" s="9">
        <v>115573393646.185</v>
      </c>
      <c r="U278534" s="9">
        <v>563300000000</v>
      </c>
    </row>
    <row r="278535" spans="20:21" x14ac:dyDescent="0.15">
      <c r="T278535" s="9">
        <v>109124398292.05099</v>
      </c>
      <c r="U278535" s="9">
        <v>605100000000</v>
      </c>
    </row>
    <row r="278536" spans="20:21" x14ac:dyDescent="0.15">
      <c r="T278536" s="9">
        <v>120364211312.289</v>
      </c>
      <c r="U278536" s="9">
        <v>638600000000</v>
      </c>
    </row>
    <row r="278537" spans="20:21" x14ac:dyDescent="0.15">
      <c r="T278537" s="9">
        <v>142246424921.30899</v>
      </c>
      <c r="U278537" s="9">
        <v>685800000000</v>
      </c>
    </row>
    <row r="278538" spans="20:21" x14ac:dyDescent="0.15">
      <c r="T278538" s="9">
        <v>166357193951.10501</v>
      </c>
      <c r="U278538" s="9">
        <v>743700000000</v>
      </c>
    </row>
    <row r="278539" spans="20:21" x14ac:dyDescent="0.15">
      <c r="T278539" s="9">
        <v>184074235104.24799</v>
      </c>
      <c r="U278539" s="9">
        <v>815000000000</v>
      </c>
    </row>
    <row r="278540" spans="20:21" x14ac:dyDescent="0.15">
      <c r="T278540" s="9">
        <v>173453151731.27701</v>
      </c>
      <c r="U278540" s="9">
        <v>861700000000</v>
      </c>
    </row>
    <row r="278541" spans="20:21" x14ac:dyDescent="0.15">
      <c r="T278541" s="9">
        <v>166341572533.69101</v>
      </c>
      <c r="U278541" s="9">
        <v>942500000000</v>
      </c>
    </row>
    <row r="278542" spans="20:21" x14ac:dyDescent="0.15">
      <c r="T278542" s="9">
        <v>194519834914.35999</v>
      </c>
      <c r="U278542" s="9">
        <v>1019900000000</v>
      </c>
    </row>
    <row r="278543" spans="20:21" x14ac:dyDescent="0.15">
      <c r="T278543" s="9">
        <v>232062163046.44</v>
      </c>
      <c r="U278543" s="9">
        <v>1073303000000</v>
      </c>
    </row>
    <row r="278544" spans="20:21" x14ac:dyDescent="0.15">
      <c r="T278544" s="9">
        <v>248445751754.134</v>
      </c>
      <c r="U278544" s="9">
        <v>1164850000000</v>
      </c>
    </row>
    <row r="278545" spans="20:21" x14ac:dyDescent="0.15">
      <c r="T278545" s="9">
        <v>257911534896.49799</v>
      </c>
      <c r="U278545" s="9">
        <v>1279110000000</v>
      </c>
    </row>
    <row r="278546" spans="20:21" x14ac:dyDescent="0.15">
      <c r="T278546" s="9">
        <v>277925470006.599</v>
      </c>
      <c r="U278546" s="9">
        <v>1425376000000</v>
      </c>
    </row>
    <row r="278547" spans="20:21" x14ac:dyDescent="0.15">
      <c r="T278547" s="9">
        <v>284345548371.966</v>
      </c>
      <c r="U278547" s="9">
        <v>1545243000000</v>
      </c>
    </row>
    <row r="278548" spans="20:21" x14ac:dyDescent="0.15">
      <c r="T278548" s="9">
        <v>309140480182.89801</v>
      </c>
      <c r="U278548" s="9">
        <v>1684904000000</v>
      </c>
    </row>
    <row r="278549" spans="20:21" x14ac:dyDescent="0.15">
      <c r="T278549" s="9">
        <v>304286974638.82202</v>
      </c>
      <c r="U278549" s="9">
        <v>1873412000000</v>
      </c>
    </row>
    <row r="278550" spans="20:21" x14ac:dyDescent="0.15">
      <c r="T278550" s="9">
        <v>327321498623.151</v>
      </c>
      <c r="U278550" s="9">
        <v>2081826000000</v>
      </c>
    </row>
    <row r="278551" spans="20:21" x14ac:dyDescent="0.15">
      <c r="T278551" s="9">
        <v>364393859506.91699</v>
      </c>
      <c r="U278551" s="9">
        <v>2351599000000</v>
      </c>
    </row>
    <row r="278552" spans="20:21" x14ac:dyDescent="0.15">
      <c r="T278552" s="9">
        <v>392056180496.07098</v>
      </c>
      <c r="U278552" s="9">
        <v>2627333000000</v>
      </c>
    </row>
    <row r="278553" spans="20:21" x14ac:dyDescent="0.15">
      <c r="T278553" s="9">
        <v>422770430220.08099</v>
      </c>
      <c r="U278553" s="9">
        <v>2857307000000</v>
      </c>
    </row>
    <row r="278554" spans="20:21" x14ac:dyDescent="0.15">
      <c r="T278554" s="9">
        <v>444385672278.89001</v>
      </c>
      <c r="U278554" s="9">
        <v>3207041000000</v>
      </c>
    </row>
    <row r="278555" spans="20:21" x14ac:dyDescent="0.15">
      <c r="T278555" s="9">
        <v>484456434564.98102</v>
      </c>
      <c r="U278555" s="9">
        <v>3343789000000</v>
      </c>
    </row>
    <row r="278556" spans="20:21" x14ac:dyDescent="0.15">
      <c r="T278556" s="9">
        <v>536633373623.745</v>
      </c>
      <c r="U278556" s="9">
        <v>3634038000000</v>
      </c>
    </row>
    <row r="278557" spans="20:21" x14ac:dyDescent="0.15">
      <c r="T278557" s="9">
        <v>618156247357.86304</v>
      </c>
      <c r="U278557" s="9">
        <v>4037613000000</v>
      </c>
    </row>
    <row r="278558" spans="20:21" x14ac:dyDescent="0.15">
      <c r="T278558" s="9">
        <v>701178819512.74402</v>
      </c>
      <c r="U278558" s="9">
        <v>4338979000000</v>
      </c>
    </row>
    <row r="278559" spans="20:21" x14ac:dyDescent="0.15">
      <c r="T278559" s="9">
        <v>763934055759.06604</v>
      </c>
      <c r="U278559" s="9">
        <v>4579631000000</v>
      </c>
    </row>
    <row r="278560" spans="20:21" x14ac:dyDescent="0.15">
      <c r="T278560" s="9">
        <v>852989116696.35205</v>
      </c>
      <c r="U278560" s="9">
        <v>4855215000000</v>
      </c>
    </row>
    <row r="278561" spans="20:21" x14ac:dyDescent="0.15">
      <c r="T278561" s="9">
        <v>948716630508.16699</v>
      </c>
      <c r="U278561" s="9">
        <v>5236438000000</v>
      </c>
    </row>
    <row r="278562" spans="20:21" x14ac:dyDescent="0.15">
      <c r="T278562" s="9">
        <v>988622824073.36694</v>
      </c>
      <c r="U278562" s="9">
        <v>5641580000000</v>
      </c>
    </row>
    <row r="278563" spans="20:21" x14ac:dyDescent="0.15">
      <c r="T278563" s="9">
        <v>1027379323856.15</v>
      </c>
      <c r="U278563" s="9">
        <v>5963144000000</v>
      </c>
    </row>
    <row r="278564" spans="20:21" x14ac:dyDescent="0.15">
      <c r="T278564" s="9">
        <v>1122543272896.8301</v>
      </c>
      <c r="U278564" s="9">
        <v>6158129000000</v>
      </c>
    </row>
    <row r="278565" spans="20:21" x14ac:dyDescent="0.15">
      <c r="T278565" s="9">
        <v>1282219772946.3201</v>
      </c>
      <c r="U278565" s="9">
        <v>6520327000000</v>
      </c>
    </row>
    <row r="278566" spans="20:21" x14ac:dyDescent="0.15">
      <c r="T278566" s="9">
        <v>1460239695280.22</v>
      </c>
      <c r="U278566" s="9">
        <v>6858559000000</v>
      </c>
    </row>
    <row r="278567" spans="20:21" x14ac:dyDescent="0.15">
      <c r="T278567" s="9">
        <v>1650608320717.1299</v>
      </c>
      <c r="U278567" s="9">
        <v>7287236000000</v>
      </c>
    </row>
    <row r="278568" spans="20:21" x14ac:dyDescent="0.15">
      <c r="T278568" s="9">
        <v>1831415202548.1001</v>
      </c>
      <c r="U278568" s="9">
        <v>7639749000000</v>
      </c>
    </row>
    <row r="278569" spans="20:21" x14ac:dyDescent="0.15">
      <c r="T278569" s="9">
        <v>2013138415391.3999</v>
      </c>
      <c r="U278569" s="9">
        <v>8073122000000</v>
      </c>
    </row>
    <row r="278570" spans="20:21" x14ac:dyDescent="0.15">
      <c r="T278570" s="9">
        <v>2199087579734.8799</v>
      </c>
      <c r="U278570" s="9">
        <v>8577554457000</v>
      </c>
    </row>
    <row r="278571" spans="20:21" x14ac:dyDescent="0.15">
      <c r="T278571" s="9">
        <v>2371626931008.4102</v>
      </c>
      <c r="U278571" s="9">
        <v>9062818202000</v>
      </c>
    </row>
    <row r="278572" spans="20:21" x14ac:dyDescent="0.15">
      <c r="T278572" s="9">
        <v>2553332721355.1499</v>
      </c>
      <c r="U278572" s="9">
        <v>9631174489000</v>
      </c>
    </row>
    <row r="278573" spans="20:21" x14ac:dyDescent="0.15">
      <c r="T278573" s="9">
        <v>2770113054357.8301</v>
      </c>
      <c r="U278573" s="9">
        <v>10250947997000</v>
      </c>
    </row>
    <row r="278574" spans="20:21" x14ac:dyDescent="0.15">
      <c r="T278574" s="9">
        <v>3001022295612.3501</v>
      </c>
      <c r="U278574" s="9">
        <v>10581929774000</v>
      </c>
    </row>
    <row r="278575" spans="20:21" x14ac:dyDescent="0.15">
      <c r="T278575" s="9">
        <v>3275124592017.1602</v>
      </c>
      <c r="U278575" s="9">
        <v>10929112955000</v>
      </c>
    </row>
    <row r="278576" spans="20:21" x14ac:dyDescent="0.15">
      <c r="T278576" s="9">
        <v>3603882596858.1099</v>
      </c>
      <c r="U278576" s="9">
        <v>11456442041000</v>
      </c>
    </row>
    <row r="278577" spans="20:21" x14ac:dyDescent="0.15">
      <c r="T278577" s="9">
        <v>3968365637613.6299</v>
      </c>
      <c r="U278577" s="9">
        <v>12217193198000</v>
      </c>
    </row>
    <row r="278578" spans="20:21" x14ac:dyDescent="0.15">
      <c r="T278578" s="9">
        <v>4420544703537.2402</v>
      </c>
      <c r="U278578" s="9">
        <v>13039199193000</v>
      </c>
    </row>
    <row r="278579" spans="20:21" x14ac:dyDescent="0.15">
      <c r="T278579" s="9">
        <v>4982880235433.3896</v>
      </c>
      <c r="U278579" s="9">
        <v>13815586948000</v>
      </c>
    </row>
    <row r="278580" spans="20:21" x14ac:dyDescent="0.15">
      <c r="T278580" s="9">
        <v>5691986992199.8604</v>
      </c>
      <c r="U278580" s="9">
        <v>14474226905000</v>
      </c>
    </row>
    <row r="278581" spans="20:21" x14ac:dyDescent="0.15">
      <c r="T278581" s="9">
        <v>6241302380960.0195</v>
      </c>
      <c r="U278581" s="9">
        <v>14769857911000</v>
      </c>
    </row>
    <row r="278582" spans="20:21" x14ac:dyDescent="0.15">
      <c r="T278582" s="9">
        <v>6827905267633.6299</v>
      </c>
      <c r="U278582" s="9">
        <v>14478064934000</v>
      </c>
    </row>
    <row r="278583" spans="20:21" x14ac:dyDescent="0.15">
      <c r="T278583" s="9">
        <v>7554112468317.7305</v>
      </c>
      <c r="U278583" s="9">
        <v>15048964444000</v>
      </c>
    </row>
    <row r="278584" spans="20:21" x14ac:dyDescent="0.15">
      <c r="T278584" s="9">
        <v>8275593072769.2598</v>
      </c>
      <c r="U278584" s="9">
        <v>15599728123000</v>
      </c>
    </row>
    <row r="278585" spans="20:21" x14ac:dyDescent="0.15">
      <c r="T278585" s="9">
        <v>8926363901575.5605</v>
      </c>
      <c r="U278585" s="9">
        <v>16253972230000</v>
      </c>
    </row>
    <row r="278586" spans="20:21" x14ac:dyDescent="0.15">
      <c r="T278586" s="9">
        <v>9619598720424.4609</v>
      </c>
      <c r="U278586" s="9">
        <v>16843190993000</v>
      </c>
    </row>
    <row r="278587" spans="20:21" x14ac:dyDescent="0.15">
      <c r="T278587" s="9">
        <v>10333927386102.801</v>
      </c>
      <c r="U278587" s="9">
        <v>17550680174000</v>
      </c>
    </row>
    <row r="278588" spans="20:21" x14ac:dyDescent="0.15">
      <c r="T278588" s="9">
        <v>11061573199439.699</v>
      </c>
      <c r="U278588" s="9">
        <v>18206020741000</v>
      </c>
    </row>
    <row r="278589" spans="20:21" x14ac:dyDescent="0.15">
      <c r="T278589" s="9">
        <v>11819154044004.9</v>
      </c>
      <c r="U278589" s="9">
        <v>18695110842000</v>
      </c>
    </row>
    <row r="278590" spans="20:21" x14ac:dyDescent="0.15">
      <c r="T278590" s="9">
        <v>12640254407508.1</v>
      </c>
      <c r="U278590" s="9">
        <v>19477336549000</v>
      </c>
    </row>
    <row r="278591" spans="20:21" x14ac:dyDescent="0.15">
      <c r="T278591" s="9">
        <v>13493442991864.699</v>
      </c>
      <c r="U278591" s="9">
        <v>20533057312000</v>
      </c>
    </row>
    <row r="278592" spans="20:21" x14ac:dyDescent="0.15">
      <c r="T278592" s="9">
        <v>14296370418805.1</v>
      </c>
      <c r="U278592" s="9">
        <v>21380976119000</v>
      </c>
    </row>
    <row r="278593" spans="20:21" x14ac:dyDescent="0.15">
      <c r="T278593" s="9">
        <v>14616414450558.4</v>
      </c>
      <c r="U278593" s="9">
        <v>21060473613000</v>
      </c>
    </row>
    <row r="278594" spans="20:21" x14ac:dyDescent="0.15">
      <c r="T278594" s="9">
        <v>15851132888547.1</v>
      </c>
      <c r="U278594" s="9">
        <v>23315080560000</v>
      </c>
    </row>
    <row r="278595" spans="20:21" x14ac:dyDescent="0.15">
      <c r="T278595" s="9">
        <v>16325209299766.801</v>
      </c>
      <c r="U278595" s="9">
        <v>25462700000000</v>
      </c>
    </row>
    <row r="294913" spans="20:21" x14ac:dyDescent="0.15">
      <c r="T294913" s="9" t="s">
        <v>45</v>
      </c>
      <c r="U294913" s="9" t="s">
        <v>44</v>
      </c>
    </row>
    <row r="294914" spans="20:21" x14ac:dyDescent="0.15">
      <c r="T294914" s="9" t="s">
        <v>43</v>
      </c>
      <c r="U294914" s="9" t="s">
        <v>42</v>
      </c>
    </row>
    <row r="294915" spans="20:21" x14ac:dyDescent="0.15">
      <c r="T294915" s="9" t="s">
        <v>41</v>
      </c>
      <c r="U294915" s="9" t="s">
        <v>40</v>
      </c>
    </row>
    <row r="294916" spans="20:21" x14ac:dyDescent="0.15">
      <c r="T294916" s="9" t="s">
        <v>39</v>
      </c>
      <c r="U294916" s="9" t="s">
        <v>38</v>
      </c>
    </row>
    <row r="294917" spans="20:21" x14ac:dyDescent="0.15">
      <c r="T294917" s="9">
        <v>158907457242.42899</v>
      </c>
      <c r="U294917" s="9">
        <v>543300000000</v>
      </c>
    </row>
    <row r="294918" spans="20:21" x14ac:dyDescent="0.15">
      <c r="T294918" s="9">
        <v>115573393646.185</v>
      </c>
      <c r="U294918" s="9">
        <v>563300000000</v>
      </c>
    </row>
    <row r="294919" spans="20:21" x14ac:dyDescent="0.15">
      <c r="T294919" s="9">
        <v>109124398292.05099</v>
      </c>
      <c r="U294919" s="9">
        <v>605100000000</v>
      </c>
    </row>
    <row r="294920" spans="20:21" x14ac:dyDescent="0.15">
      <c r="T294920" s="9">
        <v>120364211312.289</v>
      </c>
      <c r="U294920" s="9">
        <v>638600000000</v>
      </c>
    </row>
    <row r="294921" spans="20:21" x14ac:dyDescent="0.15">
      <c r="T294921" s="9">
        <v>142246424921.30899</v>
      </c>
      <c r="U294921" s="9">
        <v>685800000000</v>
      </c>
    </row>
    <row r="294922" spans="20:21" x14ac:dyDescent="0.15">
      <c r="T294922" s="9">
        <v>166357193951.10501</v>
      </c>
      <c r="U294922" s="9">
        <v>743700000000</v>
      </c>
    </row>
    <row r="294923" spans="20:21" x14ac:dyDescent="0.15">
      <c r="T294923" s="9">
        <v>184074235104.24799</v>
      </c>
      <c r="U294923" s="9">
        <v>815000000000</v>
      </c>
    </row>
    <row r="294924" spans="20:21" x14ac:dyDescent="0.15">
      <c r="T294924" s="9">
        <v>173453151731.27701</v>
      </c>
      <c r="U294924" s="9">
        <v>861700000000</v>
      </c>
    </row>
    <row r="294925" spans="20:21" x14ac:dyDescent="0.15">
      <c r="T294925" s="9">
        <v>166341572533.69101</v>
      </c>
      <c r="U294925" s="9">
        <v>942500000000</v>
      </c>
    </row>
    <row r="294926" spans="20:21" x14ac:dyDescent="0.15">
      <c r="T294926" s="9">
        <v>194519834914.35999</v>
      </c>
      <c r="U294926" s="9">
        <v>1019900000000</v>
      </c>
    </row>
    <row r="294927" spans="20:21" x14ac:dyDescent="0.15">
      <c r="T294927" s="9">
        <v>232062163046.44</v>
      </c>
      <c r="U294927" s="9">
        <v>1073303000000</v>
      </c>
    </row>
    <row r="294928" spans="20:21" x14ac:dyDescent="0.15">
      <c r="T294928" s="9">
        <v>248445751754.134</v>
      </c>
      <c r="U294928" s="9">
        <v>1164850000000</v>
      </c>
    </row>
    <row r="294929" spans="20:21" x14ac:dyDescent="0.15">
      <c r="T294929" s="9">
        <v>257911534896.49799</v>
      </c>
      <c r="U294929" s="9">
        <v>1279110000000</v>
      </c>
    </row>
    <row r="294930" spans="20:21" x14ac:dyDescent="0.15">
      <c r="T294930" s="9">
        <v>277925470006.599</v>
      </c>
      <c r="U294930" s="9">
        <v>1425376000000</v>
      </c>
    </row>
    <row r="294931" spans="20:21" x14ac:dyDescent="0.15">
      <c r="T294931" s="9">
        <v>284345548371.966</v>
      </c>
      <c r="U294931" s="9">
        <v>1545243000000</v>
      </c>
    </row>
    <row r="294932" spans="20:21" x14ac:dyDescent="0.15">
      <c r="T294932" s="9">
        <v>309140480182.89801</v>
      </c>
      <c r="U294932" s="9">
        <v>1684904000000</v>
      </c>
    </row>
    <row r="294933" spans="20:21" x14ac:dyDescent="0.15">
      <c r="T294933" s="9">
        <v>304286974638.82202</v>
      </c>
      <c r="U294933" s="9">
        <v>1873412000000</v>
      </c>
    </row>
    <row r="294934" spans="20:21" x14ac:dyDescent="0.15">
      <c r="T294934" s="9">
        <v>327321498623.151</v>
      </c>
      <c r="U294934" s="9">
        <v>2081826000000</v>
      </c>
    </row>
    <row r="294935" spans="20:21" x14ac:dyDescent="0.15">
      <c r="T294935" s="9">
        <v>364393859506.91699</v>
      </c>
      <c r="U294935" s="9">
        <v>2351599000000</v>
      </c>
    </row>
    <row r="294936" spans="20:21" x14ac:dyDescent="0.15">
      <c r="T294936" s="9">
        <v>392056180496.07098</v>
      </c>
      <c r="U294936" s="9">
        <v>2627333000000</v>
      </c>
    </row>
    <row r="294937" spans="20:21" x14ac:dyDescent="0.15">
      <c r="T294937" s="9">
        <v>422770430220.08099</v>
      </c>
      <c r="U294937" s="9">
        <v>2857307000000</v>
      </c>
    </row>
    <row r="294938" spans="20:21" x14ac:dyDescent="0.15">
      <c r="T294938" s="9">
        <v>444385672278.89001</v>
      </c>
      <c r="U294938" s="9">
        <v>3207041000000</v>
      </c>
    </row>
    <row r="294939" spans="20:21" x14ac:dyDescent="0.15">
      <c r="T294939" s="9">
        <v>484456434564.98102</v>
      </c>
      <c r="U294939" s="9">
        <v>3343789000000</v>
      </c>
    </row>
    <row r="294940" spans="20:21" x14ac:dyDescent="0.15">
      <c r="T294940" s="9">
        <v>536633373623.745</v>
      </c>
      <c r="U294940" s="9">
        <v>3634038000000</v>
      </c>
    </row>
    <row r="294941" spans="20:21" x14ac:dyDescent="0.15">
      <c r="T294941" s="9">
        <v>618156247357.86304</v>
      </c>
      <c r="U294941" s="9">
        <v>4037613000000</v>
      </c>
    </row>
    <row r="294942" spans="20:21" x14ac:dyDescent="0.15">
      <c r="T294942" s="9">
        <v>701178819512.74402</v>
      </c>
      <c r="U294942" s="9">
        <v>4338979000000</v>
      </c>
    </row>
    <row r="294943" spans="20:21" x14ac:dyDescent="0.15">
      <c r="T294943" s="9">
        <v>763934055759.06604</v>
      </c>
      <c r="U294943" s="9">
        <v>4579631000000</v>
      </c>
    </row>
    <row r="294944" spans="20:21" x14ac:dyDescent="0.15">
      <c r="T294944" s="9">
        <v>852989116696.35205</v>
      </c>
      <c r="U294944" s="9">
        <v>4855215000000</v>
      </c>
    </row>
    <row r="294945" spans="20:21" x14ac:dyDescent="0.15">
      <c r="T294945" s="9">
        <v>948716630508.16699</v>
      </c>
      <c r="U294945" s="9">
        <v>5236438000000</v>
      </c>
    </row>
    <row r="294946" spans="20:21" x14ac:dyDescent="0.15">
      <c r="T294946" s="9">
        <v>988622824073.36694</v>
      </c>
      <c r="U294946" s="9">
        <v>5641580000000</v>
      </c>
    </row>
    <row r="294947" spans="20:21" x14ac:dyDescent="0.15">
      <c r="T294947" s="9">
        <v>1027379323856.15</v>
      </c>
      <c r="U294947" s="9">
        <v>5963144000000</v>
      </c>
    </row>
    <row r="294948" spans="20:21" x14ac:dyDescent="0.15">
      <c r="T294948" s="9">
        <v>1122543272896.8301</v>
      </c>
      <c r="U294948" s="9">
        <v>6158129000000</v>
      </c>
    </row>
    <row r="294949" spans="20:21" x14ac:dyDescent="0.15">
      <c r="T294949" s="9">
        <v>1282219772946.3201</v>
      </c>
      <c r="U294949" s="9">
        <v>6520327000000</v>
      </c>
    </row>
    <row r="294950" spans="20:21" x14ac:dyDescent="0.15">
      <c r="T294950" s="9">
        <v>1460239695280.22</v>
      </c>
      <c r="U294950" s="9">
        <v>6858559000000</v>
      </c>
    </row>
    <row r="294951" spans="20:21" x14ac:dyDescent="0.15">
      <c r="T294951" s="9">
        <v>1650608320717.1299</v>
      </c>
      <c r="U294951" s="9">
        <v>7287236000000</v>
      </c>
    </row>
    <row r="294952" spans="20:21" x14ac:dyDescent="0.15">
      <c r="T294952" s="9">
        <v>1831415202548.1001</v>
      </c>
      <c r="U294952" s="9">
        <v>7639749000000</v>
      </c>
    </row>
    <row r="294953" spans="20:21" x14ac:dyDescent="0.15">
      <c r="T294953" s="9">
        <v>2013138415391.3999</v>
      </c>
      <c r="U294953" s="9">
        <v>8073122000000</v>
      </c>
    </row>
    <row r="294954" spans="20:21" x14ac:dyDescent="0.15">
      <c r="T294954" s="9">
        <v>2199087579734.8799</v>
      </c>
      <c r="U294954" s="9">
        <v>8577554457000</v>
      </c>
    </row>
    <row r="294955" spans="20:21" x14ac:dyDescent="0.15">
      <c r="T294955" s="9">
        <v>2371626931008.4102</v>
      </c>
      <c r="U294955" s="9">
        <v>9062818202000</v>
      </c>
    </row>
    <row r="294956" spans="20:21" x14ac:dyDescent="0.15">
      <c r="T294956" s="9">
        <v>2553332721355.1499</v>
      </c>
      <c r="U294956" s="9">
        <v>9631174489000</v>
      </c>
    </row>
    <row r="294957" spans="20:21" x14ac:dyDescent="0.15">
      <c r="T294957" s="9">
        <v>2770113054357.8301</v>
      </c>
      <c r="U294957" s="9">
        <v>10250947997000</v>
      </c>
    </row>
    <row r="294958" spans="20:21" x14ac:dyDescent="0.15">
      <c r="T294958" s="9">
        <v>3001022295612.3501</v>
      </c>
      <c r="U294958" s="9">
        <v>10581929774000</v>
      </c>
    </row>
    <row r="294959" spans="20:21" x14ac:dyDescent="0.15">
      <c r="T294959" s="9">
        <v>3275124592017.1602</v>
      </c>
      <c r="U294959" s="9">
        <v>10929112955000</v>
      </c>
    </row>
    <row r="294960" spans="20:21" x14ac:dyDescent="0.15">
      <c r="T294960" s="9">
        <v>3603882596858.1099</v>
      </c>
      <c r="U294960" s="9">
        <v>11456442041000</v>
      </c>
    </row>
    <row r="294961" spans="20:21" x14ac:dyDescent="0.15">
      <c r="T294961" s="9">
        <v>3968365637613.6299</v>
      </c>
      <c r="U294961" s="9">
        <v>12217193198000</v>
      </c>
    </row>
    <row r="294962" spans="20:21" x14ac:dyDescent="0.15">
      <c r="T294962" s="9">
        <v>4420544703537.2402</v>
      </c>
      <c r="U294962" s="9">
        <v>13039199193000</v>
      </c>
    </row>
    <row r="294963" spans="20:21" x14ac:dyDescent="0.15">
      <c r="T294963" s="9">
        <v>4982880235433.3896</v>
      </c>
      <c r="U294963" s="9">
        <v>13815586948000</v>
      </c>
    </row>
    <row r="294964" spans="20:21" x14ac:dyDescent="0.15">
      <c r="T294964" s="9">
        <v>5691986992199.8604</v>
      </c>
      <c r="U294964" s="9">
        <v>14474226905000</v>
      </c>
    </row>
    <row r="294965" spans="20:21" x14ac:dyDescent="0.15">
      <c r="T294965" s="9">
        <v>6241302380960.0195</v>
      </c>
      <c r="U294965" s="9">
        <v>14769857911000</v>
      </c>
    </row>
    <row r="294966" spans="20:21" x14ac:dyDescent="0.15">
      <c r="T294966" s="9">
        <v>6827905267633.6299</v>
      </c>
      <c r="U294966" s="9">
        <v>14478064934000</v>
      </c>
    </row>
    <row r="294967" spans="20:21" x14ac:dyDescent="0.15">
      <c r="T294967" s="9">
        <v>7554112468317.7305</v>
      </c>
      <c r="U294967" s="9">
        <v>15048964444000</v>
      </c>
    </row>
    <row r="294968" spans="20:21" x14ac:dyDescent="0.15">
      <c r="T294968" s="9">
        <v>8275593072769.2598</v>
      </c>
      <c r="U294968" s="9">
        <v>15599728123000</v>
      </c>
    </row>
    <row r="294969" spans="20:21" x14ac:dyDescent="0.15">
      <c r="T294969" s="9">
        <v>8926363901575.5605</v>
      </c>
      <c r="U294969" s="9">
        <v>16253972230000</v>
      </c>
    </row>
    <row r="294970" spans="20:21" x14ac:dyDescent="0.15">
      <c r="T294970" s="9">
        <v>9619598720424.4609</v>
      </c>
      <c r="U294970" s="9">
        <v>16843190993000</v>
      </c>
    </row>
    <row r="294971" spans="20:21" x14ac:dyDescent="0.15">
      <c r="T294971" s="9">
        <v>10333927386102.801</v>
      </c>
      <c r="U294971" s="9">
        <v>17550680174000</v>
      </c>
    </row>
    <row r="294972" spans="20:21" x14ac:dyDescent="0.15">
      <c r="T294972" s="9">
        <v>11061573199439.699</v>
      </c>
      <c r="U294972" s="9">
        <v>18206020741000</v>
      </c>
    </row>
    <row r="294973" spans="20:21" x14ac:dyDescent="0.15">
      <c r="T294973" s="9">
        <v>11819154044004.9</v>
      </c>
      <c r="U294973" s="9">
        <v>18695110842000</v>
      </c>
    </row>
    <row r="294974" spans="20:21" x14ac:dyDescent="0.15">
      <c r="T294974" s="9">
        <v>12640254407508.1</v>
      </c>
      <c r="U294974" s="9">
        <v>19477336549000</v>
      </c>
    </row>
    <row r="294975" spans="20:21" x14ac:dyDescent="0.15">
      <c r="T294975" s="9">
        <v>13493442991864.699</v>
      </c>
      <c r="U294975" s="9">
        <v>20533057312000</v>
      </c>
    </row>
    <row r="294976" spans="20:21" x14ac:dyDescent="0.15">
      <c r="T294976" s="9">
        <v>14296370418805.1</v>
      </c>
      <c r="U294976" s="9">
        <v>21380976119000</v>
      </c>
    </row>
    <row r="294977" spans="20:21" x14ac:dyDescent="0.15">
      <c r="T294977" s="9">
        <v>14616414450558.4</v>
      </c>
      <c r="U294977" s="9">
        <v>21060473613000</v>
      </c>
    </row>
    <row r="294978" spans="20:21" x14ac:dyDescent="0.15">
      <c r="T294978" s="9">
        <v>15851132888547.1</v>
      </c>
      <c r="U294978" s="9">
        <v>23315080560000</v>
      </c>
    </row>
    <row r="294979" spans="20:21" x14ac:dyDescent="0.15">
      <c r="T294979" s="9">
        <v>16325209299766.801</v>
      </c>
      <c r="U294979" s="9">
        <v>25462700000000</v>
      </c>
    </row>
    <row r="311297" spans="20:21" x14ac:dyDescent="0.15">
      <c r="T311297" s="9" t="s">
        <v>45</v>
      </c>
      <c r="U311297" s="9" t="s">
        <v>44</v>
      </c>
    </row>
    <row r="311298" spans="20:21" x14ac:dyDescent="0.15">
      <c r="T311298" s="9" t="s">
        <v>43</v>
      </c>
      <c r="U311298" s="9" t="s">
        <v>42</v>
      </c>
    </row>
    <row r="311299" spans="20:21" x14ac:dyDescent="0.15">
      <c r="T311299" s="9" t="s">
        <v>41</v>
      </c>
      <c r="U311299" s="9" t="s">
        <v>40</v>
      </c>
    </row>
    <row r="311300" spans="20:21" x14ac:dyDescent="0.15">
      <c r="T311300" s="9" t="s">
        <v>39</v>
      </c>
      <c r="U311300" s="9" t="s">
        <v>38</v>
      </c>
    </row>
    <row r="311301" spans="20:21" x14ac:dyDescent="0.15">
      <c r="T311301" s="9">
        <v>158907457242.42899</v>
      </c>
      <c r="U311301" s="9">
        <v>543300000000</v>
      </c>
    </row>
    <row r="311302" spans="20:21" x14ac:dyDescent="0.15">
      <c r="T311302" s="9">
        <v>115573393646.185</v>
      </c>
      <c r="U311302" s="9">
        <v>563300000000</v>
      </c>
    </row>
    <row r="311303" spans="20:21" x14ac:dyDescent="0.15">
      <c r="T311303" s="9">
        <v>109124398292.05099</v>
      </c>
      <c r="U311303" s="9">
        <v>605100000000</v>
      </c>
    </row>
    <row r="311304" spans="20:21" x14ac:dyDescent="0.15">
      <c r="T311304" s="9">
        <v>120364211312.289</v>
      </c>
      <c r="U311304" s="9">
        <v>638600000000</v>
      </c>
    </row>
    <row r="311305" spans="20:21" x14ac:dyDescent="0.15">
      <c r="T311305" s="9">
        <v>142246424921.30899</v>
      </c>
      <c r="U311305" s="9">
        <v>685800000000</v>
      </c>
    </row>
    <row r="311306" spans="20:21" x14ac:dyDescent="0.15">
      <c r="T311306" s="9">
        <v>166357193951.10501</v>
      </c>
      <c r="U311306" s="9">
        <v>743700000000</v>
      </c>
    </row>
    <row r="311307" spans="20:21" x14ac:dyDescent="0.15">
      <c r="T311307" s="9">
        <v>184074235104.24799</v>
      </c>
      <c r="U311307" s="9">
        <v>815000000000</v>
      </c>
    </row>
    <row r="311308" spans="20:21" x14ac:dyDescent="0.15">
      <c r="T311308" s="9">
        <v>173453151731.27701</v>
      </c>
      <c r="U311308" s="9">
        <v>861700000000</v>
      </c>
    </row>
    <row r="311309" spans="20:21" x14ac:dyDescent="0.15">
      <c r="T311309" s="9">
        <v>166341572533.69101</v>
      </c>
      <c r="U311309" s="9">
        <v>942500000000</v>
      </c>
    </row>
    <row r="311310" spans="20:21" x14ac:dyDescent="0.15">
      <c r="T311310" s="9">
        <v>194519834914.35999</v>
      </c>
      <c r="U311310" s="9">
        <v>1019900000000</v>
      </c>
    </row>
    <row r="311311" spans="20:21" x14ac:dyDescent="0.15">
      <c r="T311311" s="9">
        <v>232062163046.44</v>
      </c>
      <c r="U311311" s="9">
        <v>1073303000000</v>
      </c>
    </row>
    <row r="311312" spans="20:21" x14ac:dyDescent="0.15">
      <c r="T311312" s="9">
        <v>248445751754.134</v>
      </c>
      <c r="U311312" s="9">
        <v>1164850000000</v>
      </c>
    </row>
    <row r="311313" spans="20:21" x14ac:dyDescent="0.15">
      <c r="T311313" s="9">
        <v>257911534896.49799</v>
      </c>
      <c r="U311313" s="9">
        <v>1279110000000</v>
      </c>
    </row>
    <row r="311314" spans="20:21" x14ac:dyDescent="0.15">
      <c r="T311314" s="9">
        <v>277925470006.599</v>
      </c>
      <c r="U311314" s="9">
        <v>1425376000000</v>
      </c>
    </row>
    <row r="311315" spans="20:21" x14ac:dyDescent="0.15">
      <c r="T311315" s="9">
        <v>284345548371.966</v>
      </c>
      <c r="U311315" s="9">
        <v>1545243000000</v>
      </c>
    </row>
    <row r="311316" spans="20:21" x14ac:dyDescent="0.15">
      <c r="T311316" s="9">
        <v>309140480182.89801</v>
      </c>
      <c r="U311316" s="9">
        <v>1684904000000</v>
      </c>
    </row>
    <row r="311317" spans="20:21" x14ac:dyDescent="0.15">
      <c r="T311317" s="9">
        <v>304286974638.82202</v>
      </c>
      <c r="U311317" s="9">
        <v>1873412000000</v>
      </c>
    </row>
    <row r="311318" spans="20:21" x14ac:dyDescent="0.15">
      <c r="T311318" s="9">
        <v>327321498623.151</v>
      </c>
      <c r="U311318" s="9">
        <v>2081826000000</v>
      </c>
    </row>
    <row r="311319" spans="20:21" x14ac:dyDescent="0.15">
      <c r="T311319" s="9">
        <v>364393859506.91699</v>
      </c>
      <c r="U311319" s="9">
        <v>2351599000000</v>
      </c>
    </row>
    <row r="311320" spans="20:21" x14ac:dyDescent="0.15">
      <c r="T311320" s="9">
        <v>392056180496.07098</v>
      </c>
      <c r="U311320" s="9">
        <v>2627333000000</v>
      </c>
    </row>
    <row r="311321" spans="20:21" x14ac:dyDescent="0.15">
      <c r="T311321" s="9">
        <v>422770430220.08099</v>
      </c>
      <c r="U311321" s="9">
        <v>2857307000000</v>
      </c>
    </row>
    <row r="311322" spans="20:21" x14ac:dyDescent="0.15">
      <c r="T311322" s="9">
        <v>444385672278.89001</v>
      </c>
      <c r="U311322" s="9">
        <v>3207041000000</v>
      </c>
    </row>
    <row r="311323" spans="20:21" x14ac:dyDescent="0.15">
      <c r="T311323" s="9">
        <v>484456434564.98102</v>
      </c>
      <c r="U311323" s="9">
        <v>3343789000000</v>
      </c>
    </row>
    <row r="311324" spans="20:21" x14ac:dyDescent="0.15">
      <c r="T311324" s="9">
        <v>536633373623.745</v>
      </c>
      <c r="U311324" s="9">
        <v>3634038000000</v>
      </c>
    </row>
    <row r="311325" spans="20:21" x14ac:dyDescent="0.15">
      <c r="T311325" s="9">
        <v>618156247357.86304</v>
      </c>
      <c r="U311325" s="9">
        <v>4037613000000</v>
      </c>
    </row>
    <row r="311326" spans="20:21" x14ac:dyDescent="0.15">
      <c r="T311326" s="9">
        <v>701178819512.74402</v>
      </c>
      <c r="U311326" s="9">
        <v>4338979000000</v>
      </c>
    </row>
    <row r="311327" spans="20:21" x14ac:dyDescent="0.15">
      <c r="T311327" s="9">
        <v>763934055759.06604</v>
      </c>
      <c r="U311327" s="9">
        <v>4579631000000</v>
      </c>
    </row>
    <row r="311328" spans="20:21" x14ac:dyDescent="0.15">
      <c r="T311328" s="9">
        <v>852989116696.35205</v>
      </c>
      <c r="U311328" s="9">
        <v>4855215000000</v>
      </c>
    </row>
    <row r="311329" spans="20:21" x14ac:dyDescent="0.15">
      <c r="T311329" s="9">
        <v>948716630508.16699</v>
      </c>
      <c r="U311329" s="9">
        <v>5236438000000</v>
      </c>
    </row>
    <row r="311330" spans="20:21" x14ac:dyDescent="0.15">
      <c r="T311330" s="9">
        <v>988622824073.36694</v>
      </c>
      <c r="U311330" s="9">
        <v>5641580000000</v>
      </c>
    </row>
    <row r="311331" spans="20:21" x14ac:dyDescent="0.15">
      <c r="T311331" s="9">
        <v>1027379323856.15</v>
      </c>
      <c r="U311331" s="9">
        <v>5963144000000</v>
      </c>
    </row>
    <row r="311332" spans="20:21" x14ac:dyDescent="0.15">
      <c r="T311332" s="9">
        <v>1122543272896.8301</v>
      </c>
      <c r="U311332" s="9">
        <v>6158129000000</v>
      </c>
    </row>
    <row r="311333" spans="20:21" x14ac:dyDescent="0.15">
      <c r="T311333" s="9">
        <v>1282219772946.3201</v>
      </c>
      <c r="U311333" s="9">
        <v>6520327000000</v>
      </c>
    </row>
    <row r="311334" spans="20:21" x14ac:dyDescent="0.15">
      <c r="T311334" s="9">
        <v>1460239695280.22</v>
      </c>
      <c r="U311334" s="9">
        <v>6858559000000</v>
      </c>
    </row>
    <row r="311335" spans="20:21" x14ac:dyDescent="0.15">
      <c r="T311335" s="9">
        <v>1650608320717.1299</v>
      </c>
      <c r="U311335" s="9">
        <v>7287236000000</v>
      </c>
    </row>
    <row r="311336" spans="20:21" x14ac:dyDescent="0.15">
      <c r="T311336" s="9">
        <v>1831415202548.1001</v>
      </c>
      <c r="U311336" s="9">
        <v>7639749000000</v>
      </c>
    </row>
    <row r="311337" spans="20:21" x14ac:dyDescent="0.15">
      <c r="T311337" s="9">
        <v>2013138415391.3999</v>
      </c>
      <c r="U311337" s="9">
        <v>8073122000000</v>
      </c>
    </row>
    <row r="311338" spans="20:21" x14ac:dyDescent="0.15">
      <c r="T311338" s="9">
        <v>2199087579734.8799</v>
      </c>
      <c r="U311338" s="9">
        <v>8577554457000</v>
      </c>
    </row>
    <row r="311339" spans="20:21" x14ac:dyDescent="0.15">
      <c r="T311339" s="9">
        <v>2371626931008.4102</v>
      </c>
      <c r="U311339" s="9">
        <v>9062818202000</v>
      </c>
    </row>
    <row r="311340" spans="20:21" x14ac:dyDescent="0.15">
      <c r="T311340" s="9">
        <v>2553332721355.1499</v>
      </c>
      <c r="U311340" s="9">
        <v>9631174489000</v>
      </c>
    </row>
    <row r="311341" spans="20:21" x14ac:dyDescent="0.15">
      <c r="T311341" s="9">
        <v>2770113054357.8301</v>
      </c>
      <c r="U311341" s="9">
        <v>10250947997000</v>
      </c>
    </row>
    <row r="311342" spans="20:21" x14ac:dyDescent="0.15">
      <c r="T311342" s="9">
        <v>3001022295612.3501</v>
      </c>
      <c r="U311342" s="9">
        <v>10581929774000</v>
      </c>
    </row>
    <row r="311343" spans="20:21" x14ac:dyDescent="0.15">
      <c r="T311343" s="9">
        <v>3275124592017.1602</v>
      </c>
      <c r="U311343" s="9">
        <v>10929112955000</v>
      </c>
    </row>
    <row r="311344" spans="20:21" x14ac:dyDescent="0.15">
      <c r="T311344" s="9">
        <v>3603882596858.1099</v>
      </c>
      <c r="U311344" s="9">
        <v>11456442041000</v>
      </c>
    </row>
    <row r="311345" spans="20:21" x14ac:dyDescent="0.15">
      <c r="T311345" s="9">
        <v>3968365637613.6299</v>
      </c>
      <c r="U311345" s="9">
        <v>12217193198000</v>
      </c>
    </row>
    <row r="311346" spans="20:21" x14ac:dyDescent="0.15">
      <c r="T311346" s="9">
        <v>4420544703537.2402</v>
      </c>
      <c r="U311346" s="9">
        <v>13039199193000</v>
      </c>
    </row>
    <row r="311347" spans="20:21" x14ac:dyDescent="0.15">
      <c r="T311347" s="9">
        <v>4982880235433.3896</v>
      </c>
      <c r="U311347" s="9">
        <v>13815586948000</v>
      </c>
    </row>
    <row r="311348" spans="20:21" x14ac:dyDescent="0.15">
      <c r="T311348" s="9">
        <v>5691986992199.8604</v>
      </c>
      <c r="U311348" s="9">
        <v>14474226905000</v>
      </c>
    </row>
    <row r="311349" spans="20:21" x14ac:dyDescent="0.15">
      <c r="T311349" s="9">
        <v>6241302380960.0195</v>
      </c>
      <c r="U311349" s="9">
        <v>14769857911000</v>
      </c>
    </row>
    <row r="311350" spans="20:21" x14ac:dyDescent="0.15">
      <c r="T311350" s="9">
        <v>6827905267633.6299</v>
      </c>
      <c r="U311350" s="9">
        <v>14478064934000</v>
      </c>
    </row>
    <row r="311351" spans="20:21" x14ac:dyDescent="0.15">
      <c r="T311351" s="9">
        <v>7554112468317.7305</v>
      </c>
      <c r="U311351" s="9">
        <v>15048964444000</v>
      </c>
    </row>
    <row r="311352" spans="20:21" x14ac:dyDescent="0.15">
      <c r="T311352" s="9">
        <v>8275593072769.2598</v>
      </c>
      <c r="U311352" s="9">
        <v>15599728123000</v>
      </c>
    </row>
    <row r="311353" spans="20:21" x14ac:dyDescent="0.15">
      <c r="T311353" s="9">
        <v>8926363901575.5605</v>
      </c>
      <c r="U311353" s="9">
        <v>16253972230000</v>
      </c>
    </row>
    <row r="311354" spans="20:21" x14ac:dyDescent="0.15">
      <c r="T311354" s="9">
        <v>9619598720424.4609</v>
      </c>
      <c r="U311354" s="9">
        <v>16843190993000</v>
      </c>
    </row>
    <row r="311355" spans="20:21" x14ac:dyDescent="0.15">
      <c r="T311355" s="9">
        <v>10333927386102.801</v>
      </c>
      <c r="U311355" s="9">
        <v>17550680174000</v>
      </c>
    </row>
    <row r="311356" spans="20:21" x14ac:dyDescent="0.15">
      <c r="T311356" s="9">
        <v>11061573199439.699</v>
      </c>
      <c r="U311356" s="9">
        <v>18206020741000</v>
      </c>
    </row>
    <row r="311357" spans="20:21" x14ac:dyDescent="0.15">
      <c r="T311357" s="9">
        <v>11819154044004.9</v>
      </c>
      <c r="U311357" s="9">
        <v>18695110842000</v>
      </c>
    </row>
    <row r="311358" spans="20:21" x14ac:dyDescent="0.15">
      <c r="T311358" s="9">
        <v>12640254407508.1</v>
      </c>
      <c r="U311358" s="9">
        <v>19477336549000</v>
      </c>
    </row>
    <row r="311359" spans="20:21" x14ac:dyDescent="0.15">
      <c r="T311359" s="9">
        <v>13493442991864.699</v>
      </c>
      <c r="U311359" s="9">
        <v>20533057312000</v>
      </c>
    </row>
    <row r="311360" spans="20:21" x14ac:dyDescent="0.15">
      <c r="T311360" s="9">
        <v>14296370418805.1</v>
      </c>
      <c r="U311360" s="9">
        <v>21380976119000</v>
      </c>
    </row>
    <row r="311361" spans="20:21" x14ac:dyDescent="0.15">
      <c r="T311361" s="9">
        <v>14616414450558.4</v>
      </c>
      <c r="U311361" s="9">
        <v>21060473613000</v>
      </c>
    </row>
    <row r="311362" spans="20:21" x14ac:dyDescent="0.15">
      <c r="T311362" s="9">
        <v>15851132888547.1</v>
      </c>
      <c r="U311362" s="9">
        <v>23315080560000</v>
      </c>
    </row>
    <row r="311363" spans="20:21" x14ac:dyDescent="0.15">
      <c r="T311363" s="9">
        <v>16325209299766.801</v>
      </c>
      <c r="U311363" s="9">
        <v>25462700000000</v>
      </c>
    </row>
    <row r="327681" spans="20:21" x14ac:dyDescent="0.15">
      <c r="T327681" s="9" t="s">
        <v>45</v>
      </c>
      <c r="U327681" s="9" t="s">
        <v>44</v>
      </c>
    </row>
    <row r="327682" spans="20:21" x14ac:dyDescent="0.15">
      <c r="T327682" s="9" t="s">
        <v>43</v>
      </c>
      <c r="U327682" s="9" t="s">
        <v>42</v>
      </c>
    </row>
    <row r="327683" spans="20:21" x14ac:dyDescent="0.15">
      <c r="T327683" s="9" t="s">
        <v>41</v>
      </c>
      <c r="U327683" s="9" t="s">
        <v>40</v>
      </c>
    </row>
    <row r="327684" spans="20:21" x14ac:dyDescent="0.15">
      <c r="T327684" s="9" t="s">
        <v>39</v>
      </c>
      <c r="U327684" s="9" t="s">
        <v>38</v>
      </c>
    </row>
    <row r="327685" spans="20:21" x14ac:dyDescent="0.15">
      <c r="T327685" s="9">
        <v>158907457242.42899</v>
      </c>
      <c r="U327685" s="9">
        <v>543300000000</v>
      </c>
    </row>
    <row r="327686" spans="20:21" x14ac:dyDescent="0.15">
      <c r="T327686" s="9">
        <v>115573393646.185</v>
      </c>
      <c r="U327686" s="9">
        <v>563300000000</v>
      </c>
    </row>
    <row r="327687" spans="20:21" x14ac:dyDescent="0.15">
      <c r="T327687" s="9">
        <v>109124398292.05099</v>
      </c>
      <c r="U327687" s="9">
        <v>605100000000</v>
      </c>
    </row>
    <row r="327688" spans="20:21" x14ac:dyDescent="0.15">
      <c r="T327688" s="9">
        <v>120364211312.289</v>
      </c>
      <c r="U327688" s="9">
        <v>638600000000</v>
      </c>
    </row>
    <row r="327689" spans="20:21" x14ac:dyDescent="0.15">
      <c r="T327689" s="9">
        <v>142246424921.30899</v>
      </c>
      <c r="U327689" s="9">
        <v>685800000000</v>
      </c>
    </row>
    <row r="327690" spans="20:21" x14ac:dyDescent="0.15">
      <c r="T327690" s="9">
        <v>166357193951.10501</v>
      </c>
      <c r="U327690" s="9">
        <v>743700000000</v>
      </c>
    </row>
    <row r="327691" spans="20:21" x14ac:dyDescent="0.15">
      <c r="T327691" s="9">
        <v>184074235104.24799</v>
      </c>
      <c r="U327691" s="9">
        <v>815000000000</v>
      </c>
    </row>
    <row r="327692" spans="20:21" x14ac:dyDescent="0.15">
      <c r="T327692" s="9">
        <v>173453151731.27701</v>
      </c>
      <c r="U327692" s="9">
        <v>861700000000</v>
      </c>
    </row>
    <row r="327693" spans="20:21" x14ac:dyDescent="0.15">
      <c r="T327693" s="9">
        <v>166341572533.69101</v>
      </c>
      <c r="U327693" s="9">
        <v>942500000000</v>
      </c>
    </row>
    <row r="327694" spans="20:21" x14ac:dyDescent="0.15">
      <c r="T327694" s="9">
        <v>194519834914.35999</v>
      </c>
      <c r="U327694" s="9">
        <v>1019900000000</v>
      </c>
    </row>
    <row r="327695" spans="20:21" x14ac:dyDescent="0.15">
      <c r="T327695" s="9">
        <v>232062163046.44</v>
      </c>
      <c r="U327695" s="9">
        <v>1073303000000</v>
      </c>
    </row>
    <row r="327696" spans="20:21" x14ac:dyDescent="0.15">
      <c r="T327696" s="9">
        <v>248445751754.134</v>
      </c>
      <c r="U327696" s="9">
        <v>1164850000000</v>
      </c>
    </row>
    <row r="327697" spans="20:21" x14ac:dyDescent="0.15">
      <c r="T327697" s="9">
        <v>257911534896.49799</v>
      </c>
      <c r="U327697" s="9">
        <v>1279110000000</v>
      </c>
    </row>
    <row r="327698" spans="20:21" x14ac:dyDescent="0.15">
      <c r="T327698" s="9">
        <v>277925470006.599</v>
      </c>
      <c r="U327698" s="9">
        <v>1425376000000</v>
      </c>
    </row>
    <row r="327699" spans="20:21" x14ac:dyDescent="0.15">
      <c r="T327699" s="9">
        <v>284345548371.966</v>
      </c>
      <c r="U327699" s="9">
        <v>1545243000000</v>
      </c>
    </row>
    <row r="327700" spans="20:21" x14ac:dyDescent="0.15">
      <c r="T327700" s="9">
        <v>309140480182.89801</v>
      </c>
      <c r="U327700" s="9">
        <v>1684904000000</v>
      </c>
    </row>
    <row r="327701" spans="20:21" x14ac:dyDescent="0.15">
      <c r="T327701" s="9">
        <v>304286974638.82202</v>
      </c>
      <c r="U327701" s="9">
        <v>1873412000000</v>
      </c>
    </row>
    <row r="327702" spans="20:21" x14ac:dyDescent="0.15">
      <c r="T327702" s="9">
        <v>327321498623.151</v>
      </c>
      <c r="U327702" s="9">
        <v>2081826000000</v>
      </c>
    </row>
    <row r="327703" spans="20:21" x14ac:dyDescent="0.15">
      <c r="T327703" s="9">
        <v>364393859506.91699</v>
      </c>
      <c r="U327703" s="9">
        <v>2351599000000</v>
      </c>
    </row>
    <row r="327704" spans="20:21" x14ac:dyDescent="0.15">
      <c r="T327704" s="9">
        <v>392056180496.07098</v>
      </c>
      <c r="U327704" s="9">
        <v>2627333000000</v>
      </c>
    </row>
    <row r="327705" spans="20:21" x14ac:dyDescent="0.15">
      <c r="T327705" s="9">
        <v>422770430220.08099</v>
      </c>
      <c r="U327705" s="9">
        <v>2857307000000</v>
      </c>
    </row>
    <row r="327706" spans="20:21" x14ac:dyDescent="0.15">
      <c r="T327706" s="9">
        <v>444385672278.89001</v>
      </c>
      <c r="U327706" s="9">
        <v>3207041000000</v>
      </c>
    </row>
    <row r="327707" spans="20:21" x14ac:dyDescent="0.15">
      <c r="T327707" s="9">
        <v>484456434564.98102</v>
      </c>
      <c r="U327707" s="9">
        <v>3343789000000</v>
      </c>
    </row>
    <row r="327708" spans="20:21" x14ac:dyDescent="0.15">
      <c r="T327708" s="9">
        <v>536633373623.745</v>
      </c>
      <c r="U327708" s="9">
        <v>3634038000000</v>
      </c>
    </row>
    <row r="327709" spans="20:21" x14ac:dyDescent="0.15">
      <c r="T327709" s="9">
        <v>618156247357.86304</v>
      </c>
      <c r="U327709" s="9">
        <v>4037613000000</v>
      </c>
    </row>
    <row r="327710" spans="20:21" x14ac:dyDescent="0.15">
      <c r="T327710" s="9">
        <v>701178819512.74402</v>
      </c>
      <c r="U327710" s="9">
        <v>4338979000000</v>
      </c>
    </row>
    <row r="327711" spans="20:21" x14ac:dyDescent="0.15">
      <c r="T327711" s="9">
        <v>763934055759.06604</v>
      </c>
      <c r="U327711" s="9">
        <v>4579631000000</v>
      </c>
    </row>
    <row r="327712" spans="20:21" x14ac:dyDescent="0.15">
      <c r="T327712" s="9">
        <v>852989116696.35205</v>
      </c>
      <c r="U327712" s="9">
        <v>4855215000000</v>
      </c>
    </row>
    <row r="327713" spans="20:21" x14ac:dyDescent="0.15">
      <c r="T327713" s="9">
        <v>948716630508.16699</v>
      </c>
      <c r="U327713" s="9">
        <v>5236438000000</v>
      </c>
    </row>
    <row r="327714" spans="20:21" x14ac:dyDescent="0.15">
      <c r="T327714" s="9">
        <v>988622824073.36694</v>
      </c>
      <c r="U327714" s="9">
        <v>5641580000000</v>
      </c>
    </row>
    <row r="327715" spans="20:21" x14ac:dyDescent="0.15">
      <c r="T327715" s="9">
        <v>1027379323856.15</v>
      </c>
      <c r="U327715" s="9">
        <v>5963144000000</v>
      </c>
    </row>
    <row r="327716" spans="20:21" x14ac:dyDescent="0.15">
      <c r="T327716" s="9">
        <v>1122543272896.8301</v>
      </c>
      <c r="U327716" s="9">
        <v>6158129000000</v>
      </c>
    </row>
    <row r="327717" spans="20:21" x14ac:dyDescent="0.15">
      <c r="T327717" s="9">
        <v>1282219772946.3201</v>
      </c>
      <c r="U327717" s="9">
        <v>6520327000000</v>
      </c>
    </row>
    <row r="327718" spans="20:21" x14ac:dyDescent="0.15">
      <c r="T327718" s="9">
        <v>1460239695280.22</v>
      </c>
      <c r="U327718" s="9">
        <v>6858559000000</v>
      </c>
    </row>
    <row r="327719" spans="20:21" x14ac:dyDescent="0.15">
      <c r="T327719" s="9">
        <v>1650608320717.1299</v>
      </c>
      <c r="U327719" s="9">
        <v>7287236000000</v>
      </c>
    </row>
    <row r="327720" spans="20:21" x14ac:dyDescent="0.15">
      <c r="T327720" s="9">
        <v>1831415202548.1001</v>
      </c>
      <c r="U327720" s="9">
        <v>7639749000000</v>
      </c>
    </row>
    <row r="327721" spans="20:21" x14ac:dyDescent="0.15">
      <c r="T327721" s="9">
        <v>2013138415391.3999</v>
      </c>
      <c r="U327721" s="9">
        <v>8073122000000</v>
      </c>
    </row>
    <row r="327722" spans="20:21" x14ac:dyDescent="0.15">
      <c r="T327722" s="9">
        <v>2199087579734.8799</v>
      </c>
      <c r="U327722" s="9">
        <v>8577554457000</v>
      </c>
    </row>
    <row r="327723" spans="20:21" x14ac:dyDescent="0.15">
      <c r="T327723" s="9">
        <v>2371626931008.4102</v>
      </c>
      <c r="U327723" s="9">
        <v>9062818202000</v>
      </c>
    </row>
    <row r="327724" spans="20:21" x14ac:dyDescent="0.15">
      <c r="T327724" s="9">
        <v>2553332721355.1499</v>
      </c>
      <c r="U327724" s="9">
        <v>9631174489000</v>
      </c>
    </row>
    <row r="327725" spans="20:21" x14ac:dyDescent="0.15">
      <c r="T327725" s="9">
        <v>2770113054357.8301</v>
      </c>
      <c r="U327725" s="9">
        <v>10250947997000</v>
      </c>
    </row>
    <row r="327726" spans="20:21" x14ac:dyDescent="0.15">
      <c r="T327726" s="9">
        <v>3001022295612.3501</v>
      </c>
      <c r="U327726" s="9">
        <v>10581929774000</v>
      </c>
    </row>
    <row r="327727" spans="20:21" x14ac:dyDescent="0.15">
      <c r="T327727" s="9">
        <v>3275124592017.1602</v>
      </c>
      <c r="U327727" s="9">
        <v>10929112955000</v>
      </c>
    </row>
    <row r="327728" spans="20:21" x14ac:dyDescent="0.15">
      <c r="T327728" s="9">
        <v>3603882596858.1099</v>
      </c>
      <c r="U327728" s="9">
        <v>11456442041000</v>
      </c>
    </row>
    <row r="327729" spans="20:21" x14ac:dyDescent="0.15">
      <c r="T327729" s="9">
        <v>3968365637613.6299</v>
      </c>
      <c r="U327729" s="9">
        <v>12217193198000</v>
      </c>
    </row>
    <row r="327730" spans="20:21" x14ac:dyDescent="0.15">
      <c r="T327730" s="9">
        <v>4420544703537.2402</v>
      </c>
      <c r="U327730" s="9">
        <v>13039199193000</v>
      </c>
    </row>
    <row r="327731" spans="20:21" x14ac:dyDescent="0.15">
      <c r="T327731" s="9">
        <v>4982880235433.3896</v>
      </c>
      <c r="U327731" s="9">
        <v>13815586948000</v>
      </c>
    </row>
    <row r="327732" spans="20:21" x14ac:dyDescent="0.15">
      <c r="T327732" s="9">
        <v>5691986992199.8604</v>
      </c>
      <c r="U327732" s="9">
        <v>14474226905000</v>
      </c>
    </row>
    <row r="327733" spans="20:21" x14ac:dyDescent="0.15">
      <c r="T327733" s="9">
        <v>6241302380960.0195</v>
      </c>
      <c r="U327733" s="9">
        <v>14769857911000</v>
      </c>
    </row>
    <row r="327734" spans="20:21" x14ac:dyDescent="0.15">
      <c r="T327734" s="9">
        <v>6827905267633.6299</v>
      </c>
      <c r="U327734" s="9">
        <v>14478064934000</v>
      </c>
    </row>
    <row r="327735" spans="20:21" x14ac:dyDescent="0.15">
      <c r="T327735" s="9">
        <v>7554112468317.7305</v>
      </c>
      <c r="U327735" s="9">
        <v>15048964444000</v>
      </c>
    </row>
    <row r="327736" spans="20:21" x14ac:dyDescent="0.15">
      <c r="T327736" s="9">
        <v>8275593072769.2598</v>
      </c>
      <c r="U327736" s="9">
        <v>15599728123000</v>
      </c>
    </row>
    <row r="327737" spans="20:21" x14ac:dyDescent="0.15">
      <c r="T327737" s="9">
        <v>8926363901575.5605</v>
      </c>
      <c r="U327737" s="9">
        <v>16253972230000</v>
      </c>
    </row>
    <row r="327738" spans="20:21" x14ac:dyDescent="0.15">
      <c r="T327738" s="9">
        <v>9619598720424.4609</v>
      </c>
      <c r="U327738" s="9">
        <v>16843190993000</v>
      </c>
    </row>
    <row r="327739" spans="20:21" x14ac:dyDescent="0.15">
      <c r="T327739" s="9">
        <v>10333927386102.801</v>
      </c>
      <c r="U327739" s="9">
        <v>17550680174000</v>
      </c>
    </row>
    <row r="327740" spans="20:21" x14ac:dyDescent="0.15">
      <c r="T327740" s="9">
        <v>11061573199439.699</v>
      </c>
      <c r="U327740" s="9">
        <v>18206020741000</v>
      </c>
    </row>
    <row r="327741" spans="20:21" x14ac:dyDescent="0.15">
      <c r="T327741" s="9">
        <v>11819154044004.9</v>
      </c>
      <c r="U327741" s="9">
        <v>18695110842000</v>
      </c>
    </row>
    <row r="327742" spans="20:21" x14ac:dyDescent="0.15">
      <c r="T327742" s="9">
        <v>12640254407508.1</v>
      </c>
      <c r="U327742" s="9">
        <v>19477336549000</v>
      </c>
    </row>
    <row r="327743" spans="20:21" x14ac:dyDescent="0.15">
      <c r="T327743" s="9">
        <v>13493442991864.699</v>
      </c>
      <c r="U327743" s="9">
        <v>20533057312000</v>
      </c>
    </row>
    <row r="327744" spans="20:21" x14ac:dyDescent="0.15">
      <c r="T327744" s="9">
        <v>14296370418805.1</v>
      </c>
      <c r="U327744" s="9">
        <v>21380976119000</v>
      </c>
    </row>
    <row r="327745" spans="20:21" x14ac:dyDescent="0.15">
      <c r="T327745" s="9">
        <v>14616414450558.4</v>
      </c>
      <c r="U327745" s="9">
        <v>21060473613000</v>
      </c>
    </row>
    <row r="327746" spans="20:21" x14ac:dyDescent="0.15">
      <c r="T327746" s="9">
        <v>15851132888547.1</v>
      </c>
      <c r="U327746" s="9">
        <v>23315080560000</v>
      </c>
    </row>
    <row r="327747" spans="20:21" x14ac:dyDescent="0.15">
      <c r="T327747" s="9">
        <v>16325209299766.801</v>
      </c>
      <c r="U327747" s="9">
        <v>25462700000000</v>
      </c>
    </row>
    <row r="344065" spans="20:21" x14ac:dyDescent="0.15">
      <c r="T344065" s="9" t="s">
        <v>45</v>
      </c>
      <c r="U344065" s="9" t="s">
        <v>44</v>
      </c>
    </row>
    <row r="344066" spans="20:21" x14ac:dyDescent="0.15">
      <c r="T344066" s="9" t="s">
        <v>43</v>
      </c>
      <c r="U344066" s="9" t="s">
        <v>42</v>
      </c>
    </row>
    <row r="344067" spans="20:21" x14ac:dyDescent="0.15">
      <c r="T344067" s="9" t="s">
        <v>41</v>
      </c>
      <c r="U344067" s="9" t="s">
        <v>40</v>
      </c>
    </row>
    <row r="344068" spans="20:21" x14ac:dyDescent="0.15">
      <c r="T344068" s="9" t="s">
        <v>39</v>
      </c>
      <c r="U344068" s="9" t="s">
        <v>38</v>
      </c>
    </row>
    <row r="344069" spans="20:21" x14ac:dyDescent="0.15">
      <c r="T344069" s="9">
        <v>158907457242.42899</v>
      </c>
      <c r="U344069" s="9">
        <v>543300000000</v>
      </c>
    </row>
    <row r="344070" spans="20:21" x14ac:dyDescent="0.15">
      <c r="T344070" s="9">
        <v>115573393646.185</v>
      </c>
      <c r="U344070" s="9">
        <v>563300000000</v>
      </c>
    </row>
    <row r="344071" spans="20:21" x14ac:dyDescent="0.15">
      <c r="T344071" s="9">
        <v>109124398292.05099</v>
      </c>
      <c r="U344071" s="9">
        <v>605100000000</v>
      </c>
    </row>
    <row r="344072" spans="20:21" x14ac:dyDescent="0.15">
      <c r="T344072" s="9">
        <v>120364211312.289</v>
      </c>
      <c r="U344072" s="9">
        <v>638600000000</v>
      </c>
    </row>
    <row r="344073" spans="20:21" x14ac:dyDescent="0.15">
      <c r="T344073" s="9">
        <v>142246424921.30899</v>
      </c>
      <c r="U344073" s="9">
        <v>685800000000</v>
      </c>
    </row>
    <row r="344074" spans="20:21" x14ac:dyDescent="0.15">
      <c r="T344074" s="9">
        <v>166357193951.10501</v>
      </c>
      <c r="U344074" s="9">
        <v>743700000000</v>
      </c>
    </row>
    <row r="344075" spans="20:21" x14ac:dyDescent="0.15">
      <c r="T344075" s="9">
        <v>184074235104.24799</v>
      </c>
      <c r="U344075" s="9">
        <v>815000000000</v>
      </c>
    </row>
    <row r="344076" spans="20:21" x14ac:dyDescent="0.15">
      <c r="T344076" s="9">
        <v>173453151731.27701</v>
      </c>
      <c r="U344076" s="9">
        <v>861700000000</v>
      </c>
    </row>
    <row r="344077" spans="20:21" x14ac:dyDescent="0.15">
      <c r="T344077" s="9">
        <v>166341572533.69101</v>
      </c>
      <c r="U344077" s="9">
        <v>942500000000</v>
      </c>
    </row>
    <row r="344078" spans="20:21" x14ac:dyDescent="0.15">
      <c r="T344078" s="9">
        <v>194519834914.35999</v>
      </c>
      <c r="U344078" s="9">
        <v>1019900000000</v>
      </c>
    </row>
    <row r="344079" spans="20:21" x14ac:dyDescent="0.15">
      <c r="T344079" s="9">
        <v>232062163046.44</v>
      </c>
      <c r="U344079" s="9">
        <v>1073303000000</v>
      </c>
    </row>
    <row r="344080" spans="20:21" x14ac:dyDescent="0.15">
      <c r="T344080" s="9">
        <v>248445751754.134</v>
      </c>
      <c r="U344080" s="9">
        <v>1164850000000</v>
      </c>
    </row>
    <row r="344081" spans="20:21" x14ac:dyDescent="0.15">
      <c r="T344081" s="9">
        <v>257911534896.49799</v>
      </c>
      <c r="U344081" s="9">
        <v>1279110000000</v>
      </c>
    </row>
    <row r="344082" spans="20:21" x14ac:dyDescent="0.15">
      <c r="T344082" s="9">
        <v>277925470006.599</v>
      </c>
      <c r="U344082" s="9">
        <v>1425376000000</v>
      </c>
    </row>
    <row r="344083" spans="20:21" x14ac:dyDescent="0.15">
      <c r="T344083" s="9">
        <v>284345548371.966</v>
      </c>
      <c r="U344083" s="9">
        <v>1545243000000</v>
      </c>
    </row>
    <row r="344084" spans="20:21" x14ac:dyDescent="0.15">
      <c r="T344084" s="9">
        <v>309140480182.89801</v>
      </c>
      <c r="U344084" s="9">
        <v>1684904000000</v>
      </c>
    </row>
    <row r="344085" spans="20:21" x14ac:dyDescent="0.15">
      <c r="T344085" s="9">
        <v>304286974638.82202</v>
      </c>
      <c r="U344085" s="9">
        <v>1873412000000</v>
      </c>
    </row>
    <row r="344086" spans="20:21" x14ac:dyDescent="0.15">
      <c r="T344086" s="9">
        <v>327321498623.151</v>
      </c>
      <c r="U344086" s="9">
        <v>2081826000000</v>
      </c>
    </row>
    <row r="344087" spans="20:21" x14ac:dyDescent="0.15">
      <c r="T344087" s="9">
        <v>364393859506.91699</v>
      </c>
      <c r="U344087" s="9">
        <v>2351599000000</v>
      </c>
    </row>
    <row r="344088" spans="20:21" x14ac:dyDescent="0.15">
      <c r="T344088" s="9">
        <v>392056180496.07098</v>
      </c>
      <c r="U344088" s="9">
        <v>2627333000000</v>
      </c>
    </row>
    <row r="344089" spans="20:21" x14ac:dyDescent="0.15">
      <c r="T344089" s="9">
        <v>422770430220.08099</v>
      </c>
      <c r="U344089" s="9">
        <v>2857307000000</v>
      </c>
    </row>
    <row r="344090" spans="20:21" x14ac:dyDescent="0.15">
      <c r="T344090" s="9">
        <v>444385672278.89001</v>
      </c>
      <c r="U344090" s="9">
        <v>3207041000000</v>
      </c>
    </row>
    <row r="344091" spans="20:21" x14ac:dyDescent="0.15">
      <c r="T344091" s="9">
        <v>484456434564.98102</v>
      </c>
      <c r="U344091" s="9">
        <v>3343789000000</v>
      </c>
    </row>
    <row r="344092" spans="20:21" x14ac:dyDescent="0.15">
      <c r="T344092" s="9">
        <v>536633373623.745</v>
      </c>
      <c r="U344092" s="9">
        <v>3634038000000</v>
      </c>
    </row>
    <row r="344093" spans="20:21" x14ac:dyDescent="0.15">
      <c r="T344093" s="9">
        <v>618156247357.86304</v>
      </c>
      <c r="U344093" s="9">
        <v>4037613000000</v>
      </c>
    </row>
    <row r="344094" spans="20:21" x14ac:dyDescent="0.15">
      <c r="T344094" s="9">
        <v>701178819512.74402</v>
      </c>
      <c r="U344094" s="9">
        <v>4338979000000</v>
      </c>
    </row>
    <row r="344095" spans="20:21" x14ac:dyDescent="0.15">
      <c r="T344095" s="9">
        <v>763934055759.06604</v>
      </c>
      <c r="U344095" s="9">
        <v>4579631000000</v>
      </c>
    </row>
    <row r="344096" spans="20:21" x14ac:dyDescent="0.15">
      <c r="T344096" s="9">
        <v>852989116696.35205</v>
      </c>
      <c r="U344096" s="9">
        <v>4855215000000</v>
      </c>
    </row>
    <row r="344097" spans="20:21" x14ac:dyDescent="0.15">
      <c r="T344097" s="9">
        <v>948716630508.16699</v>
      </c>
      <c r="U344097" s="9">
        <v>5236438000000</v>
      </c>
    </row>
    <row r="344098" spans="20:21" x14ac:dyDescent="0.15">
      <c r="T344098" s="9">
        <v>988622824073.36694</v>
      </c>
      <c r="U344098" s="9">
        <v>5641580000000</v>
      </c>
    </row>
    <row r="344099" spans="20:21" x14ac:dyDescent="0.15">
      <c r="T344099" s="9">
        <v>1027379323856.15</v>
      </c>
      <c r="U344099" s="9">
        <v>5963144000000</v>
      </c>
    </row>
    <row r="344100" spans="20:21" x14ac:dyDescent="0.15">
      <c r="T344100" s="9">
        <v>1122543272896.8301</v>
      </c>
      <c r="U344100" s="9">
        <v>6158129000000</v>
      </c>
    </row>
    <row r="344101" spans="20:21" x14ac:dyDescent="0.15">
      <c r="T344101" s="9">
        <v>1282219772946.3201</v>
      </c>
      <c r="U344101" s="9">
        <v>6520327000000</v>
      </c>
    </row>
    <row r="344102" spans="20:21" x14ac:dyDescent="0.15">
      <c r="T344102" s="9">
        <v>1460239695280.22</v>
      </c>
      <c r="U344102" s="9">
        <v>6858559000000</v>
      </c>
    </row>
    <row r="344103" spans="20:21" x14ac:dyDescent="0.15">
      <c r="T344103" s="9">
        <v>1650608320717.1299</v>
      </c>
      <c r="U344103" s="9">
        <v>7287236000000</v>
      </c>
    </row>
    <row r="344104" spans="20:21" x14ac:dyDescent="0.15">
      <c r="T344104" s="9">
        <v>1831415202548.1001</v>
      </c>
      <c r="U344104" s="9">
        <v>7639749000000</v>
      </c>
    </row>
    <row r="344105" spans="20:21" x14ac:dyDescent="0.15">
      <c r="T344105" s="9">
        <v>2013138415391.3999</v>
      </c>
      <c r="U344105" s="9">
        <v>8073122000000</v>
      </c>
    </row>
    <row r="344106" spans="20:21" x14ac:dyDescent="0.15">
      <c r="T344106" s="9">
        <v>2199087579734.8799</v>
      </c>
      <c r="U344106" s="9">
        <v>8577554457000</v>
      </c>
    </row>
    <row r="344107" spans="20:21" x14ac:dyDescent="0.15">
      <c r="T344107" s="9">
        <v>2371626931008.4102</v>
      </c>
      <c r="U344107" s="9">
        <v>9062818202000</v>
      </c>
    </row>
    <row r="344108" spans="20:21" x14ac:dyDescent="0.15">
      <c r="T344108" s="9">
        <v>2553332721355.1499</v>
      </c>
      <c r="U344108" s="9">
        <v>9631174489000</v>
      </c>
    </row>
    <row r="344109" spans="20:21" x14ac:dyDescent="0.15">
      <c r="T344109" s="9">
        <v>2770113054357.8301</v>
      </c>
      <c r="U344109" s="9">
        <v>10250947997000</v>
      </c>
    </row>
    <row r="344110" spans="20:21" x14ac:dyDescent="0.15">
      <c r="T344110" s="9">
        <v>3001022295612.3501</v>
      </c>
      <c r="U344110" s="9">
        <v>10581929774000</v>
      </c>
    </row>
    <row r="344111" spans="20:21" x14ac:dyDescent="0.15">
      <c r="T344111" s="9">
        <v>3275124592017.1602</v>
      </c>
      <c r="U344111" s="9">
        <v>10929112955000</v>
      </c>
    </row>
    <row r="344112" spans="20:21" x14ac:dyDescent="0.15">
      <c r="T344112" s="9">
        <v>3603882596858.1099</v>
      </c>
      <c r="U344112" s="9">
        <v>11456442041000</v>
      </c>
    </row>
    <row r="344113" spans="20:21" x14ac:dyDescent="0.15">
      <c r="T344113" s="9">
        <v>3968365637613.6299</v>
      </c>
      <c r="U344113" s="9">
        <v>12217193198000</v>
      </c>
    </row>
    <row r="344114" spans="20:21" x14ac:dyDescent="0.15">
      <c r="T344114" s="9">
        <v>4420544703537.2402</v>
      </c>
      <c r="U344114" s="9">
        <v>13039199193000</v>
      </c>
    </row>
    <row r="344115" spans="20:21" x14ac:dyDescent="0.15">
      <c r="T344115" s="9">
        <v>4982880235433.3896</v>
      </c>
      <c r="U344115" s="9">
        <v>13815586948000</v>
      </c>
    </row>
    <row r="344116" spans="20:21" x14ac:dyDescent="0.15">
      <c r="T344116" s="9">
        <v>5691986992199.8604</v>
      </c>
      <c r="U344116" s="9">
        <v>14474226905000</v>
      </c>
    </row>
    <row r="344117" spans="20:21" x14ac:dyDescent="0.15">
      <c r="T344117" s="9">
        <v>6241302380960.0195</v>
      </c>
      <c r="U344117" s="9">
        <v>14769857911000</v>
      </c>
    </row>
    <row r="344118" spans="20:21" x14ac:dyDescent="0.15">
      <c r="T344118" s="9">
        <v>6827905267633.6299</v>
      </c>
      <c r="U344118" s="9">
        <v>14478064934000</v>
      </c>
    </row>
    <row r="344119" spans="20:21" x14ac:dyDescent="0.15">
      <c r="T344119" s="9">
        <v>7554112468317.7305</v>
      </c>
      <c r="U344119" s="9">
        <v>15048964444000</v>
      </c>
    </row>
    <row r="344120" spans="20:21" x14ac:dyDescent="0.15">
      <c r="T344120" s="9">
        <v>8275593072769.2598</v>
      </c>
      <c r="U344120" s="9">
        <v>15599728123000</v>
      </c>
    </row>
    <row r="344121" spans="20:21" x14ac:dyDescent="0.15">
      <c r="T344121" s="9">
        <v>8926363901575.5605</v>
      </c>
      <c r="U344121" s="9">
        <v>16253972230000</v>
      </c>
    </row>
    <row r="344122" spans="20:21" x14ac:dyDescent="0.15">
      <c r="T344122" s="9">
        <v>9619598720424.4609</v>
      </c>
      <c r="U344122" s="9">
        <v>16843190993000</v>
      </c>
    </row>
    <row r="344123" spans="20:21" x14ac:dyDescent="0.15">
      <c r="T344123" s="9">
        <v>10333927386102.801</v>
      </c>
      <c r="U344123" s="9">
        <v>17550680174000</v>
      </c>
    </row>
    <row r="344124" spans="20:21" x14ac:dyDescent="0.15">
      <c r="T344124" s="9">
        <v>11061573199439.699</v>
      </c>
      <c r="U344124" s="9">
        <v>18206020741000</v>
      </c>
    </row>
    <row r="344125" spans="20:21" x14ac:dyDescent="0.15">
      <c r="T344125" s="9">
        <v>11819154044004.9</v>
      </c>
      <c r="U344125" s="9">
        <v>18695110842000</v>
      </c>
    </row>
    <row r="344126" spans="20:21" x14ac:dyDescent="0.15">
      <c r="T344126" s="9">
        <v>12640254407508.1</v>
      </c>
      <c r="U344126" s="9">
        <v>19477336549000</v>
      </c>
    </row>
    <row r="344127" spans="20:21" x14ac:dyDescent="0.15">
      <c r="T344127" s="9">
        <v>13493442991864.699</v>
      </c>
      <c r="U344127" s="9">
        <v>20533057312000</v>
      </c>
    </row>
    <row r="344128" spans="20:21" x14ac:dyDescent="0.15">
      <c r="T344128" s="9">
        <v>14296370418805.1</v>
      </c>
      <c r="U344128" s="9">
        <v>21380976119000</v>
      </c>
    </row>
    <row r="344129" spans="20:21" x14ac:dyDescent="0.15">
      <c r="T344129" s="9">
        <v>14616414450558.4</v>
      </c>
      <c r="U344129" s="9">
        <v>21060473613000</v>
      </c>
    </row>
    <row r="344130" spans="20:21" x14ac:dyDescent="0.15">
      <c r="T344130" s="9">
        <v>15851132888547.1</v>
      </c>
      <c r="U344130" s="9">
        <v>23315080560000</v>
      </c>
    </row>
    <row r="344131" spans="20:21" x14ac:dyDescent="0.15">
      <c r="T344131" s="9">
        <v>16325209299766.801</v>
      </c>
      <c r="U344131" s="9">
        <v>25462700000000</v>
      </c>
    </row>
    <row r="360449" spans="20:21" x14ac:dyDescent="0.15">
      <c r="T360449" s="9" t="s">
        <v>45</v>
      </c>
      <c r="U360449" s="9" t="s">
        <v>44</v>
      </c>
    </row>
    <row r="360450" spans="20:21" x14ac:dyDescent="0.15">
      <c r="T360450" s="9" t="s">
        <v>43</v>
      </c>
      <c r="U360450" s="9" t="s">
        <v>42</v>
      </c>
    </row>
    <row r="360451" spans="20:21" x14ac:dyDescent="0.15">
      <c r="T360451" s="9" t="s">
        <v>41</v>
      </c>
      <c r="U360451" s="9" t="s">
        <v>40</v>
      </c>
    </row>
    <row r="360452" spans="20:21" x14ac:dyDescent="0.15">
      <c r="T360452" s="9" t="s">
        <v>39</v>
      </c>
      <c r="U360452" s="9" t="s">
        <v>38</v>
      </c>
    </row>
    <row r="360453" spans="20:21" x14ac:dyDescent="0.15">
      <c r="T360453" s="9">
        <v>158907457242.42899</v>
      </c>
      <c r="U360453" s="9">
        <v>543300000000</v>
      </c>
    </row>
    <row r="360454" spans="20:21" x14ac:dyDescent="0.15">
      <c r="T360454" s="9">
        <v>115573393646.185</v>
      </c>
      <c r="U360454" s="9">
        <v>563300000000</v>
      </c>
    </row>
    <row r="360455" spans="20:21" x14ac:dyDescent="0.15">
      <c r="T360455" s="9">
        <v>109124398292.05099</v>
      </c>
      <c r="U360455" s="9">
        <v>605100000000</v>
      </c>
    </row>
    <row r="360456" spans="20:21" x14ac:dyDescent="0.15">
      <c r="T360456" s="9">
        <v>120364211312.289</v>
      </c>
      <c r="U360456" s="9">
        <v>638600000000</v>
      </c>
    </row>
    <row r="360457" spans="20:21" x14ac:dyDescent="0.15">
      <c r="T360457" s="9">
        <v>142246424921.30899</v>
      </c>
      <c r="U360457" s="9">
        <v>685800000000</v>
      </c>
    </row>
    <row r="360458" spans="20:21" x14ac:dyDescent="0.15">
      <c r="T360458" s="9">
        <v>166357193951.10501</v>
      </c>
      <c r="U360458" s="9">
        <v>743700000000</v>
      </c>
    </row>
    <row r="360459" spans="20:21" x14ac:dyDescent="0.15">
      <c r="T360459" s="9">
        <v>184074235104.24799</v>
      </c>
      <c r="U360459" s="9">
        <v>815000000000</v>
      </c>
    </row>
    <row r="360460" spans="20:21" x14ac:dyDescent="0.15">
      <c r="T360460" s="9">
        <v>173453151731.27701</v>
      </c>
      <c r="U360460" s="9">
        <v>861700000000</v>
      </c>
    </row>
    <row r="360461" spans="20:21" x14ac:dyDescent="0.15">
      <c r="T360461" s="9">
        <v>166341572533.69101</v>
      </c>
      <c r="U360461" s="9">
        <v>942500000000</v>
      </c>
    </row>
    <row r="360462" spans="20:21" x14ac:dyDescent="0.15">
      <c r="T360462" s="9">
        <v>194519834914.35999</v>
      </c>
      <c r="U360462" s="9">
        <v>1019900000000</v>
      </c>
    </row>
    <row r="360463" spans="20:21" x14ac:dyDescent="0.15">
      <c r="T360463" s="9">
        <v>232062163046.44</v>
      </c>
      <c r="U360463" s="9">
        <v>1073303000000</v>
      </c>
    </row>
    <row r="360464" spans="20:21" x14ac:dyDescent="0.15">
      <c r="T360464" s="9">
        <v>248445751754.134</v>
      </c>
      <c r="U360464" s="9">
        <v>1164850000000</v>
      </c>
    </row>
    <row r="360465" spans="20:21" x14ac:dyDescent="0.15">
      <c r="T360465" s="9">
        <v>257911534896.49799</v>
      </c>
      <c r="U360465" s="9">
        <v>1279110000000</v>
      </c>
    </row>
    <row r="360466" spans="20:21" x14ac:dyDescent="0.15">
      <c r="T360466" s="9">
        <v>277925470006.599</v>
      </c>
      <c r="U360466" s="9">
        <v>1425376000000</v>
      </c>
    </row>
    <row r="360467" spans="20:21" x14ac:dyDescent="0.15">
      <c r="T360467" s="9">
        <v>284345548371.966</v>
      </c>
      <c r="U360467" s="9">
        <v>1545243000000</v>
      </c>
    </row>
    <row r="360468" spans="20:21" x14ac:dyDescent="0.15">
      <c r="T360468" s="9">
        <v>309140480182.89801</v>
      </c>
      <c r="U360468" s="9">
        <v>1684904000000</v>
      </c>
    </row>
    <row r="360469" spans="20:21" x14ac:dyDescent="0.15">
      <c r="T360469" s="9">
        <v>304286974638.82202</v>
      </c>
      <c r="U360469" s="9">
        <v>1873412000000</v>
      </c>
    </row>
    <row r="360470" spans="20:21" x14ac:dyDescent="0.15">
      <c r="T360470" s="9">
        <v>327321498623.151</v>
      </c>
      <c r="U360470" s="9">
        <v>2081826000000</v>
      </c>
    </row>
    <row r="360471" spans="20:21" x14ac:dyDescent="0.15">
      <c r="T360471" s="9">
        <v>364393859506.91699</v>
      </c>
      <c r="U360471" s="9">
        <v>2351599000000</v>
      </c>
    </row>
    <row r="360472" spans="20:21" x14ac:dyDescent="0.15">
      <c r="T360472" s="9">
        <v>392056180496.07098</v>
      </c>
      <c r="U360472" s="9">
        <v>2627333000000</v>
      </c>
    </row>
    <row r="360473" spans="20:21" x14ac:dyDescent="0.15">
      <c r="T360473" s="9">
        <v>422770430220.08099</v>
      </c>
      <c r="U360473" s="9">
        <v>2857307000000</v>
      </c>
    </row>
    <row r="360474" spans="20:21" x14ac:dyDescent="0.15">
      <c r="T360474" s="9">
        <v>444385672278.89001</v>
      </c>
      <c r="U360474" s="9">
        <v>3207041000000</v>
      </c>
    </row>
    <row r="360475" spans="20:21" x14ac:dyDescent="0.15">
      <c r="T360475" s="9">
        <v>484456434564.98102</v>
      </c>
      <c r="U360475" s="9">
        <v>3343789000000</v>
      </c>
    </row>
    <row r="360476" spans="20:21" x14ac:dyDescent="0.15">
      <c r="T360476" s="9">
        <v>536633373623.745</v>
      </c>
      <c r="U360476" s="9">
        <v>3634038000000</v>
      </c>
    </row>
    <row r="360477" spans="20:21" x14ac:dyDescent="0.15">
      <c r="T360477" s="9">
        <v>618156247357.86304</v>
      </c>
      <c r="U360477" s="9">
        <v>4037613000000</v>
      </c>
    </row>
    <row r="360478" spans="20:21" x14ac:dyDescent="0.15">
      <c r="T360478" s="9">
        <v>701178819512.74402</v>
      </c>
      <c r="U360478" s="9">
        <v>4338979000000</v>
      </c>
    </row>
    <row r="360479" spans="20:21" x14ac:dyDescent="0.15">
      <c r="T360479" s="9">
        <v>763934055759.06604</v>
      </c>
      <c r="U360479" s="9">
        <v>4579631000000</v>
      </c>
    </row>
    <row r="360480" spans="20:21" x14ac:dyDescent="0.15">
      <c r="T360480" s="9">
        <v>852989116696.35205</v>
      </c>
      <c r="U360480" s="9">
        <v>4855215000000</v>
      </c>
    </row>
    <row r="360481" spans="20:21" x14ac:dyDescent="0.15">
      <c r="T360481" s="9">
        <v>948716630508.16699</v>
      </c>
      <c r="U360481" s="9">
        <v>5236438000000</v>
      </c>
    </row>
    <row r="360482" spans="20:21" x14ac:dyDescent="0.15">
      <c r="T360482" s="9">
        <v>988622824073.36694</v>
      </c>
      <c r="U360482" s="9">
        <v>5641580000000</v>
      </c>
    </row>
    <row r="360483" spans="20:21" x14ac:dyDescent="0.15">
      <c r="T360483" s="9">
        <v>1027379323856.15</v>
      </c>
      <c r="U360483" s="9">
        <v>5963144000000</v>
      </c>
    </row>
    <row r="360484" spans="20:21" x14ac:dyDescent="0.15">
      <c r="T360484" s="9">
        <v>1122543272896.8301</v>
      </c>
      <c r="U360484" s="9">
        <v>6158129000000</v>
      </c>
    </row>
    <row r="360485" spans="20:21" x14ac:dyDescent="0.15">
      <c r="T360485" s="9">
        <v>1282219772946.3201</v>
      </c>
      <c r="U360485" s="9">
        <v>6520327000000</v>
      </c>
    </row>
    <row r="360486" spans="20:21" x14ac:dyDescent="0.15">
      <c r="T360486" s="9">
        <v>1460239695280.22</v>
      </c>
      <c r="U360486" s="9">
        <v>6858559000000</v>
      </c>
    </row>
    <row r="360487" spans="20:21" x14ac:dyDescent="0.15">
      <c r="T360487" s="9">
        <v>1650608320717.1299</v>
      </c>
      <c r="U360487" s="9">
        <v>7287236000000</v>
      </c>
    </row>
    <row r="360488" spans="20:21" x14ac:dyDescent="0.15">
      <c r="T360488" s="9">
        <v>1831415202548.1001</v>
      </c>
      <c r="U360488" s="9">
        <v>7639749000000</v>
      </c>
    </row>
    <row r="360489" spans="20:21" x14ac:dyDescent="0.15">
      <c r="T360489" s="9">
        <v>2013138415391.3999</v>
      </c>
      <c r="U360489" s="9">
        <v>8073122000000</v>
      </c>
    </row>
    <row r="360490" spans="20:21" x14ac:dyDescent="0.15">
      <c r="T360490" s="9">
        <v>2199087579734.8799</v>
      </c>
      <c r="U360490" s="9">
        <v>8577554457000</v>
      </c>
    </row>
    <row r="360491" spans="20:21" x14ac:dyDescent="0.15">
      <c r="T360491" s="9">
        <v>2371626931008.4102</v>
      </c>
      <c r="U360491" s="9">
        <v>9062818202000</v>
      </c>
    </row>
    <row r="360492" spans="20:21" x14ac:dyDescent="0.15">
      <c r="T360492" s="9">
        <v>2553332721355.1499</v>
      </c>
      <c r="U360492" s="9">
        <v>9631174489000</v>
      </c>
    </row>
    <row r="360493" spans="20:21" x14ac:dyDescent="0.15">
      <c r="T360493" s="9">
        <v>2770113054357.8301</v>
      </c>
      <c r="U360493" s="9">
        <v>10250947997000</v>
      </c>
    </row>
    <row r="360494" spans="20:21" x14ac:dyDescent="0.15">
      <c r="T360494" s="9">
        <v>3001022295612.3501</v>
      </c>
      <c r="U360494" s="9">
        <v>10581929774000</v>
      </c>
    </row>
    <row r="360495" spans="20:21" x14ac:dyDescent="0.15">
      <c r="T360495" s="9">
        <v>3275124592017.1602</v>
      </c>
      <c r="U360495" s="9">
        <v>10929112955000</v>
      </c>
    </row>
    <row r="360496" spans="20:21" x14ac:dyDescent="0.15">
      <c r="T360496" s="9">
        <v>3603882596858.1099</v>
      </c>
      <c r="U360496" s="9">
        <v>11456442041000</v>
      </c>
    </row>
    <row r="360497" spans="20:21" x14ac:dyDescent="0.15">
      <c r="T360497" s="9">
        <v>3968365637613.6299</v>
      </c>
      <c r="U360497" s="9">
        <v>12217193198000</v>
      </c>
    </row>
    <row r="360498" spans="20:21" x14ac:dyDescent="0.15">
      <c r="T360498" s="9">
        <v>4420544703537.2402</v>
      </c>
      <c r="U360498" s="9">
        <v>13039199193000</v>
      </c>
    </row>
    <row r="360499" spans="20:21" x14ac:dyDescent="0.15">
      <c r="T360499" s="9">
        <v>4982880235433.3896</v>
      </c>
      <c r="U360499" s="9">
        <v>13815586948000</v>
      </c>
    </row>
    <row r="360500" spans="20:21" x14ac:dyDescent="0.15">
      <c r="T360500" s="9">
        <v>5691986992199.8604</v>
      </c>
      <c r="U360500" s="9">
        <v>14474226905000</v>
      </c>
    </row>
    <row r="360501" spans="20:21" x14ac:dyDescent="0.15">
      <c r="T360501" s="9">
        <v>6241302380960.0195</v>
      </c>
      <c r="U360501" s="9">
        <v>14769857911000</v>
      </c>
    </row>
    <row r="360502" spans="20:21" x14ac:dyDescent="0.15">
      <c r="T360502" s="9">
        <v>6827905267633.6299</v>
      </c>
      <c r="U360502" s="9">
        <v>14478064934000</v>
      </c>
    </row>
    <row r="360503" spans="20:21" x14ac:dyDescent="0.15">
      <c r="T360503" s="9">
        <v>7554112468317.7305</v>
      </c>
      <c r="U360503" s="9">
        <v>15048964444000</v>
      </c>
    </row>
    <row r="360504" spans="20:21" x14ac:dyDescent="0.15">
      <c r="T360504" s="9">
        <v>8275593072769.2598</v>
      </c>
      <c r="U360504" s="9">
        <v>15599728123000</v>
      </c>
    </row>
    <row r="360505" spans="20:21" x14ac:dyDescent="0.15">
      <c r="T360505" s="9">
        <v>8926363901575.5605</v>
      </c>
      <c r="U360505" s="9">
        <v>16253972230000</v>
      </c>
    </row>
    <row r="360506" spans="20:21" x14ac:dyDescent="0.15">
      <c r="T360506" s="9">
        <v>9619598720424.4609</v>
      </c>
      <c r="U360506" s="9">
        <v>16843190993000</v>
      </c>
    </row>
    <row r="360507" spans="20:21" x14ac:dyDescent="0.15">
      <c r="T360507" s="9">
        <v>10333927386102.801</v>
      </c>
      <c r="U360507" s="9">
        <v>17550680174000</v>
      </c>
    </row>
    <row r="360508" spans="20:21" x14ac:dyDescent="0.15">
      <c r="T360508" s="9">
        <v>11061573199439.699</v>
      </c>
      <c r="U360508" s="9">
        <v>18206020741000</v>
      </c>
    </row>
    <row r="360509" spans="20:21" x14ac:dyDescent="0.15">
      <c r="T360509" s="9">
        <v>11819154044004.9</v>
      </c>
      <c r="U360509" s="9">
        <v>18695110842000</v>
      </c>
    </row>
    <row r="360510" spans="20:21" x14ac:dyDescent="0.15">
      <c r="T360510" s="9">
        <v>12640254407508.1</v>
      </c>
      <c r="U360510" s="9">
        <v>19477336549000</v>
      </c>
    </row>
    <row r="360511" spans="20:21" x14ac:dyDescent="0.15">
      <c r="T360511" s="9">
        <v>13493442991864.699</v>
      </c>
      <c r="U360511" s="9">
        <v>20533057312000</v>
      </c>
    </row>
    <row r="360512" spans="20:21" x14ac:dyDescent="0.15">
      <c r="T360512" s="9">
        <v>14296370418805.1</v>
      </c>
      <c r="U360512" s="9">
        <v>21380976119000</v>
      </c>
    </row>
    <row r="360513" spans="20:21" x14ac:dyDescent="0.15">
      <c r="T360513" s="9">
        <v>14616414450558.4</v>
      </c>
      <c r="U360513" s="9">
        <v>21060473613000</v>
      </c>
    </row>
    <row r="360514" spans="20:21" x14ac:dyDescent="0.15">
      <c r="T360514" s="9">
        <v>15851132888547.1</v>
      </c>
      <c r="U360514" s="9">
        <v>23315080560000</v>
      </c>
    </row>
    <row r="360515" spans="20:21" x14ac:dyDescent="0.15">
      <c r="T360515" s="9">
        <v>16325209299766.801</v>
      </c>
      <c r="U360515" s="9">
        <v>25462700000000</v>
      </c>
    </row>
    <row r="376833" spans="20:21" x14ac:dyDescent="0.15">
      <c r="T376833" s="9" t="s">
        <v>45</v>
      </c>
      <c r="U376833" s="9" t="s">
        <v>44</v>
      </c>
    </row>
    <row r="376834" spans="20:21" x14ac:dyDescent="0.15">
      <c r="T376834" s="9" t="s">
        <v>43</v>
      </c>
      <c r="U376834" s="9" t="s">
        <v>42</v>
      </c>
    </row>
    <row r="376835" spans="20:21" x14ac:dyDescent="0.15">
      <c r="T376835" s="9" t="s">
        <v>41</v>
      </c>
      <c r="U376835" s="9" t="s">
        <v>40</v>
      </c>
    </row>
    <row r="376836" spans="20:21" x14ac:dyDescent="0.15">
      <c r="T376836" s="9" t="s">
        <v>39</v>
      </c>
      <c r="U376836" s="9" t="s">
        <v>38</v>
      </c>
    </row>
    <row r="376837" spans="20:21" x14ac:dyDescent="0.15">
      <c r="T376837" s="9">
        <v>158907457242.42899</v>
      </c>
      <c r="U376837" s="9">
        <v>543300000000</v>
      </c>
    </row>
    <row r="376838" spans="20:21" x14ac:dyDescent="0.15">
      <c r="T376838" s="9">
        <v>115573393646.185</v>
      </c>
      <c r="U376838" s="9">
        <v>563300000000</v>
      </c>
    </row>
    <row r="376839" spans="20:21" x14ac:dyDescent="0.15">
      <c r="T376839" s="9">
        <v>109124398292.05099</v>
      </c>
      <c r="U376839" s="9">
        <v>605100000000</v>
      </c>
    </row>
    <row r="376840" spans="20:21" x14ac:dyDescent="0.15">
      <c r="T376840" s="9">
        <v>120364211312.289</v>
      </c>
      <c r="U376840" s="9">
        <v>638600000000</v>
      </c>
    </row>
    <row r="376841" spans="20:21" x14ac:dyDescent="0.15">
      <c r="T376841" s="9">
        <v>142246424921.30899</v>
      </c>
      <c r="U376841" s="9">
        <v>685800000000</v>
      </c>
    </row>
    <row r="376842" spans="20:21" x14ac:dyDescent="0.15">
      <c r="T376842" s="9">
        <v>166357193951.10501</v>
      </c>
      <c r="U376842" s="9">
        <v>743700000000</v>
      </c>
    </row>
    <row r="376843" spans="20:21" x14ac:dyDescent="0.15">
      <c r="T376843" s="9">
        <v>184074235104.24799</v>
      </c>
      <c r="U376843" s="9">
        <v>815000000000</v>
      </c>
    </row>
    <row r="376844" spans="20:21" x14ac:dyDescent="0.15">
      <c r="T376844" s="9">
        <v>173453151731.27701</v>
      </c>
      <c r="U376844" s="9">
        <v>861700000000</v>
      </c>
    </row>
    <row r="376845" spans="20:21" x14ac:dyDescent="0.15">
      <c r="T376845" s="9">
        <v>166341572533.69101</v>
      </c>
      <c r="U376845" s="9">
        <v>942500000000</v>
      </c>
    </row>
    <row r="376846" spans="20:21" x14ac:dyDescent="0.15">
      <c r="T376846" s="9">
        <v>194519834914.35999</v>
      </c>
      <c r="U376846" s="9">
        <v>1019900000000</v>
      </c>
    </row>
    <row r="376847" spans="20:21" x14ac:dyDescent="0.15">
      <c r="T376847" s="9">
        <v>232062163046.44</v>
      </c>
      <c r="U376847" s="9">
        <v>1073303000000</v>
      </c>
    </row>
    <row r="376848" spans="20:21" x14ac:dyDescent="0.15">
      <c r="T376848" s="9">
        <v>248445751754.134</v>
      </c>
      <c r="U376848" s="9">
        <v>1164850000000</v>
      </c>
    </row>
    <row r="376849" spans="20:21" x14ac:dyDescent="0.15">
      <c r="T376849" s="9">
        <v>257911534896.49799</v>
      </c>
      <c r="U376849" s="9">
        <v>1279110000000</v>
      </c>
    </row>
    <row r="376850" spans="20:21" x14ac:dyDescent="0.15">
      <c r="T376850" s="9">
        <v>277925470006.599</v>
      </c>
      <c r="U376850" s="9">
        <v>1425376000000</v>
      </c>
    </row>
    <row r="376851" spans="20:21" x14ac:dyDescent="0.15">
      <c r="T376851" s="9">
        <v>284345548371.966</v>
      </c>
      <c r="U376851" s="9">
        <v>1545243000000</v>
      </c>
    </row>
    <row r="376852" spans="20:21" x14ac:dyDescent="0.15">
      <c r="T376852" s="9">
        <v>309140480182.89801</v>
      </c>
      <c r="U376852" s="9">
        <v>1684904000000</v>
      </c>
    </row>
    <row r="376853" spans="20:21" x14ac:dyDescent="0.15">
      <c r="T376853" s="9">
        <v>304286974638.82202</v>
      </c>
      <c r="U376853" s="9">
        <v>1873412000000</v>
      </c>
    </row>
    <row r="376854" spans="20:21" x14ac:dyDescent="0.15">
      <c r="T376854" s="9">
        <v>327321498623.151</v>
      </c>
      <c r="U376854" s="9">
        <v>2081826000000</v>
      </c>
    </row>
    <row r="376855" spans="20:21" x14ac:dyDescent="0.15">
      <c r="T376855" s="9">
        <v>364393859506.91699</v>
      </c>
      <c r="U376855" s="9">
        <v>2351599000000</v>
      </c>
    </row>
    <row r="376856" spans="20:21" x14ac:dyDescent="0.15">
      <c r="T376856" s="9">
        <v>392056180496.07098</v>
      </c>
      <c r="U376856" s="9">
        <v>2627333000000</v>
      </c>
    </row>
    <row r="376857" spans="20:21" x14ac:dyDescent="0.15">
      <c r="T376857" s="9">
        <v>422770430220.08099</v>
      </c>
      <c r="U376857" s="9">
        <v>2857307000000</v>
      </c>
    </row>
    <row r="376858" spans="20:21" x14ac:dyDescent="0.15">
      <c r="T376858" s="9">
        <v>444385672278.89001</v>
      </c>
      <c r="U376858" s="9">
        <v>3207041000000</v>
      </c>
    </row>
    <row r="376859" spans="20:21" x14ac:dyDescent="0.15">
      <c r="T376859" s="9">
        <v>484456434564.98102</v>
      </c>
      <c r="U376859" s="9">
        <v>3343789000000</v>
      </c>
    </row>
    <row r="376860" spans="20:21" x14ac:dyDescent="0.15">
      <c r="T376860" s="9">
        <v>536633373623.745</v>
      </c>
      <c r="U376860" s="9">
        <v>3634038000000</v>
      </c>
    </row>
    <row r="376861" spans="20:21" x14ac:dyDescent="0.15">
      <c r="T376861" s="9">
        <v>618156247357.86304</v>
      </c>
      <c r="U376861" s="9">
        <v>4037613000000</v>
      </c>
    </row>
    <row r="376862" spans="20:21" x14ac:dyDescent="0.15">
      <c r="T376862" s="9">
        <v>701178819512.74402</v>
      </c>
      <c r="U376862" s="9">
        <v>4338979000000</v>
      </c>
    </row>
    <row r="376863" spans="20:21" x14ac:dyDescent="0.15">
      <c r="T376863" s="9">
        <v>763934055759.06604</v>
      </c>
      <c r="U376863" s="9">
        <v>4579631000000</v>
      </c>
    </row>
    <row r="376864" spans="20:21" x14ac:dyDescent="0.15">
      <c r="T376864" s="9">
        <v>852989116696.35205</v>
      </c>
      <c r="U376864" s="9">
        <v>4855215000000</v>
      </c>
    </row>
    <row r="376865" spans="20:21" x14ac:dyDescent="0.15">
      <c r="T376865" s="9">
        <v>948716630508.16699</v>
      </c>
      <c r="U376865" s="9">
        <v>5236438000000</v>
      </c>
    </row>
    <row r="376866" spans="20:21" x14ac:dyDescent="0.15">
      <c r="T376866" s="9">
        <v>988622824073.36694</v>
      </c>
      <c r="U376866" s="9">
        <v>5641580000000</v>
      </c>
    </row>
    <row r="376867" spans="20:21" x14ac:dyDescent="0.15">
      <c r="T376867" s="9">
        <v>1027379323856.15</v>
      </c>
      <c r="U376867" s="9">
        <v>5963144000000</v>
      </c>
    </row>
    <row r="376868" spans="20:21" x14ac:dyDescent="0.15">
      <c r="T376868" s="9">
        <v>1122543272896.8301</v>
      </c>
      <c r="U376868" s="9">
        <v>6158129000000</v>
      </c>
    </row>
    <row r="376869" spans="20:21" x14ac:dyDescent="0.15">
      <c r="T376869" s="9">
        <v>1282219772946.3201</v>
      </c>
      <c r="U376869" s="9">
        <v>6520327000000</v>
      </c>
    </row>
    <row r="376870" spans="20:21" x14ac:dyDescent="0.15">
      <c r="T376870" s="9">
        <v>1460239695280.22</v>
      </c>
      <c r="U376870" s="9">
        <v>6858559000000</v>
      </c>
    </row>
    <row r="376871" spans="20:21" x14ac:dyDescent="0.15">
      <c r="T376871" s="9">
        <v>1650608320717.1299</v>
      </c>
      <c r="U376871" s="9">
        <v>7287236000000</v>
      </c>
    </row>
    <row r="376872" spans="20:21" x14ac:dyDescent="0.15">
      <c r="T376872" s="9">
        <v>1831415202548.1001</v>
      </c>
      <c r="U376872" s="9">
        <v>7639749000000</v>
      </c>
    </row>
    <row r="376873" spans="20:21" x14ac:dyDescent="0.15">
      <c r="T376873" s="9">
        <v>2013138415391.3999</v>
      </c>
      <c r="U376873" s="9">
        <v>8073122000000</v>
      </c>
    </row>
    <row r="376874" spans="20:21" x14ac:dyDescent="0.15">
      <c r="T376874" s="9">
        <v>2199087579734.8799</v>
      </c>
      <c r="U376874" s="9">
        <v>8577554457000</v>
      </c>
    </row>
    <row r="376875" spans="20:21" x14ac:dyDescent="0.15">
      <c r="T376875" s="9">
        <v>2371626931008.4102</v>
      </c>
      <c r="U376875" s="9">
        <v>9062818202000</v>
      </c>
    </row>
    <row r="376876" spans="20:21" x14ac:dyDescent="0.15">
      <c r="T376876" s="9">
        <v>2553332721355.1499</v>
      </c>
      <c r="U376876" s="9">
        <v>9631174489000</v>
      </c>
    </row>
    <row r="376877" spans="20:21" x14ac:dyDescent="0.15">
      <c r="T376877" s="9">
        <v>2770113054357.8301</v>
      </c>
      <c r="U376877" s="9">
        <v>10250947997000</v>
      </c>
    </row>
    <row r="376878" spans="20:21" x14ac:dyDescent="0.15">
      <c r="T376878" s="9">
        <v>3001022295612.3501</v>
      </c>
      <c r="U376878" s="9">
        <v>10581929774000</v>
      </c>
    </row>
    <row r="376879" spans="20:21" x14ac:dyDescent="0.15">
      <c r="T376879" s="9">
        <v>3275124592017.1602</v>
      </c>
      <c r="U376879" s="9">
        <v>10929112955000</v>
      </c>
    </row>
    <row r="376880" spans="20:21" x14ac:dyDescent="0.15">
      <c r="T376880" s="9">
        <v>3603882596858.1099</v>
      </c>
      <c r="U376880" s="9">
        <v>11456442041000</v>
      </c>
    </row>
    <row r="376881" spans="20:21" x14ac:dyDescent="0.15">
      <c r="T376881" s="9">
        <v>3968365637613.6299</v>
      </c>
      <c r="U376881" s="9">
        <v>12217193198000</v>
      </c>
    </row>
    <row r="376882" spans="20:21" x14ac:dyDescent="0.15">
      <c r="T376882" s="9">
        <v>4420544703537.2402</v>
      </c>
      <c r="U376882" s="9">
        <v>13039199193000</v>
      </c>
    </row>
    <row r="376883" spans="20:21" x14ac:dyDescent="0.15">
      <c r="T376883" s="9">
        <v>4982880235433.3896</v>
      </c>
      <c r="U376883" s="9">
        <v>13815586948000</v>
      </c>
    </row>
    <row r="376884" spans="20:21" x14ac:dyDescent="0.15">
      <c r="T376884" s="9">
        <v>5691986992199.8604</v>
      </c>
      <c r="U376884" s="9">
        <v>14474226905000</v>
      </c>
    </row>
    <row r="376885" spans="20:21" x14ac:dyDescent="0.15">
      <c r="T376885" s="9">
        <v>6241302380960.0195</v>
      </c>
      <c r="U376885" s="9">
        <v>14769857911000</v>
      </c>
    </row>
    <row r="376886" spans="20:21" x14ac:dyDescent="0.15">
      <c r="T376886" s="9">
        <v>6827905267633.6299</v>
      </c>
      <c r="U376886" s="9">
        <v>14478064934000</v>
      </c>
    </row>
    <row r="376887" spans="20:21" x14ac:dyDescent="0.15">
      <c r="T376887" s="9">
        <v>7554112468317.7305</v>
      </c>
      <c r="U376887" s="9">
        <v>15048964444000</v>
      </c>
    </row>
    <row r="376888" spans="20:21" x14ac:dyDescent="0.15">
      <c r="T376888" s="9">
        <v>8275593072769.2598</v>
      </c>
      <c r="U376888" s="9">
        <v>15599728123000</v>
      </c>
    </row>
    <row r="376889" spans="20:21" x14ac:dyDescent="0.15">
      <c r="T376889" s="9">
        <v>8926363901575.5605</v>
      </c>
      <c r="U376889" s="9">
        <v>16253972230000</v>
      </c>
    </row>
    <row r="376890" spans="20:21" x14ac:dyDescent="0.15">
      <c r="T376890" s="9">
        <v>9619598720424.4609</v>
      </c>
      <c r="U376890" s="9">
        <v>16843190993000</v>
      </c>
    </row>
    <row r="376891" spans="20:21" x14ac:dyDescent="0.15">
      <c r="T376891" s="9">
        <v>10333927386102.801</v>
      </c>
      <c r="U376891" s="9">
        <v>17550680174000</v>
      </c>
    </row>
    <row r="376892" spans="20:21" x14ac:dyDescent="0.15">
      <c r="T376892" s="9">
        <v>11061573199439.699</v>
      </c>
      <c r="U376892" s="9">
        <v>18206020741000</v>
      </c>
    </row>
    <row r="376893" spans="20:21" x14ac:dyDescent="0.15">
      <c r="T376893" s="9">
        <v>11819154044004.9</v>
      </c>
      <c r="U376893" s="9">
        <v>18695110842000</v>
      </c>
    </row>
    <row r="376894" spans="20:21" x14ac:dyDescent="0.15">
      <c r="T376894" s="9">
        <v>12640254407508.1</v>
      </c>
      <c r="U376894" s="9">
        <v>19477336549000</v>
      </c>
    </row>
    <row r="376895" spans="20:21" x14ac:dyDescent="0.15">
      <c r="T376895" s="9">
        <v>13493442991864.699</v>
      </c>
      <c r="U376895" s="9">
        <v>20533057312000</v>
      </c>
    </row>
    <row r="376896" spans="20:21" x14ac:dyDescent="0.15">
      <c r="T376896" s="9">
        <v>14296370418805.1</v>
      </c>
      <c r="U376896" s="9">
        <v>21380976119000</v>
      </c>
    </row>
    <row r="376897" spans="20:21" x14ac:dyDescent="0.15">
      <c r="T376897" s="9">
        <v>14616414450558.4</v>
      </c>
      <c r="U376897" s="9">
        <v>21060473613000</v>
      </c>
    </row>
    <row r="376898" spans="20:21" x14ac:dyDescent="0.15">
      <c r="T376898" s="9">
        <v>15851132888547.1</v>
      </c>
      <c r="U376898" s="9">
        <v>23315080560000</v>
      </c>
    </row>
    <row r="376899" spans="20:21" x14ac:dyDescent="0.15">
      <c r="T376899" s="9">
        <v>16325209299766.801</v>
      </c>
      <c r="U376899" s="9">
        <v>25462700000000</v>
      </c>
    </row>
    <row r="393217" spans="20:21" x14ac:dyDescent="0.15">
      <c r="T393217" s="9" t="s">
        <v>45</v>
      </c>
      <c r="U393217" s="9" t="s">
        <v>44</v>
      </c>
    </row>
    <row r="393218" spans="20:21" x14ac:dyDescent="0.15">
      <c r="T393218" s="9" t="s">
        <v>43</v>
      </c>
      <c r="U393218" s="9" t="s">
        <v>42</v>
      </c>
    </row>
    <row r="393219" spans="20:21" x14ac:dyDescent="0.15">
      <c r="T393219" s="9" t="s">
        <v>41</v>
      </c>
      <c r="U393219" s="9" t="s">
        <v>40</v>
      </c>
    </row>
    <row r="393220" spans="20:21" x14ac:dyDescent="0.15">
      <c r="T393220" s="9" t="s">
        <v>39</v>
      </c>
      <c r="U393220" s="9" t="s">
        <v>38</v>
      </c>
    </row>
    <row r="393221" spans="20:21" x14ac:dyDescent="0.15">
      <c r="T393221" s="9">
        <v>158907457242.42899</v>
      </c>
      <c r="U393221" s="9">
        <v>543300000000</v>
      </c>
    </row>
    <row r="393222" spans="20:21" x14ac:dyDescent="0.15">
      <c r="T393222" s="9">
        <v>115573393646.185</v>
      </c>
      <c r="U393222" s="9">
        <v>563300000000</v>
      </c>
    </row>
    <row r="393223" spans="20:21" x14ac:dyDescent="0.15">
      <c r="T393223" s="9">
        <v>109124398292.05099</v>
      </c>
      <c r="U393223" s="9">
        <v>605100000000</v>
      </c>
    </row>
    <row r="393224" spans="20:21" x14ac:dyDescent="0.15">
      <c r="T393224" s="9">
        <v>120364211312.289</v>
      </c>
      <c r="U393224" s="9">
        <v>638600000000</v>
      </c>
    </row>
    <row r="393225" spans="20:21" x14ac:dyDescent="0.15">
      <c r="T393225" s="9">
        <v>142246424921.30899</v>
      </c>
      <c r="U393225" s="9">
        <v>685800000000</v>
      </c>
    </row>
    <row r="393226" spans="20:21" x14ac:dyDescent="0.15">
      <c r="T393226" s="9">
        <v>166357193951.10501</v>
      </c>
      <c r="U393226" s="9">
        <v>743700000000</v>
      </c>
    </row>
    <row r="393227" spans="20:21" x14ac:dyDescent="0.15">
      <c r="T393227" s="9">
        <v>184074235104.24799</v>
      </c>
      <c r="U393227" s="9">
        <v>815000000000</v>
      </c>
    </row>
    <row r="393228" spans="20:21" x14ac:dyDescent="0.15">
      <c r="T393228" s="9">
        <v>173453151731.27701</v>
      </c>
      <c r="U393228" s="9">
        <v>861700000000</v>
      </c>
    </row>
    <row r="393229" spans="20:21" x14ac:dyDescent="0.15">
      <c r="T393229" s="9">
        <v>166341572533.69101</v>
      </c>
      <c r="U393229" s="9">
        <v>942500000000</v>
      </c>
    </row>
    <row r="393230" spans="20:21" x14ac:dyDescent="0.15">
      <c r="T393230" s="9">
        <v>194519834914.35999</v>
      </c>
      <c r="U393230" s="9">
        <v>1019900000000</v>
      </c>
    </row>
    <row r="393231" spans="20:21" x14ac:dyDescent="0.15">
      <c r="T393231" s="9">
        <v>232062163046.44</v>
      </c>
      <c r="U393231" s="9">
        <v>1073303000000</v>
      </c>
    </row>
    <row r="393232" spans="20:21" x14ac:dyDescent="0.15">
      <c r="T393232" s="9">
        <v>248445751754.134</v>
      </c>
      <c r="U393232" s="9">
        <v>1164850000000</v>
      </c>
    </row>
    <row r="393233" spans="20:21" x14ac:dyDescent="0.15">
      <c r="T393233" s="9">
        <v>257911534896.49799</v>
      </c>
      <c r="U393233" s="9">
        <v>1279110000000</v>
      </c>
    </row>
    <row r="393234" spans="20:21" x14ac:dyDescent="0.15">
      <c r="T393234" s="9">
        <v>277925470006.599</v>
      </c>
      <c r="U393234" s="9">
        <v>1425376000000</v>
      </c>
    </row>
    <row r="393235" spans="20:21" x14ac:dyDescent="0.15">
      <c r="T393235" s="9">
        <v>284345548371.966</v>
      </c>
      <c r="U393235" s="9">
        <v>1545243000000</v>
      </c>
    </row>
    <row r="393236" spans="20:21" x14ac:dyDescent="0.15">
      <c r="T393236" s="9">
        <v>309140480182.89801</v>
      </c>
      <c r="U393236" s="9">
        <v>1684904000000</v>
      </c>
    </row>
    <row r="393237" spans="20:21" x14ac:dyDescent="0.15">
      <c r="T393237" s="9">
        <v>304286974638.82202</v>
      </c>
      <c r="U393237" s="9">
        <v>1873412000000</v>
      </c>
    </row>
    <row r="393238" spans="20:21" x14ac:dyDescent="0.15">
      <c r="T393238" s="9">
        <v>327321498623.151</v>
      </c>
      <c r="U393238" s="9">
        <v>2081826000000</v>
      </c>
    </row>
    <row r="393239" spans="20:21" x14ac:dyDescent="0.15">
      <c r="T393239" s="9">
        <v>364393859506.91699</v>
      </c>
      <c r="U393239" s="9">
        <v>2351599000000</v>
      </c>
    </row>
    <row r="393240" spans="20:21" x14ac:dyDescent="0.15">
      <c r="T393240" s="9">
        <v>392056180496.07098</v>
      </c>
      <c r="U393240" s="9">
        <v>2627333000000</v>
      </c>
    </row>
    <row r="393241" spans="20:21" x14ac:dyDescent="0.15">
      <c r="T393241" s="9">
        <v>422770430220.08099</v>
      </c>
      <c r="U393241" s="9">
        <v>2857307000000</v>
      </c>
    </row>
    <row r="393242" spans="20:21" x14ac:dyDescent="0.15">
      <c r="T393242" s="9">
        <v>444385672278.89001</v>
      </c>
      <c r="U393242" s="9">
        <v>3207041000000</v>
      </c>
    </row>
    <row r="393243" spans="20:21" x14ac:dyDescent="0.15">
      <c r="T393243" s="9">
        <v>484456434564.98102</v>
      </c>
      <c r="U393243" s="9">
        <v>3343789000000</v>
      </c>
    </row>
    <row r="393244" spans="20:21" x14ac:dyDescent="0.15">
      <c r="T393244" s="9">
        <v>536633373623.745</v>
      </c>
      <c r="U393244" s="9">
        <v>3634038000000</v>
      </c>
    </row>
    <row r="393245" spans="20:21" x14ac:dyDescent="0.15">
      <c r="T393245" s="9">
        <v>618156247357.86304</v>
      </c>
      <c r="U393245" s="9">
        <v>4037613000000</v>
      </c>
    </row>
    <row r="393246" spans="20:21" x14ac:dyDescent="0.15">
      <c r="T393246" s="9">
        <v>701178819512.74402</v>
      </c>
      <c r="U393246" s="9">
        <v>4338979000000</v>
      </c>
    </row>
    <row r="393247" spans="20:21" x14ac:dyDescent="0.15">
      <c r="T393247" s="9">
        <v>763934055759.06604</v>
      </c>
      <c r="U393247" s="9">
        <v>4579631000000</v>
      </c>
    </row>
    <row r="393248" spans="20:21" x14ac:dyDescent="0.15">
      <c r="T393248" s="9">
        <v>852989116696.35205</v>
      </c>
      <c r="U393248" s="9">
        <v>4855215000000</v>
      </c>
    </row>
    <row r="393249" spans="20:21" x14ac:dyDescent="0.15">
      <c r="T393249" s="9">
        <v>948716630508.16699</v>
      </c>
      <c r="U393249" s="9">
        <v>5236438000000</v>
      </c>
    </row>
    <row r="393250" spans="20:21" x14ac:dyDescent="0.15">
      <c r="T393250" s="9">
        <v>988622824073.36694</v>
      </c>
      <c r="U393250" s="9">
        <v>5641580000000</v>
      </c>
    </row>
    <row r="393251" spans="20:21" x14ac:dyDescent="0.15">
      <c r="T393251" s="9">
        <v>1027379323856.15</v>
      </c>
      <c r="U393251" s="9">
        <v>5963144000000</v>
      </c>
    </row>
    <row r="393252" spans="20:21" x14ac:dyDescent="0.15">
      <c r="T393252" s="9">
        <v>1122543272896.8301</v>
      </c>
      <c r="U393252" s="9">
        <v>6158129000000</v>
      </c>
    </row>
    <row r="393253" spans="20:21" x14ac:dyDescent="0.15">
      <c r="T393253" s="9">
        <v>1282219772946.3201</v>
      </c>
      <c r="U393253" s="9">
        <v>6520327000000</v>
      </c>
    </row>
    <row r="393254" spans="20:21" x14ac:dyDescent="0.15">
      <c r="T393254" s="9">
        <v>1460239695280.22</v>
      </c>
      <c r="U393254" s="9">
        <v>6858559000000</v>
      </c>
    </row>
    <row r="393255" spans="20:21" x14ac:dyDescent="0.15">
      <c r="T393255" s="9">
        <v>1650608320717.1299</v>
      </c>
      <c r="U393255" s="9">
        <v>7287236000000</v>
      </c>
    </row>
    <row r="393256" spans="20:21" x14ac:dyDescent="0.15">
      <c r="T393256" s="9">
        <v>1831415202548.1001</v>
      </c>
      <c r="U393256" s="9">
        <v>7639749000000</v>
      </c>
    </row>
    <row r="393257" spans="20:21" x14ac:dyDescent="0.15">
      <c r="T393257" s="9">
        <v>2013138415391.3999</v>
      </c>
      <c r="U393257" s="9">
        <v>8073122000000</v>
      </c>
    </row>
    <row r="393258" spans="20:21" x14ac:dyDescent="0.15">
      <c r="T393258" s="9">
        <v>2199087579734.8799</v>
      </c>
      <c r="U393258" s="9">
        <v>8577554457000</v>
      </c>
    </row>
    <row r="393259" spans="20:21" x14ac:dyDescent="0.15">
      <c r="T393259" s="9">
        <v>2371626931008.4102</v>
      </c>
      <c r="U393259" s="9">
        <v>9062818202000</v>
      </c>
    </row>
    <row r="393260" spans="20:21" x14ac:dyDescent="0.15">
      <c r="T393260" s="9">
        <v>2553332721355.1499</v>
      </c>
      <c r="U393260" s="9">
        <v>9631174489000</v>
      </c>
    </row>
    <row r="393261" spans="20:21" x14ac:dyDescent="0.15">
      <c r="T393261" s="9">
        <v>2770113054357.8301</v>
      </c>
      <c r="U393261" s="9">
        <v>10250947997000</v>
      </c>
    </row>
    <row r="393262" spans="20:21" x14ac:dyDescent="0.15">
      <c r="T393262" s="9">
        <v>3001022295612.3501</v>
      </c>
      <c r="U393262" s="9">
        <v>10581929774000</v>
      </c>
    </row>
    <row r="393263" spans="20:21" x14ac:dyDescent="0.15">
      <c r="T393263" s="9">
        <v>3275124592017.1602</v>
      </c>
      <c r="U393263" s="9">
        <v>10929112955000</v>
      </c>
    </row>
    <row r="393264" spans="20:21" x14ac:dyDescent="0.15">
      <c r="T393264" s="9">
        <v>3603882596858.1099</v>
      </c>
      <c r="U393264" s="9">
        <v>11456442041000</v>
      </c>
    </row>
    <row r="393265" spans="20:21" x14ac:dyDescent="0.15">
      <c r="T393265" s="9">
        <v>3968365637613.6299</v>
      </c>
      <c r="U393265" s="9">
        <v>12217193198000</v>
      </c>
    </row>
    <row r="393266" spans="20:21" x14ac:dyDescent="0.15">
      <c r="T393266" s="9">
        <v>4420544703537.2402</v>
      </c>
      <c r="U393266" s="9">
        <v>13039199193000</v>
      </c>
    </row>
    <row r="393267" spans="20:21" x14ac:dyDescent="0.15">
      <c r="T393267" s="9">
        <v>4982880235433.3896</v>
      </c>
      <c r="U393267" s="9">
        <v>13815586948000</v>
      </c>
    </row>
    <row r="393268" spans="20:21" x14ac:dyDescent="0.15">
      <c r="T393268" s="9">
        <v>5691986992199.8604</v>
      </c>
      <c r="U393268" s="9">
        <v>14474226905000</v>
      </c>
    </row>
    <row r="393269" spans="20:21" x14ac:dyDescent="0.15">
      <c r="T393269" s="9">
        <v>6241302380960.0195</v>
      </c>
      <c r="U393269" s="9">
        <v>14769857911000</v>
      </c>
    </row>
    <row r="393270" spans="20:21" x14ac:dyDescent="0.15">
      <c r="T393270" s="9">
        <v>6827905267633.6299</v>
      </c>
      <c r="U393270" s="9">
        <v>14478064934000</v>
      </c>
    </row>
    <row r="393271" spans="20:21" x14ac:dyDescent="0.15">
      <c r="T393271" s="9">
        <v>7554112468317.7305</v>
      </c>
      <c r="U393271" s="9">
        <v>15048964444000</v>
      </c>
    </row>
    <row r="393272" spans="20:21" x14ac:dyDescent="0.15">
      <c r="T393272" s="9">
        <v>8275593072769.2598</v>
      </c>
      <c r="U393272" s="9">
        <v>15599728123000</v>
      </c>
    </row>
    <row r="393273" spans="20:21" x14ac:dyDescent="0.15">
      <c r="T393273" s="9">
        <v>8926363901575.5605</v>
      </c>
      <c r="U393273" s="9">
        <v>16253972230000</v>
      </c>
    </row>
    <row r="393274" spans="20:21" x14ac:dyDescent="0.15">
      <c r="T393274" s="9">
        <v>9619598720424.4609</v>
      </c>
      <c r="U393274" s="9">
        <v>16843190993000</v>
      </c>
    </row>
    <row r="393275" spans="20:21" x14ac:dyDescent="0.15">
      <c r="T393275" s="9">
        <v>10333927386102.801</v>
      </c>
      <c r="U393275" s="9">
        <v>17550680174000</v>
      </c>
    </row>
    <row r="393276" spans="20:21" x14ac:dyDescent="0.15">
      <c r="T393276" s="9">
        <v>11061573199439.699</v>
      </c>
      <c r="U393276" s="9">
        <v>18206020741000</v>
      </c>
    </row>
    <row r="393277" spans="20:21" x14ac:dyDescent="0.15">
      <c r="T393277" s="9">
        <v>11819154044004.9</v>
      </c>
      <c r="U393277" s="9">
        <v>18695110842000</v>
      </c>
    </row>
    <row r="393278" spans="20:21" x14ac:dyDescent="0.15">
      <c r="T393278" s="9">
        <v>12640254407508.1</v>
      </c>
      <c r="U393278" s="9">
        <v>19477336549000</v>
      </c>
    </row>
    <row r="393279" spans="20:21" x14ac:dyDescent="0.15">
      <c r="T393279" s="9">
        <v>13493442991864.699</v>
      </c>
      <c r="U393279" s="9">
        <v>20533057312000</v>
      </c>
    </row>
    <row r="393280" spans="20:21" x14ac:dyDescent="0.15">
      <c r="T393280" s="9">
        <v>14296370418805.1</v>
      </c>
      <c r="U393280" s="9">
        <v>21380976119000</v>
      </c>
    </row>
    <row r="393281" spans="20:21" x14ac:dyDescent="0.15">
      <c r="T393281" s="9">
        <v>14616414450558.4</v>
      </c>
      <c r="U393281" s="9">
        <v>21060473613000</v>
      </c>
    </row>
    <row r="393282" spans="20:21" x14ac:dyDescent="0.15">
      <c r="T393282" s="9">
        <v>15851132888547.1</v>
      </c>
      <c r="U393282" s="9">
        <v>23315080560000</v>
      </c>
    </row>
    <row r="393283" spans="20:21" x14ac:dyDescent="0.15">
      <c r="T393283" s="9">
        <v>16325209299766.801</v>
      </c>
      <c r="U393283" s="9">
        <v>25462700000000</v>
      </c>
    </row>
    <row r="409601" spans="20:21" x14ac:dyDescent="0.15">
      <c r="T409601" s="9" t="s">
        <v>45</v>
      </c>
      <c r="U409601" s="9" t="s">
        <v>44</v>
      </c>
    </row>
    <row r="409602" spans="20:21" x14ac:dyDescent="0.15">
      <c r="T409602" s="9" t="s">
        <v>43</v>
      </c>
      <c r="U409602" s="9" t="s">
        <v>42</v>
      </c>
    </row>
    <row r="409603" spans="20:21" x14ac:dyDescent="0.15">
      <c r="T409603" s="9" t="s">
        <v>41</v>
      </c>
      <c r="U409603" s="9" t="s">
        <v>40</v>
      </c>
    </row>
    <row r="409604" spans="20:21" x14ac:dyDescent="0.15">
      <c r="T409604" s="9" t="s">
        <v>39</v>
      </c>
      <c r="U409604" s="9" t="s">
        <v>38</v>
      </c>
    </row>
    <row r="409605" spans="20:21" x14ac:dyDescent="0.15">
      <c r="T409605" s="9">
        <v>158907457242.42899</v>
      </c>
      <c r="U409605" s="9">
        <v>543300000000</v>
      </c>
    </row>
    <row r="409606" spans="20:21" x14ac:dyDescent="0.15">
      <c r="T409606" s="9">
        <v>115573393646.185</v>
      </c>
      <c r="U409606" s="9">
        <v>563300000000</v>
      </c>
    </row>
    <row r="409607" spans="20:21" x14ac:dyDescent="0.15">
      <c r="T409607" s="9">
        <v>109124398292.05099</v>
      </c>
      <c r="U409607" s="9">
        <v>605100000000</v>
      </c>
    </row>
    <row r="409608" spans="20:21" x14ac:dyDescent="0.15">
      <c r="T409608" s="9">
        <v>120364211312.289</v>
      </c>
      <c r="U409608" s="9">
        <v>638600000000</v>
      </c>
    </row>
    <row r="409609" spans="20:21" x14ac:dyDescent="0.15">
      <c r="T409609" s="9">
        <v>142246424921.30899</v>
      </c>
      <c r="U409609" s="9">
        <v>685800000000</v>
      </c>
    </row>
    <row r="409610" spans="20:21" x14ac:dyDescent="0.15">
      <c r="T409610" s="9">
        <v>166357193951.10501</v>
      </c>
      <c r="U409610" s="9">
        <v>743700000000</v>
      </c>
    </row>
    <row r="409611" spans="20:21" x14ac:dyDescent="0.15">
      <c r="T409611" s="9">
        <v>184074235104.24799</v>
      </c>
      <c r="U409611" s="9">
        <v>815000000000</v>
      </c>
    </row>
    <row r="409612" spans="20:21" x14ac:dyDescent="0.15">
      <c r="T409612" s="9">
        <v>173453151731.27701</v>
      </c>
      <c r="U409612" s="9">
        <v>861700000000</v>
      </c>
    </row>
    <row r="409613" spans="20:21" x14ac:dyDescent="0.15">
      <c r="T409613" s="9">
        <v>166341572533.69101</v>
      </c>
      <c r="U409613" s="9">
        <v>942500000000</v>
      </c>
    </row>
    <row r="409614" spans="20:21" x14ac:dyDescent="0.15">
      <c r="T409614" s="9">
        <v>194519834914.35999</v>
      </c>
      <c r="U409614" s="9">
        <v>1019900000000</v>
      </c>
    </row>
    <row r="409615" spans="20:21" x14ac:dyDescent="0.15">
      <c r="T409615" s="9">
        <v>232062163046.44</v>
      </c>
      <c r="U409615" s="9">
        <v>1073303000000</v>
      </c>
    </row>
    <row r="409616" spans="20:21" x14ac:dyDescent="0.15">
      <c r="T409616" s="9">
        <v>248445751754.134</v>
      </c>
      <c r="U409616" s="9">
        <v>1164850000000</v>
      </c>
    </row>
    <row r="409617" spans="20:21" x14ac:dyDescent="0.15">
      <c r="T409617" s="9">
        <v>257911534896.49799</v>
      </c>
      <c r="U409617" s="9">
        <v>1279110000000</v>
      </c>
    </row>
    <row r="409618" spans="20:21" x14ac:dyDescent="0.15">
      <c r="T409618" s="9">
        <v>277925470006.599</v>
      </c>
      <c r="U409618" s="9">
        <v>1425376000000</v>
      </c>
    </row>
    <row r="409619" spans="20:21" x14ac:dyDescent="0.15">
      <c r="T409619" s="9">
        <v>284345548371.966</v>
      </c>
      <c r="U409619" s="9">
        <v>1545243000000</v>
      </c>
    </row>
    <row r="409620" spans="20:21" x14ac:dyDescent="0.15">
      <c r="T409620" s="9">
        <v>309140480182.89801</v>
      </c>
      <c r="U409620" s="9">
        <v>1684904000000</v>
      </c>
    </row>
    <row r="409621" spans="20:21" x14ac:dyDescent="0.15">
      <c r="T409621" s="9">
        <v>304286974638.82202</v>
      </c>
      <c r="U409621" s="9">
        <v>1873412000000</v>
      </c>
    </row>
    <row r="409622" spans="20:21" x14ac:dyDescent="0.15">
      <c r="T409622" s="9">
        <v>327321498623.151</v>
      </c>
      <c r="U409622" s="9">
        <v>2081826000000</v>
      </c>
    </row>
    <row r="409623" spans="20:21" x14ac:dyDescent="0.15">
      <c r="T409623" s="9">
        <v>364393859506.91699</v>
      </c>
      <c r="U409623" s="9">
        <v>2351599000000</v>
      </c>
    </row>
    <row r="409624" spans="20:21" x14ac:dyDescent="0.15">
      <c r="T409624" s="9">
        <v>392056180496.07098</v>
      </c>
      <c r="U409624" s="9">
        <v>2627333000000</v>
      </c>
    </row>
    <row r="409625" spans="20:21" x14ac:dyDescent="0.15">
      <c r="T409625" s="9">
        <v>422770430220.08099</v>
      </c>
      <c r="U409625" s="9">
        <v>2857307000000</v>
      </c>
    </row>
    <row r="409626" spans="20:21" x14ac:dyDescent="0.15">
      <c r="T409626" s="9">
        <v>444385672278.89001</v>
      </c>
      <c r="U409626" s="9">
        <v>3207041000000</v>
      </c>
    </row>
    <row r="409627" spans="20:21" x14ac:dyDescent="0.15">
      <c r="T409627" s="9">
        <v>484456434564.98102</v>
      </c>
      <c r="U409627" s="9">
        <v>3343789000000</v>
      </c>
    </row>
    <row r="409628" spans="20:21" x14ac:dyDescent="0.15">
      <c r="T409628" s="9">
        <v>536633373623.745</v>
      </c>
      <c r="U409628" s="9">
        <v>3634038000000</v>
      </c>
    </row>
    <row r="409629" spans="20:21" x14ac:dyDescent="0.15">
      <c r="T409629" s="9">
        <v>618156247357.86304</v>
      </c>
      <c r="U409629" s="9">
        <v>4037613000000</v>
      </c>
    </row>
    <row r="409630" spans="20:21" x14ac:dyDescent="0.15">
      <c r="T409630" s="9">
        <v>701178819512.74402</v>
      </c>
      <c r="U409630" s="9">
        <v>4338979000000</v>
      </c>
    </row>
    <row r="409631" spans="20:21" x14ac:dyDescent="0.15">
      <c r="T409631" s="9">
        <v>763934055759.06604</v>
      </c>
      <c r="U409631" s="9">
        <v>4579631000000</v>
      </c>
    </row>
    <row r="409632" spans="20:21" x14ac:dyDescent="0.15">
      <c r="T409632" s="9">
        <v>852989116696.35205</v>
      </c>
      <c r="U409632" s="9">
        <v>4855215000000</v>
      </c>
    </row>
    <row r="409633" spans="20:21" x14ac:dyDescent="0.15">
      <c r="T409633" s="9">
        <v>948716630508.16699</v>
      </c>
      <c r="U409633" s="9">
        <v>5236438000000</v>
      </c>
    </row>
    <row r="409634" spans="20:21" x14ac:dyDescent="0.15">
      <c r="T409634" s="9">
        <v>988622824073.36694</v>
      </c>
      <c r="U409634" s="9">
        <v>5641580000000</v>
      </c>
    </row>
    <row r="409635" spans="20:21" x14ac:dyDescent="0.15">
      <c r="T409635" s="9">
        <v>1027379323856.15</v>
      </c>
      <c r="U409635" s="9">
        <v>5963144000000</v>
      </c>
    </row>
    <row r="409636" spans="20:21" x14ac:dyDescent="0.15">
      <c r="T409636" s="9">
        <v>1122543272896.8301</v>
      </c>
      <c r="U409636" s="9">
        <v>6158129000000</v>
      </c>
    </row>
    <row r="409637" spans="20:21" x14ac:dyDescent="0.15">
      <c r="T409637" s="9">
        <v>1282219772946.3201</v>
      </c>
      <c r="U409637" s="9">
        <v>6520327000000</v>
      </c>
    </row>
    <row r="409638" spans="20:21" x14ac:dyDescent="0.15">
      <c r="T409638" s="9">
        <v>1460239695280.22</v>
      </c>
      <c r="U409638" s="9">
        <v>6858559000000</v>
      </c>
    </row>
    <row r="409639" spans="20:21" x14ac:dyDescent="0.15">
      <c r="T409639" s="9">
        <v>1650608320717.1299</v>
      </c>
      <c r="U409639" s="9">
        <v>7287236000000</v>
      </c>
    </row>
    <row r="409640" spans="20:21" x14ac:dyDescent="0.15">
      <c r="T409640" s="9">
        <v>1831415202548.1001</v>
      </c>
      <c r="U409640" s="9">
        <v>7639749000000</v>
      </c>
    </row>
    <row r="409641" spans="20:21" x14ac:dyDescent="0.15">
      <c r="T409641" s="9">
        <v>2013138415391.3999</v>
      </c>
      <c r="U409641" s="9">
        <v>8073122000000</v>
      </c>
    </row>
    <row r="409642" spans="20:21" x14ac:dyDescent="0.15">
      <c r="T409642" s="9">
        <v>2199087579734.8799</v>
      </c>
      <c r="U409642" s="9">
        <v>8577554457000</v>
      </c>
    </row>
    <row r="409643" spans="20:21" x14ac:dyDescent="0.15">
      <c r="T409643" s="9">
        <v>2371626931008.4102</v>
      </c>
      <c r="U409643" s="9">
        <v>9062818202000</v>
      </c>
    </row>
    <row r="409644" spans="20:21" x14ac:dyDescent="0.15">
      <c r="T409644" s="9">
        <v>2553332721355.1499</v>
      </c>
      <c r="U409644" s="9">
        <v>9631174489000</v>
      </c>
    </row>
    <row r="409645" spans="20:21" x14ac:dyDescent="0.15">
      <c r="T409645" s="9">
        <v>2770113054357.8301</v>
      </c>
      <c r="U409645" s="9">
        <v>10250947997000</v>
      </c>
    </row>
    <row r="409646" spans="20:21" x14ac:dyDescent="0.15">
      <c r="T409646" s="9">
        <v>3001022295612.3501</v>
      </c>
      <c r="U409646" s="9">
        <v>10581929774000</v>
      </c>
    </row>
    <row r="409647" spans="20:21" x14ac:dyDescent="0.15">
      <c r="T409647" s="9">
        <v>3275124592017.1602</v>
      </c>
      <c r="U409647" s="9">
        <v>10929112955000</v>
      </c>
    </row>
    <row r="409648" spans="20:21" x14ac:dyDescent="0.15">
      <c r="T409648" s="9">
        <v>3603882596858.1099</v>
      </c>
      <c r="U409648" s="9">
        <v>11456442041000</v>
      </c>
    </row>
    <row r="409649" spans="20:21" x14ac:dyDescent="0.15">
      <c r="T409649" s="9">
        <v>3968365637613.6299</v>
      </c>
      <c r="U409649" s="9">
        <v>12217193198000</v>
      </c>
    </row>
    <row r="409650" spans="20:21" x14ac:dyDescent="0.15">
      <c r="T409650" s="9">
        <v>4420544703537.2402</v>
      </c>
      <c r="U409650" s="9">
        <v>13039199193000</v>
      </c>
    </row>
    <row r="409651" spans="20:21" x14ac:dyDescent="0.15">
      <c r="T409651" s="9">
        <v>4982880235433.3896</v>
      </c>
      <c r="U409651" s="9">
        <v>13815586948000</v>
      </c>
    </row>
    <row r="409652" spans="20:21" x14ac:dyDescent="0.15">
      <c r="T409652" s="9">
        <v>5691986992199.8604</v>
      </c>
      <c r="U409652" s="9">
        <v>14474226905000</v>
      </c>
    </row>
    <row r="409653" spans="20:21" x14ac:dyDescent="0.15">
      <c r="T409653" s="9">
        <v>6241302380960.0195</v>
      </c>
      <c r="U409653" s="9">
        <v>14769857911000</v>
      </c>
    </row>
    <row r="409654" spans="20:21" x14ac:dyDescent="0.15">
      <c r="T409654" s="9">
        <v>6827905267633.6299</v>
      </c>
      <c r="U409654" s="9">
        <v>14478064934000</v>
      </c>
    </row>
    <row r="409655" spans="20:21" x14ac:dyDescent="0.15">
      <c r="T409655" s="9">
        <v>7554112468317.7305</v>
      </c>
      <c r="U409655" s="9">
        <v>15048964444000</v>
      </c>
    </row>
    <row r="409656" spans="20:21" x14ac:dyDescent="0.15">
      <c r="T409656" s="9">
        <v>8275593072769.2598</v>
      </c>
      <c r="U409656" s="9">
        <v>15599728123000</v>
      </c>
    </row>
    <row r="409657" spans="20:21" x14ac:dyDescent="0.15">
      <c r="T409657" s="9">
        <v>8926363901575.5605</v>
      </c>
      <c r="U409657" s="9">
        <v>16253972230000</v>
      </c>
    </row>
    <row r="409658" spans="20:21" x14ac:dyDescent="0.15">
      <c r="T409658" s="9">
        <v>9619598720424.4609</v>
      </c>
      <c r="U409658" s="9">
        <v>16843190993000</v>
      </c>
    </row>
    <row r="409659" spans="20:21" x14ac:dyDescent="0.15">
      <c r="T409659" s="9">
        <v>10333927386102.801</v>
      </c>
      <c r="U409659" s="9">
        <v>17550680174000</v>
      </c>
    </row>
    <row r="409660" spans="20:21" x14ac:dyDescent="0.15">
      <c r="T409660" s="9">
        <v>11061573199439.699</v>
      </c>
      <c r="U409660" s="9">
        <v>18206020741000</v>
      </c>
    </row>
    <row r="409661" spans="20:21" x14ac:dyDescent="0.15">
      <c r="T409661" s="9">
        <v>11819154044004.9</v>
      </c>
      <c r="U409661" s="9">
        <v>18695110842000</v>
      </c>
    </row>
    <row r="409662" spans="20:21" x14ac:dyDescent="0.15">
      <c r="T409662" s="9">
        <v>12640254407508.1</v>
      </c>
      <c r="U409662" s="9">
        <v>19477336549000</v>
      </c>
    </row>
    <row r="409663" spans="20:21" x14ac:dyDescent="0.15">
      <c r="T409663" s="9">
        <v>13493442991864.699</v>
      </c>
      <c r="U409663" s="9">
        <v>20533057312000</v>
      </c>
    </row>
    <row r="409664" spans="20:21" x14ac:dyDescent="0.15">
      <c r="T409664" s="9">
        <v>14296370418805.1</v>
      </c>
      <c r="U409664" s="9">
        <v>21380976119000</v>
      </c>
    </row>
    <row r="409665" spans="20:21" x14ac:dyDescent="0.15">
      <c r="T409665" s="9">
        <v>14616414450558.4</v>
      </c>
      <c r="U409665" s="9">
        <v>21060473613000</v>
      </c>
    </row>
    <row r="409666" spans="20:21" x14ac:dyDescent="0.15">
      <c r="T409666" s="9">
        <v>15851132888547.1</v>
      </c>
      <c r="U409666" s="9">
        <v>23315080560000</v>
      </c>
    </row>
    <row r="409667" spans="20:21" x14ac:dyDescent="0.15">
      <c r="T409667" s="9">
        <v>16325209299766.801</v>
      </c>
      <c r="U409667" s="9">
        <v>25462700000000</v>
      </c>
    </row>
    <row r="425985" spans="20:21" x14ac:dyDescent="0.15">
      <c r="T425985" s="9" t="s">
        <v>45</v>
      </c>
      <c r="U425985" s="9" t="s">
        <v>44</v>
      </c>
    </row>
    <row r="425986" spans="20:21" x14ac:dyDescent="0.15">
      <c r="T425986" s="9" t="s">
        <v>43</v>
      </c>
      <c r="U425986" s="9" t="s">
        <v>42</v>
      </c>
    </row>
    <row r="425987" spans="20:21" x14ac:dyDescent="0.15">
      <c r="T425987" s="9" t="s">
        <v>41</v>
      </c>
      <c r="U425987" s="9" t="s">
        <v>40</v>
      </c>
    </row>
    <row r="425988" spans="20:21" x14ac:dyDescent="0.15">
      <c r="T425988" s="9" t="s">
        <v>39</v>
      </c>
      <c r="U425988" s="9" t="s">
        <v>38</v>
      </c>
    </row>
    <row r="425989" spans="20:21" x14ac:dyDescent="0.15">
      <c r="T425989" s="9">
        <v>158907457242.42899</v>
      </c>
      <c r="U425989" s="9">
        <v>543300000000</v>
      </c>
    </row>
    <row r="425990" spans="20:21" x14ac:dyDescent="0.15">
      <c r="T425990" s="9">
        <v>115573393646.185</v>
      </c>
      <c r="U425990" s="9">
        <v>563300000000</v>
      </c>
    </row>
    <row r="425991" spans="20:21" x14ac:dyDescent="0.15">
      <c r="T425991" s="9">
        <v>109124398292.05099</v>
      </c>
      <c r="U425991" s="9">
        <v>605100000000</v>
      </c>
    </row>
    <row r="425992" spans="20:21" x14ac:dyDescent="0.15">
      <c r="T425992" s="9">
        <v>120364211312.289</v>
      </c>
      <c r="U425992" s="9">
        <v>638600000000</v>
      </c>
    </row>
    <row r="425993" spans="20:21" x14ac:dyDescent="0.15">
      <c r="T425993" s="9">
        <v>142246424921.30899</v>
      </c>
      <c r="U425993" s="9">
        <v>685800000000</v>
      </c>
    </row>
    <row r="425994" spans="20:21" x14ac:dyDescent="0.15">
      <c r="T425994" s="9">
        <v>166357193951.10501</v>
      </c>
      <c r="U425994" s="9">
        <v>743700000000</v>
      </c>
    </row>
    <row r="425995" spans="20:21" x14ac:dyDescent="0.15">
      <c r="T425995" s="9">
        <v>184074235104.24799</v>
      </c>
      <c r="U425995" s="9">
        <v>815000000000</v>
      </c>
    </row>
    <row r="425996" spans="20:21" x14ac:dyDescent="0.15">
      <c r="T425996" s="9">
        <v>173453151731.27701</v>
      </c>
      <c r="U425996" s="9">
        <v>861700000000</v>
      </c>
    </row>
    <row r="425997" spans="20:21" x14ac:dyDescent="0.15">
      <c r="T425997" s="9">
        <v>166341572533.69101</v>
      </c>
      <c r="U425997" s="9">
        <v>942500000000</v>
      </c>
    </row>
    <row r="425998" spans="20:21" x14ac:dyDescent="0.15">
      <c r="T425998" s="9">
        <v>194519834914.35999</v>
      </c>
      <c r="U425998" s="9">
        <v>1019900000000</v>
      </c>
    </row>
    <row r="425999" spans="20:21" x14ac:dyDescent="0.15">
      <c r="T425999" s="9">
        <v>232062163046.44</v>
      </c>
      <c r="U425999" s="9">
        <v>1073303000000</v>
      </c>
    </row>
    <row r="426000" spans="20:21" x14ac:dyDescent="0.15">
      <c r="T426000" s="9">
        <v>248445751754.134</v>
      </c>
      <c r="U426000" s="9">
        <v>1164850000000</v>
      </c>
    </row>
    <row r="426001" spans="20:21" x14ac:dyDescent="0.15">
      <c r="T426001" s="9">
        <v>257911534896.49799</v>
      </c>
      <c r="U426001" s="9">
        <v>1279110000000</v>
      </c>
    </row>
    <row r="426002" spans="20:21" x14ac:dyDescent="0.15">
      <c r="T426002" s="9">
        <v>277925470006.599</v>
      </c>
      <c r="U426002" s="9">
        <v>1425376000000</v>
      </c>
    </row>
    <row r="426003" spans="20:21" x14ac:dyDescent="0.15">
      <c r="T426003" s="9">
        <v>284345548371.966</v>
      </c>
      <c r="U426003" s="9">
        <v>1545243000000</v>
      </c>
    </row>
    <row r="426004" spans="20:21" x14ac:dyDescent="0.15">
      <c r="T426004" s="9">
        <v>309140480182.89801</v>
      </c>
      <c r="U426004" s="9">
        <v>1684904000000</v>
      </c>
    </row>
    <row r="426005" spans="20:21" x14ac:dyDescent="0.15">
      <c r="T426005" s="9">
        <v>304286974638.82202</v>
      </c>
      <c r="U426005" s="9">
        <v>1873412000000</v>
      </c>
    </row>
    <row r="426006" spans="20:21" x14ac:dyDescent="0.15">
      <c r="T426006" s="9">
        <v>327321498623.151</v>
      </c>
      <c r="U426006" s="9">
        <v>2081826000000</v>
      </c>
    </row>
    <row r="426007" spans="20:21" x14ac:dyDescent="0.15">
      <c r="T426007" s="9">
        <v>364393859506.91699</v>
      </c>
      <c r="U426007" s="9">
        <v>2351599000000</v>
      </c>
    </row>
    <row r="426008" spans="20:21" x14ac:dyDescent="0.15">
      <c r="T426008" s="9">
        <v>392056180496.07098</v>
      </c>
      <c r="U426008" s="9">
        <v>2627333000000</v>
      </c>
    </row>
    <row r="426009" spans="20:21" x14ac:dyDescent="0.15">
      <c r="T426009" s="9">
        <v>422770430220.08099</v>
      </c>
      <c r="U426009" s="9">
        <v>2857307000000</v>
      </c>
    </row>
    <row r="426010" spans="20:21" x14ac:dyDescent="0.15">
      <c r="T426010" s="9">
        <v>444385672278.89001</v>
      </c>
      <c r="U426010" s="9">
        <v>3207041000000</v>
      </c>
    </row>
    <row r="426011" spans="20:21" x14ac:dyDescent="0.15">
      <c r="T426011" s="9">
        <v>484456434564.98102</v>
      </c>
      <c r="U426011" s="9">
        <v>3343789000000</v>
      </c>
    </row>
    <row r="426012" spans="20:21" x14ac:dyDescent="0.15">
      <c r="T426012" s="9">
        <v>536633373623.745</v>
      </c>
      <c r="U426012" s="9">
        <v>3634038000000</v>
      </c>
    </row>
    <row r="426013" spans="20:21" x14ac:dyDescent="0.15">
      <c r="T426013" s="9">
        <v>618156247357.86304</v>
      </c>
      <c r="U426013" s="9">
        <v>4037613000000</v>
      </c>
    </row>
    <row r="426014" spans="20:21" x14ac:dyDescent="0.15">
      <c r="T426014" s="9">
        <v>701178819512.74402</v>
      </c>
      <c r="U426014" s="9">
        <v>4338979000000</v>
      </c>
    </row>
    <row r="426015" spans="20:21" x14ac:dyDescent="0.15">
      <c r="T426015" s="9">
        <v>763934055759.06604</v>
      </c>
      <c r="U426015" s="9">
        <v>4579631000000</v>
      </c>
    </row>
    <row r="426016" spans="20:21" x14ac:dyDescent="0.15">
      <c r="T426016" s="9">
        <v>852989116696.35205</v>
      </c>
      <c r="U426016" s="9">
        <v>4855215000000</v>
      </c>
    </row>
    <row r="426017" spans="20:21" x14ac:dyDescent="0.15">
      <c r="T426017" s="9">
        <v>948716630508.16699</v>
      </c>
      <c r="U426017" s="9">
        <v>5236438000000</v>
      </c>
    </row>
    <row r="426018" spans="20:21" x14ac:dyDescent="0.15">
      <c r="T426018" s="9">
        <v>988622824073.36694</v>
      </c>
      <c r="U426018" s="9">
        <v>5641580000000</v>
      </c>
    </row>
    <row r="426019" spans="20:21" x14ac:dyDescent="0.15">
      <c r="T426019" s="9">
        <v>1027379323856.15</v>
      </c>
      <c r="U426019" s="9">
        <v>5963144000000</v>
      </c>
    </row>
    <row r="426020" spans="20:21" x14ac:dyDescent="0.15">
      <c r="T426020" s="9">
        <v>1122543272896.8301</v>
      </c>
      <c r="U426020" s="9">
        <v>6158129000000</v>
      </c>
    </row>
    <row r="426021" spans="20:21" x14ac:dyDescent="0.15">
      <c r="T426021" s="9">
        <v>1282219772946.3201</v>
      </c>
      <c r="U426021" s="9">
        <v>6520327000000</v>
      </c>
    </row>
    <row r="426022" spans="20:21" x14ac:dyDescent="0.15">
      <c r="T426022" s="9">
        <v>1460239695280.22</v>
      </c>
      <c r="U426022" s="9">
        <v>6858559000000</v>
      </c>
    </row>
    <row r="426023" spans="20:21" x14ac:dyDescent="0.15">
      <c r="T426023" s="9">
        <v>1650608320717.1299</v>
      </c>
      <c r="U426023" s="9">
        <v>7287236000000</v>
      </c>
    </row>
    <row r="426024" spans="20:21" x14ac:dyDescent="0.15">
      <c r="T426024" s="9">
        <v>1831415202548.1001</v>
      </c>
      <c r="U426024" s="9">
        <v>7639749000000</v>
      </c>
    </row>
    <row r="426025" spans="20:21" x14ac:dyDescent="0.15">
      <c r="T426025" s="9">
        <v>2013138415391.3999</v>
      </c>
      <c r="U426025" s="9">
        <v>8073122000000</v>
      </c>
    </row>
    <row r="426026" spans="20:21" x14ac:dyDescent="0.15">
      <c r="T426026" s="9">
        <v>2199087579734.8799</v>
      </c>
      <c r="U426026" s="9">
        <v>8577554457000</v>
      </c>
    </row>
    <row r="426027" spans="20:21" x14ac:dyDescent="0.15">
      <c r="T426027" s="9">
        <v>2371626931008.4102</v>
      </c>
      <c r="U426027" s="9">
        <v>9062818202000</v>
      </c>
    </row>
    <row r="426028" spans="20:21" x14ac:dyDescent="0.15">
      <c r="T426028" s="9">
        <v>2553332721355.1499</v>
      </c>
      <c r="U426028" s="9">
        <v>9631174489000</v>
      </c>
    </row>
    <row r="426029" spans="20:21" x14ac:dyDescent="0.15">
      <c r="T426029" s="9">
        <v>2770113054357.8301</v>
      </c>
      <c r="U426029" s="9">
        <v>10250947997000</v>
      </c>
    </row>
    <row r="426030" spans="20:21" x14ac:dyDescent="0.15">
      <c r="T426030" s="9">
        <v>3001022295612.3501</v>
      </c>
      <c r="U426030" s="9">
        <v>10581929774000</v>
      </c>
    </row>
    <row r="426031" spans="20:21" x14ac:dyDescent="0.15">
      <c r="T426031" s="9">
        <v>3275124592017.1602</v>
      </c>
      <c r="U426031" s="9">
        <v>10929112955000</v>
      </c>
    </row>
    <row r="426032" spans="20:21" x14ac:dyDescent="0.15">
      <c r="T426032" s="9">
        <v>3603882596858.1099</v>
      </c>
      <c r="U426032" s="9">
        <v>11456442041000</v>
      </c>
    </row>
    <row r="426033" spans="20:21" x14ac:dyDescent="0.15">
      <c r="T426033" s="9">
        <v>3968365637613.6299</v>
      </c>
      <c r="U426033" s="9">
        <v>12217193198000</v>
      </c>
    </row>
    <row r="426034" spans="20:21" x14ac:dyDescent="0.15">
      <c r="T426034" s="9">
        <v>4420544703537.2402</v>
      </c>
      <c r="U426034" s="9">
        <v>13039199193000</v>
      </c>
    </row>
    <row r="426035" spans="20:21" x14ac:dyDescent="0.15">
      <c r="T426035" s="9">
        <v>4982880235433.3896</v>
      </c>
      <c r="U426035" s="9">
        <v>13815586948000</v>
      </c>
    </row>
    <row r="426036" spans="20:21" x14ac:dyDescent="0.15">
      <c r="T426036" s="9">
        <v>5691986992199.8604</v>
      </c>
      <c r="U426036" s="9">
        <v>14474226905000</v>
      </c>
    </row>
    <row r="426037" spans="20:21" x14ac:dyDescent="0.15">
      <c r="T426037" s="9">
        <v>6241302380960.0195</v>
      </c>
      <c r="U426037" s="9">
        <v>14769857911000</v>
      </c>
    </row>
    <row r="426038" spans="20:21" x14ac:dyDescent="0.15">
      <c r="T426038" s="9">
        <v>6827905267633.6299</v>
      </c>
      <c r="U426038" s="9">
        <v>14478064934000</v>
      </c>
    </row>
    <row r="426039" spans="20:21" x14ac:dyDescent="0.15">
      <c r="T426039" s="9">
        <v>7554112468317.7305</v>
      </c>
      <c r="U426039" s="9">
        <v>15048964444000</v>
      </c>
    </row>
    <row r="426040" spans="20:21" x14ac:dyDescent="0.15">
      <c r="T426040" s="9">
        <v>8275593072769.2598</v>
      </c>
      <c r="U426040" s="9">
        <v>15599728123000</v>
      </c>
    </row>
    <row r="426041" spans="20:21" x14ac:dyDescent="0.15">
      <c r="T426041" s="9">
        <v>8926363901575.5605</v>
      </c>
      <c r="U426041" s="9">
        <v>16253972230000</v>
      </c>
    </row>
    <row r="426042" spans="20:21" x14ac:dyDescent="0.15">
      <c r="T426042" s="9">
        <v>9619598720424.4609</v>
      </c>
      <c r="U426042" s="9">
        <v>16843190993000</v>
      </c>
    </row>
    <row r="426043" spans="20:21" x14ac:dyDescent="0.15">
      <c r="T426043" s="9">
        <v>10333927386102.801</v>
      </c>
      <c r="U426043" s="9">
        <v>17550680174000</v>
      </c>
    </row>
    <row r="426044" spans="20:21" x14ac:dyDescent="0.15">
      <c r="T426044" s="9">
        <v>11061573199439.699</v>
      </c>
      <c r="U426044" s="9">
        <v>18206020741000</v>
      </c>
    </row>
    <row r="426045" spans="20:21" x14ac:dyDescent="0.15">
      <c r="T426045" s="9">
        <v>11819154044004.9</v>
      </c>
      <c r="U426045" s="9">
        <v>18695110842000</v>
      </c>
    </row>
    <row r="426046" spans="20:21" x14ac:dyDescent="0.15">
      <c r="T426046" s="9">
        <v>12640254407508.1</v>
      </c>
      <c r="U426046" s="9">
        <v>19477336549000</v>
      </c>
    </row>
    <row r="426047" spans="20:21" x14ac:dyDescent="0.15">
      <c r="T426047" s="9">
        <v>13493442991864.699</v>
      </c>
      <c r="U426047" s="9">
        <v>20533057312000</v>
      </c>
    </row>
    <row r="426048" spans="20:21" x14ac:dyDescent="0.15">
      <c r="T426048" s="9">
        <v>14296370418805.1</v>
      </c>
      <c r="U426048" s="9">
        <v>21380976119000</v>
      </c>
    </row>
    <row r="426049" spans="20:21" x14ac:dyDescent="0.15">
      <c r="T426049" s="9">
        <v>14616414450558.4</v>
      </c>
      <c r="U426049" s="9">
        <v>21060473613000</v>
      </c>
    </row>
    <row r="426050" spans="20:21" x14ac:dyDescent="0.15">
      <c r="T426050" s="9">
        <v>15851132888547.1</v>
      </c>
      <c r="U426050" s="9">
        <v>23315080560000</v>
      </c>
    </row>
    <row r="426051" spans="20:21" x14ac:dyDescent="0.15">
      <c r="T426051" s="9">
        <v>16325209299766.801</v>
      </c>
      <c r="U426051" s="9">
        <v>25462700000000</v>
      </c>
    </row>
    <row r="442369" spans="20:21" x14ac:dyDescent="0.15">
      <c r="T442369" s="9" t="s">
        <v>45</v>
      </c>
      <c r="U442369" s="9" t="s">
        <v>44</v>
      </c>
    </row>
    <row r="442370" spans="20:21" x14ac:dyDescent="0.15">
      <c r="T442370" s="9" t="s">
        <v>43</v>
      </c>
      <c r="U442370" s="9" t="s">
        <v>42</v>
      </c>
    </row>
    <row r="442371" spans="20:21" x14ac:dyDescent="0.15">
      <c r="T442371" s="9" t="s">
        <v>41</v>
      </c>
      <c r="U442371" s="9" t="s">
        <v>40</v>
      </c>
    </row>
    <row r="442372" spans="20:21" x14ac:dyDescent="0.15">
      <c r="T442372" s="9" t="s">
        <v>39</v>
      </c>
      <c r="U442372" s="9" t="s">
        <v>38</v>
      </c>
    </row>
    <row r="442373" spans="20:21" x14ac:dyDescent="0.15">
      <c r="T442373" s="9">
        <v>158907457242.42899</v>
      </c>
      <c r="U442373" s="9">
        <v>543300000000</v>
      </c>
    </row>
    <row r="442374" spans="20:21" x14ac:dyDescent="0.15">
      <c r="T442374" s="9">
        <v>115573393646.185</v>
      </c>
      <c r="U442374" s="9">
        <v>563300000000</v>
      </c>
    </row>
    <row r="442375" spans="20:21" x14ac:dyDescent="0.15">
      <c r="T442375" s="9">
        <v>109124398292.05099</v>
      </c>
      <c r="U442375" s="9">
        <v>605100000000</v>
      </c>
    </row>
    <row r="442376" spans="20:21" x14ac:dyDescent="0.15">
      <c r="T442376" s="9">
        <v>120364211312.289</v>
      </c>
      <c r="U442376" s="9">
        <v>638600000000</v>
      </c>
    </row>
    <row r="442377" spans="20:21" x14ac:dyDescent="0.15">
      <c r="T442377" s="9">
        <v>142246424921.30899</v>
      </c>
      <c r="U442377" s="9">
        <v>685800000000</v>
      </c>
    </row>
    <row r="442378" spans="20:21" x14ac:dyDescent="0.15">
      <c r="T442378" s="9">
        <v>166357193951.10501</v>
      </c>
      <c r="U442378" s="9">
        <v>743700000000</v>
      </c>
    </row>
    <row r="442379" spans="20:21" x14ac:dyDescent="0.15">
      <c r="T442379" s="9">
        <v>184074235104.24799</v>
      </c>
      <c r="U442379" s="9">
        <v>815000000000</v>
      </c>
    </row>
    <row r="442380" spans="20:21" x14ac:dyDescent="0.15">
      <c r="T442380" s="9">
        <v>173453151731.27701</v>
      </c>
      <c r="U442380" s="9">
        <v>861700000000</v>
      </c>
    </row>
    <row r="442381" spans="20:21" x14ac:dyDescent="0.15">
      <c r="T442381" s="9">
        <v>166341572533.69101</v>
      </c>
      <c r="U442381" s="9">
        <v>942500000000</v>
      </c>
    </row>
    <row r="442382" spans="20:21" x14ac:dyDescent="0.15">
      <c r="T442382" s="9">
        <v>194519834914.35999</v>
      </c>
      <c r="U442382" s="9">
        <v>1019900000000</v>
      </c>
    </row>
    <row r="442383" spans="20:21" x14ac:dyDescent="0.15">
      <c r="T442383" s="9">
        <v>232062163046.44</v>
      </c>
      <c r="U442383" s="9">
        <v>1073303000000</v>
      </c>
    </row>
    <row r="442384" spans="20:21" x14ac:dyDescent="0.15">
      <c r="T442384" s="9">
        <v>248445751754.134</v>
      </c>
      <c r="U442384" s="9">
        <v>1164850000000</v>
      </c>
    </row>
    <row r="442385" spans="20:21" x14ac:dyDescent="0.15">
      <c r="T442385" s="9">
        <v>257911534896.49799</v>
      </c>
      <c r="U442385" s="9">
        <v>1279110000000</v>
      </c>
    </row>
    <row r="442386" spans="20:21" x14ac:dyDescent="0.15">
      <c r="T442386" s="9">
        <v>277925470006.599</v>
      </c>
      <c r="U442386" s="9">
        <v>1425376000000</v>
      </c>
    </row>
    <row r="442387" spans="20:21" x14ac:dyDescent="0.15">
      <c r="T442387" s="9">
        <v>284345548371.966</v>
      </c>
      <c r="U442387" s="9">
        <v>1545243000000</v>
      </c>
    </row>
    <row r="442388" spans="20:21" x14ac:dyDescent="0.15">
      <c r="T442388" s="9">
        <v>309140480182.89801</v>
      </c>
      <c r="U442388" s="9">
        <v>1684904000000</v>
      </c>
    </row>
    <row r="442389" spans="20:21" x14ac:dyDescent="0.15">
      <c r="T442389" s="9">
        <v>304286974638.82202</v>
      </c>
      <c r="U442389" s="9">
        <v>1873412000000</v>
      </c>
    </row>
    <row r="442390" spans="20:21" x14ac:dyDescent="0.15">
      <c r="T442390" s="9">
        <v>327321498623.151</v>
      </c>
      <c r="U442390" s="9">
        <v>2081826000000</v>
      </c>
    </row>
    <row r="442391" spans="20:21" x14ac:dyDescent="0.15">
      <c r="T442391" s="9">
        <v>364393859506.91699</v>
      </c>
      <c r="U442391" s="9">
        <v>2351599000000</v>
      </c>
    </row>
    <row r="442392" spans="20:21" x14ac:dyDescent="0.15">
      <c r="T442392" s="9">
        <v>392056180496.07098</v>
      </c>
      <c r="U442392" s="9">
        <v>2627333000000</v>
      </c>
    </row>
    <row r="442393" spans="20:21" x14ac:dyDescent="0.15">
      <c r="T442393" s="9">
        <v>422770430220.08099</v>
      </c>
      <c r="U442393" s="9">
        <v>2857307000000</v>
      </c>
    </row>
    <row r="442394" spans="20:21" x14ac:dyDescent="0.15">
      <c r="T442394" s="9">
        <v>444385672278.89001</v>
      </c>
      <c r="U442394" s="9">
        <v>3207041000000</v>
      </c>
    </row>
    <row r="442395" spans="20:21" x14ac:dyDescent="0.15">
      <c r="T442395" s="9">
        <v>484456434564.98102</v>
      </c>
      <c r="U442395" s="9">
        <v>3343789000000</v>
      </c>
    </row>
    <row r="442396" spans="20:21" x14ac:dyDescent="0.15">
      <c r="T442396" s="9">
        <v>536633373623.745</v>
      </c>
      <c r="U442396" s="9">
        <v>3634038000000</v>
      </c>
    </row>
    <row r="442397" spans="20:21" x14ac:dyDescent="0.15">
      <c r="T442397" s="9">
        <v>618156247357.86304</v>
      </c>
      <c r="U442397" s="9">
        <v>4037613000000</v>
      </c>
    </row>
    <row r="442398" spans="20:21" x14ac:dyDescent="0.15">
      <c r="T442398" s="9">
        <v>701178819512.74402</v>
      </c>
      <c r="U442398" s="9">
        <v>4338979000000</v>
      </c>
    </row>
    <row r="442399" spans="20:21" x14ac:dyDescent="0.15">
      <c r="T442399" s="9">
        <v>763934055759.06604</v>
      </c>
      <c r="U442399" s="9">
        <v>4579631000000</v>
      </c>
    </row>
    <row r="442400" spans="20:21" x14ac:dyDescent="0.15">
      <c r="T442400" s="9">
        <v>852989116696.35205</v>
      </c>
      <c r="U442400" s="9">
        <v>4855215000000</v>
      </c>
    </row>
    <row r="442401" spans="20:21" x14ac:dyDescent="0.15">
      <c r="T442401" s="9">
        <v>948716630508.16699</v>
      </c>
      <c r="U442401" s="9">
        <v>5236438000000</v>
      </c>
    </row>
    <row r="442402" spans="20:21" x14ac:dyDescent="0.15">
      <c r="T442402" s="9">
        <v>988622824073.36694</v>
      </c>
      <c r="U442402" s="9">
        <v>5641580000000</v>
      </c>
    </row>
    <row r="442403" spans="20:21" x14ac:dyDescent="0.15">
      <c r="T442403" s="9">
        <v>1027379323856.15</v>
      </c>
      <c r="U442403" s="9">
        <v>5963144000000</v>
      </c>
    </row>
    <row r="442404" spans="20:21" x14ac:dyDescent="0.15">
      <c r="T442404" s="9">
        <v>1122543272896.8301</v>
      </c>
      <c r="U442404" s="9">
        <v>6158129000000</v>
      </c>
    </row>
    <row r="442405" spans="20:21" x14ac:dyDescent="0.15">
      <c r="T442405" s="9">
        <v>1282219772946.3201</v>
      </c>
      <c r="U442405" s="9">
        <v>6520327000000</v>
      </c>
    </row>
    <row r="442406" spans="20:21" x14ac:dyDescent="0.15">
      <c r="T442406" s="9">
        <v>1460239695280.22</v>
      </c>
      <c r="U442406" s="9">
        <v>6858559000000</v>
      </c>
    </row>
    <row r="442407" spans="20:21" x14ac:dyDescent="0.15">
      <c r="T442407" s="9">
        <v>1650608320717.1299</v>
      </c>
      <c r="U442407" s="9">
        <v>7287236000000</v>
      </c>
    </row>
    <row r="442408" spans="20:21" x14ac:dyDescent="0.15">
      <c r="T442408" s="9">
        <v>1831415202548.1001</v>
      </c>
      <c r="U442408" s="9">
        <v>7639749000000</v>
      </c>
    </row>
    <row r="442409" spans="20:21" x14ac:dyDescent="0.15">
      <c r="T442409" s="9">
        <v>2013138415391.3999</v>
      </c>
      <c r="U442409" s="9">
        <v>8073122000000</v>
      </c>
    </row>
    <row r="442410" spans="20:21" x14ac:dyDescent="0.15">
      <c r="T442410" s="9">
        <v>2199087579734.8799</v>
      </c>
      <c r="U442410" s="9">
        <v>8577554457000</v>
      </c>
    </row>
    <row r="442411" spans="20:21" x14ac:dyDescent="0.15">
      <c r="T442411" s="9">
        <v>2371626931008.4102</v>
      </c>
      <c r="U442411" s="9">
        <v>9062818202000</v>
      </c>
    </row>
    <row r="442412" spans="20:21" x14ac:dyDescent="0.15">
      <c r="T442412" s="9">
        <v>2553332721355.1499</v>
      </c>
      <c r="U442412" s="9">
        <v>9631174489000</v>
      </c>
    </row>
    <row r="442413" spans="20:21" x14ac:dyDescent="0.15">
      <c r="T442413" s="9">
        <v>2770113054357.8301</v>
      </c>
      <c r="U442413" s="9">
        <v>10250947997000</v>
      </c>
    </row>
    <row r="442414" spans="20:21" x14ac:dyDescent="0.15">
      <c r="T442414" s="9">
        <v>3001022295612.3501</v>
      </c>
      <c r="U442414" s="9">
        <v>10581929774000</v>
      </c>
    </row>
    <row r="442415" spans="20:21" x14ac:dyDescent="0.15">
      <c r="T442415" s="9">
        <v>3275124592017.1602</v>
      </c>
      <c r="U442415" s="9">
        <v>10929112955000</v>
      </c>
    </row>
    <row r="442416" spans="20:21" x14ac:dyDescent="0.15">
      <c r="T442416" s="9">
        <v>3603882596858.1099</v>
      </c>
      <c r="U442416" s="9">
        <v>11456442041000</v>
      </c>
    </row>
    <row r="442417" spans="20:21" x14ac:dyDescent="0.15">
      <c r="T442417" s="9">
        <v>3968365637613.6299</v>
      </c>
      <c r="U442417" s="9">
        <v>12217193198000</v>
      </c>
    </row>
    <row r="442418" spans="20:21" x14ac:dyDescent="0.15">
      <c r="T442418" s="9">
        <v>4420544703537.2402</v>
      </c>
      <c r="U442418" s="9">
        <v>13039199193000</v>
      </c>
    </row>
    <row r="442419" spans="20:21" x14ac:dyDescent="0.15">
      <c r="T442419" s="9">
        <v>4982880235433.3896</v>
      </c>
      <c r="U442419" s="9">
        <v>13815586948000</v>
      </c>
    </row>
    <row r="442420" spans="20:21" x14ac:dyDescent="0.15">
      <c r="T442420" s="9">
        <v>5691986992199.8604</v>
      </c>
      <c r="U442420" s="9">
        <v>14474226905000</v>
      </c>
    </row>
    <row r="442421" spans="20:21" x14ac:dyDescent="0.15">
      <c r="T442421" s="9">
        <v>6241302380960.0195</v>
      </c>
      <c r="U442421" s="9">
        <v>14769857911000</v>
      </c>
    </row>
    <row r="442422" spans="20:21" x14ac:dyDescent="0.15">
      <c r="T442422" s="9">
        <v>6827905267633.6299</v>
      </c>
      <c r="U442422" s="9">
        <v>14478064934000</v>
      </c>
    </row>
    <row r="442423" spans="20:21" x14ac:dyDescent="0.15">
      <c r="T442423" s="9">
        <v>7554112468317.7305</v>
      </c>
      <c r="U442423" s="9">
        <v>15048964444000</v>
      </c>
    </row>
    <row r="442424" spans="20:21" x14ac:dyDescent="0.15">
      <c r="T442424" s="9">
        <v>8275593072769.2598</v>
      </c>
      <c r="U442424" s="9">
        <v>15599728123000</v>
      </c>
    </row>
    <row r="442425" spans="20:21" x14ac:dyDescent="0.15">
      <c r="T442425" s="9">
        <v>8926363901575.5605</v>
      </c>
      <c r="U442425" s="9">
        <v>16253972230000</v>
      </c>
    </row>
    <row r="442426" spans="20:21" x14ac:dyDescent="0.15">
      <c r="T442426" s="9">
        <v>9619598720424.4609</v>
      </c>
      <c r="U442426" s="9">
        <v>16843190993000</v>
      </c>
    </row>
    <row r="442427" spans="20:21" x14ac:dyDescent="0.15">
      <c r="T442427" s="9">
        <v>10333927386102.801</v>
      </c>
      <c r="U442427" s="9">
        <v>17550680174000</v>
      </c>
    </row>
    <row r="442428" spans="20:21" x14ac:dyDescent="0.15">
      <c r="T442428" s="9">
        <v>11061573199439.699</v>
      </c>
      <c r="U442428" s="9">
        <v>18206020741000</v>
      </c>
    </row>
    <row r="442429" spans="20:21" x14ac:dyDescent="0.15">
      <c r="T442429" s="9">
        <v>11819154044004.9</v>
      </c>
      <c r="U442429" s="9">
        <v>18695110842000</v>
      </c>
    </row>
    <row r="442430" spans="20:21" x14ac:dyDescent="0.15">
      <c r="T442430" s="9">
        <v>12640254407508.1</v>
      </c>
      <c r="U442430" s="9">
        <v>19477336549000</v>
      </c>
    </row>
    <row r="442431" spans="20:21" x14ac:dyDescent="0.15">
      <c r="T442431" s="9">
        <v>13493442991864.699</v>
      </c>
      <c r="U442431" s="9">
        <v>20533057312000</v>
      </c>
    </row>
    <row r="442432" spans="20:21" x14ac:dyDescent="0.15">
      <c r="T442432" s="9">
        <v>14296370418805.1</v>
      </c>
      <c r="U442432" s="9">
        <v>21380976119000</v>
      </c>
    </row>
    <row r="442433" spans="20:21" x14ac:dyDescent="0.15">
      <c r="T442433" s="9">
        <v>14616414450558.4</v>
      </c>
      <c r="U442433" s="9">
        <v>21060473613000</v>
      </c>
    </row>
    <row r="442434" spans="20:21" x14ac:dyDescent="0.15">
      <c r="T442434" s="9">
        <v>15851132888547.1</v>
      </c>
      <c r="U442434" s="9">
        <v>23315080560000</v>
      </c>
    </row>
    <row r="442435" spans="20:21" x14ac:dyDescent="0.15">
      <c r="T442435" s="9">
        <v>16325209299766.801</v>
      </c>
      <c r="U442435" s="9">
        <v>25462700000000</v>
      </c>
    </row>
    <row r="458753" spans="20:21" x14ac:dyDescent="0.15">
      <c r="T458753" s="9" t="s">
        <v>45</v>
      </c>
      <c r="U458753" s="9" t="s">
        <v>44</v>
      </c>
    </row>
    <row r="458754" spans="20:21" x14ac:dyDescent="0.15">
      <c r="T458754" s="9" t="s">
        <v>43</v>
      </c>
      <c r="U458754" s="9" t="s">
        <v>42</v>
      </c>
    </row>
    <row r="458755" spans="20:21" x14ac:dyDescent="0.15">
      <c r="T458755" s="9" t="s">
        <v>41</v>
      </c>
      <c r="U458755" s="9" t="s">
        <v>40</v>
      </c>
    </row>
    <row r="458756" spans="20:21" x14ac:dyDescent="0.15">
      <c r="T458756" s="9" t="s">
        <v>39</v>
      </c>
      <c r="U458756" s="9" t="s">
        <v>38</v>
      </c>
    </row>
    <row r="458757" spans="20:21" x14ac:dyDescent="0.15">
      <c r="T458757" s="9">
        <v>158907457242.42899</v>
      </c>
      <c r="U458757" s="9">
        <v>543300000000</v>
      </c>
    </row>
    <row r="458758" spans="20:21" x14ac:dyDescent="0.15">
      <c r="T458758" s="9">
        <v>115573393646.185</v>
      </c>
      <c r="U458758" s="9">
        <v>563300000000</v>
      </c>
    </row>
    <row r="458759" spans="20:21" x14ac:dyDescent="0.15">
      <c r="T458759" s="9">
        <v>109124398292.05099</v>
      </c>
      <c r="U458759" s="9">
        <v>605100000000</v>
      </c>
    </row>
    <row r="458760" spans="20:21" x14ac:dyDescent="0.15">
      <c r="T458760" s="9">
        <v>120364211312.289</v>
      </c>
      <c r="U458760" s="9">
        <v>638600000000</v>
      </c>
    </row>
    <row r="458761" spans="20:21" x14ac:dyDescent="0.15">
      <c r="T458761" s="9">
        <v>142246424921.30899</v>
      </c>
      <c r="U458761" s="9">
        <v>685800000000</v>
      </c>
    </row>
    <row r="458762" spans="20:21" x14ac:dyDescent="0.15">
      <c r="T458762" s="9">
        <v>166357193951.10501</v>
      </c>
      <c r="U458762" s="9">
        <v>743700000000</v>
      </c>
    </row>
    <row r="458763" spans="20:21" x14ac:dyDescent="0.15">
      <c r="T458763" s="9">
        <v>184074235104.24799</v>
      </c>
      <c r="U458763" s="9">
        <v>815000000000</v>
      </c>
    </row>
    <row r="458764" spans="20:21" x14ac:dyDescent="0.15">
      <c r="T458764" s="9">
        <v>173453151731.27701</v>
      </c>
      <c r="U458764" s="9">
        <v>861700000000</v>
      </c>
    </row>
    <row r="458765" spans="20:21" x14ac:dyDescent="0.15">
      <c r="T458765" s="9">
        <v>166341572533.69101</v>
      </c>
      <c r="U458765" s="9">
        <v>942500000000</v>
      </c>
    </row>
    <row r="458766" spans="20:21" x14ac:dyDescent="0.15">
      <c r="T458766" s="9">
        <v>194519834914.35999</v>
      </c>
      <c r="U458766" s="9">
        <v>1019900000000</v>
      </c>
    </row>
    <row r="458767" spans="20:21" x14ac:dyDescent="0.15">
      <c r="T458767" s="9">
        <v>232062163046.44</v>
      </c>
      <c r="U458767" s="9">
        <v>1073303000000</v>
      </c>
    </row>
    <row r="458768" spans="20:21" x14ac:dyDescent="0.15">
      <c r="T458768" s="9">
        <v>248445751754.134</v>
      </c>
      <c r="U458768" s="9">
        <v>1164850000000</v>
      </c>
    </row>
    <row r="458769" spans="20:21" x14ac:dyDescent="0.15">
      <c r="T458769" s="9">
        <v>257911534896.49799</v>
      </c>
      <c r="U458769" s="9">
        <v>1279110000000</v>
      </c>
    </row>
    <row r="458770" spans="20:21" x14ac:dyDescent="0.15">
      <c r="T458770" s="9">
        <v>277925470006.599</v>
      </c>
      <c r="U458770" s="9">
        <v>1425376000000</v>
      </c>
    </row>
    <row r="458771" spans="20:21" x14ac:dyDescent="0.15">
      <c r="T458771" s="9">
        <v>284345548371.966</v>
      </c>
      <c r="U458771" s="9">
        <v>1545243000000</v>
      </c>
    </row>
    <row r="458772" spans="20:21" x14ac:dyDescent="0.15">
      <c r="T458772" s="9">
        <v>309140480182.89801</v>
      </c>
      <c r="U458772" s="9">
        <v>1684904000000</v>
      </c>
    </row>
    <row r="458773" spans="20:21" x14ac:dyDescent="0.15">
      <c r="T458773" s="9">
        <v>304286974638.82202</v>
      </c>
      <c r="U458773" s="9">
        <v>1873412000000</v>
      </c>
    </row>
    <row r="458774" spans="20:21" x14ac:dyDescent="0.15">
      <c r="T458774" s="9">
        <v>327321498623.151</v>
      </c>
      <c r="U458774" s="9">
        <v>2081826000000</v>
      </c>
    </row>
    <row r="458775" spans="20:21" x14ac:dyDescent="0.15">
      <c r="T458775" s="9">
        <v>364393859506.91699</v>
      </c>
      <c r="U458775" s="9">
        <v>2351599000000</v>
      </c>
    </row>
    <row r="458776" spans="20:21" x14ac:dyDescent="0.15">
      <c r="T458776" s="9">
        <v>392056180496.07098</v>
      </c>
      <c r="U458776" s="9">
        <v>2627333000000</v>
      </c>
    </row>
    <row r="458777" spans="20:21" x14ac:dyDescent="0.15">
      <c r="T458777" s="9">
        <v>422770430220.08099</v>
      </c>
      <c r="U458777" s="9">
        <v>2857307000000</v>
      </c>
    </row>
    <row r="458778" spans="20:21" x14ac:dyDescent="0.15">
      <c r="T458778" s="9">
        <v>444385672278.89001</v>
      </c>
      <c r="U458778" s="9">
        <v>3207041000000</v>
      </c>
    </row>
    <row r="458779" spans="20:21" x14ac:dyDescent="0.15">
      <c r="T458779" s="9">
        <v>484456434564.98102</v>
      </c>
      <c r="U458779" s="9">
        <v>3343789000000</v>
      </c>
    </row>
    <row r="458780" spans="20:21" x14ac:dyDescent="0.15">
      <c r="T458780" s="9">
        <v>536633373623.745</v>
      </c>
      <c r="U458780" s="9">
        <v>3634038000000</v>
      </c>
    </row>
    <row r="458781" spans="20:21" x14ac:dyDescent="0.15">
      <c r="T458781" s="9">
        <v>618156247357.86304</v>
      </c>
      <c r="U458781" s="9">
        <v>4037613000000</v>
      </c>
    </row>
    <row r="458782" spans="20:21" x14ac:dyDescent="0.15">
      <c r="T458782" s="9">
        <v>701178819512.74402</v>
      </c>
      <c r="U458782" s="9">
        <v>4338979000000</v>
      </c>
    </row>
    <row r="458783" spans="20:21" x14ac:dyDescent="0.15">
      <c r="T458783" s="9">
        <v>763934055759.06604</v>
      </c>
      <c r="U458783" s="9">
        <v>4579631000000</v>
      </c>
    </row>
    <row r="458784" spans="20:21" x14ac:dyDescent="0.15">
      <c r="T458784" s="9">
        <v>852989116696.35205</v>
      </c>
      <c r="U458784" s="9">
        <v>4855215000000</v>
      </c>
    </row>
    <row r="458785" spans="20:21" x14ac:dyDescent="0.15">
      <c r="T458785" s="9">
        <v>948716630508.16699</v>
      </c>
      <c r="U458785" s="9">
        <v>5236438000000</v>
      </c>
    </row>
    <row r="458786" spans="20:21" x14ac:dyDescent="0.15">
      <c r="T458786" s="9">
        <v>988622824073.36694</v>
      </c>
      <c r="U458786" s="9">
        <v>5641580000000</v>
      </c>
    </row>
    <row r="458787" spans="20:21" x14ac:dyDescent="0.15">
      <c r="T458787" s="9">
        <v>1027379323856.15</v>
      </c>
      <c r="U458787" s="9">
        <v>5963144000000</v>
      </c>
    </row>
    <row r="458788" spans="20:21" x14ac:dyDescent="0.15">
      <c r="T458788" s="9">
        <v>1122543272896.8301</v>
      </c>
      <c r="U458788" s="9">
        <v>6158129000000</v>
      </c>
    </row>
    <row r="458789" spans="20:21" x14ac:dyDescent="0.15">
      <c r="T458789" s="9">
        <v>1282219772946.3201</v>
      </c>
      <c r="U458789" s="9">
        <v>6520327000000</v>
      </c>
    </row>
    <row r="458790" spans="20:21" x14ac:dyDescent="0.15">
      <c r="T458790" s="9">
        <v>1460239695280.22</v>
      </c>
      <c r="U458790" s="9">
        <v>6858559000000</v>
      </c>
    </row>
    <row r="458791" spans="20:21" x14ac:dyDescent="0.15">
      <c r="T458791" s="9">
        <v>1650608320717.1299</v>
      </c>
      <c r="U458791" s="9">
        <v>7287236000000</v>
      </c>
    </row>
    <row r="458792" spans="20:21" x14ac:dyDescent="0.15">
      <c r="T458792" s="9">
        <v>1831415202548.1001</v>
      </c>
      <c r="U458792" s="9">
        <v>7639749000000</v>
      </c>
    </row>
    <row r="458793" spans="20:21" x14ac:dyDescent="0.15">
      <c r="T458793" s="9">
        <v>2013138415391.3999</v>
      </c>
      <c r="U458793" s="9">
        <v>8073122000000</v>
      </c>
    </row>
    <row r="458794" spans="20:21" x14ac:dyDescent="0.15">
      <c r="T458794" s="9">
        <v>2199087579734.8799</v>
      </c>
      <c r="U458794" s="9">
        <v>8577554457000</v>
      </c>
    </row>
    <row r="458795" spans="20:21" x14ac:dyDescent="0.15">
      <c r="T458795" s="9">
        <v>2371626931008.4102</v>
      </c>
      <c r="U458795" s="9">
        <v>9062818202000</v>
      </c>
    </row>
    <row r="458796" spans="20:21" x14ac:dyDescent="0.15">
      <c r="T458796" s="9">
        <v>2553332721355.1499</v>
      </c>
      <c r="U458796" s="9">
        <v>9631174489000</v>
      </c>
    </row>
    <row r="458797" spans="20:21" x14ac:dyDescent="0.15">
      <c r="T458797" s="9">
        <v>2770113054357.8301</v>
      </c>
      <c r="U458797" s="9">
        <v>10250947997000</v>
      </c>
    </row>
    <row r="458798" spans="20:21" x14ac:dyDescent="0.15">
      <c r="T458798" s="9">
        <v>3001022295612.3501</v>
      </c>
      <c r="U458798" s="9">
        <v>10581929774000</v>
      </c>
    </row>
    <row r="458799" spans="20:21" x14ac:dyDescent="0.15">
      <c r="T458799" s="9">
        <v>3275124592017.1602</v>
      </c>
      <c r="U458799" s="9">
        <v>10929112955000</v>
      </c>
    </row>
    <row r="458800" spans="20:21" x14ac:dyDescent="0.15">
      <c r="T458800" s="9">
        <v>3603882596858.1099</v>
      </c>
      <c r="U458800" s="9">
        <v>11456442041000</v>
      </c>
    </row>
    <row r="458801" spans="20:21" x14ac:dyDescent="0.15">
      <c r="T458801" s="9">
        <v>3968365637613.6299</v>
      </c>
      <c r="U458801" s="9">
        <v>12217193198000</v>
      </c>
    </row>
    <row r="458802" spans="20:21" x14ac:dyDescent="0.15">
      <c r="T458802" s="9">
        <v>4420544703537.2402</v>
      </c>
      <c r="U458802" s="9">
        <v>13039199193000</v>
      </c>
    </row>
    <row r="458803" spans="20:21" x14ac:dyDescent="0.15">
      <c r="T458803" s="9">
        <v>4982880235433.3896</v>
      </c>
      <c r="U458803" s="9">
        <v>13815586948000</v>
      </c>
    </row>
    <row r="458804" spans="20:21" x14ac:dyDescent="0.15">
      <c r="T458804" s="9">
        <v>5691986992199.8604</v>
      </c>
      <c r="U458804" s="9">
        <v>14474226905000</v>
      </c>
    </row>
    <row r="458805" spans="20:21" x14ac:dyDescent="0.15">
      <c r="T458805" s="9">
        <v>6241302380960.0195</v>
      </c>
      <c r="U458805" s="9">
        <v>14769857911000</v>
      </c>
    </row>
    <row r="458806" spans="20:21" x14ac:dyDescent="0.15">
      <c r="T458806" s="9">
        <v>6827905267633.6299</v>
      </c>
      <c r="U458806" s="9">
        <v>14478064934000</v>
      </c>
    </row>
    <row r="458807" spans="20:21" x14ac:dyDescent="0.15">
      <c r="T458807" s="9">
        <v>7554112468317.7305</v>
      </c>
      <c r="U458807" s="9">
        <v>15048964444000</v>
      </c>
    </row>
    <row r="458808" spans="20:21" x14ac:dyDescent="0.15">
      <c r="T458808" s="9">
        <v>8275593072769.2598</v>
      </c>
      <c r="U458808" s="9">
        <v>15599728123000</v>
      </c>
    </row>
    <row r="458809" spans="20:21" x14ac:dyDescent="0.15">
      <c r="T458809" s="9">
        <v>8926363901575.5605</v>
      </c>
      <c r="U458809" s="9">
        <v>16253972230000</v>
      </c>
    </row>
    <row r="458810" spans="20:21" x14ac:dyDescent="0.15">
      <c r="T458810" s="9">
        <v>9619598720424.4609</v>
      </c>
      <c r="U458810" s="9">
        <v>16843190993000</v>
      </c>
    </row>
    <row r="458811" spans="20:21" x14ac:dyDescent="0.15">
      <c r="T458811" s="9">
        <v>10333927386102.801</v>
      </c>
      <c r="U458811" s="9">
        <v>17550680174000</v>
      </c>
    </row>
    <row r="458812" spans="20:21" x14ac:dyDescent="0.15">
      <c r="T458812" s="9">
        <v>11061573199439.699</v>
      </c>
      <c r="U458812" s="9">
        <v>18206020741000</v>
      </c>
    </row>
    <row r="458813" spans="20:21" x14ac:dyDescent="0.15">
      <c r="T458813" s="9">
        <v>11819154044004.9</v>
      </c>
      <c r="U458813" s="9">
        <v>18695110842000</v>
      </c>
    </row>
    <row r="458814" spans="20:21" x14ac:dyDescent="0.15">
      <c r="T458814" s="9">
        <v>12640254407508.1</v>
      </c>
      <c r="U458814" s="9">
        <v>19477336549000</v>
      </c>
    </row>
    <row r="458815" spans="20:21" x14ac:dyDescent="0.15">
      <c r="T458815" s="9">
        <v>13493442991864.699</v>
      </c>
      <c r="U458815" s="9">
        <v>20533057312000</v>
      </c>
    </row>
    <row r="458816" spans="20:21" x14ac:dyDescent="0.15">
      <c r="T458816" s="9">
        <v>14296370418805.1</v>
      </c>
      <c r="U458816" s="9">
        <v>21380976119000</v>
      </c>
    </row>
    <row r="458817" spans="20:21" x14ac:dyDescent="0.15">
      <c r="T458817" s="9">
        <v>14616414450558.4</v>
      </c>
      <c r="U458817" s="9">
        <v>21060473613000</v>
      </c>
    </row>
    <row r="458818" spans="20:21" x14ac:dyDescent="0.15">
      <c r="T458818" s="9">
        <v>15851132888547.1</v>
      </c>
      <c r="U458818" s="9">
        <v>23315080560000</v>
      </c>
    </row>
    <row r="458819" spans="20:21" x14ac:dyDescent="0.15">
      <c r="T458819" s="9">
        <v>16325209299766.801</v>
      </c>
      <c r="U458819" s="9">
        <v>25462700000000</v>
      </c>
    </row>
    <row r="475137" spans="20:21" x14ac:dyDescent="0.15">
      <c r="T475137" s="9" t="s">
        <v>45</v>
      </c>
      <c r="U475137" s="9" t="s">
        <v>44</v>
      </c>
    </row>
    <row r="475138" spans="20:21" x14ac:dyDescent="0.15">
      <c r="T475138" s="9" t="s">
        <v>43</v>
      </c>
      <c r="U475138" s="9" t="s">
        <v>42</v>
      </c>
    </row>
    <row r="475139" spans="20:21" x14ac:dyDescent="0.15">
      <c r="T475139" s="9" t="s">
        <v>41</v>
      </c>
      <c r="U475139" s="9" t="s">
        <v>40</v>
      </c>
    </row>
    <row r="475140" spans="20:21" x14ac:dyDescent="0.15">
      <c r="T475140" s="9" t="s">
        <v>39</v>
      </c>
      <c r="U475140" s="9" t="s">
        <v>38</v>
      </c>
    </row>
    <row r="475141" spans="20:21" x14ac:dyDescent="0.15">
      <c r="T475141" s="9">
        <v>158907457242.42899</v>
      </c>
      <c r="U475141" s="9">
        <v>543300000000</v>
      </c>
    </row>
    <row r="475142" spans="20:21" x14ac:dyDescent="0.15">
      <c r="T475142" s="9">
        <v>115573393646.185</v>
      </c>
      <c r="U475142" s="9">
        <v>563300000000</v>
      </c>
    </row>
    <row r="475143" spans="20:21" x14ac:dyDescent="0.15">
      <c r="T475143" s="9">
        <v>109124398292.05099</v>
      </c>
      <c r="U475143" s="9">
        <v>605100000000</v>
      </c>
    </row>
    <row r="475144" spans="20:21" x14ac:dyDescent="0.15">
      <c r="T475144" s="9">
        <v>120364211312.289</v>
      </c>
      <c r="U475144" s="9">
        <v>638600000000</v>
      </c>
    </row>
    <row r="475145" spans="20:21" x14ac:dyDescent="0.15">
      <c r="T475145" s="9">
        <v>142246424921.30899</v>
      </c>
      <c r="U475145" s="9">
        <v>685800000000</v>
      </c>
    </row>
    <row r="475146" spans="20:21" x14ac:dyDescent="0.15">
      <c r="T475146" s="9">
        <v>166357193951.10501</v>
      </c>
      <c r="U475146" s="9">
        <v>743700000000</v>
      </c>
    </row>
    <row r="475147" spans="20:21" x14ac:dyDescent="0.15">
      <c r="T475147" s="9">
        <v>184074235104.24799</v>
      </c>
      <c r="U475147" s="9">
        <v>815000000000</v>
      </c>
    </row>
    <row r="475148" spans="20:21" x14ac:dyDescent="0.15">
      <c r="T475148" s="9">
        <v>173453151731.27701</v>
      </c>
      <c r="U475148" s="9">
        <v>861700000000</v>
      </c>
    </row>
    <row r="475149" spans="20:21" x14ac:dyDescent="0.15">
      <c r="T475149" s="9">
        <v>166341572533.69101</v>
      </c>
      <c r="U475149" s="9">
        <v>942500000000</v>
      </c>
    </row>
    <row r="475150" spans="20:21" x14ac:dyDescent="0.15">
      <c r="T475150" s="9">
        <v>194519834914.35999</v>
      </c>
      <c r="U475150" s="9">
        <v>1019900000000</v>
      </c>
    </row>
    <row r="475151" spans="20:21" x14ac:dyDescent="0.15">
      <c r="T475151" s="9">
        <v>232062163046.44</v>
      </c>
      <c r="U475151" s="9">
        <v>1073303000000</v>
      </c>
    </row>
    <row r="475152" spans="20:21" x14ac:dyDescent="0.15">
      <c r="T475152" s="9">
        <v>248445751754.134</v>
      </c>
      <c r="U475152" s="9">
        <v>1164850000000</v>
      </c>
    </row>
    <row r="475153" spans="20:21" x14ac:dyDescent="0.15">
      <c r="T475153" s="9">
        <v>257911534896.49799</v>
      </c>
      <c r="U475153" s="9">
        <v>1279110000000</v>
      </c>
    </row>
    <row r="475154" spans="20:21" x14ac:dyDescent="0.15">
      <c r="T475154" s="9">
        <v>277925470006.599</v>
      </c>
      <c r="U475154" s="9">
        <v>1425376000000</v>
      </c>
    </row>
    <row r="475155" spans="20:21" x14ac:dyDescent="0.15">
      <c r="T475155" s="9">
        <v>284345548371.966</v>
      </c>
      <c r="U475155" s="9">
        <v>1545243000000</v>
      </c>
    </row>
    <row r="475156" spans="20:21" x14ac:dyDescent="0.15">
      <c r="T475156" s="9">
        <v>309140480182.89801</v>
      </c>
      <c r="U475156" s="9">
        <v>1684904000000</v>
      </c>
    </row>
    <row r="475157" spans="20:21" x14ac:dyDescent="0.15">
      <c r="T475157" s="9">
        <v>304286974638.82202</v>
      </c>
      <c r="U475157" s="9">
        <v>1873412000000</v>
      </c>
    </row>
    <row r="475158" spans="20:21" x14ac:dyDescent="0.15">
      <c r="T475158" s="9">
        <v>327321498623.151</v>
      </c>
      <c r="U475158" s="9">
        <v>2081826000000</v>
      </c>
    </row>
    <row r="475159" spans="20:21" x14ac:dyDescent="0.15">
      <c r="T475159" s="9">
        <v>364393859506.91699</v>
      </c>
      <c r="U475159" s="9">
        <v>2351599000000</v>
      </c>
    </row>
    <row r="475160" spans="20:21" x14ac:dyDescent="0.15">
      <c r="T475160" s="9">
        <v>392056180496.07098</v>
      </c>
      <c r="U475160" s="9">
        <v>2627333000000</v>
      </c>
    </row>
    <row r="475161" spans="20:21" x14ac:dyDescent="0.15">
      <c r="T475161" s="9">
        <v>422770430220.08099</v>
      </c>
      <c r="U475161" s="9">
        <v>2857307000000</v>
      </c>
    </row>
    <row r="475162" spans="20:21" x14ac:dyDescent="0.15">
      <c r="T475162" s="9">
        <v>444385672278.89001</v>
      </c>
      <c r="U475162" s="9">
        <v>3207041000000</v>
      </c>
    </row>
    <row r="475163" spans="20:21" x14ac:dyDescent="0.15">
      <c r="T475163" s="9">
        <v>484456434564.98102</v>
      </c>
      <c r="U475163" s="9">
        <v>3343789000000</v>
      </c>
    </row>
    <row r="475164" spans="20:21" x14ac:dyDescent="0.15">
      <c r="T475164" s="9">
        <v>536633373623.745</v>
      </c>
      <c r="U475164" s="9">
        <v>3634038000000</v>
      </c>
    </row>
    <row r="475165" spans="20:21" x14ac:dyDescent="0.15">
      <c r="T475165" s="9">
        <v>618156247357.86304</v>
      </c>
      <c r="U475165" s="9">
        <v>4037613000000</v>
      </c>
    </row>
    <row r="475166" spans="20:21" x14ac:dyDescent="0.15">
      <c r="T475166" s="9">
        <v>701178819512.74402</v>
      </c>
      <c r="U475166" s="9">
        <v>4338979000000</v>
      </c>
    </row>
    <row r="475167" spans="20:21" x14ac:dyDescent="0.15">
      <c r="T475167" s="9">
        <v>763934055759.06604</v>
      </c>
      <c r="U475167" s="9">
        <v>4579631000000</v>
      </c>
    </row>
    <row r="475168" spans="20:21" x14ac:dyDescent="0.15">
      <c r="T475168" s="9">
        <v>852989116696.35205</v>
      </c>
      <c r="U475168" s="9">
        <v>4855215000000</v>
      </c>
    </row>
    <row r="475169" spans="20:21" x14ac:dyDescent="0.15">
      <c r="T475169" s="9">
        <v>948716630508.16699</v>
      </c>
      <c r="U475169" s="9">
        <v>5236438000000</v>
      </c>
    </row>
    <row r="475170" spans="20:21" x14ac:dyDescent="0.15">
      <c r="T475170" s="9">
        <v>988622824073.36694</v>
      </c>
      <c r="U475170" s="9">
        <v>5641580000000</v>
      </c>
    </row>
    <row r="475171" spans="20:21" x14ac:dyDescent="0.15">
      <c r="T475171" s="9">
        <v>1027379323856.15</v>
      </c>
      <c r="U475171" s="9">
        <v>5963144000000</v>
      </c>
    </row>
    <row r="475172" spans="20:21" x14ac:dyDescent="0.15">
      <c r="T475172" s="9">
        <v>1122543272896.8301</v>
      </c>
      <c r="U475172" s="9">
        <v>6158129000000</v>
      </c>
    </row>
    <row r="475173" spans="20:21" x14ac:dyDescent="0.15">
      <c r="T475173" s="9">
        <v>1282219772946.3201</v>
      </c>
      <c r="U475173" s="9">
        <v>6520327000000</v>
      </c>
    </row>
    <row r="475174" spans="20:21" x14ac:dyDescent="0.15">
      <c r="T475174" s="9">
        <v>1460239695280.22</v>
      </c>
      <c r="U475174" s="9">
        <v>6858559000000</v>
      </c>
    </row>
    <row r="475175" spans="20:21" x14ac:dyDescent="0.15">
      <c r="T475175" s="9">
        <v>1650608320717.1299</v>
      </c>
      <c r="U475175" s="9">
        <v>7287236000000</v>
      </c>
    </row>
    <row r="475176" spans="20:21" x14ac:dyDescent="0.15">
      <c r="T475176" s="9">
        <v>1831415202548.1001</v>
      </c>
      <c r="U475176" s="9">
        <v>7639749000000</v>
      </c>
    </row>
    <row r="475177" spans="20:21" x14ac:dyDescent="0.15">
      <c r="T475177" s="9">
        <v>2013138415391.3999</v>
      </c>
      <c r="U475177" s="9">
        <v>8073122000000</v>
      </c>
    </row>
    <row r="475178" spans="20:21" x14ac:dyDescent="0.15">
      <c r="T475178" s="9">
        <v>2199087579734.8799</v>
      </c>
      <c r="U475178" s="9">
        <v>8577554457000</v>
      </c>
    </row>
    <row r="475179" spans="20:21" x14ac:dyDescent="0.15">
      <c r="T475179" s="9">
        <v>2371626931008.4102</v>
      </c>
      <c r="U475179" s="9">
        <v>9062818202000</v>
      </c>
    </row>
    <row r="475180" spans="20:21" x14ac:dyDescent="0.15">
      <c r="T475180" s="9">
        <v>2553332721355.1499</v>
      </c>
      <c r="U475180" s="9">
        <v>9631174489000</v>
      </c>
    </row>
    <row r="475181" spans="20:21" x14ac:dyDescent="0.15">
      <c r="T475181" s="9">
        <v>2770113054357.8301</v>
      </c>
      <c r="U475181" s="9">
        <v>10250947997000</v>
      </c>
    </row>
    <row r="475182" spans="20:21" x14ac:dyDescent="0.15">
      <c r="T475182" s="9">
        <v>3001022295612.3501</v>
      </c>
      <c r="U475182" s="9">
        <v>10581929774000</v>
      </c>
    </row>
    <row r="475183" spans="20:21" x14ac:dyDescent="0.15">
      <c r="T475183" s="9">
        <v>3275124592017.1602</v>
      </c>
      <c r="U475183" s="9">
        <v>10929112955000</v>
      </c>
    </row>
    <row r="475184" spans="20:21" x14ac:dyDescent="0.15">
      <c r="T475184" s="9">
        <v>3603882596858.1099</v>
      </c>
      <c r="U475184" s="9">
        <v>11456442041000</v>
      </c>
    </row>
    <row r="475185" spans="20:21" x14ac:dyDescent="0.15">
      <c r="T475185" s="9">
        <v>3968365637613.6299</v>
      </c>
      <c r="U475185" s="9">
        <v>12217193198000</v>
      </c>
    </row>
    <row r="475186" spans="20:21" x14ac:dyDescent="0.15">
      <c r="T475186" s="9">
        <v>4420544703537.2402</v>
      </c>
      <c r="U475186" s="9">
        <v>13039199193000</v>
      </c>
    </row>
    <row r="475187" spans="20:21" x14ac:dyDescent="0.15">
      <c r="T475187" s="9">
        <v>4982880235433.3896</v>
      </c>
      <c r="U475187" s="9">
        <v>13815586948000</v>
      </c>
    </row>
    <row r="475188" spans="20:21" x14ac:dyDescent="0.15">
      <c r="T475188" s="9">
        <v>5691986992199.8604</v>
      </c>
      <c r="U475188" s="9">
        <v>14474226905000</v>
      </c>
    </row>
    <row r="475189" spans="20:21" x14ac:dyDescent="0.15">
      <c r="T475189" s="9">
        <v>6241302380960.0195</v>
      </c>
      <c r="U475189" s="9">
        <v>14769857911000</v>
      </c>
    </row>
    <row r="475190" spans="20:21" x14ac:dyDescent="0.15">
      <c r="T475190" s="9">
        <v>6827905267633.6299</v>
      </c>
      <c r="U475190" s="9">
        <v>14478064934000</v>
      </c>
    </row>
    <row r="475191" spans="20:21" x14ac:dyDescent="0.15">
      <c r="T475191" s="9">
        <v>7554112468317.7305</v>
      </c>
      <c r="U475191" s="9">
        <v>15048964444000</v>
      </c>
    </row>
    <row r="475192" spans="20:21" x14ac:dyDescent="0.15">
      <c r="T475192" s="9">
        <v>8275593072769.2598</v>
      </c>
      <c r="U475192" s="9">
        <v>15599728123000</v>
      </c>
    </row>
    <row r="475193" spans="20:21" x14ac:dyDescent="0.15">
      <c r="T475193" s="9">
        <v>8926363901575.5605</v>
      </c>
      <c r="U475193" s="9">
        <v>16253972230000</v>
      </c>
    </row>
    <row r="475194" spans="20:21" x14ac:dyDescent="0.15">
      <c r="T475194" s="9">
        <v>9619598720424.4609</v>
      </c>
      <c r="U475194" s="9">
        <v>16843190993000</v>
      </c>
    </row>
    <row r="475195" spans="20:21" x14ac:dyDescent="0.15">
      <c r="T475195" s="9">
        <v>10333927386102.801</v>
      </c>
      <c r="U475195" s="9">
        <v>17550680174000</v>
      </c>
    </row>
    <row r="475196" spans="20:21" x14ac:dyDescent="0.15">
      <c r="T475196" s="9">
        <v>11061573199439.699</v>
      </c>
      <c r="U475196" s="9">
        <v>18206020741000</v>
      </c>
    </row>
    <row r="475197" spans="20:21" x14ac:dyDescent="0.15">
      <c r="T475197" s="9">
        <v>11819154044004.9</v>
      </c>
      <c r="U475197" s="9">
        <v>18695110842000</v>
      </c>
    </row>
    <row r="475198" spans="20:21" x14ac:dyDescent="0.15">
      <c r="T475198" s="9">
        <v>12640254407508.1</v>
      </c>
      <c r="U475198" s="9">
        <v>19477336549000</v>
      </c>
    </row>
    <row r="475199" spans="20:21" x14ac:dyDescent="0.15">
      <c r="T475199" s="9">
        <v>13493442991864.699</v>
      </c>
      <c r="U475199" s="9">
        <v>20533057312000</v>
      </c>
    </row>
    <row r="475200" spans="20:21" x14ac:dyDescent="0.15">
      <c r="T475200" s="9">
        <v>14296370418805.1</v>
      </c>
      <c r="U475200" s="9">
        <v>21380976119000</v>
      </c>
    </row>
    <row r="475201" spans="20:21" x14ac:dyDescent="0.15">
      <c r="T475201" s="9">
        <v>14616414450558.4</v>
      </c>
      <c r="U475201" s="9">
        <v>21060473613000</v>
      </c>
    </row>
    <row r="475202" spans="20:21" x14ac:dyDescent="0.15">
      <c r="T475202" s="9">
        <v>15851132888547.1</v>
      </c>
      <c r="U475202" s="9">
        <v>23315080560000</v>
      </c>
    </row>
    <row r="475203" spans="20:21" x14ac:dyDescent="0.15">
      <c r="T475203" s="9">
        <v>16325209299766.801</v>
      </c>
      <c r="U475203" s="9">
        <v>25462700000000</v>
      </c>
    </row>
    <row r="491521" spans="20:21" x14ac:dyDescent="0.15">
      <c r="T491521" s="9" t="s">
        <v>45</v>
      </c>
      <c r="U491521" s="9" t="s">
        <v>44</v>
      </c>
    </row>
    <row r="491522" spans="20:21" x14ac:dyDescent="0.15">
      <c r="T491522" s="9" t="s">
        <v>43</v>
      </c>
      <c r="U491522" s="9" t="s">
        <v>42</v>
      </c>
    </row>
    <row r="491523" spans="20:21" x14ac:dyDescent="0.15">
      <c r="T491523" s="9" t="s">
        <v>41</v>
      </c>
      <c r="U491523" s="9" t="s">
        <v>40</v>
      </c>
    </row>
    <row r="491524" spans="20:21" x14ac:dyDescent="0.15">
      <c r="T491524" s="9" t="s">
        <v>39</v>
      </c>
      <c r="U491524" s="9" t="s">
        <v>38</v>
      </c>
    </row>
    <row r="491525" spans="20:21" x14ac:dyDescent="0.15">
      <c r="T491525" s="9">
        <v>158907457242.42899</v>
      </c>
      <c r="U491525" s="9">
        <v>543300000000</v>
      </c>
    </row>
    <row r="491526" spans="20:21" x14ac:dyDescent="0.15">
      <c r="T491526" s="9">
        <v>115573393646.185</v>
      </c>
      <c r="U491526" s="9">
        <v>563300000000</v>
      </c>
    </row>
    <row r="491527" spans="20:21" x14ac:dyDescent="0.15">
      <c r="T491527" s="9">
        <v>109124398292.05099</v>
      </c>
      <c r="U491527" s="9">
        <v>605100000000</v>
      </c>
    </row>
    <row r="491528" spans="20:21" x14ac:dyDescent="0.15">
      <c r="T491528" s="9">
        <v>120364211312.289</v>
      </c>
      <c r="U491528" s="9">
        <v>638600000000</v>
      </c>
    </row>
    <row r="491529" spans="20:21" x14ac:dyDescent="0.15">
      <c r="T491529" s="9">
        <v>142246424921.30899</v>
      </c>
      <c r="U491529" s="9">
        <v>685800000000</v>
      </c>
    </row>
    <row r="491530" spans="20:21" x14ac:dyDescent="0.15">
      <c r="T491530" s="9">
        <v>166357193951.10501</v>
      </c>
      <c r="U491530" s="9">
        <v>743700000000</v>
      </c>
    </row>
    <row r="491531" spans="20:21" x14ac:dyDescent="0.15">
      <c r="T491531" s="9">
        <v>184074235104.24799</v>
      </c>
      <c r="U491531" s="9">
        <v>815000000000</v>
      </c>
    </row>
    <row r="491532" spans="20:21" x14ac:dyDescent="0.15">
      <c r="T491532" s="9">
        <v>173453151731.27701</v>
      </c>
      <c r="U491532" s="9">
        <v>861700000000</v>
      </c>
    </row>
    <row r="491533" spans="20:21" x14ac:dyDescent="0.15">
      <c r="T491533" s="9">
        <v>166341572533.69101</v>
      </c>
      <c r="U491533" s="9">
        <v>942500000000</v>
      </c>
    </row>
    <row r="491534" spans="20:21" x14ac:dyDescent="0.15">
      <c r="T491534" s="9">
        <v>194519834914.35999</v>
      </c>
      <c r="U491534" s="9">
        <v>1019900000000</v>
      </c>
    </row>
    <row r="491535" spans="20:21" x14ac:dyDescent="0.15">
      <c r="T491535" s="9">
        <v>232062163046.44</v>
      </c>
      <c r="U491535" s="9">
        <v>1073303000000</v>
      </c>
    </row>
    <row r="491536" spans="20:21" x14ac:dyDescent="0.15">
      <c r="T491536" s="9">
        <v>248445751754.134</v>
      </c>
      <c r="U491536" s="9">
        <v>1164850000000</v>
      </c>
    </row>
    <row r="491537" spans="20:21" x14ac:dyDescent="0.15">
      <c r="T491537" s="9">
        <v>257911534896.49799</v>
      </c>
      <c r="U491537" s="9">
        <v>1279110000000</v>
      </c>
    </row>
    <row r="491538" spans="20:21" x14ac:dyDescent="0.15">
      <c r="T491538" s="9">
        <v>277925470006.599</v>
      </c>
      <c r="U491538" s="9">
        <v>1425376000000</v>
      </c>
    </row>
    <row r="491539" spans="20:21" x14ac:dyDescent="0.15">
      <c r="T491539" s="9">
        <v>284345548371.966</v>
      </c>
      <c r="U491539" s="9">
        <v>1545243000000</v>
      </c>
    </row>
    <row r="491540" spans="20:21" x14ac:dyDescent="0.15">
      <c r="T491540" s="9">
        <v>309140480182.89801</v>
      </c>
      <c r="U491540" s="9">
        <v>1684904000000</v>
      </c>
    </row>
    <row r="491541" spans="20:21" x14ac:dyDescent="0.15">
      <c r="T491541" s="9">
        <v>304286974638.82202</v>
      </c>
      <c r="U491541" s="9">
        <v>1873412000000</v>
      </c>
    </row>
    <row r="491542" spans="20:21" x14ac:dyDescent="0.15">
      <c r="T491542" s="9">
        <v>327321498623.151</v>
      </c>
      <c r="U491542" s="9">
        <v>2081826000000</v>
      </c>
    </row>
    <row r="491543" spans="20:21" x14ac:dyDescent="0.15">
      <c r="T491543" s="9">
        <v>364393859506.91699</v>
      </c>
      <c r="U491543" s="9">
        <v>2351599000000</v>
      </c>
    </row>
    <row r="491544" spans="20:21" x14ac:dyDescent="0.15">
      <c r="T491544" s="9">
        <v>392056180496.07098</v>
      </c>
      <c r="U491544" s="9">
        <v>2627333000000</v>
      </c>
    </row>
    <row r="491545" spans="20:21" x14ac:dyDescent="0.15">
      <c r="T491545" s="9">
        <v>422770430220.08099</v>
      </c>
      <c r="U491545" s="9">
        <v>2857307000000</v>
      </c>
    </row>
    <row r="491546" spans="20:21" x14ac:dyDescent="0.15">
      <c r="T491546" s="9">
        <v>444385672278.89001</v>
      </c>
      <c r="U491546" s="9">
        <v>3207041000000</v>
      </c>
    </row>
    <row r="491547" spans="20:21" x14ac:dyDescent="0.15">
      <c r="T491547" s="9">
        <v>484456434564.98102</v>
      </c>
      <c r="U491547" s="9">
        <v>3343789000000</v>
      </c>
    </row>
    <row r="491548" spans="20:21" x14ac:dyDescent="0.15">
      <c r="T491548" s="9">
        <v>536633373623.745</v>
      </c>
      <c r="U491548" s="9">
        <v>3634038000000</v>
      </c>
    </row>
    <row r="491549" spans="20:21" x14ac:dyDescent="0.15">
      <c r="T491549" s="9">
        <v>618156247357.86304</v>
      </c>
      <c r="U491549" s="9">
        <v>4037613000000</v>
      </c>
    </row>
    <row r="491550" spans="20:21" x14ac:dyDescent="0.15">
      <c r="T491550" s="9">
        <v>701178819512.74402</v>
      </c>
      <c r="U491550" s="9">
        <v>4338979000000</v>
      </c>
    </row>
    <row r="491551" spans="20:21" x14ac:dyDescent="0.15">
      <c r="T491551" s="9">
        <v>763934055759.06604</v>
      </c>
      <c r="U491551" s="9">
        <v>4579631000000</v>
      </c>
    </row>
    <row r="491552" spans="20:21" x14ac:dyDescent="0.15">
      <c r="T491552" s="9">
        <v>852989116696.35205</v>
      </c>
      <c r="U491552" s="9">
        <v>4855215000000</v>
      </c>
    </row>
    <row r="491553" spans="20:21" x14ac:dyDescent="0.15">
      <c r="T491553" s="9">
        <v>948716630508.16699</v>
      </c>
      <c r="U491553" s="9">
        <v>5236438000000</v>
      </c>
    </row>
    <row r="491554" spans="20:21" x14ac:dyDescent="0.15">
      <c r="T491554" s="9">
        <v>988622824073.36694</v>
      </c>
      <c r="U491554" s="9">
        <v>5641580000000</v>
      </c>
    </row>
    <row r="491555" spans="20:21" x14ac:dyDescent="0.15">
      <c r="T491555" s="9">
        <v>1027379323856.15</v>
      </c>
      <c r="U491555" s="9">
        <v>5963144000000</v>
      </c>
    </row>
    <row r="491556" spans="20:21" x14ac:dyDescent="0.15">
      <c r="T491556" s="9">
        <v>1122543272896.8301</v>
      </c>
      <c r="U491556" s="9">
        <v>6158129000000</v>
      </c>
    </row>
    <row r="491557" spans="20:21" x14ac:dyDescent="0.15">
      <c r="T491557" s="9">
        <v>1282219772946.3201</v>
      </c>
      <c r="U491557" s="9">
        <v>6520327000000</v>
      </c>
    </row>
    <row r="491558" spans="20:21" x14ac:dyDescent="0.15">
      <c r="T491558" s="9">
        <v>1460239695280.22</v>
      </c>
      <c r="U491558" s="9">
        <v>6858559000000</v>
      </c>
    </row>
    <row r="491559" spans="20:21" x14ac:dyDescent="0.15">
      <c r="T491559" s="9">
        <v>1650608320717.1299</v>
      </c>
      <c r="U491559" s="9">
        <v>7287236000000</v>
      </c>
    </row>
    <row r="491560" spans="20:21" x14ac:dyDescent="0.15">
      <c r="T491560" s="9">
        <v>1831415202548.1001</v>
      </c>
      <c r="U491560" s="9">
        <v>7639749000000</v>
      </c>
    </row>
    <row r="491561" spans="20:21" x14ac:dyDescent="0.15">
      <c r="T491561" s="9">
        <v>2013138415391.3999</v>
      </c>
      <c r="U491561" s="9">
        <v>8073122000000</v>
      </c>
    </row>
    <row r="491562" spans="20:21" x14ac:dyDescent="0.15">
      <c r="T491562" s="9">
        <v>2199087579734.8799</v>
      </c>
      <c r="U491562" s="9">
        <v>8577554457000</v>
      </c>
    </row>
    <row r="491563" spans="20:21" x14ac:dyDescent="0.15">
      <c r="T491563" s="9">
        <v>2371626931008.4102</v>
      </c>
      <c r="U491563" s="9">
        <v>9062818202000</v>
      </c>
    </row>
    <row r="491564" spans="20:21" x14ac:dyDescent="0.15">
      <c r="T491564" s="9">
        <v>2553332721355.1499</v>
      </c>
      <c r="U491564" s="9">
        <v>9631174489000</v>
      </c>
    </row>
    <row r="491565" spans="20:21" x14ac:dyDescent="0.15">
      <c r="T491565" s="9">
        <v>2770113054357.8301</v>
      </c>
      <c r="U491565" s="9">
        <v>10250947997000</v>
      </c>
    </row>
    <row r="491566" spans="20:21" x14ac:dyDescent="0.15">
      <c r="T491566" s="9">
        <v>3001022295612.3501</v>
      </c>
      <c r="U491566" s="9">
        <v>10581929774000</v>
      </c>
    </row>
    <row r="491567" spans="20:21" x14ac:dyDescent="0.15">
      <c r="T491567" s="9">
        <v>3275124592017.1602</v>
      </c>
      <c r="U491567" s="9">
        <v>10929112955000</v>
      </c>
    </row>
    <row r="491568" spans="20:21" x14ac:dyDescent="0.15">
      <c r="T491568" s="9">
        <v>3603882596858.1099</v>
      </c>
      <c r="U491568" s="9">
        <v>11456442041000</v>
      </c>
    </row>
    <row r="491569" spans="20:21" x14ac:dyDescent="0.15">
      <c r="T491569" s="9">
        <v>3968365637613.6299</v>
      </c>
      <c r="U491569" s="9">
        <v>12217193198000</v>
      </c>
    </row>
    <row r="491570" spans="20:21" x14ac:dyDescent="0.15">
      <c r="T491570" s="9">
        <v>4420544703537.2402</v>
      </c>
      <c r="U491570" s="9">
        <v>13039199193000</v>
      </c>
    </row>
    <row r="491571" spans="20:21" x14ac:dyDescent="0.15">
      <c r="T491571" s="9">
        <v>4982880235433.3896</v>
      </c>
      <c r="U491571" s="9">
        <v>13815586948000</v>
      </c>
    </row>
    <row r="491572" spans="20:21" x14ac:dyDescent="0.15">
      <c r="T491572" s="9">
        <v>5691986992199.8604</v>
      </c>
      <c r="U491572" s="9">
        <v>14474226905000</v>
      </c>
    </row>
    <row r="491573" spans="20:21" x14ac:dyDescent="0.15">
      <c r="T491573" s="9">
        <v>6241302380960.0195</v>
      </c>
      <c r="U491573" s="9">
        <v>14769857911000</v>
      </c>
    </row>
    <row r="491574" spans="20:21" x14ac:dyDescent="0.15">
      <c r="T491574" s="9">
        <v>6827905267633.6299</v>
      </c>
      <c r="U491574" s="9">
        <v>14478064934000</v>
      </c>
    </row>
    <row r="491575" spans="20:21" x14ac:dyDescent="0.15">
      <c r="T491575" s="9">
        <v>7554112468317.7305</v>
      </c>
      <c r="U491575" s="9">
        <v>15048964444000</v>
      </c>
    </row>
    <row r="491576" spans="20:21" x14ac:dyDescent="0.15">
      <c r="T491576" s="9">
        <v>8275593072769.2598</v>
      </c>
      <c r="U491576" s="9">
        <v>15599728123000</v>
      </c>
    </row>
    <row r="491577" spans="20:21" x14ac:dyDescent="0.15">
      <c r="T491577" s="9">
        <v>8926363901575.5605</v>
      </c>
      <c r="U491577" s="9">
        <v>16253972230000</v>
      </c>
    </row>
    <row r="491578" spans="20:21" x14ac:dyDescent="0.15">
      <c r="T491578" s="9">
        <v>9619598720424.4609</v>
      </c>
      <c r="U491578" s="9">
        <v>16843190993000</v>
      </c>
    </row>
    <row r="491579" spans="20:21" x14ac:dyDescent="0.15">
      <c r="T491579" s="9">
        <v>10333927386102.801</v>
      </c>
      <c r="U491579" s="9">
        <v>17550680174000</v>
      </c>
    </row>
    <row r="491580" spans="20:21" x14ac:dyDescent="0.15">
      <c r="T491580" s="9">
        <v>11061573199439.699</v>
      </c>
      <c r="U491580" s="9">
        <v>18206020741000</v>
      </c>
    </row>
    <row r="491581" spans="20:21" x14ac:dyDescent="0.15">
      <c r="T491581" s="9">
        <v>11819154044004.9</v>
      </c>
      <c r="U491581" s="9">
        <v>18695110842000</v>
      </c>
    </row>
    <row r="491582" spans="20:21" x14ac:dyDescent="0.15">
      <c r="T491582" s="9">
        <v>12640254407508.1</v>
      </c>
      <c r="U491582" s="9">
        <v>19477336549000</v>
      </c>
    </row>
    <row r="491583" spans="20:21" x14ac:dyDescent="0.15">
      <c r="T491583" s="9">
        <v>13493442991864.699</v>
      </c>
      <c r="U491583" s="9">
        <v>20533057312000</v>
      </c>
    </row>
    <row r="491584" spans="20:21" x14ac:dyDescent="0.15">
      <c r="T491584" s="9">
        <v>14296370418805.1</v>
      </c>
      <c r="U491584" s="9">
        <v>21380976119000</v>
      </c>
    </row>
    <row r="491585" spans="20:21" x14ac:dyDescent="0.15">
      <c r="T491585" s="9">
        <v>14616414450558.4</v>
      </c>
      <c r="U491585" s="9">
        <v>21060473613000</v>
      </c>
    </row>
    <row r="491586" spans="20:21" x14ac:dyDescent="0.15">
      <c r="T491586" s="9">
        <v>15851132888547.1</v>
      </c>
      <c r="U491586" s="9">
        <v>23315080560000</v>
      </c>
    </row>
    <row r="491587" spans="20:21" x14ac:dyDescent="0.15">
      <c r="T491587" s="9">
        <v>16325209299766.801</v>
      </c>
      <c r="U491587" s="9">
        <v>25462700000000</v>
      </c>
    </row>
    <row r="507905" spans="20:21" x14ac:dyDescent="0.15">
      <c r="T507905" s="9" t="s">
        <v>45</v>
      </c>
      <c r="U507905" s="9" t="s">
        <v>44</v>
      </c>
    </row>
    <row r="507906" spans="20:21" x14ac:dyDescent="0.15">
      <c r="T507906" s="9" t="s">
        <v>43</v>
      </c>
      <c r="U507906" s="9" t="s">
        <v>42</v>
      </c>
    </row>
    <row r="507907" spans="20:21" x14ac:dyDescent="0.15">
      <c r="T507907" s="9" t="s">
        <v>41</v>
      </c>
      <c r="U507907" s="9" t="s">
        <v>40</v>
      </c>
    </row>
    <row r="507908" spans="20:21" x14ac:dyDescent="0.15">
      <c r="T507908" s="9" t="s">
        <v>39</v>
      </c>
      <c r="U507908" s="9" t="s">
        <v>38</v>
      </c>
    </row>
    <row r="507909" spans="20:21" x14ac:dyDescent="0.15">
      <c r="T507909" s="9">
        <v>158907457242.42899</v>
      </c>
      <c r="U507909" s="9">
        <v>543300000000</v>
      </c>
    </row>
    <row r="507910" spans="20:21" x14ac:dyDescent="0.15">
      <c r="T507910" s="9">
        <v>115573393646.185</v>
      </c>
      <c r="U507910" s="9">
        <v>563300000000</v>
      </c>
    </row>
    <row r="507911" spans="20:21" x14ac:dyDescent="0.15">
      <c r="T507911" s="9">
        <v>109124398292.05099</v>
      </c>
      <c r="U507911" s="9">
        <v>605100000000</v>
      </c>
    </row>
    <row r="507912" spans="20:21" x14ac:dyDescent="0.15">
      <c r="T507912" s="9">
        <v>120364211312.289</v>
      </c>
      <c r="U507912" s="9">
        <v>638600000000</v>
      </c>
    </row>
    <row r="507913" spans="20:21" x14ac:dyDescent="0.15">
      <c r="T507913" s="9">
        <v>142246424921.30899</v>
      </c>
      <c r="U507913" s="9">
        <v>685800000000</v>
      </c>
    </row>
    <row r="507914" spans="20:21" x14ac:dyDescent="0.15">
      <c r="T507914" s="9">
        <v>166357193951.10501</v>
      </c>
      <c r="U507914" s="9">
        <v>743700000000</v>
      </c>
    </row>
    <row r="507915" spans="20:21" x14ac:dyDescent="0.15">
      <c r="T507915" s="9">
        <v>184074235104.24799</v>
      </c>
      <c r="U507915" s="9">
        <v>815000000000</v>
      </c>
    </row>
    <row r="507916" spans="20:21" x14ac:dyDescent="0.15">
      <c r="T507916" s="9">
        <v>173453151731.27701</v>
      </c>
      <c r="U507916" s="9">
        <v>861700000000</v>
      </c>
    </row>
    <row r="507917" spans="20:21" x14ac:dyDescent="0.15">
      <c r="T507917" s="9">
        <v>166341572533.69101</v>
      </c>
      <c r="U507917" s="9">
        <v>942500000000</v>
      </c>
    </row>
    <row r="507918" spans="20:21" x14ac:dyDescent="0.15">
      <c r="T507918" s="9">
        <v>194519834914.35999</v>
      </c>
      <c r="U507918" s="9">
        <v>1019900000000</v>
      </c>
    </row>
    <row r="507919" spans="20:21" x14ac:dyDescent="0.15">
      <c r="T507919" s="9">
        <v>232062163046.44</v>
      </c>
      <c r="U507919" s="9">
        <v>1073303000000</v>
      </c>
    </row>
    <row r="507920" spans="20:21" x14ac:dyDescent="0.15">
      <c r="T507920" s="9">
        <v>248445751754.134</v>
      </c>
      <c r="U507920" s="9">
        <v>1164850000000</v>
      </c>
    </row>
    <row r="507921" spans="20:21" x14ac:dyDescent="0.15">
      <c r="T507921" s="9">
        <v>257911534896.49799</v>
      </c>
      <c r="U507921" s="9">
        <v>1279110000000</v>
      </c>
    </row>
    <row r="507922" spans="20:21" x14ac:dyDescent="0.15">
      <c r="T507922" s="9">
        <v>277925470006.599</v>
      </c>
      <c r="U507922" s="9">
        <v>1425376000000</v>
      </c>
    </row>
    <row r="507923" spans="20:21" x14ac:dyDescent="0.15">
      <c r="T507923" s="9">
        <v>284345548371.966</v>
      </c>
      <c r="U507923" s="9">
        <v>1545243000000</v>
      </c>
    </row>
    <row r="507924" spans="20:21" x14ac:dyDescent="0.15">
      <c r="T507924" s="9">
        <v>309140480182.89801</v>
      </c>
      <c r="U507924" s="9">
        <v>1684904000000</v>
      </c>
    </row>
    <row r="507925" spans="20:21" x14ac:dyDescent="0.15">
      <c r="T507925" s="9">
        <v>304286974638.82202</v>
      </c>
      <c r="U507925" s="9">
        <v>1873412000000</v>
      </c>
    </row>
    <row r="507926" spans="20:21" x14ac:dyDescent="0.15">
      <c r="T507926" s="9">
        <v>327321498623.151</v>
      </c>
      <c r="U507926" s="9">
        <v>2081826000000</v>
      </c>
    </row>
    <row r="507927" spans="20:21" x14ac:dyDescent="0.15">
      <c r="T507927" s="9">
        <v>364393859506.91699</v>
      </c>
      <c r="U507927" s="9">
        <v>2351599000000</v>
      </c>
    </row>
    <row r="507928" spans="20:21" x14ac:dyDescent="0.15">
      <c r="T507928" s="9">
        <v>392056180496.07098</v>
      </c>
      <c r="U507928" s="9">
        <v>2627333000000</v>
      </c>
    </row>
    <row r="507929" spans="20:21" x14ac:dyDescent="0.15">
      <c r="T507929" s="9">
        <v>422770430220.08099</v>
      </c>
      <c r="U507929" s="9">
        <v>2857307000000</v>
      </c>
    </row>
    <row r="507930" spans="20:21" x14ac:dyDescent="0.15">
      <c r="T507930" s="9">
        <v>444385672278.89001</v>
      </c>
      <c r="U507930" s="9">
        <v>3207041000000</v>
      </c>
    </row>
    <row r="507931" spans="20:21" x14ac:dyDescent="0.15">
      <c r="T507931" s="9">
        <v>484456434564.98102</v>
      </c>
      <c r="U507931" s="9">
        <v>3343789000000</v>
      </c>
    </row>
    <row r="507932" spans="20:21" x14ac:dyDescent="0.15">
      <c r="T507932" s="9">
        <v>536633373623.745</v>
      </c>
      <c r="U507932" s="9">
        <v>3634038000000</v>
      </c>
    </row>
    <row r="507933" spans="20:21" x14ac:dyDescent="0.15">
      <c r="T507933" s="9">
        <v>618156247357.86304</v>
      </c>
      <c r="U507933" s="9">
        <v>4037613000000</v>
      </c>
    </row>
    <row r="507934" spans="20:21" x14ac:dyDescent="0.15">
      <c r="T507934" s="9">
        <v>701178819512.74402</v>
      </c>
      <c r="U507934" s="9">
        <v>4338979000000</v>
      </c>
    </row>
    <row r="507935" spans="20:21" x14ac:dyDescent="0.15">
      <c r="T507935" s="9">
        <v>763934055759.06604</v>
      </c>
      <c r="U507935" s="9">
        <v>4579631000000</v>
      </c>
    </row>
    <row r="507936" spans="20:21" x14ac:dyDescent="0.15">
      <c r="T507936" s="9">
        <v>852989116696.35205</v>
      </c>
      <c r="U507936" s="9">
        <v>4855215000000</v>
      </c>
    </row>
    <row r="507937" spans="20:21" x14ac:dyDescent="0.15">
      <c r="T507937" s="9">
        <v>948716630508.16699</v>
      </c>
      <c r="U507937" s="9">
        <v>5236438000000</v>
      </c>
    </row>
    <row r="507938" spans="20:21" x14ac:dyDescent="0.15">
      <c r="T507938" s="9">
        <v>988622824073.36694</v>
      </c>
      <c r="U507938" s="9">
        <v>5641580000000</v>
      </c>
    </row>
    <row r="507939" spans="20:21" x14ac:dyDescent="0.15">
      <c r="T507939" s="9">
        <v>1027379323856.15</v>
      </c>
      <c r="U507939" s="9">
        <v>5963144000000</v>
      </c>
    </row>
    <row r="507940" spans="20:21" x14ac:dyDescent="0.15">
      <c r="T507940" s="9">
        <v>1122543272896.8301</v>
      </c>
      <c r="U507940" s="9">
        <v>6158129000000</v>
      </c>
    </row>
    <row r="507941" spans="20:21" x14ac:dyDescent="0.15">
      <c r="T507941" s="9">
        <v>1282219772946.3201</v>
      </c>
      <c r="U507941" s="9">
        <v>6520327000000</v>
      </c>
    </row>
    <row r="507942" spans="20:21" x14ac:dyDescent="0.15">
      <c r="T507942" s="9">
        <v>1460239695280.22</v>
      </c>
      <c r="U507942" s="9">
        <v>6858559000000</v>
      </c>
    </row>
    <row r="507943" spans="20:21" x14ac:dyDescent="0.15">
      <c r="T507943" s="9">
        <v>1650608320717.1299</v>
      </c>
      <c r="U507943" s="9">
        <v>7287236000000</v>
      </c>
    </row>
    <row r="507944" spans="20:21" x14ac:dyDescent="0.15">
      <c r="T507944" s="9">
        <v>1831415202548.1001</v>
      </c>
      <c r="U507944" s="9">
        <v>7639749000000</v>
      </c>
    </row>
    <row r="507945" spans="20:21" x14ac:dyDescent="0.15">
      <c r="T507945" s="9">
        <v>2013138415391.3999</v>
      </c>
      <c r="U507945" s="9">
        <v>8073122000000</v>
      </c>
    </row>
    <row r="507946" spans="20:21" x14ac:dyDescent="0.15">
      <c r="T507946" s="9">
        <v>2199087579734.8799</v>
      </c>
      <c r="U507946" s="9">
        <v>8577554457000</v>
      </c>
    </row>
    <row r="507947" spans="20:21" x14ac:dyDescent="0.15">
      <c r="T507947" s="9">
        <v>2371626931008.4102</v>
      </c>
      <c r="U507947" s="9">
        <v>9062818202000</v>
      </c>
    </row>
    <row r="507948" spans="20:21" x14ac:dyDescent="0.15">
      <c r="T507948" s="9">
        <v>2553332721355.1499</v>
      </c>
      <c r="U507948" s="9">
        <v>9631174489000</v>
      </c>
    </row>
    <row r="507949" spans="20:21" x14ac:dyDescent="0.15">
      <c r="T507949" s="9">
        <v>2770113054357.8301</v>
      </c>
      <c r="U507949" s="9">
        <v>10250947997000</v>
      </c>
    </row>
    <row r="507950" spans="20:21" x14ac:dyDescent="0.15">
      <c r="T507950" s="9">
        <v>3001022295612.3501</v>
      </c>
      <c r="U507950" s="9">
        <v>10581929774000</v>
      </c>
    </row>
    <row r="507951" spans="20:21" x14ac:dyDescent="0.15">
      <c r="T507951" s="9">
        <v>3275124592017.1602</v>
      </c>
      <c r="U507951" s="9">
        <v>10929112955000</v>
      </c>
    </row>
    <row r="507952" spans="20:21" x14ac:dyDescent="0.15">
      <c r="T507952" s="9">
        <v>3603882596858.1099</v>
      </c>
      <c r="U507952" s="9">
        <v>11456442041000</v>
      </c>
    </row>
    <row r="507953" spans="20:21" x14ac:dyDescent="0.15">
      <c r="T507953" s="9">
        <v>3968365637613.6299</v>
      </c>
      <c r="U507953" s="9">
        <v>12217193198000</v>
      </c>
    </row>
    <row r="507954" spans="20:21" x14ac:dyDescent="0.15">
      <c r="T507954" s="9">
        <v>4420544703537.2402</v>
      </c>
      <c r="U507954" s="9">
        <v>13039199193000</v>
      </c>
    </row>
    <row r="507955" spans="20:21" x14ac:dyDescent="0.15">
      <c r="T507955" s="9">
        <v>4982880235433.3896</v>
      </c>
      <c r="U507955" s="9">
        <v>13815586948000</v>
      </c>
    </row>
    <row r="507956" spans="20:21" x14ac:dyDescent="0.15">
      <c r="T507956" s="9">
        <v>5691986992199.8604</v>
      </c>
      <c r="U507956" s="9">
        <v>14474226905000</v>
      </c>
    </row>
    <row r="507957" spans="20:21" x14ac:dyDescent="0.15">
      <c r="T507957" s="9">
        <v>6241302380960.0195</v>
      </c>
      <c r="U507957" s="9">
        <v>14769857911000</v>
      </c>
    </row>
    <row r="507958" spans="20:21" x14ac:dyDescent="0.15">
      <c r="T507958" s="9">
        <v>6827905267633.6299</v>
      </c>
      <c r="U507958" s="9">
        <v>14478064934000</v>
      </c>
    </row>
    <row r="507959" spans="20:21" x14ac:dyDescent="0.15">
      <c r="T507959" s="9">
        <v>7554112468317.7305</v>
      </c>
      <c r="U507959" s="9">
        <v>15048964444000</v>
      </c>
    </row>
    <row r="507960" spans="20:21" x14ac:dyDescent="0.15">
      <c r="T507960" s="9">
        <v>8275593072769.2598</v>
      </c>
      <c r="U507960" s="9">
        <v>15599728123000</v>
      </c>
    </row>
    <row r="507961" spans="20:21" x14ac:dyDescent="0.15">
      <c r="T507961" s="9">
        <v>8926363901575.5605</v>
      </c>
      <c r="U507961" s="9">
        <v>16253972230000</v>
      </c>
    </row>
    <row r="507962" spans="20:21" x14ac:dyDescent="0.15">
      <c r="T507962" s="9">
        <v>9619598720424.4609</v>
      </c>
      <c r="U507962" s="9">
        <v>16843190993000</v>
      </c>
    </row>
    <row r="507963" spans="20:21" x14ac:dyDescent="0.15">
      <c r="T507963" s="9">
        <v>10333927386102.801</v>
      </c>
      <c r="U507963" s="9">
        <v>17550680174000</v>
      </c>
    </row>
    <row r="507964" spans="20:21" x14ac:dyDescent="0.15">
      <c r="T507964" s="9">
        <v>11061573199439.699</v>
      </c>
      <c r="U507964" s="9">
        <v>18206020741000</v>
      </c>
    </row>
    <row r="507965" spans="20:21" x14ac:dyDescent="0.15">
      <c r="T507965" s="9">
        <v>11819154044004.9</v>
      </c>
      <c r="U507965" s="9">
        <v>18695110842000</v>
      </c>
    </row>
    <row r="507966" spans="20:21" x14ac:dyDescent="0.15">
      <c r="T507966" s="9">
        <v>12640254407508.1</v>
      </c>
      <c r="U507966" s="9">
        <v>19477336549000</v>
      </c>
    </row>
    <row r="507967" spans="20:21" x14ac:dyDescent="0.15">
      <c r="T507967" s="9">
        <v>13493442991864.699</v>
      </c>
      <c r="U507967" s="9">
        <v>20533057312000</v>
      </c>
    </row>
    <row r="507968" spans="20:21" x14ac:dyDescent="0.15">
      <c r="T507968" s="9">
        <v>14296370418805.1</v>
      </c>
      <c r="U507968" s="9">
        <v>21380976119000</v>
      </c>
    </row>
    <row r="507969" spans="20:21" x14ac:dyDescent="0.15">
      <c r="T507969" s="9">
        <v>14616414450558.4</v>
      </c>
      <c r="U507969" s="9">
        <v>21060473613000</v>
      </c>
    </row>
    <row r="507970" spans="20:21" x14ac:dyDescent="0.15">
      <c r="T507970" s="9">
        <v>15851132888547.1</v>
      </c>
      <c r="U507970" s="9">
        <v>23315080560000</v>
      </c>
    </row>
    <row r="507971" spans="20:21" x14ac:dyDescent="0.15">
      <c r="T507971" s="9">
        <v>16325209299766.801</v>
      </c>
      <c r="U507971" s="9">
        <v>25462700000000</v>
      </c>
    </row>
    <row r="524289" spans="20:21" x14ac:dyDescent="0.15">
      <c r="T524289" s="9" t="s">
        <v>45</v>
      </c>
      <c r="U524289" s="9" t="s">
        <v>44</v>
      </c>
    </row>
    <row r="524290" spans="20:21" x14ac:dyDescent="0.15">
      <c r="T524290" s="9" t="s">
        <v>43</v>
      </c>
      <c r="U524290" s="9" t="s">
        <v>42</v>
      </c>
    </row>
    <row r="524291" spans="20:21" x14ac:dyDescent="0.15">
      <c r="T524291" s="9" t="s">
        <v>41</v>
      </c>
      <c r="U524291" s="9" t="s">
        <v>40</v>
      </c>
    </row>
    <row r="524292" spans="20:21" x14ac:dyDescent="0.15">
      <c r="T524292" s="9" t="s">
        <v>39</v>
      </c>
      <c r="U524292" s="9" t="s">
        <v>38</v>
      </c>
    </row>
    <row r="524293" spans="20:21" x14ac:dyDescent="0.15">
      <c r="T524293" s="9">
        <v>158907457242.42899</v>
      </c>
      <c r="U524293" s="9">
        <v>543300000000</v>
      </c>
    </row>
    <row r="524294" spans="20:21" x14ac:dyDescent="0.15">
      <c r="T524294" s="9">
        <v>115573393646.185</v>
      </c>
      <c r="U524294" s="9">
        <v>563300000000</v>
      </c>
    </row>
    <row r="524295" spans="20:21" x14ac:dyDescent="0.15">
      <c r="T524295" s="9">
        <v>109124398292.05099</v>
      </c>
      <c r="U524295" s="9">
        <v>605100000000</v>
      </c>
    </row>
    <row r="524296" spans="20:21" x14ac:dyDescent="0.15">
      <c r="T524296" s="9">
        <v>120364211312.289</v>
      </c>
      <c r="U524296" s="9">
        <v>638600000000</v>
      </c>
    </row>
    <row r="524297" spans="20:21" x14ac:dyDescent="0.15">
      <c r="T524297" s="9">
        <v>142246424921.30899</v>
      </c>
      <c r="U524297" s="9">
        <v>685800000000</v>
      </c>
    </row>
    <row r="524298" spans="20:21" x14ac:dyDescent="0.15">
      <c r="T524298" s="9">
        <v>166357193951.10501</v>
      </c>
      <c r="U524298" s="9">
        <v>743700000000</v>
      </c>
    </row>
    <row r="524299" spans="20:21" x14ac:dyDescent="0.15">
      <c r="T524299" s="9">
        <v>184074235104.24799</v>
      </c>
      <c r="U524299" s="9">
        <v>815000000000</v>
      </c>
    </row>
    <row r="524300" spans="20:21" x14ac:dyDescent="0.15">
      <c r="T524300" s="9">
        <v>173453151731.27701</v>
      </c>
      <c r="U524300" s="9">
        <v>861700000000</v>
      </c>
    </row>
    <row r="524301" spans="20:21" x14ac:dyDescent="0.15">
      <c r="T524301" s="9">
        <v>166341572533.69101</v>
      </c>
      <c r="U524301" s="9">
        <v>942500000000</v>
      </c>
    </row>
    <row r="524302" spans="20:21" x14ac:dyDescent="0.15">
      <c r="T524302" s="9">
        <v>194519834914.35999</v>
      </c>
      <c r="U524302" s="9">
        <v>1019900000000</v>
      </c>
    </row>
    <row r="524303" spans="20:21" x14ac:dyDescent="0.15">
      <c r="T524303" s="9">
        <v>232062163046.44</v>
      </c>
      <c r="U524303" s="9">
        <v>1073303000000</v>
      </c>
    </row>
    <row r="524304" spans="20:21" x14ac:dyDescent="0.15">
      <c r="T524304" s="9">
        <v>248445751754.134</v>
      </c>
      <c r="U524304" s="9">
        <v>1164850000000</v>
      </c>
    </row>
    <row r="524305" spans="20:21" x14ac:dyDescent="0.15">
      <c r="T524305" s="9">
        <v>257911534896.49799</v>
      </c>
      <c r="U524305" s="9">
        <v>1279110000000</v>
      </c>
    </row>
    <row r="524306" spans="20:21" x14ac:dyDescent="0.15">
      <c r="T524306" s="9">
        <v>277925470006.599</v>
      </c>
      <c r="U524306" s="9">
        <v>1425376000000</v>
      </c>
    </row>
    <row r="524307" spans="20:21" x14ac:dyDescent="0.15">
      <c r="T524307" s="9">
        <v>284345548371.966</v>
      </c>
      <c r="U524307" s="9">
        <v>1545243000000</v>
      </c>
    </row>
    <row r="524308" spans="20:21" x14ac:dyDescent="0.15">
      <c r="T524308" s="9">
        <v>309140480182.89801</v>
      </c>
      <c r="U524308" s="9">
        <v>1684904000000</v>
      </c>
    </row>
    <row r="524309" spans="20:21" x14ac:dyDescent="0.15">
      <c r="T524309" s="9">
        <v>304286974638.82202</v>
      </c>
      <c r="U524309" s="9">
        <v>1873412000000</v>
      </c>
    </row>
    <row r="524310" spans="20:21" x14ac:dyDescent="0.15">
      <c r="T524310" s="9">
        <v>327321498623.151</v>
      </c>
      <c r="U524310" s="9">
        <v>2081826000000</v>
      </c>
    </row>
    <row r="524311" spans="20:21" x14ac:dyDescent="0.15">
      <c r="T524311" s="9">
        <v>364393859506.91699</v>
      </c>
      <c r="U524311" s="9">
        <v>2351599000000</v>
      </c>
    </row>
    <row r="524312" spans="20:21" x14ac:dyDescent="0.15">
      <c r="T524312" s="9">
        <v>392056180496.07098</v>
      </c>
      <c r="U524312" s="9">
        <v>2627333000000</v>
      </c>
    </row>
    <row r="524313" spans="20:21" x14ac:dyDescent="0.15">
      <c r="T524313" s="9">
        <v>422770430220.08099</v>
      </c>
      <c r="U524313" s="9">
        <v>2857307000000</v>
      </c>
    </row>
    <row r="524314" spans="20:21" x14ac:dyDescent="0.15">
      <c r="T524314" s="9">
        <v>444385672278.89001</v>
      </c>
      <c r="U524314" s="9">
        <v>3207041000000</v>
      </c>
    </row>
    <row r="524315" spans="20:21" x14ac:dyDescent="0.15">
      <c r="T524315" s="9">
        <v>484456434564.98102</v>
      </c>
      <c r="U524315" s="9">
        <v>3343789000000</v>
      </c>
    </row>
    <row r="524316" spans="20:21" x14ac:dyDescent="0.15">
      <c r="T524316" s="9">
        <v>536633373623.745</v>
      </c>
      <c r="U524316" s="9">
        <v>3634038000000</v>
      </c>
    </row>
    <row r="524317" spans="20:21" x14ac:dyDescent="0.15">
      <c r="T524317" s="9">
        <v>618156247357.86304</v>
      </c>
      <c r="U524317" s="9">
        <v>4037613000000</v>
      </c>
    </row>
    <row r="524318" spans="20:21" x14ac:dyDescent="0.15">
      <c r="T524318" s="9">
        <v>701178819512.74402</v>
      </c>
      <c r="U524318" s="9">
        <v>4338979000000</v>
      </c>
    </row>
    <row r="524319" spans="20:21" x14ac:dyDescent="0.15">
      <c r="T524319" s="9">
        <v>763934055759.06604</v>
      </c>
      <c r="U524319" s="9">
        <v>4579631000000</v>
      </c>
    </row>
    <row r="524320" spans="20:21" x14ac:dyDescent="0.15">
      <c r="T524320" s="9">
        <v>852989116696.35205</v>
      </c>
      <c r="U524320" s="9">
        <v>4855215000000</v>
      </c>
    </row>
    <row r="524321" spans="20:21" x14ac:dyDescent="0.15">
      <c r="T524321" s="9">
        <v>948716630508.16699</v>
      </c>
      <c r="U524321" s="9">
        <v>5236438000000</v>
      </c>
    </row>
    <row r="524322" spans="20:21" x14ac:dyDescent="0.15">
      <c r="T524322" s="9">
        <v>988622824073.36694</v>
      </c>
      <c r="U524322" s="9">
        <v>5641580000000</v>
      </c>
    </row>
    <row r="524323" spans="20:21" x14ac:dyDescent="0.15">
      <c r="T524323" s="9">
        <v>1027379323856.15</v>
      </c>
      <c r="U524323" s="9">
        <v>5963144000000</v>
      </c>
    </row>
    <row r="524324" spans="20:21" x14ac:dyDescent="0.15">
      <c r="T524324" s="9">
        <v>1122543272896.8301</v>
      </c>
      <c r="U524324" s="9">
        <v>6158129000000</v>
      </c>
    </row>
    <row r="524325" spans="20:21" x14ac:dyDescent="0.15">
      <c r="T524325" s="9">
        <v>1282219772946.3201</v>
      </c>
      <c r="U524325" s="9">
        <v>6520327000000</v>
      </c>
    </row>
    <row r="524326" spans="20:21" x14ac:dyDescent="0.15">
      <c r="T524326" s="9">
        <v>1460239695280.22</v>
      </c>
      <c r="U524326" s="9">
        <v>6858559000000</v>
      </c>
    </row>
    <row r="524327" spans="20:21" x14ac:dyDescent="0.15">
      <c r="T524327" s="9">
        <v>1650608320717.1299</v>
      </c>
      <c r="U524327" s="9">
        <v>7287236000000</v>
      </c>
    </row>
    <row r="524328" spans="20:21" x14ac:dyDescent="0.15">
      <c r="T524328" s="9">
        <v>1831415202548.1001</v>
      </c>
      <c r="U524328" s="9">
        <v>7639749000000</v>
      </c>
    </row>
    <row r="524329" spans="20:21" x14ac:dyDescent="0.15">
      <c r="T524329" s="9">
        <v>2013138415391.3999</v>
      </c>
      <c r="U524329" s="9">
        <v>8073122000000</v>
      </c>
    </row>
    <row r="524330" spans="20:21" x14ac:dyDescent="0.15">
      <c r="T524330" s="9">
        <v>2199087579734.8799</v>
      </c>
      <c r="U524330" s="9">
        <v>8577554457000</v>
      </c>
    </row>
    <row r="524331" spans="20:21" x14ac:dyDescent="0.15">
      <c r="T524331" s="9">
        <v>2371626931008.4102</v>
      </c>
      <c r="U524331" s="9">
        <v>9062818202000</v>
      </c>
    </row>
    <row r="524332" spans="20:21" x14ac:dyDescent="0.15">
      <c r="T524332" s="9">
        <v>2553332721355.1499</v>
      </c>
      <c r="U524332" s="9">
        <v>9631174489000</v>
      </c>
    </row>
    <row r="524333" spans="20:21" x14ac:dyDescent="0.15">
      <c r="T524333" s="9">
        <v>2770113054357.8301</v>
      </c>
      <c r="U524333" s="9">
        <v>10250947997000</v>
      </c>
    </row>
    <row r="524334" spans="20:21" x14ac:dyDescent="0.15">
      <c r="T524334" s="9">
        <v>3001022295612.3501</v>
      </c>
      <c r="U524334" s="9">
        <v>10581929774000</v>
      </c>
    </row>
    <row r="524335" spans="20:21" x14ac:dyDescent="0.15">
      <c r="T524335" s="9">
        <v>3275124592017.1602</v>
      </c>
      <c r="U524335" s="9">
        <v>10929112955000</v>
      </c>
    </row>
    <row r="524336" spans="20:21" x14ac:dyDescent="0.15">
      <c r="T524336" s="9">
        <v>3603882596858.1099</v>
      </c>
      <c r="U524336" s="9">
        <v>11456442041000</v>
      </c>
    </row>
    <row r="524337" spans="20:21" x14ac:dyDescent="0.15">
      <c r="T524337" s="9">
        <v>3968365637613.6299</v>
      </c>
      <c r="U524337" s="9">
        <v>12217193198000</v>
      </c>
    </row>
    <row r="524338" spans="20:21" x14ac:dyDescent="0.15">
      <c r="T524338" s="9">
        <v>4420544703537.2402</v>
      </c>
      <c r="U524338" s="9">
        <v>13039199193000</v>
      </c>
    </row>
    <row r="524339" spans="20:21" x14ac:dyDescent="0.15">
      <c r="T524339" s="9">
        <v>4982880235433.3896</v>
      </c>
      <c r="U524339" s="9">
        <v>13815586948000</v>
      </c>
    </row>
    <row r="524340" spans="20:21" x14ac:dyDescent="0.15">
      <c r="T524340" s="9">
        <v>5691986992199.8604</v>
      </c>
      <c r="U524340" s="9">
        <v>14474226905000</v>
      </c>
    </row>
    <row r="524341" spans="20:21" x14ac:dyDescent="0.15">
      <c r="T524341" s="9">
        <v>6241302380960.0195</v>
      </c>
      <c r="U524341" s="9">
        <v>14769857911000</v>
      </c>
    </row>
    <row r="524342" spans="20:21" x14ac:dyDescent="0.15">
      <c r="T524342" s="9">
        <v>6827905267633.6299</v>
      </c>
      <c r="U524342" s="9">
        <v>14478064934000</v>
      </c>
    </row>
    <row r="524343" spans="20:21" x14ac:dyDescent="0.15">
      <c r="T524343" s="9">
        <v>7554112468317.7305</v>
      </c>
      <c r="U524343" s="9">
        <v>15048964444000</v>
      </c>
    </row>
    <row r="524344" spans="20:21" x14ac:dyDescent="0.15">
      <c r="T524344" s="9">
        <v>8275593072769.2598</v>
      </c>
      <c r="U524344" s="9">
        <v>15599728123000</v>
      </c>
    </row>
    <row r="524345" spans="20:21" x14ac:dyDescent="0.15">
      <c r="T524345" s="9">
        <v>8926363901575.5605</v>
      </c>
      <c r="U524345" s="9">
        <v>16253972230000</v>
      </c>
    </row>
    <row r="524346" spans="20:21" x14ac:dyDescent="0.15">
      <c r="T524346" s="9">
        <v>9619598720424.4609</v>
      </c>
      <c r="U524346" s="9">
        <v>16843190993000</v>
      </c>
    </row>
    <row r="524347" spans="20:21" x14ac:dyDescent="0.15">
      <c r="T524347" s="9">
        <v>10333927386102.801</v>
      </c>
      <c r="U524347" s="9">
        <v>17550680174000</v>
      </c>
    </row>
    <row r="524348" spans="20:21" x14ac:dyDescent="0.15">
      <c r="T524348" s="9">
        <v>11061573199439.699</v>
      </c>
      <c r="U524348" s="9">
        <v>18206020741000</v>
      </c>
    </row>
    <row r="524349" spans="20:21" x14ac:dyDescent="0.15">
      <c r="T524349" s="9">
        <v>11819154044004.9</v>
      </c>
      <c r="U524349" s="9">
        <v>18695110842000</v>
      </c>
    </row>
    <row r="524350" spans="20:21" x14ac:dyDescent="0.15">
      <c r="T524350" s="9">
        <v>12640254407508.1</v>
      </c>
      <c r="U524350" s="9">
        <v>19477336549000</v>
      </c>
    </row>
    <row r="524351" spans="20:21" x14ac:dyDescent="0.15">
      <c r="T524351" s="9">
        <v>13493442991864.699</v>
      </c>
      <c r="U524351" s="9">
        <v>20533057312000</v>
      </c>
    </row>
    <row r="524352" spans="20:21" x14ac:dyDescent="0.15">
      <c r="T524352" s="9">
        <v>14296370418805.1</v>
      </c>
      <c r="U524352" s="9">
        <v>21380976119000</v>
      </c>
    </row>
    <row r="524353" spans="20:21" x14ac:dyDescent="0.15">
      <c r="T524353" s="9">
        <v>14616414450558.4</v>
      </c>
      <c r="U524353" s="9">
        <v>21060473613000</v>
      </c>
    </row>
    <row r="524354" spans="20:21" x14ac:dyDescent="0.15">
      <c r="T524354" s="9">
        <v>15851132888547.1</v>
      </c>
      <c r="U524354" s="9">
        <v>23315080560000</v>
      </c>
    </row>
    <row r="524355" spans="20:21" x14ac:dyDescent="0.15">
      <c r="T524355" s="9">
        <v>16325209299766.801</v>
      </c>
      <c r="U524355" s="9">
        <v>25462700000000</v>
      </c>
    </row>
    <row r="540673" spans="20:21" x14ac:dyDescent="0.15">
      <c r="T540673" s="9" t="s">
        <v>45</v>
      </c>
      <c r="U540673" s="9" t="s">
        <v>44</v>
      </c>
    </row>
    <row r="540674" spans="20:21" x14ac:dyDescent="0.15">
      <c r="T540674" s="9" t="s">
        <v>43</v>
      </c>
      <c r="U540674" s="9" t="s">
        <v>42</v>
      </c>
    </row>
    <row r="540675" spans="20:21" x14ac:dyDescent="0.15">
      <c r="T540675" s="9" t="s">
        <v>41</v>
      </c>
      <c r="U540675" s="9" t="s">
        <v>40</v>
      </c>
    </row>
    <row r="540676" spans="20:21" x14ac:dyDescent="0.15">
      <c r="T540676" s="9" t="s">
        <v>39</v>
      </c>
      <c r="U540676" s="9" t="s">
        <v>38</v>
      </c>
    </row>
    <row r="540677" spans="20:21" x14ac:dyDescent="0.15">
      <c r="T540677" s="9">
        <v>158907457242.42899</v>
      </c>
      <c r="U540677" s="9">
        <v>543300000000</v>
      </c>
    </row>
    <row r="540678" spans="20:21" x14ac:dyDescent="0.15">
      <c r="T540678" s="9">
        <v>115573393646.185</v>
      </c>
      <c r="U540678" s="9">
        <v>563300000000</v>
      </c>
    </row>
    <row r="540679" spans="20:21" x14ac:dyDescent="0.15">
      <c r="T540679" s="9">
        <v>109124398292.05099</v>
      </c>
      <c r="U540679" s="9">
        <v>605100000000</v>
      </c>
    </row>
    <row r="540680" spans="20:21" x14ac:dyDescent="0.15">
      <c r="T540680" s="9">
        <v>120364211312.289</v>
      </c>
      <c r="U540680" s="9">
        <v>638600000000</v>
      </c>
    </row>
    <row r="540681" spans="20:21" x14ac:dyDescent="0.15">
      <c r="T540681" s="9">
        <v>142246424921.30899</v>
      </c>
      <c r="U540681" s="9">
        <v>685800000000</v>
      </c>
    </row>
    <row r="540682" spans="20:21" x14ac:dyDescent="0.15">
      <c r="T540682" s="9">
        <v>166357193951.10501</v>
      </c>
      <c r="U540682" s="9">
        <v>743700000000</v>
      </c>
    </row>
    <row r="540683" spans="20:21" x14ac:dyDescent="0.15">
      <c r="T540683" s="9">
        <v>184074235104.24799</v>
      </c>
      <c r="U540683" s="9">
        <v>815000000000</v>
      </c>
    </row>
    <row r="540684" spans="20:21" x14ac:dyDescent="0.15">
      <c r="T540684" s="9">
        <v>173453151731.27701</v>
      </c>
      <c r="U540684" s="9">
        <v>861700000000</v>
      </c>
    </row>
    <row r="540685" spans="20:21" x14ac:dyDescent="0.15">
      <c r="T540685" s="9">
        <v>166341572533.69101</v>
      </c>
      <c r="U540685" s="9">
        <v>942500000000</v>
      </c>
    </row>
    <row r="540686" spans="20:21" x14ac:dyDescent="0.15">
      <c r="T540686" s="9">
        <v>194519834914.35999</v>
      </c>
      <c r="U540686" s="9">
        <v>1019900000000</v>
      </c>
    </row>
    <row r="540687" spans="20:21" x14ac:dyDescent="0.15">
      <c r="T540687" s="9">
        <v>232062163046.44</v>
      </c>
      <c r="U540687" s="9">
        <v>1073303000000</v>
      </c>
    </row>
    <row r="540688" spans="20:21" x14ac:dyDescent="0.15">
      <c r="T540688" s="9">
        <v>248445751754.134</v>
      </c>
      <c r="U540688" s="9">
        <v>1164850000000</v>
      </c>
    </row>
    <row r="540689" spans="20:21" x14ac:dyDescent="0.15">
      <c r="T540689" s="9">
        <v>257911534896.49799</v>
      </c>
      <c r="U540689" s="9">
        <v>1279110000000</v>
      </c>
    </row>
    <row r="540690" spans="20:21" x14ac:dyDescent="0.15">
      <c r="T540690" s="9">
        <v>277925470006.599</v>
      </c>
      <c r="U540690" s="9">
        <v>1425376000000</v>
      </c>
    </row>
    <row r="540691" spans="20:21" x14ac:dyDescent="0.15">
      <c r="T540691" s="9">
        <v>284345548371.966</v>
      </c>
      <c r="U540691" s="9">
        <v>1545243000000</v>
      </c>
    </row>
    <row r="540692" spans="20:21" x14ac:dyDescent="0.15">
      <c r="T540692" s="9">
        <v>309140480182.89801</v>
      </c>
      <c r="U540692" s="9">
        <v>1684904000000</v>
      </c>
    </row>
    <row r="540693" spans="20:21" x14ac:dyDescent="0.15">
      <c r="T540693" s="9">
        <v>304286974638.82202</v>
      </c>
      <c r="U540693" s="9">
        <v>1873412000000</v>
      </c>
    </row>
    <row r="540694" spans="20:21" x14ac:dyDescent="0.15">
      <c r="T540694" s="9">
        <v>327321498623.151</v>
      </c>
      <c r="U540694" s="9">
        <v>2081826000000</v>
      </c>
    </row>
    <row r="540695" spans="20:21" x14ac:dyDescent="0.15">
      <c r="T540695" s="9">
        <v>364393859506.91699</v>
      </c>
      <c r="U540695" s="9">
        <v>2351599000000</v>
      </c>
    </row>
    <row r="540696" spans="20:21" x14ac:dyDescent="0.15">
      <c r="T540696" s="9">
        <v>392056180496.07098</v>
      </c>
      <c r="U540696" s="9">
        <v>2627333000000</v>
      </c>
    </row>
    <row r="540697" spans="20:21" x14ac:dyDescent="0.15">
      <c r="T540697" s="9">
        <v>422770430220.08099</v>
      </c>
      <c r="U540697" s="9">
        <v>2857307000000</v>
      </c>
    </row>
    <row r="540698" spans="20:21" x14ac:dyDescent="0.15">
      <c r="T540698" s="9">
        <v>444385672278.89001</v>
      </c>
      <c r="U540698" s="9">
        <v>3207041000000</v>
      </c>
    </row>
    <row r="540699" spans="20:21" x14ac:dyDescent="0.15">
      <c r="T540699" s="9">
        <v>484456434564.98102</v>
      </c>
      <c r="U540699" s="9">
        <v>3343789000000</v>
      </c>
    </row>
    <row r="540700" spans="20:21" x14ac:dyDescent="0.15">
      <c r="T540700" s="9">
        <v>536633373623.745</v>
      </c>
      <c r="U540700" s="9">
        <v>3634038000000</v>
      </c>
    </row>
    <row r="540701" spans="20:21" x14ac:dyDescent="0.15">
      <c r="T540701" s="9">
        <v>618156247357.86304</v>
      </c>
      <c r="U540701" s="9">
        <v>4037613000000</v>
      </c>
    </row>
    <row r="540702" spans="20:21" x14ac:dyDescent="0.15">
      <c r="T540702" s="9">
        <v>701178819512.74402</v>
      </c>
      <c r="U540702" s="9">
        <v>4338979000000</v>
      </c>
    </row>
    <row r="540703" spans="20:21" x14ac:dyDescent="0.15">
      <c r="T540703" s="9">
        <v>763934055759.06604</v>
      </c>
      <c r="U540703" s="9">
        <v>4579631000000</v>
      </c>
    </row>
    <row r="540704" spans="20:21" x14ac:dyDescent="0.15">
      <c r="T540704" s="9">
        <v>852989116696.35205</v>
      </c>
      <c r="U540704" s="9">
        <v>4855215000000</v>
      </c>
    </row>
    <row r="540705" spans="20:21" x14ac:dyDescent="0.15">
      <c r="T540705" s="9">
        <v>948716630508.16699</v>
      </c>
      <c r="U540705" s="9">
        <v>5236438000000</v>
      </c>
    </row>
    <row r="540706" spans="20:21" x14ac:dyDescent="0.15">
      <c r="T540706" s="9">
        <v>988622824073.36694</v>
      </c>
      <c r="U540706" s="9">
        <v>5641580000000</v>
      </c>
    </row>
    <row r="540707" spans="20:21" x14ac:dyDescent="0.15">
      <c r="T540707" s="9">
        <v>1027379323856.15</v>
      </c>
      <c r="U540707" s="9">
        <v>5963144000000</v>
      </c>
    </row>
    <row r="540708" spans="20:21" x14ac:dyDescent="0.15">
      <c r="T540708" s="9">
        <v>1122543272896.8301</v>
      </c>
      <c r="U540708" s="9">
        <v>6158129000000</v>
      </c>
    </row>
    <row r="540709" spans="20:21" x14ac:dyDescent="0.15">
      <c r="T540709" s="9">
        <v>1282219772946.3201</v>
      </c>
      <c r="U540709" s="9">
        <v>6520327000000</v>
      </c>
    </row>
    <row r="540710" spans="20:21" x14ac:dyDescent="0.15">
      <c r="T540710" s="9">
        <v>1460239695280.22</v>
      </c>
      <c r="U540710" s="9">
        <v>6858559000000</v>
      </c>
    </row>
    <row r="540711" spans="20:21" x14ac:dyDescent="0.15">
      <c r="T540711" s="9">
        <v>1650608320717.1299</v>
      </c>
      <c r="U540711" s="9">
        <v>7287236000000</v>
      </c>
    </row>
    <row r="540712" spans="20:21" x14ac:dyDescent="0.15">
      <c r="T540712" s="9">
        <v>1831415202548.1001</v>
      </c>
      <c r="U540712" s="9">
        <v>7639749000000</v>
      </c>
    </row>
    <row r="540713" spans="20:21" x14ac:dyDescent="0.15">
      <c r="T540713" s="9">
        <v>2013138415391.3999</v>
      </c>
      <c r="U540713" s="9">
        <v>8073122000000</v>
      </c>
    </row>
    <row r="540714" spans="20:21" x14ac:dyDescent="0.15">
      <c r="T540714" s="9">
        <v>2199087579734.8799</v>
      </c>
      <c r="U540714" s="9">
        <v>8577554457000</v>
      </c>
    </row>
    <row r="540715" spans="20:21" x14ac:dyDescent="0.15">
      <c r="T540715" s="9">
        <v>2371626931008.4102</v>
      </c>
      <c r="U540715" s="9">
        <v>9062818202000</v>
      </c>
    </row>
    <row r="540716" spans="20:21" x14ac:dyDescent="0.15">
      <c r="T540716" s="9">
        <v>2553332721355.1499</v>
      </c>
      <c r="U540716" s="9">
        <v>9631174489000</v>
      </c>
    </row>
    <row r="540717" spans="20:21" x14ac:dyDescent="0.15">
      <c r="T540717" s="9">
        <v>2770113054357.8301</v>
      </c>
      <c r="U540717" s="9">
        <v>10250947997000</v>
      </c>
    </row>
    <row r="540718" spans="20:21" x14ac:dyDescent="0.15">
      <c r="T540718" s="9">
        <v>3001022295612.3501</v>
      </c>
      <c r="U540718" s="9">
        <v>10581929774000</v>
      </c>
    </row>
    <row r="540719" spans="20:21" x14ac:dyDescent="0.15">
      <c r="T540719" s="9">
        <v>3275124592017.1602</v>
      </c>
      <c r="U540719" s="9">
        <v>10929112955000</v>
      </c>
    </row>
    <row r="540720" spans="20:21" x14ac:dyDescent="0.15">
      <c r="T540720" s="9">
        <v>3603882596858.1099</v>
      </c>
      <c r="U540720" s="9">
        <v>11456442041000</v>
      </c>
    </row>
    <row r="540721" spans="20:21" x14ac:dyDescent="0.15">
      <c r="T540721" s="9">
        <v>3968365637613.6299</v>
      </c>
      <c r="U540721" s="9">
        <v>12217193198000</v>
      </c>
    </row>
    <row r="540722" spans="20:21" x14ac:dyDescent="0.15">
      <c r="T540722" s="9">
        <v>4420544703537.2402</v>
      </c>
      <c r="U540722" s="9">
        <v>13039199193000</v>
      </c>
    </row>
    <row r="540723" spans="20:21" x14ac:dyDescent="0.15">
      <c r="T540723" s="9">
        <v>4982880235433.3896</v>
      </c>
      <c r="U540723" s="9">
        <v>13815586948000</v>
      </c>
    </row>
    <row r="540724" spans="20:21" x14ac:dyDescent="0.15">
      <c r="T540724" s="9">
        <v>5691986992199.8604</v>
      </c>
      <c r="U540724" s="9">
        <v>14474226905000</v>
      </c>
    </row>
    <row r="540725" spans="20:21" x14ac:dyDescent="0.15">
      <c r="T540725" s="9">
        <v>6241302380960.0195</v>
      </c>
      <c r="U540725" s="9">
        <v>14769857911000</v>
      </c>
    </row>
    <row r="540726" spans="20:21" x14ac:dyDescent="0.15">
      <c r="T540726" s="9">
        <v>6827905267633.6299</v>
      </c>
      <c r="U540726" s="9">
        <v>14478064934000</v>
      </c>
    </row>
    <row r="540727" spans="20:21" x14ac:dyDescent="0.15">
      <c r="T540727" s="9">
        <v>7554112468317.7305</v>
      </c>
      <c r="U540727" s="9">
        <v>15048964444000</v>
      </c>
    </row>
    <row r="540728" spans="20:21" x14ac:dyDescent="0.15">
      <c r="T540728" s="9">
        <v>8275593072769.2598</v>
      </c>
      <c r="U540728" s="9">
        <v>15599728123000</v>
      </c>
    </row>
    <row r="540729" spans="20:21" x14ac:dyDescent="0.15">
      <c r="T540729" s="9">
        <v>8926363901575.5605</v>
      </c>
      <c r="U540729" s="9">
        <v>16253972230000</v>
      </c>
    </row>
    <row r="540730" spans="20:21" x14ac:dyDescent="0.15">
      <c r="T540730" s="9">
        <v>9619598720424.4609</v>
      </c>
      <c r="U540730" s="9">
        <v>16843190993000</v>
      </c>
    </row>
    <row r="540731" spans="20:21" x14ac:dyDescent="0.15">
      <c r="T540731" s="9">
        <v>10333927386102.801</v>
      </c>
      <c r="U540731" s="9">
        <v>17550680174000</v>
      </c>
    </row>
    <row r="540732" spans="20:21" x14ac:dyDescent="0.15">
      <c r="T540732" s="9">
        <v>11061573199439.699</v>
      </c>
      <c r="U540732" s="9">
        <v>18206020741000</v>
      </c>
    </row>
    <row r="540733" spans="20:21" x14ac:dyDescent="0.15">
      <c r="T540733" s="9">
        <v>11819154044004.9</v>
      </c>
      <c r="U540733" s="9">
        <v>18695110842000</v>
      </c>
    </row>
    <row r="540734" spans="20:21" x14ac:dyDescent="0.15">
      <c r="T540734" s="9">
        <v>12640254407508.1</v>
      </c>
      <c r="U540734" s="9">
        <v>19477336549000</v>
      </c>
    </row>
    <row r="540735" spans="20:21" x14ac:dyDescent="0.15">
      <c r="T540735" s="9">
        <v>13493442991864.699</v>
      </c>
      <c r="U540735" s="9">
        <v>20533057312000</v>
      </c>
    </row>
    <row r="540736" spans="20:21" x14ac:dyDescent="0.15">
      <c r="T540736" s="9">
        <v>14296370418805.1</v>
      </c>
      <c r="U540736" s="9">
        <v>21380976119000</v>
      </c>
    </row>
    <row r="540737" spans="20:21" x14ac:dyDescent="0.15">
      <c r="T540737" s="9">
        <v>14616414450558.4</v>
      </c>
      <c r="U540737" s="9">
        <v>21060473613000</v>
      </c>
    </row>
    <row r="540738" spans="20:21" x14ac:dyDescent="0.15">
      <c r="T540738" s="9">
        <v>15851132888547.1</v>
      </c>
      <c r="U540738" s="9">
        <v>23315080560000</v>
      </c>
    </row>
    <row r="540739" spans="20:21" x14ac:dyDescent="0.15">
      <c r="T540739" s="9">
        <v>16325209299766.801</v>
      </c>
      <c r="U540739" s="9">
        <v>25462700000000</v>
      </c>
    </row>
    <row r="557057" spans="20:21" x14ac:dyDescent="0.15">
      <c r="T557057" s="9" t="s">
        <v>45</v>
      </c>
      <c r="U557057" s="9" t="s">
        <v>44</v>
      </c>
    </row>
    <row r="557058" spans="20:21" x14ac:dyDescent="0.15">
      <c r="T557058" s="9" t="s">
        <v>43</v>
      </c>
      <c r="U557058" s="9" t="s">
        <v>42</v>
      </c>
    </row>
    <row r="557059" spans="20:21" x14ac:dyDescent="0.15">
      <c r="T557059" s="9" t="s">
        <v>41</v>
      </c>
      <c r="U557059" s="9" t="s">
        <v>40</v>
      </c>
    </row>
    <row r="557060" spans="20:21" x14ac:dyDescent="0.15">
      <c r="T557060" s="9" t="s">
        <v>39</v>
      </c>
      <c r="U557060" s="9" t="s">
        <v>38</v>
      </c>
    </row>
    <row r="557061" spans="20:21" x14ac:dyDescent="0.15">
      <c r="T557061" s="9">
        <v>158907457242.42899</v>
      </c>
      <c r="U557061" s="9">
        <v>543300000000</v>
      </c>
    </row>
    <row r="557062" spans="20:21" x14ac:dyDescent="0.15">
      <c r="T557062" s="9">
        <v>115573393646.185</v>
      </c>
      <c r="U557062" s="9">
        <v>563300000000</v>
      </c>
    </row>
    <row r="557063" spans="20:21" x14ac:dyDescent="0.15">
      <c r="T557063" s="9">
        <v>109124398292.05099</v>
      </c>
      <c r="U557063" s="9">
        <v>605100000000</v>
      </c>
    </row>
    <row r="557064" spans="20:21" x14ac:dyDescent="0.15">
      <c r="T557064" s="9">
        <v>120364211312.289</v>
      </c>
      <c r="U557064" s="9">
        <v>638600000000</v>
      </c>
    </row>
    <row r="557065" spans="20:21" x14ac:dyDescent="0.15">
      <c r="T557065" s="9">
        <v>142246424921.30899</v>
      </c>
      <c r="U557065" s="9">
        <v>685800000000</v>
      </c>
    </row>
    <row r="557066" spans="20:21" x14ac:dyDescent="0.15">
      <c r="T557066" s="9">
        <v>166357193951.10501</v>
      </c>
      <c r="U557066" s="9">
        <v>743700000000</v>
      </c>
    </row>
    <row r="557067" spans="20:21" x14ac:dyDescent="0.15">
      <c r="T557067" s="9">
        <v>184074235104.24799</v>
      </c>
      <c r="U557067" s="9">
        <v>815000000000</v>
      </c>
    </row>
    <row r="557068" spans="20:21" x14ac:dyDescent="0.15">
      <c r="T557068" s="9">
        <v>173453151731.27701</v>
      </c>
      <c r="U557068" s="9">
        <v>861700000000</v>
      </c>
    </row>
    <row r="557069" spans="20:21" x14ac:dyDescent="0.15">
      <c r="T557069" s="9">
        <v>166341572533.69101</v>
      </c>
      <c r="U557069" s="9">
        <v>942500000000</v>
      </c>
    </row>
    <row r="557070" spans="20:21" x14ac:dyDescent="0.15">
      <c r="T557070" s="9">
        <v>194519834914.35999</v>
      </c>
      <c r="U557070" s="9">
        <v>1019900000000</v>
      </c>
    </row>
    <row r="557071" spans="20:21" x14ac:dyDescent="0.15">
      <c r="T557071" s="9">
        <v>232062163046.44</v>
      </c>
      <c r="U557071" s="9">
        <v>1073303000000</v>
      </c>
    </row>
    <row r="557072" spans="20:21" x14ac:dyDescent="0.15">
      <c r="T557072" s="9">
        <v>248445751754.134</v>
      </c>
      <c r="U557072" s="9">
        <v>1164850000000</v>
      </c>
    </row>
    <row r="557073" spans="20:21" x14ac:dyDescent="0.15">
      <c r="T557073" s="9">
        <v>257911534896.49799</v>
      </c>
      <c r="U557073" s="9">
        <v>1279110000000</v>
      </c>
    </row>
    <row r="557074" spans="20:21" x14ac:dyDescent="0.15">
      <c r="T557074" s="9">
        <v>277925470006.599</v>
      </c>
      <c r="U557074" s="9">
        <v>1425376000000</v>
      </c>
    </row>
    <row r="557075" spans="20:21" x14ac:dyDescent="0.15">
      <c r="T557075" s="9">
        <v>284345548371.966</v>
      </c>
      <c r="U557075" s="9">
        <v>1545243000000</v>
      </c>
    </row>
    <row r="557076" spans="20:21" x14ac:dyDescent="0.15">
      <c r="T557076" s="9">
        <v>309140480182.89801</v>
      </c>
      <c r="U557076" s="9">
        <v>1684904000000</v>
      </c>
    </row>
    <row r="557077" spans="20:21" x14ac:dyDescent="0.15">
      <c r="T557077" s="9">
        <v>304286974638.82202</v>
      </c>
      <c r="U557077" s="9">
        <v>1873412000000</v>
      </c>
    </row>
    <row r="557078" spans="20:21" x14ac:dyDescent="0.15">
      <c r="T557078" s="9">
        <v>327321498623.151</v>
      </c>
      <c r="U557078" s="9">
        <v>2081826000000</v>
      </c>
    </row>
    <row r="557079" spans="20:21" x14ac:dyDescent="0.15">
      <c r="T557079" s="9">
        <v>364393859506.91699</v>
      </c>
      <c r="U557079" s="9">
        <v>2351599000000</v>
      </c>
    </row>
    <row r="557080" spans="20:21" x14ac:dyDescent="0.15">
      <c r="T557080" s="9">
        <v>392056180496.07098</v>
      </c>
      <c r="U557080" s="9">
        <v>2627333000000</v>
      </c>
    </row>
    <row r="557081" spans="20:21" x14ac:dyDescent="0.15">
      <c r="T557081" s="9">
        <v>422770430220.08099</v>
      </c>
      <c r="U557081" s="9">
        <v>2857307000000</v>
      </c>
    </row>
    <row r="557082" spans="20:21" x14ac:dyDescent="0.15">
      <c r="T557082" s="9">
        <v>444385672278.89001</v>
      </c>
      <c r="U557082" s="9">
        <v>3207041000000</v>
      </c>
    </row>
    <row r="557083" spans="20:21" x14ac:dyDescent="0.15">
      <c r="T557083" s="9">
        <v>484456434564.98102</v>
      </c>
      <c r="U557083" s="9">
        <v>3343789000000</v>
      </c>
    </row>
    <row r="557084" spans="20:21" x14ac:dyDescent="0.15">
      <c r="T557084" s="9">
        <v>536633373623.745</v>
      </c>
      <c r="U557084" s="9">
        <v>3634038000000</v>
      </c>
    </row>
    <row r="557085" spans="20:21" x14ac:dyDescent="0.15">
      <c r="T557085" s="9">
        <v>618156247357.86304</v>
      </c>
      <c r="U557085" s="9">
        <v>4037613000000</v>
      </c>
    </row>
    <row r="557086" spans="20:21" x14ac:dyDescent="0.15">
      <c r="T557086" s="9">
        <v>701178819512.74402</v>
      </c>
      <c r="U557086" s="9">
        <v>4338979000000</v>
      </c>
    </row>
    <row r="557087" spans="20:21" x14ac:dyDescent="0.15">
      <c r="T557087" s="9">
        <v>763934055759.06604</v>
      </c>
      <c r="U557087" s="9">
        <v>4579631000000</v>
      </c>
    </row>
    <row r="557088" spans="20:21" x14ac:dyDescent="0.15">
      <c r="T557088" s="9">
        <v>852989116696.35205</v>
      </c>
      <c r="U557088" s="9">
        <v>4855215000000</v>
      </c>
    </row>
    <row r="557089" spans="20:21" x14ac:dyDescent="0.15">
      <c r="T557089" s="9">
        <v>948716630508.16699</v>
      </c>
      <c r="U557089" s="9">
        <v>5236438000000</v>
      </c>
    </row>
    <row r="557090" spans="20:21" x14ac:dyDescent="0.15">
      <c r="T557090" s="9">
        <v>988622824073.36694</v>
      </c>
      <c r="U557090" s="9">
        <v>5641580000000</v>
      </c>
    </row>
    <row r="557091" spans="20:21" x14ac:dyDescent="0.15">
      <c r="T557091" s="9">
        <v>1027379323856.15</v>
      </c>
      <c r="U557091" s="9">
        <v>5963144000000</v>
      </c>
    </row>
    <row r="557092" spans="20:21" x14ac:dyDescent="0.15">
      <c r="T557092" s="9">
        <v>1122543272896.8301</v>
      </c>
      <c r="U557092" s="9">
        <v>6158129000000</v>
      </c>
    </row>
    <row r="557093" spans="20:21" x14ac:dyDescent="0.15">
      <c r="T557093" s="9">
        <v>1282219772946.3201</v>
      </c>
      <c r="U557093" s="9">
        <v>6520327000000</v>
      </c>
    </row>
    <row r="557094" spans="20:21" x14ac:dyDescent="0.15">
      <c r="T557094" s="9">
        <v>1460239695280.22</v>
      </c>
      <c r="U557094" s="9">
        <v>6858559000000</v>
      </c>
    </row>
    <row r="557095" spans="20:21" x14ac:dyDescent="0.15">
      <c r="T557095" s="9">
        <v>1650608320717.1299</v>
      </c>
      <c r="U557095" s="9">
        <v>7287236000000</v>
      </c>
    </row>
    <row r="557096" spans="20:21" x14ac:dyDescent="0.15">
      <c r="T557096" s="9">
        <v>1831415202548.1001</v>
      </c>
      <c r="U557096" s="9">
        <v>7639749000000</v>
      </c>
    </row>
    <row r="557097" spans="20:21" x14ac:dyDescent="0.15">
      <c r="T557097" s="9">
        <v>2013138415391.3999</v>
      </c>
      <c r="U557097" s="9">
        <v>8073122000000</v>
      </c>
    </row>
    <row r="557098" spans="20:21" x14ac:dyDescent="0.15">
      <c r="T557098" s="9">
        <v>2199087579734.8799</v>
      </c>
      <c r="U557098" s="9">
        <v>8577554457000</v>
      </c>
    </row>
    <row r="557099" spans="20:21" x14ac:dyDescent="0.15">
      <c r="T557099" s="9">
        <v>2371626931008.4102</v>
      </c>
      <c r="U557099" s="9">
        <v>9062818202000</v>
      </c>
    </row>
    <row r="557100" spans="20:21" x14ac:dyDescent="0.15">
      <c r="T557100" s="9">
        <v>2553332721355.1499</v>
      </c>
      <c r="U557100" s="9">
        <v>9631174489000</v>
      </c>
    </row>
    <row r="557101" spans="20:21" x14ac:dyDescent="0.15">
      <c r="T557101" s="9">
        <v>2770113054357.8301</v>
      </c>
      <c r="U557101" s="9">
        <v>10250947997000</v>
      </c>
    </row>
    <row r="557102" spans="20:21" x14ac:dyDescent="0.15">
      <c r="T557102" s="9">
        <v>3001022295612.3501</v>
      </c>
      <c r="U557102" s="9">
        <v>10581929774000</v>
      </c>
    </row>
    <row r="557103" spans="20:21" x14ac:dyDescent="0.15">
      <c r="T557103" s="9">
        <v>3275124592017.1602</v>
      </c>
      <c r="U557103" s="9">
        <v>10929112955000</v>
      </c>
    </row>
    <row r="557104" spans="20:21" x14ac:dyDescent="0.15">
      <c r="T557104" s="9">
        <v>3603882596858.1099</v>
      </c>
      <c r="U557104" s="9">
        <v>11456442041000</v>
      </c>
    </row>
    <row r="557105" spans="20:21" x14ac:dyDescent="0.15">
      <c r="T557105" s="9">
        <v>3968365637613.6299</v>
      </c>
      <c r="U557105" s="9">
        <v>12217193198000</v>
      </c>
    </row>
    <row r="557106" spans="20:21" x14ac:dyDescent="0.15">
      <c r="T557106" s="9">
        <v>4420544703537.2402</v>
      </c>
      <c r="U557106" s="9">
        <v>13039199193000</v>
      </c>
    </row>
    <row r="557107" spans="20:21" x14ac:dyDescent="0.15">
      <c r="T557107" s="9">
        <v>4982880235433.3896</v>
      </c>
      <c r="U557107" s="9">
        <v>13815586948000</v>
      </c>
    </row>
    <row r="557108" spans="20:21" x14ac:dyDescent="0.15">
      <c r="T557108" s="9">
        <v>5691986992199.8604</v>
      </c>
      <c r="U557108" s="9">
        <v>14474226905000</v>
      </c>
    </row>
    <row r="557109" spans="20:21" x14ac:dyDescent="0.15">
      <c r="T557109" s="9">
        <v>6241302380960.0195</v>
      </c>
      <c r="U557109" s="9">
        <v>14769857911000</v>
      </c>
    </row>
    <row r="557110" spans="20:21" x14ac:dyDescent="0.15">
      <c r="T557110" s="9">
        <v>6827905267633.6299</v>
      </c>
      <c r="U557110" s="9">
        <v>14478064934000</v>
      </c>
    </row>
    <row r="557111" spans="20:21" x14ac:dyDescent="0.15">
      <c r="T557111" s="9">
        <v>7554112468317.7305</v>
      </c>
      <c r="U557111" s="9">
        <v>15048964444000</v>
      </c>
    </row>
    <row r="557112" spans="20:21" x14ac:dyDescent="0.15">
      <c r="T557112" s="9">
        <v>8275593072769.2598</v>
      </c>
      <c r="U557112" s="9">
        <v>15599728123000</v>
      </c>
    </row>
    <row r="557113" spans="20:21" x14ac:dyDescent="0.15">
      <c r="T557113" s="9">
        <v>8926363901575.5605</v>
      </c>
      <c r="U557113" s="9">
        <v>16253972230000</v>
      </c>
    </row>
    <row r="557114" spans="20:21" x14ac:dyDescent="0.15">
      <c r="T557114" s="9">
        <v>9619598720424.4609</v>
      </c>
      <c r="U557114" s="9">
        <v>16843190993000</v>
      </c>
    </row>
    <row r="557115" spans="20:21" x14ac:dyDescent="0.15">
      <c r="T557115" s="9">
        <v>10333927386102.801</v>
      </c>
      <c r="U557115" s="9">
        <v>17550680174000</v>
      </c>
    </row>
    <row r="557116" spans="20:21" x14ac:dyDescent="0.15">
      <c r="T557116" s="9">
        <v>11061573199439.699</v>
      </c>
      <c r="U557116" s="9">
        <v>18206020741000</v>
      </c>
    </row>
    <row r="557117" spans="20:21" x14ac:dyDescent="0.15">
      <c r="T557117" s="9">
        <v>11819154044004.9</v>
      </c>
      <c r="U557117" s="9">
        <v>18695110842000</v>
      </c>
    </row>
    <row r="557118" spans="20:21" x14ac:dyDescent="0.15">
      <c r="T557118" s="9">
        <v>12640254407508.1</v>
      </c>
      <c r="U557118" s="9">
        <v>19477336549000</v>
      </c>
    </row>
    <row r="557119" spans="20:21" x14ac:dyDescent="0.15">
      <c r="T557119" s="9">
        <v>13493442991864.699</v>
      </c>
      <c r="U557119" s="9">
        <v>20533057312000</v>
      </c>
    </row>
    <row r="557120" spans="20:21" x14ac:dyDescent="0.15">
      <c r="T557120" s="9">
        <v>14296370418805.1</v>
      </c>
      <c r="U557120" s="9">
        <v>21380976119000</v>
      </c>
    </row>
    <row r="557121" spans="20:21" x14ac:dyDescent="0.15">
      <c r="T557121" s="9">
        <v>14616414450558.4</v>
      </c>
      <c r="U557121" s="9">
        <v>21060473613000</v>
      </c>
    </row>
    <row r="557122" spans="20:21" x14ac:dyDescent="0.15">
      <c r="T557122" s="9">
        <v>15851132888547.1</v>
      </c>
      <c r="U557122" s="9">
        <v>23315080560000</v>
      </c>
    </row>
    <row r="557123" spans="20:21" x14ac:dyDescent="0.15">
      <c r="T557123" s="9">
        <v>16325209299766.801</v>
      </c>
      <c r="U557123" s="9">
        <v>25462700000000</v>
      </c>
    </row>
    <row r="573441" spans="20:21" x14ac:dyDescent="0.15">
      <c r="T573441" s="9" t="s">
        <v>45</v>
      </c>
      <c r="U573441" s="9" t="s">
        <v>44</v>
      </c>
    </row>
    <row r="573442" spans="20:21" x14ac:dyDescent="0.15">
      <c r="T573442" s="9" t="s">
        <v>43</v>
      </c>
      <c r="U573442" s="9" t="s">
        <v>42</v>
      </c>
    </row>
    <row r="573443" spans="20:21" x14ac:dyDescent="0.15">
      <c r="T573443" s="9" t="s">
        <v>41</v>
      </c>
      <c r="U573443" s="9" t="s">
        <v>40</v>
      </c>
    </row>
    <row r="573444" spans="20:21" x14ac:dyDescent="0.15">
      <c r="T573444" s="9" t="s">
        <v>39</v>
      </c>
      <c r="U573444" s="9" t="s">
        <v>38</v>
      </c>
    </row>
    <row r="573445" spans="20:21" x14ac:dyDescent="0.15">
      <c r="T573445" s="9">
        <v>158907457242.42899</v>
      </c>
      <c r="U573445" s="9">
        <v>543300000000</v>
      </c>
    </row>
    <row r="573446" spans="20:21" x14ac:dyDescent="0.15">
      <c r="T573446" s="9">
        <v>115573393646.185</v>
      </c>
      <c r="U573446" s="9">
        <v>563300000000</v>
      </c>
    </row>
    <row r="573447" spans="20:21" x14ac:dyDescent="0.15">
      <c r="T573447" s="9">
        <v>109124398292.05099</v>
      </c>
      <c r="U573447" s="9">
        <v>605100000000</v>
      </c>
    </row>
    <row r="573448" spans="20:21" x14ac:dyDescent="0.15">
      <c r="T573448" s="9">
        <v>120364211312.289</v>
      </c>
      <c r="U573448" s="9">
        <v>638600000000</v>
      </c>
    </row>
    <row r="573449" spans="20:21" x14ac:dyDescent="0.15">
      <c r="T573449" s="9">
        <v>142246424921.30899</v>
      </c>
      <c r="U573449" s="9">
        <v>685800000000</v>
      </c>
    </row>
    <row r="573450" spans="20:21" x14ac:dyDescent="0.15">
      <c r="T573450" s="9">
        <v>166357193951.10501</v>
      </c>
      <c r="U573450" s="9">
        <v>743700000000</v>
      </c>
    </row>
    <row r="573451" spans="20:21" x14ac:dyDescent="0.15">
      <c r="T573451" s="9">
        <v>184074235104.24799</v>
      </c>
      <c r="U573451" s="9">
        <v>815000000000</v>
      </c>
    </row>
    <row r="573452" spans="20:21" x14ac:dyDescent="0.15">
      <c r="T573452" s="9">
        <v>173453151731.27701</v>
      </c>
      <c r="U573452" s="9">
        <v>861700000000</v>
      </c>
    </row>
    <row r="573453" spans="20:21" x14ac:dyDescent="0.15">
      <c r="T573453" s="9">
        <v>166341572533.69101</v>
      </c>
      <c r="U573453" s="9">
        <v>942500000000</v>
      </c>
    </row>
    <row r="573454" spans="20:21" x14ac:dyDescent="0.15">
      <c r="T573454" s="9">
        <v>194519834914.35999</v>
      </c>
      <c r="U573454" s="9">
        <v>1019900000000</v>
      </c>
    </row>
    <row r="573455" spans="20:21" x14ac:dyDescent="0.15">
      <c r="T573455" s="9">
        <v>232062163046.44</v>
      </c>
      <c r="U573455" s="9">
        <v>1073303000000</v>
      </c>
    </row>
    <row r="573456" spans="20:21" x14ac:dyDescent="0.15">
      <c r="T573456" s="9">
        <v>248445751754.134</v>
      </c>
      <c r="U573456" s="9">
        <v>1164850000000</v>
      </c>
    </row>
    <row r="573457" spans="20:21" x14ac:dyDescent="0.15">
      <c r="T573457" s="9">
        <v>257911534896.49799</v>
      </c>
      <c r="U573457" s="9">
        <v>1279110000000</v>
      </c>
    </row>
    <row r="573458" spans="20:21" x14ac:dyDescent="0.15">
      <c r="T573458" s="9">
        <v>277925470006.599</v>
      </c>
      <c r="U573458" s="9">
        <v>1425376000000</v>
      </c>
    </row>
    <row r="573459" spans="20:21" x14ac:dyDescent="0.15">
      <c r="T573459" s="9">
        <v>284345548371.966</v>
      </c>
      <c r="U573459" s="9">
        <v>1545243000000</v>
      </c>
    </row>
    <row r="573460" spans="20:21" x14ac:dyDescent="0.15">
      <c r="T573460" s="9">
        <v>309140480182.89801</v>
      </c>
      <c r="U573460" s="9">
        <v>1684904000000</v>
      </c>
    </row>
    <row r="573461" spans="20:21" x14ac:dyDescent="0.15">
      <c r="T573461" s="9">
        <v>304286974638.82202</v>
      </c>
      <c r="U573461" s="9">
        <v>1873412000000</v>
      </c>
    </row>
    <row r="573462" spans="20:21" x14ac:dyDescent="0.15">
      <c r="T573462" s="9">
        <v>327321498623.151</v>
      </c>
      <c r="U573462" s="9">
        <v>2081826000000</v>
      </c>
    </row>
    <row r="573463" spans="20:21" x14ac:dyDescent="0.15">
      <c r="T573463" s="9">
        <v>364393859506.91699</v>
      </c>
      <c r="U573463" s="9">
        <v>2351599000000</v>
      </c>
    </row>
    <row r="573464" spans="20:21" x14ac:dyDescent="0.15">
      <c r="T573464" s="9">
        <v>392056180496.07098</v>
      </c>
      <c r="U573464" s="9">
        <v>2627333000000</v>
      </c>
    </row>
    <row r="573465" spans="20:21" x14ac:dyDescent="0.15">
      <c r="T573465" s="9">
        <v>422770430220.08099</v>
      </c>
      <c r="U573465" s="9">
        <v>2857307000000</v>
      </c>
    </row>
    <row r="573466" spans="20:21" x14ac:dyDescent="0.15">
      <c r="T573466" s="9">
        <v>444385672278.89001</v>
      </c>
      <c r="U573466" s="9">
        <v>3207041000000</v>
      </c>
    </row>
    <row r="573467" spans="20:21" x14ac:dyDescent="0.15">
      <c r="T573467" s="9">
        <v>484456434564.98102</v>
      </c>
      <c r="U573467" s="9">
        <v>3343789000000</v>
      </c>
    </row>
    <row r="573468" spans="20:21" x14ac:dyDescent="0.15">
      <c r="T573468" s="9">
        <v>536633373623.745</v>
      </c>
      <c r="U573468" s="9">
        <v>3634038000000</v>
      </c>
    </row>
    <row r="573469" spans="20:21" x14ac:dyDescent="0.15">
      <c r="T573469" s="9">
        <v>618156247357.86304</v>
      </c>
      <c r="U573469" s="9">
        <v>4037613000000</v>
      </c>
    </row>
    <row r="573470" spans="20:21" x14ac:dyDescent="0.15">
      <c r="T573470" s="9">
        <v>701178819512.74402</v>
      </c>
      <c r="U573470" s="9">
        <v>4338979000000</v>
      </c>
    </row>
    <row r="573471" spans="20:21" x14ac:dyDescent="0.15">
      <c r="T573471" s="9">
        <v>763934055759.06604</v>
      </c>
      <c r="U573471" s="9">
        <v>4579631000000</v>
      </c>
    </row>
    <row r="573472" spans="20:21" x14ac:dyDescent="0.15">
      <c r="T573472" s="9">
        <v>852989116696.35205</v>
      </c>
      <c r="U573472" s="9">
        <v>4855215000000</v>
      </c>
    </row>
    <row r="573473" spans="20:21" x14ac:dyDescent="0.15">
      <c r="T573473" s="9">
        <v>948716630508.16699</v>
      </c>
      <c r="U573473" s="9">
        <v>5236438000000</v>
      </c>
    </row>
    <row r="573474" spans="20:21" x14ac:dyDescent="0.15">
      <c r="T573474" s="9">
        <v>988622824073.36694</v>
      </c>
      <c r="U573474" s="9">
        <v>5641580000000</v>
      </c>
    </row>
    <row r="573475" spans="20:21" x14ac:dyDescent="0.15">
      <c r="T573475" s="9">
        <v>1027379323856.15</v>
      </c>
      <c r="U573475" s="9">
        <v>5963144000000</v>
      </c>
    </row>
    <row r="573476" spans="20:21" x14ac:dyDescent="0.15">
      <c r="T573476" s="9">
        <v>1122543272896.8301</v>
      </c>
      <c r="U573476" s="9">
        <v>6158129000000</v>
      </c>
    </row>
    <row r="573477" spans="20:21" x14ac:dyDescent="0.15">
      <c r="T573477" s="9">
        <v>1282219772946.3201</v>
      </c>
      <c r="U573477" s="9">
        <v>6520327000000</v>
      </c>
    </row>
    <row r="573478" spans="20:21" x14ac:dyDescent="0.15">
      <c r="T573478" s="9">
        <v>1460239695280.22</v>
      </c>
      <c r="U573478" s="9">
        <v>6858559000000</v>
      </c>
    </row>
    <row r="573479" spans="20:21" x14ac:dyDescent="0.15">
      <c r="T573479" s="9">
        <v>1650608320717.1299</v>
      </c>
      <c r="U573479" s="9">
        <v>7287236000000</v>
      </c>
    </row>
    <row r="573480" spans="20:21" x14ac:dyDescent="0.15">
      <c r="T573480" s="9">
        <v>1831415202548.1001</v>
      </c>
      <c r="U573480" s="9">
        <v>7639749000000</v>
      </c>
    </row>
    <row r="573481" spans="20:21" x14ac:dyDescent="0.15">
      <c r="T573481" s="9">
        <v>2013138415391.3999</v>
      </c>
      <c r="U573481" s="9">
        <v>8073122000000</v>
      </c>
    </row>
    <row r="573482" spans="20:21" x14ac:dyDescent="0.15">
      <c r="T573482" s="9">
        <v>2199087579734.8799</v>
      </c>
      <c r="U573482" s="9">
        <v>8577554457000</v>
      </c>
    </row>
    <row r="573483" spans="20:21" x14ac:dyDescent="0.15">
      <c r="T573483" s="9">
        <v>2371626931008.4102</v>
      </c>
      <c r="U573483" s="9">
        <v>9062818202000</v>
      </c>
    </row>
    <row r="573484" spans="20:21" x14ac:dyDescent="0.15">
      <c r="T573484" s="9">
        <v>2553332721355.1499</v>
      </c>
      <c r="U573484" s="9">
        <v>9631174489000</v>
      </c>
    </row>
    <row r="573485" spans="20:21" x14ac:dyDescent="0.15">
      <c r="T573485" s="9">
        <v>2770113054357.8301</v>
      </c>
      <c r="U573485" s="9">
        <v>10250947997000</v>
      </c>
    </row>
    <row r="573486" spans="20:21" x14ac:dyDescent="0.15">
      <c r="T573486" s="9">
        <v>3001022295612.3501</v>
      </c>
      <c r="U573486" s="9">
        <v>10581929774000</v>
      </c>
    </row>
    <row r="573487" spans="20:21" x14ac:dyDescent="0.15">
      <c r="T573487" s="9">
        <v>3275124592017.1602</v>
      </c>
      <c r="U573487" s="9">
        <v>10929112955000</v>
      </c>
    </row>
    <row r="573488" spans="20:21" x14ac:dyDescent="0.15">
      <c r="T573488" s="9">
        <v>3603882596858.1099</v>
      </c>
      <c r="U573488" s="9">
        <v>11456442041000</v>
      </c>
    </row>
    <row r="573489" spans="20:21" x14ac:dyDescent="0.15">
      <c r="T573489" s="9">
        <v>3968365637613.6299</v>
      </c>
      <c r="U573489" s="9">
        <v>12217193198000</v>
      </c>
    </row>
    <row r="573490" spans="20:21" x14ac:dyDescent="0.15">
      <c r="T573490" s="9">
        <v>4420544703537.2402</v>
      </c>
      <c r="U573490" s="9">
        <v>13039199193000</v>
      </c>
    </row>
    <row r="573491" spans="20:21" x14ac:dyDescent="0.15">
      <c r="T573491" s="9">
        <v>4982880235433.3896</v>
      </c>
      <c r="U573491" s="9">
        <v>13815586948000</v>
      </c>
    </row>
    <row r="573492" spans="20:21" x14ac:dyDescent="0.15">
      <c r="T573492" s="9">
        <v>5691986992199.8604</v>
      </c>
      <c r="U573492" s="9">
        <v>14474226905000</v>
      </c>
    </row>
    <row r="573493" spans="20:21" x14ac:dyDescent="0.15">
      <c r="T573493" s="9">
        <v>6241302380960.0195</v>
      </c>
      <c r="U573493" s="9">
        <v>14769857911000</v>
      </c>
    </row>
    <row r="573494" spans="20:21" x14ac:dyDescent="0.15">
      <c r="T573494" s="9">
        <v>6827905267633.6299</v>
      </c>
      <c r="U573494" s="9">
        <v>14478064934000</v>
      </c>
    </row>
    <row r="573495" spans="20:21" x14ac:dyDescent="0.15">
      <c r="T573495" s="9">
        <v>7554112468317.7305</v>
      </c>
      <c r="U573495" s="9">
        <v>15048964444000</v>
      </c>
    </row>
    <row r="573496" spans="20:21" x14ac:dyDescent="0.15">
      <c r="T573496" s="9">
        <v>8275593072769.2598</v>
      </c>
      <c r="U573496" s="9">
        <v>15599728123000</v>
      </c>
    </row>
    <row r="573497" spans="20:21" x14ac:dyDescent="0.15">
      <c r="T573497" s="9">
        <v>8926363901575.5605</v>
      </c>
      <c r="U573497" s="9">
        <v>16253972230000</v>
      </c>
    </row>
    <row r="573498" spans="20:21" x14ac:dyDescent="0.15">
      <c r="T573498" s="9">
        <v>9619598720424.4609</v>
      </c>
      <c r="U573498" s="9">
        <v>16843190993000</v>
      </c>
    </row>
    <row r="573499" spans="20:21" x14ac:dyDescent="0.15">
      <c r="T573499" s="9">
        <v>10333927386102.801</v>
      </c>
      <c r="U573499" s="9">
        <v>17550680174000</v>
      </c>
    </row>
    <row r="573500" spans="20:21" x14ac:dyDescent="0.15">
      <c r="T573500" s="9">
        <v>11061573199439.699</v>
      </c>
      <c r="U573500" s="9">
        <v>18206020741000</v>
      </c>
    </row>
    <row r="573501" spans="20:21" x14ac:dyDescent="0.15">
      <c r="T573501" s="9">
        <v>11819154044004.9</v>
      </c>
      <c r="U573501" s="9">
        <v>18695110842000</v>
      </c>
    </row>
    <row r="573502" spans="20:21" x14ac:dyDescent="0.15">
      <c r="T573502" s="9">
        <v>12640254407508.1</v>
      </c>
      <c r="U573502" s="9">
        <v>19477336549000</v>
      </c>
    </row>
    <row r="573503" spans="20:21" x14ac:dyDescent="0.15">
      <c r="T573503" s="9">
        <v>13493442991864.699</v>
      </c>
      <c r="U573503" s="9">
        <v>20533057312000</v>
      </c>
    </row>
    <row r="573504" spans="20:21" x14ac:dyDescent="0.15">
      <c r="T573504" s="9">
        <v>14296370418805.1</v>
      </c>
      <c r="U573504" s="9">
        <v>21380976119000</v>
      </c>
    </row>
    <row r="573505" spans="20:21" x14ac:dyDescent="0.15">
      <c r="T573505" s="9">
        <v>14616414450558.4</v>
      </c>
      <c r="U573505" s="9">
        <v>21060473613000</v>
      </c>
    </row>
    <row r="573506" spans="20:21" x14ac:dyDescent="0.15">
      <c r="T573506" s="9">
        <v>15851132888547.1</v>
      </c>
      <c r="U573506" s="9">
        <v>23315080560000</v>
      </c>
    </row>
    <row r="573507" spans="20:21" x14ac:dyDescent="0.15">
      <c r="T573507" s="9">
        <v>16325209299766.801</v>
      </c>
      <c r="U573507" s="9">
        <v>25462700000000</v>
      </c>
    </row>
    <row r="589825" spans="20:21" x14ac:dyDescent="0.15">
      <c r="T589825" s="9" t="s">
        <v>45</v>
      </c>
      <c r="U589825" s="9" t="s">
        <v>44</v>
      </c>
    </row>
    <row r="589826" spans="20:21" x14ac:dyDescent="0.15">
      <c r="T589826" s="9" t="s">
        <v>43</v>
      </c>
      <c r="U589826" s="9" t="s">
        <v>42</v>
      </c>
    </row>
    <row r="589827" spans="20:21" x14ac:dyDescent="0.15">
      <c r="T589827" s="9" t="s">
        <v>41</v>
      </c>
      <c r="U589827" s="9" t="s">
        <v>40</v>
      </c>
    </row>
    <row r="589828" spans="20:21" x14ac:dyDescent="0.15">
      <c r="T589828" s="9" t="s">
        <v>39</v>
      </c>
      <c r="U589828" s="9" t="s">
        <v>38</v>
      </c>
    </row>
    <row r="589829" spans="20:21" x14ac:dyDescent="0.15">
      <c r="T589829" s="9">
        <v>158907457242.42899</v>
      </c>
      <c r="U589829" s="9">
        <v>543300000000</v>
      </c>
    </row>
    <row r="589830" spans="20:21" x14ac:dyDescent="0.15">
      <c r="T589830" s="9">
        <v>115573393646.185</v>
      </c>
      <c r="U589830" s="9">
        <v>563300000000</v>
      </c>
    </row>
    <row r="589831" spans="20:21" x14ac:dyDescent="0.15">
      <c r="T589831" s="9">
        <v>109124398292.05099</v>
      </c>
      <c r="U589831" s="9">
        <v>605100000000</v>
      </c>
    </row>
    <row r="589832" spans="20:21" x14ac:dyDescent="0.15">
      <c r="T589832" s="9">
        <v>120364211312.289</v>
      </c>
      <c r="U589832" s="9">
        <v>638600000000</v>
      </c>
    </row>
    <row r="589833" spans="20:21" x14ac:dyDescent="0.15">
      <c r="T589833" s="9">
        <v>142246424921.30899</v>
      </c>
      <c r="U589833" s="9">
        <v>685800000000</v>
      </c>
    </row>
    <row r="589834" spans="20:21" x14ac:dyDescent="0.15">
      <c r="T589834" s="9">
        <v>166357193951.10501</v>
      </c>
      <c r="U589834" s="9">
        <v>743700000000</v>
      </c>
    </row>
    <row r="589835" spans="20:21" x14ac:dyDescent="0.15">
      <c r="T589835" s="9">
        <v>184074235104.24799</v>
      </c>
      <c r="U589835" s="9">
        <v>815000000000</v>
      </c>
    </row>
    <row r="589836" spans="20:21" x14ac:dyDescent="0.15">
      <c r="T589836" s="9">
        <v>173453151731.27701</v>
      </c>
      <c r="U589836" s="9">
        <v>861700000000</v>
      </c>
    </row>
    <row r="589837" spans="20:21" x14ac:dyDescent="0.15">
      <c r="T589837" s="9">
        <v>166341572533.69101</v>
      </c>
      <c r="U589837" s="9">
        <v>942500000000</v>
      </c>
    </row>
    <row r="589838" spans="20:21" x14ac:dyDescent="0.15">
      <c r="T589838" s="9">
        <v>194519834914.35999</v>
      </c>
      <c r="U589838" s="9">
        <v>1019900000000</v>
      </c>
    </row>
    <row r="589839" spans="20:21" x14ac:dyDescent="0.15">
      <c r="T589839" s="9">
        <v>232062163046.44</v>
      </c>
      <c r="U589839" s="9">
        <v>1073303000000</v>
      </c>
    </row>
    <row r="589840" spans="20:21" x14ac:dyDescent="0.15">
      <c r="T589840" s="9">
        <v>248445751754.134</v>
      </c>
      <c r="U589840" s="9">
        <v>1164850000000</v>
      </c>
    </row>
    <row r="589841" spans="20:21" x14ac:dyDescent="0.15">
      <c r="T589841" s="9">
        <v>257911534896.49799</v>
      </c>
      <c r="U589841" s="9">
        <v>1279110000000</v>
      </c>
    </row>
    <row r="589842" spans="20:21" x14ac:dyDescent="0.15">
      <c r="T589842" s="9">
        <v>277925470006.599</v>
      </c>
      <c r="U589842" s="9">
        <v>1425376000000</v>
      </c>
    </row>
    <row r="589843" spans="20:21" x14ac:dyDescent="0.15">
      <c r="T589843" s="9">
        <v>284345548371.966</v>
      </c>
      <c r="U589843" s="9">
        <v>1545243000000</v>
      </c>
    </row>
    <row r="589844" spans="20:21" x14ac:dyDescent="0.15">
      <c r="T589844" s="9">
        <v>309140480182.89801</v>
      </c>
      <c r="U589844" s="9">
        <v>1684904000000</v>
      </c>
    </row>
    <row r="589845" spans="20:21" x14ac:dyDescent="0.15">
      <c r="T589845" s="9">
        <v>304286974638.82202</v>
      </c>
      <c r="U589845" s="9">
        <v>1873412000000</v>
      </c>
    </row>
    <row r="589846" spans="20:21" x14ac:dyDescent="0.15">
      <c r="T589846" s="9">
        <v>327321498623.151</v>
      </c>
      <c r="U589846" s="9">
        <v>2081826000000</v>
      </c>
    </row>
    <row r="589847" spans="20:21" x14ac:dyDescent="0.15">
      <c r="T589847" s="9">
        <v>364393859506.91699</v>
      </c>
      <c r="U589847" s="9">
        <v>2351599000000</v>
      </c>
    </row>
    <row r="589848" spans="20:21" x14ac:dyDescent="0.15">
      <c r="T589848" s="9">
        <v>392056180496.07098</v>
      </c>
      <c r="U589848" s="9">
        <v>2627333000000</v>
      </c>
    </row>
    <row r="589849" spans="20:21" x14ac:dyDescent="0.15">
      <c r="T589849" s="9">
        <v>422770430220.08099</v>
      </c>
      <c r="U589849" s="9">
        <v>2857307000000</v>
      </c>
    </row>
    <row r="589850" spans="20:21" x14ac:dyDescent="0.15">
      <c r="T589850" s="9">
        <v>444385672278.89001</v>
      </c>
      <c r="U589850" s="9">
        <v>3207041000000</v>
      </c>
    </row>
    <row r="589851" spans="20:21" x14ac:dyDescent="0.15">
      <c r="T589851" s="9">
        <v>484456434564.98102</v>
      </c>
      <c r="U589851" s="9">
        <v>3343789000000</v>
      </c>
    </row>
    <row r="589852" spans="20:21" x14ac:dyDescent="0.15">
      <c r="T589852" s="9">
        <v>536633373623.745</v>
      </c>
      <c r="U589852" s="9">
        <v>3634038000000</v>
      </c>
    </row>
    <row r="589853" spans="20:21" x14ac:dyDescent="0.15">
      <c r="T589853" s="9">
        <v>618156247357.86304</v>
      </c>
      <c r="U589853" s="9">
        <v>4037613000000</v>
      </c>
    </row>
    <row r="589854" spans="20:21" x14ac:dyDescent="0.15">
      <c r="T589854" s="9">
        <v>701178819512.74402</v>
      </c>
      <c r="U589854" s="9">
        <v>4338979000000</v>
      </c>
    </row>
    <row r="589855" spans="20:21" x14ac:dyDescent="0.15">
      <c r="T589855" s="9">
        <v>763934055759.06604</v>
      </c>
      <c r="U589855" s="9">
        <v>4579631000000</v>
      </c>
    </row>
    <row r="589856" spans="20:21" x14ac:dyDescent="0.15">
      <c r="T589856" s="9">
        <v>852989116696.35205</v>
      </c>
      <c r="U589856" s="9">
        <v>4855215000000</v>
      </c>
    </row>
    <row r="589857" spans="20:21" x14ac:dyDescent="0.15">
      <c r="T589857" s="9">
        <v>948716630508.16699</v>
      </c>
      <c r="U589857" s="9">
        <v>5236438000000</v>
      </c>
    </row>
    <row r="589858" spans="20:21" x14ac:dyDescent="0.15">
      <c r="T589858" s="9">
        <v>988622824073.36694</v>
      </c>
      <c r="U589858" s="9">
        <v>5641580000000</v>
      </c>
    </row>
    <row r="589859" spans="20:21" x14ac:dyDescent="0.15">
      <c r="T589859" s="9">
        <v>1027379323856.15</v>
      </c>
      <c r="U589859" s="9">
        <v>5963144000000</v>
      </c>
    </row>
    <row r="589860" spans="20:21" x14ac:dyDescent="0.15">
      <c r="T589860" s="9">
        <v>1122543272896.8301</v>
      </c>
      <c r="U589860" s="9">
        <v>6158129000000</v>
      </c>
    </row>
    <row r="589861" spans="20:21" x14ac:dyDescent="0.15">
      <c r="T589861" s="9">
        <v>1282219772946.3201</v>
      </c>
      <c r="U589861" s="9">
        <v>6520327000000</v>
      </c>
    </row>
    <row r="589862" spans="20:21" x14ac:dyDescent="0.15">
      <c r="T589862" s="9">
        <v>1460239695280.22</v>
      </c>
      <c r="U589862" s="9">
        <v>6858559000000</v>
      </c>
    </row>
    <row r="589863" spans="20:21" x14ac:dyDescent="0.15">
      <c r="T589863" s="9">
        <v>1650608320717.1299</v>
      </c>
      <c r="U589863" s="9">
        <v>7287236000000</v>
      </c>
    </row>
    <row r="589864" spans="20:21" x14ac:dyDescent="0.15">
      <c r="T589864" s="9">
        <v>1831415202548.1001</v>
      </c>
      <c r="U589864" s="9">
        <v>7639749000000</v>
      </c>
    </row>
    <row r="589865" spans="20:21" x14ac:dyDescent="0.15">
      <c r="T589865" s="9">
        <v>2013138415391.3999</v>
      </c>
      <c r="U589865" s="9">
        <v>8073122000000</v>
      </c>
    </row>
    <row r="589866" spans="20:21" x14ac:dyDescent="0.15">
      <c r="T589866" s="9">
        <v>2199087579734.8799</v>
      </c>
      <c r="U589866" s="9">
        <v>8577554457000</v>
      </c>
    </row>
    <row r="589867" spans="20:21" x14ac:dyDescent="0.15">
      <c r="T589867" s="9">
        <v>2371626931008.4102</v>
      </c>
      <c r="U589867" s="9">
        <v>9062818202000</v>
      </c>
    </row>
    <row r="589868" spans="20:21" x14ac:dyDescent="0.15">
      <c r="T589868" s="9">
        <v>2553332721355.1499</v>
      </c>
      <c r="U589868" s="9">
        <v>9631174489000</v>
      </c>
    </row>
    <row r="589869" spans="20:21" x14ac:dyDescent="0.15">
      <c r="T589869" s="9">
        <v>2770113054357.8301</v>
      </c>
      <c r="U589869" s="9">
        <v>10250947997000</v>
      </c>
    </row>
    <row r="589870" spans="20:21" x14ac:dyDescent="0.15">
      <c r="T589870" s="9">
        <v>3001022295612.3501</v>
      </c>
      <c r="U589870" s="9">
        <v>10581929774000</v>
      </c>
    </row>
    <row r="589871" spans="20:21" x14ac:dyDescent="0.15">
      <c r="T589871" s="9">
        <v>3275124592017.1602</v>
      </c>
      <c r="U589871" s="9">
        <v>10929112955000</v>
      </c>
    </row>
    <row r="589872" spans="20:21" x14ac:dyDescent="0.15">
      <c r="T589872" s="9">
        <v>3603882596858.1099</v>
      </c>
      <c r="U589872" s="9">
        <v>11456442041000</v>
      </c>
    </row>
    <row r="589873" spans="20:21" x14ac:dyDescent="0.15">
      <c r="T589873" s="9">
        <v>3968365637613.6299</v>
      </c>
      <c r="U589873" s="9">
        <v>12217193198000</v>
      </c>
    </row>
    <row r="589874" spans="20:21" x14ac:dyDescent="0.15">
      <c r="T589874" s="9">
        <v>4420544703537.2402</v>
      </c>
      <c r="U589874" s="9">
        <v>13039199193000</v>
      </c>
    </row>
    <row r="589875" spans="20:21" x14ac:dyDescent="0.15">
      <c r="T589875" s="9">
        <v>4982880235433.3896</v>
      </c>
      <c r="U589875" s="9">
        <v>13815586948000</v>
      </c>
    </row>
    <row r="589876" spans="20:21" x14ac:dyDescent="0.15">
      <c r="T589876" s="9">
        <v>5691986992199.8604</v>
      </c>
      <c r="U589876" s="9">
        <v>14474226905000</v>
      </c>
    </row>
    <row r="589877" spans="20:21" x14ac:dyDescent="0.15">
      <c r="T589877" s="9">
        <v>6241302380960.0195</v>
      </c>
      <c r="U589877" s="9">
        <v>14769857911000</v>
      </c>
    </row>
    <row r="589878" spans="20:21" x14ac:dyDescent="0.15">
      <c r="T589878" s="9">
        <v>6827905267633.6299</v>
      </c>
      <c r="U589878" s="9">
        <v>14478064934000</v>
      </c>
    </row>
    <row r="589879" spans="20:21" x14ac:dyDescent="0.15">
      <c r="T589879" s="9">
        <v>7554112468317.7305</v>
      </c>
      <c r="U589879" s="9">
        <v>15048964444000</v>
      </c>
    </row>
    <row r="589880" spans="20:21" x14ac:dyDescent="0.15">
      <c r="T589880" s="9">
        <v>8275593072769.2598</v>
      </c>
      <c r="U589880" s="9">
        <v>15599728123000</v>
      </c>
    </row>
    <row r="589881" spans="20:21" x14ac:dyDescent="0.15">
      <c r="T589881" s="9">
        <v>8926363901575.5605</v>
      </c>
      <c r="U589881" s="9">
        <v>16253972230000</v>
      </c>
    </row>
    <row r="589882" spans="20:21" x14ac:dyDescent="0.15">
      <c r="T589882" s="9">
        <v>9619598720424.4609</v>
      </c>
      <c r="U589882" s="9">
        <v>16843190993000</v>
      </c>
    </row>
    <row r="589883" spans="20:21" x14ac:dyDescent="0.15">
      <c r="T589883" s="9">
        <v>10333927386102.801</v>
      </c>
      <c r="U589883" s="9">
        <v>17550680174000</v>
      </c>
    </row>
    <row r="589884" spans="20:21" x14ac:dyDescent="0.15">
      <c r="T589884" s="9">
        <v>11061573199439.699</v>
      </c>
      <c r="U589884" s="9">
        <v>18206020741000</v>
      </c>
    </row>
    <row r="589885" spans="20:21" x14ac:dyDescent="0.15">
      <c r="T589885" s="9">
        <v>11819154044004.9</v>
      </c>
      <c r="U589885" s="9">
        <v>18695110842000</v>
      </c>
    </row>
    <row r="589886" spans="20:21" x14ac:dyDescent="0.15">
      <c r="T589886" s="9">
        <v>12640254407508.1</v>
      </c>
      <c r="U589886" s="9">
        <v>19477336549000</v>
      </c>
    </row>
    <row r="589887" spans="20:21" x14ac:dyDescent="0.15">
      <c r="T589887" s="9">
        <v>13493442991864.699</v>
      </c>
      <c r="U589887" s="9">
        <v>20533057312000</v>
      </c>
    </row>
    <row r="589888" spans="20:21" x14ac:dyDescent="0.15">
      <c r="T589888" s="9">
        <v>14296370418805.1</v>
      </c>
      <c r="U589888" s="9">
        <v>21380976119000</v>
      </c>
    </row>
    <row r="589889" spans="20:21" x14ac:dyDescent="0.15">
      <c r="T589889" s="9">
        <v>14616414450558.4</v>
      </c>
      <c r="U589889" s="9">
        <v>21060473613000</v>
      </c>
    </row>
    <row r="589890" spans="20:21" x14ac:dyDescent="0.15">
      <c r="T589890" s="9">
        <v>15851132888547.1</v>
      </c>
      <c r="U589890" s="9">
        <v>23315080560000</v>
      </c>
    </row>
    <row r="589891" spans="20:21" x14ac:dyDescent="0.15">
      <c r="T589891" s="9">
        <v>16325209299766.801</v>
      </c>
      <c r="U589891" s="9">
        <v>25462700000000</v>
      </c>
    </row>
    <row r="606209" spans="20:21" x14ac:dyDescent="0.15">
      <c r="T606209" s="9" t="s">
        <v>45</v>
      </c>
      <c r="U606209" s="9" t="s">
        <v>44</v>
      </c>
    </row>
    <row r="606210" spans="20:21" x14ac:dyDescent="0.15">
      <c r="T606210" s="9" t="s">
        <v>43</v>
      </c>
      <c r="U606210" s="9" t="s">
        <v>42</v>
      </c>
    </row>
    <row r="606211" spans="20:21" x14ac:dyDescent="0.15">
      <c r="T606211" s="9" t="s">
        <v>41</v>
      </c>
      <c r="U606211" s="9" t="s">
        <v>40</v>
      </c>
    </row>
    <row r="606212" spans="20:21" x14ac:dyDescent="0.15">
      <c r="T606212" s="9" t="s">
        <v>39</v>
      </c>
      <c r="U606212" s="9" t="s">
        <v>38</v>
      </c>
    </row>
    <row r="606213" spans="20:21" x14ac:dyDescent="0.15">
      <c r="T606213" s="9">
        <v>158907457242.42899</v>
      </c>
      <c r="U606213" s="9">
        <v>543300000000</v>
      </c>
    </row>
    <row r="606214" spans="20:21" x14ac:dyDescent="0.15">
      <c r="T606214" s="9">
        <v>115573393646.185</v>
      </c>
      <c r="U606214" s="9">
        <v>563300000000</v>
      </c>
    </row>
    <row r="606215" spans="20:21" x14ac:dyDescent="0.15">
      <c r="T606215" s="9">
        <v>109124398292.05099</v>
      </c>
      <c r="U606215" s="9">
        <v>605100000000</v>
      </c>
    </row>
    <row r="606216" spans="20:21" x14ac:dyDescent="0.15">
      <c r="T606216" s="9">
        <v>120364211312.289</v>
      </c>
      <c r="U606216" s="9">
        <v>638600000000</v>
      </c>
    </row>
    <row r="606217" spans="20:21" x14ac:dyDescent="0.15">
      <c r="T606217" s="9">
        <v>142246424921.30899</v>
      </c>
      <c r="U606217" s="9">
        <v>685800000000</v>
      </c>
    </row>
    <row r="606218" spans="20:21" x14ac:dyDescent="0.15">
      <c r="T606218" s="9">
        <v>166357193951.10501</v>
      </c>
      <c r="U606218" s="9">
        <v>743700000000</v>
      </c>
    </row>
    <row r="606219" spans="20:21" x14ac:dyDescent="0.15">
      <c r="T606219" s="9">
        <v>184074235104.24799</v>
      </c>
      <c r="U606219" s="9">
        <v>815000000000</v>
      </c>
    </row>
    <row r="606220" spans="20:21" x14ac:dyDescent="0.15">
      <c r="T606220" s="9">
        <v>173453151731.27701</v>
      </c>
      <c r="U606220" s="9">
        <v>861700000000</v>
      </c>
    </row>
    <row r="606221" spans="20:21" x14ac:dyDescent="0.15">
      <c r="T606221" s="9">
        <v>166341572533.69101</v>
      </c>
      <c r="U606221" s="9">
        <v>942500000000</v>
      </c>
    </row>
    <row r="606222" spans="20:21" x14ac:dyDescent="0.15">
      <c r="T606222" s="9">
        <v>194519834914.35999</v>
      </c>
      <c r="U606222" s="9">
        <v>1019900000000</v>
      </c>
    </row>
    <row r="606223" spans="20:21" x14ac:dyDescent="0.15">
      <c r="T606223" s="9">
        <v>232062163046.44</v>
      </c>
      <c r="U606223" s="9">
        <v>1073303000000</v>
      </c>
    </row>
    <row r="606224" spans="20:21" x14ac:dyDescent="0.15">
      <c r="T606224" s="9">
        <v>248445751754.134</v>
      </c>
      <c r="U606224" s="9">
        <v>1164850000000</v>
      </c>
    </row>
    <row r="606225" spans="20:21" x14ac:dyDescent="0.15">
      <c r="T606225" s="9">
        <v>257911534896.49799</v>
      </c>
      <c r="U606225" s="9">
        <v>1279110000000</v>
      </c>
    </row>
    <row r="606226" spans="20:21" x14ac:dyDescent="0.15">
      <c r="T606226" s="9">
        <v>277925470006.599</v>
      </c>
      <c r="U606226" s="9">
        <v>1425376000000</v>
      </c>
    </row>
    <row r="606227" spans="20:21" x14ac:dyDescent="0.15">
      <c r="T606227" s="9">
        <v>284345548371.966</v>
      </c>
      <c r="U606227" s="9">
        <v>1545243000000</v>
      </c>
    </row>
    <row r="606228" spans="20:21" x14ac:dyDescent="0.15">
      <c r="T606228" s="9">
        <v>309140480182.89801</v>
      </c>
      <c r="U606228" s="9">
        <v>1684904000000</v>
      </c>
    </row>
    <row r="606229" spans="20:21" x14ac:dyDescent="0.15">
      <c r="T606229" s="9">
        <v>304286974638.82202</v>
      </c>
      <c r="U606229" s="9">
        <v>1873412000000</v>
      </c>
    </row>
    <row r="606230" spans="20:21" x14ac:dyDescent="0.15">
      <c r="T606230" s="9">
        <v>327321498623.151</v>
      </c>
      <c r="U606230" s="9">
        <v>2081826000000</v>
      </c>
    </row>
    <row r="606231" spans="20:21" x14ac:dyDescent="0.15">
      <c r="T606231" s="9">
        <v>364393859506.91699</v>
      </c>
      <c r="U606231" s="9">
        <v>2351599000000</v>
      </c>
    </row>
    <row r="606232" spans="20:21" x14ac:dyDescent="0.15">
      <c r="T606232" s="9">
        <v>392056180496.07098</v>
      </c>
      <c r="U606232" s="9">
        <v>2627333000000</v>
      </c>
    </row>
    <row r="606233" spans="20:21" x14ac:dyDescent="0.15">
      <c r="T606233" s="9">
        <v>422770430220.08099</v>
      </c>
      <c r="U606233" s="9">
        <v>2857307000000</v>
      </c>
    </row>
    <row r="606234" spans="20:21" x14ac:dyDescent="0.15">
      <c r="T606234" s="9">
        <v>444385672278.89001</v>
      </c>
      <c r="U606234" s="9">
        <v>3207041000000</v>
      </c>
    </row>
    <row r="606235" spans="20:21" x14ac:dyDescent="0.15">
      <c r="T606235" s="9">
        <v>484456434564.98102</v>
      </c>
      <c r="U606235" s="9">
        <v>3343789000000</v>
      </c>
    </row>
    <row r="606236" spans="20:21" x14ac:dyDescent="0.15">
      <c r="T606236" s="9">
        <v>536633373623.745</v>
      </c>
      <c r="U606236" s="9">
        <v>3634038000000</v>
      </c>
    </row>
    <row r="606237" spans="20:21" x14ac:dyDescent="0.15">
      <c r="T606237" s="9">
        <v>618156247357.86304</v>
      </c>
      <c r="U606237" s="9">
        <v>4037613000000</v>
      </c>
    </row>
    <row r="606238" spans="20:21" x14ac:dyDescent="0.15">
      <c r="T606238" s="9">
        <v>701178819512.74402</v>
      </c>
      <c r="U606238" s="9">
        <v>4338979000000</v>
      </c>
    </row>
    <row r="606239" spans="20:21" x14ac:dyDescent="0.15">
      <c r="T606239" s="9">
        <v>763934055759.06604</v>
      </c>
      <c r="U606239" s="9">
        <v>4579631000000</v>
      </c>
    </row>
    <row r="606240" spans="20:21" x14ac:dyDescent="0.15">
      <c r="T606240" s="9">
        <v>852989116696.35205</v>
      </c>
      <c r="U606240" s="9">
        <v>4855215000000</v>
      </c>
    </row>
    <row r="606241" spans="20:21" x14ac:dyDescent="0.15">
      <c r="T606241" s="9">
        <v>948716630508.16699</v>
      </c>
      <c r="U606241" s="9">
        <v>5236438000000</v>
      </c>
    </row>
    <row r="606242" spans="20:21" x14ac:dyDescent="0.15">
      <c r="T606242" s="9">
        <v>988622824073.36694</v>
      </c>
      <c r="U606242" s="9">
        <v>5641580000000</v>
      </c>
    </row>
    <row r="606243" spans="20:21" x14ac:dyDescent="0.15">
      <c r="T606243" s="9">
        <v>1027379323856.15</v>
      </c>
      <c r="U606243" s="9">
        <v>5963144000000</v>
      </c>
    </row>
    <row r="606244" spans="20:21" x14ac:dyDescent="0.15">
      <c r="T606244" s="9">
        <v>1122543272896.8301</v>
      </c>
      <c r="U606244" s="9">
        <v>6158129000000</v>
      </c>
    </row>
    <row r="606245" spans="20:21" x14ac:dyDescent="0.15">
      <c r="T606245" s="9">
        <v>1282219772946.3201</v>
      </c>
      <c r="U606245" s="9">
        <v>6520327000000</v>
      </c>
    </row>
    <row r="606246" spans="20:21" x14ac:dyDescent="0.15">
      <c r="T606246" s="9">
        <v>1460239695280.22</v>
      </c>
      <c r="U606246" s="9">
        <v>6858559000000</v>
      </c>
    </row>
    <row r="606247" spans="20:21" x14ac:dyDescent="0.15">
      <c r="T606247" s="9">
        <v>1650608320717.1299</v>
      </c>
      <c r="U606247" s="9">
        <v>7287236000000</v>
      </c>
    </row>
    <row r="606248" spans="20:21" x14ac:dyDescent="0.15">
      <c r="T606248" s="9">
        <v>1831415202548.1001</v>
      </c>
      <c r="U606248" s="9">
        <v>7639749000000</v>
      </c>
    </row>
    <row r="606249" spans="20:21" x14ac:dyDescent="0.15">
      <c r="T606249" s="9">
        <v>2013138415391.3999</v>
      </c>
      <c r="U606249" s="9">
        <v>8073122000000</v>
      </c>
    </row>
    <row r="606250" spans="20:21" x14ac:dyDescent="0.15">
      <c r="T606250" s="9">
        <v>2199087579734.8799</v>
      </c>
      <c r="U606250" s="9">
        <v>8577554457000</v>
      </c>
    </row>
    <row r="606251" spans="20:21" x14ac:dyDescent="0.15">
      <c r="T606251" s="9">
        <v>2371626931008.4102</v>
      </c>
      <c r="U606251" s="9">
        <v>9062818202000</v>
      </c>
    </row>
    <row r="606252" spans="20:21" x14ac:dyDescent="0.15">
      <c r="T606252" s="9">
        <v>2553332721355.1499</v>
      </c>
      <c r="U606252" s="9">
        <v>9631174489000</v>
      </c>
    </row>
    <row r="606253" spans="20:21" x14ac:dyDescent="0.15">
      <c r="T606253" s="9">
        <v>2770113054357.8301</v>
      </c>
      <c r="U606253" s="9">
        <v>10250947997000</v>
      </c>
    </row>
    <row r="606254" spans="20:21" x14ac:dyDescent="0.15">
      <c r="T606254" s="9">
        <v>3001022295612.3501</v>
      </c>
      <c r="U606254" s="9">
        <v>10581929774000</v>
      </c>
    </row>
    <row r="606255" spans="20:21" x14ac:dyDescent="0.15">
      <c r="T606255" s="9">
        <v>3275124592017.1602</v>
      </c>
      <c r="U606255" s="9">
        <v>10929112955000</v>
      </c>
    </row>
    <row r="606256" spans="20:21" x14ac:dyDescent="0.15">
      <c r="T606256" s="9">
        <v>3603882596858.1099</v>
      </c>
      <c r="U606256" s="9">
        <v>11456442041000</v>
      </c>
    </row>
    <row r="606257" spans="20:21" x14ac:dyDescent="0.15">
      <c r="T606257" s="9">
        <v>3968365637613.6299</v>
      </c>
      <c r="U606257" s="9">
        <v>12217193198000</v>
      </c>
    </row>
    <row r="606258" spans="20:21" x14ac:dyDescent="0.15">
      <c r="T606258" s="9">
        <v>4420544703537.2402</v>
      </c>
      <c r="U606258" s="9">
        <v>13039199193000</v>
      </c>
    </row>
    <row r="606259" spans="20:21" x14ac:dyDescent="0.15">
      <c r="T606259" s="9">
        <v>4982880235433.3896</v>
      </c>
      <c r="U606259" s="9">
        <v>13815586948000</v>
      </c>
    </row>
    <row r="606260" spans="20:21" x14ac:dyDescent="0.15">
      <c r="T606260" s="9">
        <v>5691986992199.8604</v>
      </c>
      <c r="U606260" s="9">
        <v>14474226905000</v>
      </c>
    </row>
    <row r="606261" spans="20:21" x14ac:dyDescent="0.15">
      <c r="T606261" s="9">
        <v>6241302380960.0195</v>
      </c>
      <c r="U606261" s="9">
        <v>14769857911000</v>
      </c>
    </row>
    <row r="606262" spans="20:21" x14ac:dyDescent="0.15">
      <c r="T606262" s="9">
        <v>6827905267633.6299</v>
      </c>
      <c r="U606262" s="9">
        <v>14478064934000</v>
      </c>
    </row>
    <row r="606263" spans="20:21" x14ac:dyDescent="0.15">
      <c r="T606263" s="9">
        <v>7554112468317.7305</v>
      </c>
      <c r="U606263" s="9">
        <v>15048964444000</v>
      </c>
    </row>
    <row r="606264" spans="20:21" x14ac:dyDescent="0.15">
      <c r="T606264" s="9">
        <v>8275593072769.2598</v>
      </c>
      <c r="U606264" s="9">
        <v>15599728123000</v>
      </c>
    </row>
    <row r="606265" spans="20:21" x14ac:dyDescent="0.15">
      <c r="T606265" s="9">
        <v>8926363901575.5605</v>
      </c>
      <c r="U606265" s="9">
        <v>16253972230000</v>
      </c>
    </row>
    <row r="606266" spans="20:21" x14ac:dyDescent="0.15">
      <c r="T606266" s="9">
        <v>9619598720424.4609</v>
      </c>
      <c r="U606266" s="9">
        <v>16843190993000</v>
      </c>
    </row>
    <row r="606267" spans="20:21" x14ac:dyDescent="0.15">
      <c r="T606267" s="9">
        <v>10333927386102.801</v>
      </c>
      <c r="U606267" s="9">
        <v>17550680174000</v>
      </c>
    </row>
    <row r="606268" spans="20:21" x14ac:dyDescent="0.15">
      <c r="T606268" s="9">
        <v>11061573199439.699</v>
      </c>
      <c r="U606268" s="9">
        <v>18206020741000</v>
      </c>
    </row>
    <row r="606269" spans="20:21" x14ac:dyDescent="0.15">
      <c r="T606269" s="9">
        <v>11819154044004.9</v>
      </c>
      <c r="U606269" s="9">
        <v>18695110842000</v>
      </c>
    </row>
    <row r="606270" spans="20:21" x14ac:dyDescent="0.15">
      <c r="T606270" s="9">
        <v>12640254407508.1</v>
      </c>
      <c r="U606270" s="9">
        <v>19477336549000</v>
      </c>
    </row>
    <row r="606271" spans="20:21" x14ac:dyDescent="0.15">
      <c r="T606271" s="9">
        <v>13493442991864.699</v>
      </c>
      <c r="U606271" s="9">
        <v>20533057312000</v>
      </c>
    </row>
    <row r="606272" spans="20:21" x14ac:dyDescent="0.15">
      <c r="T606272" s="9">
        <v>14296370418805.1</v>
      </c>
      <c r="U606272" s="9">
        <v>21380976119000</v>
      </c>
    </row>
    <row r="606273" spans="20:21" x14ac:dyDescent="0.15">
      <c r="T606273" s="9">
        <v>14616414450558.4</v>
      </c>
      <c r="U606273" s="9">
        <v>21060473613000</v>
      </c>
    </row>
    <row r="606274" spans="20:21" x14ac:dyDescent="0.15">
      <c r="T606274" s="9">
        <v>15851132888547.1</v>
      </c>
      <c r="U606274" s="9">
        <v>23315080560000</v>
      </c>
    </row>
    <row r="606275" spans="20:21" x14ac:dyDescent="0.15">
      <c r="T606275" s="9">
        <v>16325209299766.801</v>
      </c>
      <c r="U606275" s="9">
        <v>25462700000000</v>
      </c>
    </row>
    <row r="622593" spans="20:21" x14ac:dyDescent="0.15">
      <c r="T622593" s="9" t="s">
        <v>45</v>
      </c>
      <c r="U622593" s="9" t="s">
        <v>44</v>
      </c>
    </row>
    <row r="622594" spans="20:21" x14ac:dyDescent="0.15">
      <c r="T622594" s="9" t="s">
        <v>43</v>
      </c>
      <c r="U622594" s="9" t="s">
        <v>42</v>
      </c>
    </row>
    <row r="622595" spans="20:21" x14ac:dyDescent="0.15">
      <c r="T622595" s="9" t="s">
        <v>41</v>
      </c>
      <c r="U622595" s="9" t="s">
        <v>40</v>
      </c>
    </row>
    <row r="622596" spans="20:21" x14ac:dyDescent="0.15">
      <c r="T622596" s="9" t="s">
        <v>39</v>
      </c>
      <c r="U622596" s="9" t="s">
        <v>38</v>
      </c>
    </row>
    <row r="622597" spans="20:21" x14ac:dyDescent="0.15">
      <c r="T622597" s="9">
        <v>158907457242.42899</v>
      </c>
      <c r="U622597" s="9">
        <v>543300000000</v>
      </c>
    </row>
    <row r="622598" spans="20:21" x14ac:dyDescent="0.15">
      <c r="T622598" s="9">
        <v>115573393646.185</v>
      </c>
      <c r="U622598" s="9">
        <v>563300000000</v>
      </c>
    </row>
    <row r="622599" spans="20:21" x14ac:dyDescent="0.15">
      <c r="T622599" s="9">
        <v>109124398292.05099</v>
      </c>
      <c r="U622599" s="9">
        <v>605100000000</v>
      </c>
    </row>
    <row r="622600" spans="20:21" x14ac:dyDescent="0.15">
      <c r="T622600" s="9">
        <v>120364211312.289</v>
      </c>
      <c r="U622600" s="9">
        <v>638600000000</v>
      </c>
    </row>
    <row r="622601" spans="20:21" x14ac:dyDescent="0.15">
      <c r="T622601" s="9">
        <v>142246424921.30899</v>
      </c>
      <c r="U622601" s="9">
        <v>685800000000</v>
      </c>
    </row>
    <row r="622602" spans="20:21" x14ac:dyDescent="0.15">
      <c r="T622602" s="9">
        <v>166357193951.10501</v>
      </c>
      <c r="U622602" s="9">
        <v>743700000000</v>
      </c>
    </row>
    <row r="622603" spans="20:21" x14ac:dyDescent="0.15">
      <c r="T622603" s="9">
        <v>184074235104.24799</v>
      </c>
      <c r="U622603" s="9">
        <v>815000000000</v>
      </c>
    </row>
    <row r="622604" spans="20:21" x14ac:dyDescent="0.15">
      <c r="T622604" s="9">
        <v>173453151731.27701</v>
      </c>
      <c r="U622604" s="9">
        <v>861700000000</v>
      </c>
    </row>
    <row r="622605" spans="20:21" x14ac:dyDescent="0.15">
      <c r="T622605" s="9">
        <v>166341572533.69101</v>
      </c>
      <c r="U622605" s="9">
        <v>942500000000</v>
      </c>
    </row>
    <row r="622606" spans="20:21" x14ac:dyDescent="0.15">
      <c r="T622606" s="9">
        <v>194519834914.35999</v>
      </c>
      <c r="U622606" s="9">
        <v>1019900000000</v>
      </c>
    </row>
    <row r="622607" spans="20:21" x14ac:dyDescent="0.15">
      <c r="T622607" s="9">
        <v>232062163046.44</v>
      </c>
      <c r="U622607" s="9">
        <v>1073303000000</v>
      </c>
    </row>
    <row r="622608" spans="20:21" x14ac:dyDescent="0.15">
      <c r="T622608" s="9">
        <v>248445751754.134</v>
      </c>
      <c r="U622608" s="9">
        <v>1164850000000</v>
      </c>
    </row>
    <row r="622609" spans="20:21" x14ac:dyDescent="0.15">
      <c r="T622609" s="9">
        <v>257911534896.49799</v>
      </c>
      <c r="U622609" s="9">
        <v>1279110000000</v>
      </c>
    </row>
    <row r="622610" spans="20:21" x14ac:dyDescent="0.15">
      <c r="T622610" s="9">
        <v>277925470006.599</v>
      </c>
      <c r="U622610" s="9">
        <v>1425376000000</v>
      </c>
    </row>
    <row r="622611" spans="20:21" x14ac:dyDescent="0.15">
      <c r="T622611" s="9">
        <v>284345548371.966</v>
      </c>
      <c r="U622611" s="9">
        <v>1545243000000</v>
      </c>
    </row>
    <row r="622612" spans="20:21" x14ac:dyDescent="0.15">
      <c r="T622612" s="9">
        <v>309140480182.89801</v>
      </c>
      <c r="U622612" s="9">
        <v>1684904000000</v>
      </c>
    </row>
    <row r="622613" spans="20:21" x14ac:dyDescent="0.15">
      <c r="T622613" s="9">
        <v>304286974638.82202</v>
      </c>
      <c r="U622613" s="9">
        <v>1873412000000</v>
      </c>
    </row>
    <row r="622614" spans="20:21" x14ac:dyDescent="0.15">
      <c r="T622614" s="9">
        <v>327321498623.151</v>
      </c>
      <c r="U622614" s="9">
        <v>2081826000000</v>
      </c>
    </row>
    <row r="622615" spans="20:21" x14ac:dyDescent="0.15">
      <c r="T622615" s="9">
        <v>364393859506.91699</v>
      </c>
      <c r="U622615" s="9">
        <v>2351599000000</v>
      </c>
    </row>
    <row r="622616" spans="20:21" x14ac:dyDescent="0.15">
      <c r="T622616" s="9">
        <v>392056180496.07098</v>
      </c>
      <c r="U622616" s="9">
        <v>2627333000000</v>
      </c>
    </row>
    <row r="622617" spans="20:21" x14ac:dyDescent="0.15">
      <c r="T622617" s="9">
        <v>422770430220.08099</v>
      </c>
      <c r="U622617" s="9">
        <v>2857307000000</v>
      </c>
    </row>
    <row r="622618" spans="20:21" x14ac:dyDescent="0.15">
      <c r="T622618" s="9">
        <v>444385672278.89001</v>
      </c>
      <c r="U622618" s="9">
        <v>3207041000000</v>
      </c>
    </row>
    <row r="622619" spans="20:21" x14ac:dyDescent="0.15">
      <c r="T622619" s="9">
        <v>484456434564.98102</v>
      </c>
      <c r="U622619" s="9">
        <v>3343789000000</v>
      </c>
    </row>
    <row r="622620" spans="20:21" x14ac:dyDescent="0.15">
      <c r="T622620" s="9">
        <v>536633373623.745</v>
      </c>
      <c r="U622620" s="9">
        <v>3634038000000</v>
      </c>
    </row>
    <row r="622621" spans="20:21" x14ac:dyDescent="0.15">
      <c r="T622621" s="9">
        <v>618156247357.86304</v>
      </c>
      <c r="U622621" s="9">
        <v>4037613000000</v>
      </c>
    </row>
    <row r="622622" spans="20:21" x14ac:dyDescent="0.15">
      <c r="T622622" s="9">
        <v>701178819512.74402</v>
      </c>
      <c r="U622622" s="9">
        <v>4338979000000</v>
      </c>
    </row>
    <row r="622623" spans="20:21" x14ac:dyDescent="0.15">
      <c r="T622623" s="9">
        <v>763934055759.06604</v>
      </c>
      <c r="U622623" s="9">
        <v>4579631000000</v>
      </c>
    </row>
    <row r="622624" spans="20:21" x14ac:dyDescent="0.15">
      <c r="T622624" s="9">
        <v>852989116696.35205</v>
      </c>
      <c r="U622624" s="9">
        <v>4855215000000</v>
      </c>
    </row>
    <row r="622625" spans="20:21" x14ac:dyDescent="0.15">
      <c r="T622625" s="9">
        <v>948716630508.16699</v>
      </c>
      <c r="U622625" s="9">
        <v>5236438000000</v>
      </c>
    </row>
    <row r="622626" spans="20:21" x14ac:dyDescent="0.15">
      <c r="T622626" s="9">
        <v>988622824073.36694</v>
      </c>
      <c r="U622626" s="9">
        <v>5641580000000</v>
      </c>
    </row>
    <row r="622627" spans="20:21" x14ac:dyDescent="0.15">
      <c r="T622627" s="9">
        <v>1027379323856.15</v>
      </c>
      <c r="U622627" s="9">
        <v>5963144000000</v>
      </c>
    </row>
    <row r="622628" spans="20:21" x14ac:dyDescent="0.15">
      <c r="T622628" s="9">
        <v>1122543272896.8301</v>
      </c>
      <c r="U622628" s="9">
        <v>6158129000000</v>
      </c>
    </row>
    <row r="622629" spans="20:21" x14ac:dyDescent="0.15">
      <c r="T622629" s="9">
        <v>1282219772946.3201</v>
      </c>
      <c r="U622629" s="9">
        <v>6520327000000</v>
      </c>
    </row>
    <row r="622630" spans="20:21" x14ac:dyDescent="0.15">
      <c r="T622630" s="9">
        <v>1460239695280.22</v>
      </c>
      <c r="U622630" s="9">
        <v>6858559000000</v>
      </c>
    </row>
    <row r="622631" spans="20:21" x14ac:dyDescent="0.15">
      <c r="T622631" s="9">
        <v>1650608320717.1299</v>
      </c>
      <c r="U622631" s="9">
        <v>7287236000000</v>
      </c>
    </row>
    <row r="622632" spans="20:21" x14ac:dyDescent="0.15">
      <c r="T622632" s="9">
        <v>1831415202548.1001</v>
      </c>
      <c r="U622632" s="9">
        <v>7639749000000</v>
      </c>
    </row>
    <row r="622633" spans="20:21" x14ac:dyDescent="0.15">
      <c r="T622633" s="9">
        <v>2013138415391.3999</v>
      </c>
      <c r="U622633" s="9">
        <v>8073122000000</v>
      </c>
    </row>
    <row r="622634" spans="20:21" x14ac:dyDescent="0.15">
      <c r="T622634" s="9">
        <v>2199087579734.8799</v>
      </c>
      <c r="U622634" s="9">
        <v>8577554457000</v>
      </c>
    </row>
    <row r="622635" spans="20:21" x14ac:dyDescent="0.15">
      <c r="T622635" s="9">
        <v>2371626931008.4102</v>
      </c>
      <c r="U622635" s="9">
        <v>9062818202000</v>
      </c>
    </row>
    <row r="622636" spans="20:21" x14ac:dyDescent="0.15">
      <c r="T622636" s="9">
        <v>2553332721355.1499</v>
      </c>
      <c r="U622636" s="9">
        <v>9631174489000</v>
      </c>
    </row>
    <row r="622637" spans="20:21" x14ac:dyDescent="0.15">
      <c r="T622637" s="9">
        <v>2770113054357.8301</v>
      </c>
      <c r="U622637" s="9">
        <v>10250947997000</v>
      </c>
    </row>
    <row r="622638" spans="20:21" x14ac:dyDescent="0.15">
      <c r="T622638" s="9">
        <v>3001022295612.3501</v>
      </c>
      <c r="U622638" s="9">
        <v>10581929774000</v>
      </c>
    </row>
    <row r="622639" spans="20:21" x14ac:dyDescent="0.15">
      <c r="T622639" s="9">
        <v>3275124592017.1602</v>
      </c>
      <c r="U622639" s="9">
        <v>10929112955000</v>
      </c>
    </row>
    <row r="622640" spans="20:21" x14ac:dyDescent="0.15">
      <c r="T622640" s="9">
        <v>3603882596858.1099</v>
      </c>
      <c r="U622640" s="9">
        <v>11456442041000</v>
      </c>
    </row>
    <row r="622641" spans="20:21" x14ac:dyDescent="0.15">
      <c r="T622641" s="9">
        <v>3968365637613.6299</v>
      </c>
      <c r="U622641" s="9">
        <v>12217193198000</v>
      </c>
    </row>
    <row r="622642" spans="20:21" x14ac:dyDescent="0.15">
      <c r="T622642" s="9">
        <v>4420544703537.2402</v>
      </c>
      <c r="U622642" s="9">
        <v>13039199193000</v>
      </c>
    </row>
    <row r="622643" spans="20:21" x14ac:dyDescent="0.15">
      <c r="T622643" s="9">
        <v>4982880235433.3896</v>
      </c>
      <c r="U622643" s="9">
        <v>13815586948000</v>
      </c>
    </row>
    <row r="622644" spans="20:21" x14ac:dyDescent="0.15">
      <c r="T622644" s="9">
        <v>5691986992199.8604</v>
      </c>
      <c r="U622644" s="9">
        <v>14474226905000</v>
      </c>
    </row>
    <row r="622645" spans="20:21" x14ac:dyDescent="0.15">
      <c r="T622645" s="9">
        <v>6241302380960.0195</v>
      </c>
      <c r="U622645" s="9">
        <v>14769857911000</v>
      </c>
    </row>
    <row r="622646" spans="20:21" x14ac:dyDescent="0.15">
      <c r="T622646" s="9">
        <v>6827905267633.6299</v>
      </c>
      <c r="U622646" s="9">
        <v>14478064934000</v>
      </c>
    </row>
    <row r="622647" spans="20:21" x14ac:dyDescent="0.15">
      <c r="T622647" s="9">
        <v>7554112468317.7305</v>
      </c>
      <c r="U622647" s="9">
        <v>15048964444000</v>
      </c>
    </row>
    <row r="622648" spans="20:21" x14ac:dyDescent="0.15">
      <c r="T622648" s="9">
        <v>8275593072769.2598</v>
      </c>
      <c r="U622648" s="9">
        <v>15599728123000</v>
      </c>
    </row>
    <row r="622649" spans="20:21" x14ac:dyDescent="0.15">
      <c r="T622649" s="9">
        <v>8926363901575.5605</v>
      </c>
      <c r="U622649" s="9">
        <v>16253972230000</v>
      </c>
    </row>
    <row r="622650" spans="20:21" x14ac:dyDescent="0.15">
      <c r="T622650" s="9">
        <v>9619598720424.4609</v>
      </c>
      <c r="U622650" s="9">
        <v>16843190993000</v>
      </c>
    </row>
    <row r="622651" spans="20:21" x14ac:dyDescent="0.15">
      <c r="T622651" s="9">
        <v>10333927386102.801</v>
      </c>
      <c r="U622651" s="9">
        <v>17550680174000</v>
      </c>
    </row>
    <row r="622652" spans="20:21" x14ac:dyDescent="0.15">
      <c r="T622652" s="9">
        <v>11061573199439.699</v>
      </c>
      <c r="U622652" s="9">
        <v>18206020741000</v>
      </c>
    </row>
    <row r="622653" spans="20:21" x14ac:dyDescent="0.15">
      <c r="T622653" s="9">
        <v>11819154044004.9</v>
      </c>
      <c r="U622653" s="9">
        <v>18695110842000</v>
      </c>
    </row>
    <row r="622654" spans="20:21" x14ac:dyDescent="0.15">
      <c r="T622654" s="9">
        <v>12640254407508.1</v>
      </c>
      <c r="U622654" s="9">
        <v>19477336549000</v>
      </c>
    </row>
    <row r="622655" spans="20:21" x14ac:dyDescent="0.15">
      <c r="T622655" s="9">
        <v>13493442991864.699</v>
      </c>
      <c r="U622655" s="9">
        <v>20533057312000</v>
      </c>
    </row>
    <row r="622656" spans="20:21" x14ac:dyDescent="0.15">
      <c r="T622656" s="9">
        <v>14296370418805.1</v>
      </c>
      <c r="U622656" s="9">
        <v>21380976119000</v>
      </c>
    </row>
    <row r="622657" spans="20:21" x14ac:dyDescent="0.15">
      <c r="T622657" s="9">
        <v>14616414450558.4</v>
      </c>
      <c r="U622657" s="9">
        <v>21060473613000</v>
      </c>
    </row>
    <row r="622658" spans="20:21" x14ac:dyDescent="0.15">
      <c r="T622658" s="9">
        <v>15851132888547.1</v>
      </c>
      <c r="U622658" s="9">
        <v>23315080560000</v>
      </c>
    </row>
    <row r="622659" spans="20:21" x14ac:dyDescent="0.15">
      <c r="T622659" s="9">
        <v>16325209299766.801</v>
      </c>
      <c r="U622659" s="9">
        <v>25462700000000</v>
      </c>
    </row>
    <row r="638977" spans="20:21" x14ac:dyDescent="0.15">
      <c r="T638977" s="9" t="s">
        <v>45</v>
      </c>
      <c r="U638977" s="9" t="s">
        <v>44</v>
      </c>
    </row>
    <row r="638978" spans="20:21" x14ac:dyDescent="0.15">
      <c r="T638978" s="9" t="s">
        <v>43</v>
      </c>
      <c r="U638978" s="9" t="s">
        <v>42</v>
      </c>
    </row>
    <row r="638979" spans="20:21" x14ac:dyDescent="0.15">
      <c r="T638979" s="9" t="s">
        <v>41</v>
      </c>
      <c r="U638979" s="9" t="s">
        <v>40</v>
      </c>
    </row>
    <row r="638980" spans="20:21" x14ac:dyDescent="0.15">
      <c r="T638980" s="9" t="s">
        <v>39</v>
      </c>
      <c r="U638980" s="9" t="s">
        <v>38</v>
      </c>
    </row>
    <row r="638981" spans="20:21" x14ac:dyDescent="0.15">
      <c r="T638981" s="9">
        <v>158907457242.42899</v>
      </c>
      <c r="U638981" s="9">
        <v>543300000000</v>
      </c>
    </row>
    <row r="638982" spans="20:21" x14ac:dyDescent="0.15">
      <c r="T638982" s="9">
        <v>115573393646.185</v>
      </c>
      <c r="U638982" s="9">
        <v>563300000000</v>
      </c>
    </row>
    <row r="638983" spans="20:21" x14ac:dyDescent="0.15">
      <c r="T638983" s="9">
        <v>109124398292.05099</v>
      </c>
      <c r="U638983" s="9">
        <v>605100000000</v>
      </c>
    </row>
    <row r="638984" spans="20:21" x14ac:dyDescent="0.15">
      <c r="T638984" s="9">
        <v>120364211312.289</v>
      </c>
      <c r="U638984" s="9">
        <v>638600000000</v>
      </c>
    </row>
    <row r="638985" spans="20:21" x14ac:dyDescent="0.15">
      <c r="T638985" s="9">
        <v>142246424921.30899</v>
      </c>
      <c r="U638985" s="9">
        <v>685800000000</v>
      </c>
    </row>
    <row r="638986" spans="20:21" x14ac:dyDescent="0.15">
      <c r="T638986" s="9">
        <v>166357193951.10501</v>
      </c>
      <c r="U638986" s="9">
        <v>743700000000</v>
      </c>
    </row>
    <row r="638987" spans="20:21" x14ac:dyDescent="0.15">
      <c r="T638987" s="9">
        <v>184074235104.24799</v>
      </c>
      <c r="U638987" s="9">
        <v>815000000000</v>
      </c>
    </row>
    <row r="638988" spans="20:21" x14ac:dyDescent="0.15">
      <c r="T638988" s="9">
        <v>173453151731.27701</v>
      </c>
      <c r="U638988" s="9">
        <v>861700000000</v>
      </c>
    </row>
    <row r="638989" spans="20:21" x14ac:dyDescent="0.15">
      <c r="T638989" s="9">
        <v>166341572533.69101</v>
      </c>
      <c r="U638989" s="9">
        <v>942500000000</v>
      </c>
    </row>
    <row r="638990" spans="20:21" x14ac:dyDescent="0.15">
      <c r="T638990" s="9">
        <v>194519834914.35999</v>
      </c>
      <c r="U638990" s="9">
        <v>1019900000000</v>
      </c>
    </row>
    <row r="638991" spans="20:21" x14ac:dyDescent="0.15">
      <c r="T638991" s="9">
        <v>232062163046.44</v>
      </c>
      <c r="U638991" s="9">
        <v>1073303000000</v>
      </c>
    </row>
    <row r="638992" spans="20:21" x14ac:dyDescent="0.15">
      <c r="T638992" s="9">
        <v>248445751754.134</v>
      </c>
      <c r="U638992" s="9">
        <v>1164850000000</v>
      </c>
    </row>
    <row r="638993" spans="20:21" x14ac:dyDescent="0.15">
      <c r="T638993" s="9">
        <v>257911534896.49799</v>
      </c>
      <c r="U638993" s="9">
        <v>1279110000000</v>
      </c>
    </row>
    <row r="638994" spans="20:21" x14ac:dyDescent="0.15">
      <c r="T638994" s="9">
        <v>277925470006.599</v>
      </c>
      <c r="U638994" s="9">
        <v>1425376000000</v>
      </c>
    </row>
    <row r="638995" spans="20:21" x14ac:dyDescent="0.15">
      <c r="T638995" s="9">
        <v>284345548371.966</v>
      </c>
      <c r="U638995" s="9">
        <v>1545243000000</v>
      </c>
    </row>
    <row r="638996" spans="20:21" x14ac:dyDescent="0.15">
      <c r="T638996" s="9">
        <v>309140480182.89801</v>
      </c>
      <c r="U638996" s="9">
        <v>1684904000000</v>
      </c>
    </row>
    <row r="638997" spans="20:21" x14ac:dyDescent="0.15">
      <c r="T638997" s="9">
        <v>304286974638.82202</v>
      </c>
      <c r="U638997" s="9">
        <v>1873412000000</v>
      </c>
    </row>
    <row r="638998" spans="20:21" x14ac:dyDescent="0.15">
      <c r="T638998" s="9">
        <v>327321498623.151</v>
      </c>
      <c r="U638998" s="9">
        <v>2081826000000</v>
      </c>
    </row>
    <row r="638999" spans="20:21" x14ac:dyDescent="0.15">
      <c r="T638999" s="9">
        <v>364393859506.91699</v>
      </c>
      <c r="U638999" s="9">
        <v>2351599000000</v>
      </c>
    </row>
    <row r="639000" spans="20:21" x14ac:dyDescent="0.15">
      <c r="T639000" s="9">
        <v>392056180496.07098</v>
      </c>
      <c r="U639000" s="9">
        <v>2627333000000</v>
      </c>
    </row>
    <row r="639001" spans="20:21" x14ac:dyDescent="0.15">
      <c r="T639001" s="9">
        <v>422770430220.08099</v>
      </c>
      <c r="U639001" s="9">
        <v>2857307000000</v>
      </c>
    </row>
    <row r="639002" spans="20:21" x14ac:dyDescent="0.15">
      <c r="T639002" s="9">
        <v>444385672278.89001</v>
      </c>
      <c r="U639002" s="9">
        <v>3207041000000</v>
      </c>
    </row>
    <row r="639003" spans="20:21" x14ac:dyDescent="0.15">
      <c r="T639003" s="9">
        <v>484456434564.98102</v>
      </c>
      <c r="U639003" s="9">
        <v>3343789000000</v>
      </c>
    </row>
    <row r="639004" spans="20:21" x14ac:dyDescent="0.15">
      <c r="T639004" s="9">
        <v>536633373623.745</v>
      </c>
      <c r="U639004" s="9">
        <v>3634038000000</v>
      </c>
    </row>
    <row r="639005" spans="20:21" x14ac:dyDescent="0.15">
      <c r="T639005" s="9">
        <v>618156247357.86304</v>
      </c>
      <c r="U639005" s="9">
        <v>4037613000000</v>
      </c>
    </row>
    <row r="639006" spans="20:21" x14ac:dyDescent="0.15">
      <c r="T639006" s="9">
        <v>701178819512.74402</v>
      </c>
      <c r="U639006" s="9">
        <v>4338979000000</v>
      </c>
    </row>
    <row r="639007" spans="20:21" x14ac:dyDescent="0.15">
      <c r="T639007" s="9">
        <v>763934055759.06604</v>
      </c>
      <c r="U639007" s="9">
        <v>4579631000000</v>
      </c>
    </row>
    <row r="639008" spans="20:21" x14ac:dyDescent="0.15">
      <c r="T639008" s="9">
        <v>852989116696.35205</v>
      </c>
      <c r="U639008" s="9">
        <v>4855215000000</v>
      </c>
    </row>
    <row r="639009" spans="20:21" x14ac:dyDescent="0.15">
      <c r="T639009" s="9">
        <v>948716630508.16699</v>
      </c>
      <c r="U639009" s="9">
        <v>5236438000000</v>
      </c>
    </row>
    <row r="639010" spans="20:21" x14ac:dyDescent="0.15">
      <c r="T639010" s="9">
        <v>988622824073.36694</v>
      </c>
      <c r="U639010" s="9">
        <v>5641580000000</v>
      </c>
    </row>
    <row r="639011" spans="20:21" x14ac:dyDescent="0.15">
      <c r="T639011" s="9">
        <v>1027379323856.15</v>
      </c>
      <c r="U639011" s="9">
        <v>5963144000000</v>
      </c>
    </row>
    <row r="639012" spans="20:21" x14ac:dyDescent="0.15">
      <c r="T639012" s="9">
        <v>1122543272896.8301</v>
      </c>
      <c r="U639012" s="9">
        <v>6158129000000</v>
      </c>
    </row>
    <row r="639013" spans="20:21" x14ac:dyDescent="0.15">
      <c r="T639013" s="9">
        <v>1282219772946.3201</v>
      </c>
      <c r="U639013" s="9">
        <v>6520327000000</v>
      </c>
    </row>
    <row r="639014" spans="20:21" x14ac:dyDescent="0.15">
      <c r="T639014" s="9">
        <v>1460239695280.22</v>
      </c>
      <c r="U639014" s="9">
        <v>6858559000000</v>
      </c>
    </row>
    <row r="639015" spans="20:21" x14ac:dyDescent="0.15">
      <c r="T639015" s="9">
        <v>1650608320717.1299</v>
      </c>
      <c r="U639015" s="9">
        <v>7287236000000</v>
      </c>
    </row>
    <row r="639016" spans="20:21" x14ac:dyDescent="0.15">
      <c r="T639016" s="9">
        <v>1831415202548.1001</v>
      </c>
      <c r="U639016" s="9">
        <v>7639749000000</v>
      </c>
    </row>
    <row r="639017" spans="20:21" x14ac:dyDescent="0.15">
      <c r="T639017" s="9">
        <v>2013138415391.3999</v>
      </c>
      <c r="U639017" s="9">
        <v>8073122000000</v>
      </c>
    </row>
    <row r="639018" spans="20:21" x14ac:dyDescent="0.15">
      <c r="T639018" s="9">
        <v>2199087579734.8799</v>
      </c>
      <c r="U639018" s="9">
        <v>8577554457000</v>
      </c>
    </row>
    <row r="639019" spans="20:21" x14ac:dyDescent="0.15">
      <c r="T639019" s="9">
        <v>2371626931008.4102</v>
      </c>
      <c r="U639019" s="9">
        <v>9062818202000</v>
      </c>
    </row>
    <row r="639020" spans="20:21" x14ac:dyDescent="0.15">
      <c r="T639020" s="9">
        <v>2553332721355.1499</v>
      </c>
      <c r="U639020" s="9">
        <v>9631174489000</v>
      </c>
    </row>
    <row r="639021" spans="20:21" x14ac:dyDescent="0.15">
      <c r="T639021" s="9">
        <v>2770113054357.8301</v>
      </c>
      <c r="U639021" s="9">
        <v>10250947997000</v>
      </c>
    </row>
    <row r="639022" spans="20:21" x14ac:dyDescent="0.15">
      <c r="T639022" s="9">
        <v>3001022295612.3501</v>
      </c>
      <c r="U639022" s="9">
        <v>10581929774000</v>
      </c>
    </row>
    <row r="639023" spans="20:21" x14ac:dyDescent="0.15">
      <c r="T639023" s="9">
        <v>3275124592017.1602</v>
      </c>
      <c r="U639023" s="9">
        <v>10929112955000</v>
      </c>
    </row>
    <row r="639024" spans="20:21" x14ac:dyDescent="0.15">
      <c r="T639024" s="9">
        <v>3603882596858.1099</v>
      </c>
      <c r="U639024" s="9">
        <v>11456442041000</v>
      </c>
    </row>
    <row r="639025" spans="20:21" x14ac:dyDescent="0.15">
      <c r="T639025" s="9">
        <v>3968365637613.6299</v>
      </c>
      <c r="U639025" s="9">
        <v>12217193198000</v>
      </c>
    </row>
    <row r="639026" spans="20:21" x14ac:dyDescent="0.15">
      <c r="T639026" s="9">
        <v>4420544703537.2402</v>
      </c>
      <c r="U639026" s="9">
        <v>13039199193000</v>
      </c>
    </row>
    <row r="639027" spans="20:21" x14ac:dyDescent="0.15">
      <c r="T639027" s="9">
        <v>4982880235433.3896</v>
      </c>
      <c r="U639027" s="9">
        <v>13815586948000</v>
      </c>
    </row>
    <row r="639028" spans="20:21" x14ac:dyDescent="0.15">
      <c r="T639028" s="9">
        <v>5691986992199.8604</v>
      </c>
      <c r="U639028" s="9">
        <v>14474226905000</v>
      </c>
    </row>
    <row r="639029" spans="20:21" x14ac:dyDescent="0.15">
      <c r="T639029" s="9">
        <v>6241302380960.0195</v>
      </c>
      <c r="U639029" s="9">
        <v>14769857911000</v>
      </c>
    </row>
    <row r="639030" spans="20:21" x14ac:dyDescent="0.15">
      <c r="T639030" s="9">
        <v>6827905267633.6299</v>
      </c>
      <c r="U639030" s="9">
        <v>14478064934000</v>
      </c>
    </row>
    <row r="639031" spans="20:21" x14ac:dyDescent="0.15">
      <c r="T639031" s="9">
        <v>7554112468317.7305</v>
      </c>
      <c r="U639031" s="9">
        <v>15048964444000</v>
      </c>
    </row>
    <row r="639032" spans="20:21" x14ac:dyDescent="0.15">
      <c r="T639032" s="9">
        <v>8275593072769.2598</v>
      </c>
      <c r="U639032" s="9">
        <v>15599728123000</v>
      </c>
    </row>
    <row r="639033" spans="20:21" x14ac:dyDescent="0.15">
      <c r="T639033" s="9">
        <v>8926363901575.5605</v>
      </c>
      <c r="U639033" s="9">
        <v>16253972230000</v>
      </c>
    </row>
    <row r="639034" spans="20:21" x14ac:dyDescent="0.15">
      <c r="T639034" s="9">
        <v>9619598720424.4609</v>
      </c>
      <c r="U639034" s="9">
        <v>16843190993000</v>
      </c>
    </row>
    <row r="639035" spans="20:21" x14ac:dyDescent="0.15">
      <c r="T639035" s="9">
        <v>10333927386102.801</v>
      </c>
      <c r="U639035" s="9">
        <v>17550680174000</v>
      </c>
    </row>
    <row r="639036" spans="20:21" x14ac:dyDescent="0.15">
      <c r="T639036" s="9">
        <v>11061573199439.699</v>
      </c>
      <c r="U639036" s="9">
        <v>18206020741000</v>
      </c>
    </row>
    <row r="639037" spans="20:21" x14ac:dyDescent="0.15">
      <c r="T639037" s="9">
        <v>11819154044004.9</v>
      </c>
      <c r="U639037" s="9">
        <v>18695110842000</v>
      </c>
    </row>
    <row r="639038" spans="20:21" x14ac:dyDescent="0.15">
      <c r="T639038" s="9">
        <v>12640254407508.1</v>
      </c>
      <c r="U639038" s="9">
        <v>19477336549000</v>
      </c>
    </row>
    <row r="639039" spans="20:21" x14ac:dyDescent="0.15">
      <c r="T639039" s="9">
        <v>13493442991864.699</v>
      </c>
      <c r="U639039" s="9">
        <v>20533057312000</v>
      </c>
    </row>
    <row r="639040" spans="20:21" x14ac:dyDescent="0.15">
      <c r="T639040" s="9">
        <v>14296370418805.1</v>
      </c>
      <c r="U639040" s="9">
        <v>21380976119000</v>
      </c>
    </row>
    <row r="639041" spans="20:21" x14ac:dyDescent="0.15">
      <c r="T639041" s="9">
        <v>14616414450558.4</v>
      </c>
      <c r="U639041" s="9">
        <v>21060473613000</v>
      </c>
    </row>
    <row r="639042" spans="20:21" x14ac:dyDescent="0.15">
      <c r="T639042" s="9">
        <v>15851132888547.1</v>
      </c>
      <c r="U639042" s="9">
        <v>23315080560000</v>
      </c>
    </row>
    <row r="639043" spans="20:21" x14ac:dyDescent="0.15">
      <c r="T639043" s="9">
        <v>16325209299766.801</v>
      </c>
      <c r="U639043" s="9">
        <v>25462700000000</v>
      </c>
    </row>
    <row r="655361" spans="20:21" x14ac:dyDescent="0.15">
      <c r="T655361" s="9" t="s">
        <v>45</v>
      </c>
      <c r="U655361" s="9" t="s">
        <v>44</v>
      </c>
    </row>
    <row r="655362" spans="20:21" x14ac:dyDescent="0.15">
      <c r="T655362" s="9" t="s">
        <v>43</v>
      </c>
      <c r="U655362" s="9" t="s">
        <v>42</v>
      </c>
    </row>
    <row r="655363" spans="20:21" x14ac:dyDescent="0.15">
      <c r="T655363" s="9" t="s">
        <v>41</v>
      </c>
      <c r="U655363" s="9" t="s">
        <v>40</v>
      </c>
    </row>
    <row r="655364" spans="20:21" x14ac:dyDescent="0.15">
      <c r="T655364" s="9" t="s">
        <v>39</v>
      </c>
      <c r="U655364" s="9" t="s">
        <v>38</v>
      </c>
    </row>
    <row r="655365" spans="20:21" x14ac:dyDescent="0.15">
      <c r="T655365" s="9">
        <v>158907457242.42899</v>
      </c>
      <c r="U655365" s="9">
        <v>543300000000</v>
      </c>
    </row>
    <row r="655366" spans="20:21" x14ac:dyDescent="0.15">
      <c r="T655366" s="9">
        <v>115573393646.185</v>
      </c>
      <c r="U655366" s="9">
        <v>563300000000</v>
      </c>
    </row>
    <row r="655367" spans="20:21" x14ac:dyDescent="0.15">
      <c r="T655367" s="9">
        <v>109124398292.05099</v>
      </c>
      <c r="U655367" s="9">
        <v>605100000000</v>
      </c>
    </row>
    <row r="655368" spans="20:21" x14ac:dyDescent="0.15">
      <c r="T655368" s="9">
        <v>120364211312.289</v>
      </c>
      <c r="U655368" s="9">
        <v>638600000000</v>
      </c>
    </row>
    <row r="655369" spans="20:21" x14ac:dyDescent="0.15">
      <c r="T655369" s="9">
        <v>142246424921.30899</v>
      </c>
      <c r="U655369" s="9">
        <v>685800000000</v>
      </c>
    </row>
    <row r="655370" spans="20:21" x14ac:dyDescent="0.15">
      <c r="T655370" s="9">
        <v>166357193951.10501</v>
      </c>
      <c r="U655370" s="9">
        <v>743700000000</v>
      </c>
    </row>
    <row r="655371" spans="20:21" x14ac:dyDescent="0.15">
      <c r="T655371" s="9">
        <v>184074235104.24799</v>
      </c>
      <c r="U655371" s="9">
        <v>815000000000</v>
      </c>
    </row>
    <row r="655372" spans="20:21" x14ac:dyDescent="0.15">
      <c r="T655372" s="9">
        <v>173453151731.27701</v>
      </c>
      <c r="U655372" s="9">
        <v>861700000000</v>
      </c>
    </row>
    <row r="655373" spans="20:21" x14ac:dyDescent="0.15">
      <c r="T655373" s="9">
        <v>166341572533.69101</v>
      </c>
      <c r="U655373" s="9">
        <v>942500000000</v>
      </c>
    </row>
    <row r="655374" spans="20:21" x14ac:dyDescent="0.15">
      <c r="T655374" s="9">
        <v>194519834914.35999</v>
      </c>
      <c r="U655374" s="9">
        <v>1019900000000</v>
      </c>
    </row>
    <row r="655375" spans="20:21" x14ac:dyDescent="0.15">
      <c r="T655375" s="9">
        <v>232062163046.44</v>
      </c>
      <c r="U655375" s="9">
        <v>1073303000000</v>
      </c>
    </row>
    <row r="655376" spans="20:21" x14ac:dyDescent="0.15">
      <c r="T655376" s="9">
        <v>248445751754.134</v>
      </c>
      <c r="U655376" s="9">
        <v>1164850000000</v>
      </c>
    </row>
    <row r="655377" spans="20:21" x14ac:dyDescent="0.15">
      <c r="T655377" s="9">
        <v>257911534896.49799</v>
      </c>
      <c r="U655377" s="9">
        <v>1279110000000</v>
      </c>
    </row>
    <row r="655378" spans="20:21" x14ac:dyDescent="0.15">
      <c r="T655378" s="9">
        <v>277925470006.599</v>
      </c>
      <c r="U655378" s="9">
        <v>1425376000000</v>
      </c>
    </row>
    <row r="655379" spans="20:21" x14ac:dyDescent="0.15">
      <c r="T655379" s="9">
        <v>284345548371.966</v>
      </c>
      <c r="U655379" s="9">
        <v>1545243000000</v>
      </c>
    </row>
    <row r="655380" spans="20:21" x14ac:dyDescent="0.15">
      <c r="T655380" s="9">
        <v>309140480182.89801</v>
      </c>
      <c r="U655380" s="9">
        <v>1684904000000</v>
      </c>
    </row>
    <row r="655381" spans="20:21" x14ac:dyDescent="0.15">
      <c r="T655381" s="9">
        <v>304286974638.82202</v>
      </c>
      <c r="U655381" s="9">
        <v>1873412000000</v>
      </c>
    </row>
    <row r="655382" spans="20:21" x14ac:dyDescent="0.15">
      <c r="T655382" s="9">
        <v>327321498623.151</v>
      </c>
      <c r="U655382" s="9">
        <v>2081826000000</v>
      </c>
    </row>
    <row r="655383" spans="20:21" x14ac:dyDescent="0.15">
      <c r="T655383" s="9">
        <v>364393859506.91699</v>
      </c>
      <c r="U655383" s="9">
        <v>2351599000000</v>
      </c>
    </row>
    <row r="655384" spans="20:21" x14ac:dyDescent="0.15">
      <c r="T655384" s="9">
        <v>392056180496.07098</v>
      </c>
      <c r="U655384" s="9">
        <v>2627333000000</v>
      </c>
    </row>
    <row r="655385" spans="20:21" x14ac:dyDescent="0.15">
      <c r="T655385" s="9">
        <v>422770430220.08099</v>
      </c>
      <c r="U655385" s="9">
        <v>2857307000000</v>
      </c>
    </row>
    <row r="655386" spans="20:21" x14ac:dyDescent="0.15">
      <c r="T655386" s="9">
        <v>444385672278.89001</v>
      </c>
      <c r="U655386" s="9">
        <v>3207041000000</v>
      </c>
    </row>
    <row r="655387" spans="20:21" x14ac:dyDescent="0.15">
      <c r="T655387" s="9">
        <v>484456434564.98102</v>
      </c>
      <c r="U655387" s="9">
        <v>3343789000000</v>
      </c>
    </row>
    <row r="655388" spans="20:21" x14ac:dyDescent="0.15">
      <c r="T655388" s="9">
        <v>536633373623.745</v>
      </c>
      <c r="U655388" s="9">
        <v>3634038000000</v>
      </c>
    </row>
    <row r="655389" spans="20:21" x14ac:dyDescent="0.15">
      <c r="T655389" s="9">
        <v>618156247357.86304</v>
      </c>
      <c r="U655389" s="9">
        <v>4037613000000</v>
      </c>
    </row>
    <row r="655390" spans="20:21" x14ac:dyDescent="0.15">
      <c r="T655390" s="9">
        <v>701178819512.74402</v>
      </c>
      <c r="U655390" s="9">
        <v>4338979000000</v>
      </c>
    </row>
    <row r="655391" spans="20:21" x14ac:dyDescent="0.15">
      <c r="T655391" s="9">
        <v>763934055759.06604</v>
      </c>
      <c r="U655391" s="9">
        <v>4579631000000</v>
      </c>
    </row>
    <row r="655392" spans="20:21" x14ac:dyDescent="0.15">
      <c r="T655392" s="9">
        <v>852989116696.35205</v>
      </c>
      <c r="U655392" s="9">
        <v>4855215000000</v>
      </c>
    </row>
    <row r="655393" spans="20:21" x14ac:dyDescent="0.15">
      <c r="T655393" s="9">
        <v>948716630508.16699</v>
      </c>
      <c r="U655393" s="9">
        <v>5236438000000</v>
      </c>
    </row>
    <row r="655394" spans="20:21" x14ac:dyDescent="0.15">
      <c r="T655394" s="9">
        <v>988622824073.36694</v>
      </c>
      <c r="U655394" s="9">
        <v>5641580000000</v>
      </c>
    </row>
    <row r="655395" spans="20:21" x14ac:dyDescent="0.15">
      <c r="T655395" s="9">
        <v>1027379323856.15</v>
      </c>
      <c r="U655395" s="9">
        <v>5963144000000</v>
      </c>
    </row>
    <row r="655396" spans="20:21" x14ac:dyDescent="0.15">
      <c r="T655396" s="9">
        <v>1122543272896.8301</v>
      </c>
      <c r="U655396" s="9">
        <v>6158129000000</v>
      </c>
    </row>
    <row r="655397" spans="20:21" x14ac:dyDescent="0.15">
      <c r="T655397" s="9">
        <v>1282219772946.3201</v>
      </c>
      <c r="U655397" s="9">
        <v>6520327000000</v>
      </c>
    </row>
    <row r="655398" spans="20:21" x14ac:dyDescent="0.15">
      <c r="T655398" s="9">
        <v>1460239695280.22</v>
      </c>
      <c r="U655398" s="9">
        <v>6858559000000</v>
      </c>
    </row>
    <row r="655399" spans="20:21" x14ac:dyDescent="0.15">
      <c r="T655399" s="9">
        <v>1650608320717.1299</v>
      </c>
      <c r="U655399" s="9">
        <v>7287236000000</v>
      </c>
    </row>
    <row r="655400" spans="20:21" x14ac:dyDescent="0.15">
      <c r="T655400" s="9">
        <v>1831415202548.1001</v>
      </c>
      <c r="U655400" s="9">
        <v>7639749000000</v>
      </c>
    </row>
    <row r="655401" spans="20:21" x14ac:dyDescent="0.15">
      <c r="T655401" s="9">
        <v>2013138415391.3999</v>
      </c>
      <c r="U655401" s="9">
        <v>8073122000000</v>
      </c>
    </row>
    <row r="655402" spans="20:21" x14ac:dyDescent="0.15">
      <c r="T655402" s="9">
        <v>2199087579734.8799</v>
      </c>
      <c r="U655402" s="9">
        <v>8577554457000</v>
      </c>
    </row>
    <row r="655403" spans="20:21" x14ac:dyDescent="0.15">
      <c r="T655403" s="9">
        <v>2371626931008.4102</v>
      </c>
      <c r="U655403" s="9">
        <v>9062818202000</v>
      </c>
    </row>
    <row r="655404" spans="20:21" x14ac:dyDescent="0.15">
      <c r="T655404" s="9">
        <v>2553332721355.1499</v>
      </c>
      <c r="U655404" s="9">
        <v>9631174489000</v>
      </c>
    </row>
    <row r="655405" spans="20:21" x14ac:dyDescent="0.15">
      <c r="T655405" s="9">
        <v>2770113054357.8301</v>
      </c>
      <c r="U655405" s="9">
        <v>10250947997000</v>
      </c>
    </row>
    <row r="655406" spans="20:21" x14ac:dyDescent="0.15">
      <c r="T655406" s="9">
        <v>3001022295612.3501</v>
      </c>
      <c r="U655406" s="9">
        <v>10581929774000</v>
      </c>
    </row>
    <row r="655407" spans="20:21" x14ac:dyDescent="0.15">
      <c r="T655407" s="9">
        <v>3275124592017.1602</v>
      </c>
      <c r="U655407" s="9">
        <v>10929112955000</v>
      </c>
    </row>
    <row r="655408" spans="20:21" x14ac:dyDescent="0.15">
      <c r="T655408" s="9">
        <v>3603882596858.1099</v>
      </c>
      <c r="U655408" s="9">
        <v>11456442041000</v>
      </c>
    </row>
    <row r="655409" spans="20:21" x14ac:dyDescent="0.15">
      <c r="T655409" s="9">
        <v>3968365637613.6299</v>
      </c>
      <c r="U655409" s="9">
        <v>12217193198000</v>
      </c>
    </row>
    <row r="655410" spans="20:21" x14ac:dyDescent="0.15">
      <c r="T655410" s="9">
        <v>4420544703537.2402</v>
      </c>
      <c r="U655410" s="9">
        <v>13039199193000</v>
      </c>
    </row>
    <row r="655411" spans="20:21" x14ac:dyDescent="0.15">
      <c r="T655411" s="9">
        <v>4982880235433.3896</v>
      </c>
      <c r="U655411" s="9">
        <v>13815586948000</v>
      </c>
    </row>
    <row r="655412" spans="20:21" x14ac:dyDescent="0.15">
      <c r="T655412" s="9">
        <v>5691986992199.8604</v>
      </c>
      <c r="U655412" s="9">
        <v>14474226905000</v>
      </c>
    </row>
    <row r="655413" spans="20:21" x14ac:dyDescent="0.15">
      <c r="T655413" s="9">
        <v>6241302380960.0195</v>
      </c>
      <c r="U655413" s="9">
        <v>14769857911000</v>
      </c>
    </row>
    <row r="655414" spans="20:21" x14ac:dyDescent="0.15">
      <c r="T655414" s="9">
        <v>6827905267633.6299</v>
      </c>
      <c r="U655414" s="9">
        <v>14478064934000</v>
      </c>
    </row>
    <row r="655415" spans="20:21" x14ac:dyDescent="0.15">
      <c r="T655415" s="9">
        <v>7554112468317.7305</v>
      </c>
      <c r="U655415" s="9">
        <v>15048964444000</v>
      </c>
    </row>
    <row r="655416" spans="20:21" x14ac:dyDescent="0.15">
      <c r="T655416" s="9">
        <v>8275593072769.2598</v>
      </c>
      <c r="U655416" s="9">
        <v>15599728123000</v>
      </c>
    </row>
    <row r="655417" spans="20:21" x14ac:dyDescent="0.15">
      <c r="T655417" s="9">
        <v>8926363901575.5605</v>
      </c>
      <c r="U655417" s="9">
        <v>16253972230000</v>
      </c>
    </row>
    <row r="655418" spans="20:21" x14ac:dyDescent="0.15">
      <c r="T655418" s="9">
        <v>9619598720424.4609</v>
      </c>
      <c r="U655418" s="9">
        <v>16843190993000</v>
      </c>
    </row>
    <row r="655419" spans="20:21" x14ac:dyDescent="0.15">
      <c r="T655419" s="9">
        <v>10333927386102.801</v>
      </c>
      <c r="U655419" s="9">
        <v>17550680174000</v>
      </c>
    </row>
    <row r="655420" spans="20:21" x14ac:dyDescent="0.15">
      <c r="T655420" s="9">
        <v>11061573199439.699</v>
      </c>
      <c r="U655420" s="9">
        <v>18206020741000</v>
      </c>
    </row>
    <row r="655421" spans="20:21" x14ac:dyDescent="0.15">
      <c r="T655421" s="9">
        <v>11819154044004.9</v>
      </c>
      <c r="U655421" s="9">
        <v>18695110842000</v>
      </c>
    </row>
    <row r="655422" spans="20:21" x14ac:dyDescent="0.15">
      <c r="T655422" s="9">
        <v>12640254407508.1</v>
      </c>
      <c r="U655422" s="9">
        <v>19477336549000</v>
      </c>
    </row>
    <row r="655423" spans="20:21" x14ac:dyDescent="0.15">
      <c r="T655423" s="9">
        <v>13493442991864.699</v>
      </c>
      <c r="U655423" s="9">
        <v>20533057312000</v>
      </c>
    </row>
    <row r="655424" spans="20:21" x14ac:dyDescent="0.15">
      <c r="T655424" s="9">
        <v>14296370418805.1</v>
      </c>
      <c r="U655424" s="9">
        <v>21380976119000</v>
      </c>
    </row>
    <row r="655425" spans="20:21" x14ac:dyDescent="0.15">
      <c r="T655425" s="9">
        <v>14616414450558.4</v>
      </c>
      <c r="U655425" s="9">
        <v>21060473613000</v>
      </c>
    </row>
    <row r="655426" spans="20:21" x14ac:dyDescent="0.15">
      <c r="T655426" s="9">
        <v>15851132888547.1</v>
      </c>
      <c r="U655426" s="9">
        <v>23315080560000</v>
      </c>
    </row>
    <row r="655427" spans="20:21" x14ac:dyDescent="0.15">
      <c r="T655427" s="9">
        <v>16325209299766.801</v>
      </c>
      <c r="U655427" s="9">
        <v>25462700000000</v>
      </c>
    </row>
    <row r="671745" spans="20:21" x14ac:dyDescent="0.15">
      <c r="T671745" s="9" t="s">
        <v>45</v>
      </c>
      <c r="U671745" s="9" t="s">
        <v>44</v>
      </c>
    </row>
    <row r="671746" spans="20:21" x14ac:dyDescent="0.15">
      <c r="T671746" s="9" t="s">
        <v>43</v>
      </c>
      <c r="U671746" s="9" t="s">
        <v>42</v>
      </c>
    </row>
    <row r="671747" spans="20:21" x14ac:dyDescent="0.15">
      <c r="T671747" s="9" t="s">
        <v>41</v>
      </c>
      <c r="U671747" s="9" t="s">
        <v>40</v>
      </c>
    </row>
    <row r="671748" spans="20:21" x14ac:dyDescent="0.15">
      <c r="T671748" s="9" t="s">
        <v>39</v>
      </c>
      <c r="U671748" s="9" t="s">
        <v>38</v>
      </c>
    </row>
    <row r="671749" spans="20:21" x14ac:dyDescent="0.15">
      <c r="T671749" s="9">
        <v>158907457242.42899</v>
      </c>
      <c r="U671749" s="9">
        <v>543300000000</v>
      </c>
    </row>
    <row r="671750" spans="20:21" x14ac:dyDescent="0.15">
      <c r="T671750" s="9">
        <v>115573393646.185</v>
      </c>
      <c r="U671750" s="9">
        <v>563300000000</v>
      </c>
    </row>
    <row r="671751" spans="20:21" x14ac:dyDescent="0.15">
      <c r="T671751" s="9">
        <v>109124398292.05099</v>
      </c>
      <c r="U671751" s="9">
        <v>605100000000</v>
      </c>
    </row>
    <row r="671752" spans="20:21" x14ac:dyDescent="0.15">
      <c r="T671752" s="9">
        <v>120364211312.289</v>
      </c>
      <c r="U671752" s="9">
        <v>638600000000</v>
      </c>
    </row>
    <row r="671753" spans="20:21" x14ac:dyDescent="0.15">
      <c r="T671753" s="9">
        <v>142246424921.30899</v>
      </c>
      <c r="U671753" s="9">
        <v>685800000000</v>
      </c>
    </row>
    <row r="671754" spans="20:21" x14ac:dyDescent="0.15">
      <c r="T671754" s="9">
        <v>166357193951.10501</v>
      </c>
      <c r="U671754" s="9">
        <v>743700000000</v>
      </c>
    </row>
    <row r="671755" spans="20:21" x14ac:dyDescent="0.15">
      <c r="T671755" s="9">
        <v>184074235104.24799</v>
      </c>
      <c r="U671755" s="9">
        <v>815000000000</v>
      </c>
    </row>
    <row r="671756" spans="20:21" x14ac:dyDescent="0.15">
      <c r="T671756" s="9">
        <v>173453151731.27701</v>
      </c>
      <c r="U671756" s="9">
        <v>861700000000</v>
      </c>
    </row>
    <row r="671757" spans="20:21" x14ac:dyDescent="0.15">
      <c r="T671757" s="9">
        <v>166341572533.69101</v>
      </c>
      <c r="U671757" s="9">
        <v>942500000000</v>
      </c>
    </row>
    <row r="671758" spans="20:21" x14ac:dyDescent="0.15">
      <c r="T671758" s="9">
        <v>194519834914.35999</v>
      </c>
      <c r="U671758" s="9">
        <v>1019900000000</v>
      </c>
    </row>
    <row r="671759" spans="20:21" x14ac:dyDescent="0.15">
      <c r="T671759" s="9">
        <v>232062163046.44</v>
      </c>
      <c r="U671759" s="9">
        <v>1073303000000</v>
      </c>
    </row>
    <row r="671760" spans="20:21" x14ac:dyDescent="0.15">
      <c r="T671760" s="9">
        <v>248445751754.134</v>
      </c>
      <c r="U671760" s="9">
        <v>1164850000000</v>
      </c>
    </row>
    <row r="671761" spans="20:21" x14ac:dyDescent="0.15">
      <c r="T671761" s="9">
        <v>257911534896.49799</v>
      </c>
      <c r="U671761" s="9">
        <v>1279110000000</v>
      </c>
    </row>
    <row r="671762" spans="20:21" x14ac:dyDescent="0.15">
      <c r="T671762" s="9">
        <v>277925470006.599</v>
      </c>
      <c r="U671762" s="9">
        <v>1425376000000</v>
      </c>
    </row>
    <row r="671763" spans="20:21" x14ac:dyDescent="0.15">
      <c r="T671763" s="9">
        <v>284345548371.966</v>
      </c>
      <c r="U671763" s="9">
        <v>1545243000000</v>
      </c>
    </row>
    <row r="671764" spans="20:21" x14ac:dyDescent="0.15">
      <c r="T671764" s="9">
        <v>309140480182.89801</v>
      </c>
      <c r="U671764" s="9">
        <v>1684904000000</v>
      </c>
    </row>
    <row r="671765" spans="20:21" x14ac:dyDescent="0.15">
      <c r="T671765" s="9">
        <v>304286974638.82202</v>
      </c>
      <c r="U671765" s="9">
        <v>1873412000000</v>
      </c>
    </row>
    <row r="671766" spans="20:21" x14ac:dyDescent="0.15">
      <c r="T671766" s="9">
        <v>327321498623.151</v>
      </c>
      <c r="U671766" s="9">
        <v>2081826000000</v>
      </c>
    </row>
    <row r="671767" spans="20:21" x14ac:dyDescent="0.15">
      <c r="T671767" s="9">
        <v>364393859506.91699</v>
      </c>
      <c r="U671767" s="9">
        <v>2351599000000</v>
      </c>
    </row>
    <row r="671768" spans="20:21" x14ac:dyDescent="0.15">
      <c r="T671768" s="9">
        <v>392056180496.07098</v>
      </c>
      <c r="U671768" s="9">
        <v>2627333000000</v>
      </c>
    </row>
    <row r="671769" spans="20:21" x14ac:dyDescent="0.15">
      <c r="T671769" s="9">
        <v>422770430220.08099</v>
      </c>
      <c r="U671769" s="9">
        <v>2857307000000</v>
      </c>
    </row>
    <row r="671770" spans="20:21" x14ac:dyDescent="0.15">
      <c r="T671770" s="9">
        <v>444385672278.89001</v>
      </c>
      <c r="U671770" s="9">
        <v>3207041000000</v>
      </c>
    </row>
    <row r="671771" spans="20:21" x14ac:dyDescent="0.15">
      <c r="T671771" s="9">
        <v>484456434564.98102</v>
      </c>
      <c r="U671771" s="9">
        <v>3343789000000</v>
      </c>
    </row>
    <row r="671772" spans="20:21" x14ac:dyDescent="0.15">
      <c r="T671772" s="9">
        <v>536633373623.745</v>
      </c>
      <c r="U671772" s="9">
        <v>3634038000000</v>
      </c>
    </row>
    <row r="671773" spans="20:21" x14ac:dyDescent="0.15">
      <c r="T671773" s="9">
        <v>618156247357.86304</v>
      </c>
      <c r="U671773" s="9">
        <v>4037613000000</v>
      </c>
    </row>
    <row r="671774" spans="20:21" x14ac:dyDescent="0.15">
      <c r="T671774" s="9">
        <v>701178819512.74402</v>
      </c>
      <c r="U671774" s="9">
        <v>4338979000000</v>
      </c>
    </row>
    <row r="671775" spans="20:21" x14ac:dyDescent="0.15">
      <c r="T671775" s="9">
        <v>763934055759.06604</v>
      </c>
      <c r="U671775" s="9">
        <v>4579631000000</v>
      </c>
    </row>
    <row r="671776" spans="20:21" x14ac:dyDescent="0.15">
      <c r="T671776" s="9">
        <v>852989116696.35205</v>
      </c>
      <c r="U671776" s="9">
        <v>4855215000000</v>
      </c>
    </row>
    <row r="671777" spans="20:21" x14ac:dyDescent="0.15">
      <c r="T671777" s="9">
        <v>948716630508.16699</v>
      </c>
      <c r="U671777" s="9">
        <v>5236438000000</v>
      </c>
    </row>
    <row r="671778" spans="20:21" x14ac:dyDescent="0.15">
      <c r="T671778" s="9">
        <v>988622824073.36694</v>
      </c>
      <c r="U671778" s="9">
        <v>5641580000000</v>
      </c>
    </row>
    <row r="671779" spans="20:21" x14ac:dyDescent="0.15">
      <c r="T671779" s="9">
        <v>1027379323856.15</v>
      </c>
      <c r="U671779" s="9">
        <v>5963144000000</v>
      </c>
    </row>
    <row r="671780" spans="20:21" x14ac:dyDescent="0.15">
      <c r="T671780" s="9">
        <v>1122543272896.8301</v>
      </c>
      <c r="U671780" s="9">
        <v>6158129000000</v>
      </c>
    </row>
    <row r="671781" spans="20:21" x14ac:dyDescent="0.15">
      <c r="T671781" s="9">
        <v>1282219772946.3201</v>
      </c>
      <c r="U671781" s="9">
        <v>6520327000000</v>
      </c>
    </row>
    <row r="671782" spans="20:21" x14ac:dyDescent="0.15">
      <c r="T671782" s="9">
        <v>1460239695280.22</v>
      </c>
      <c r="U671782" s="9">
        <v>6858559000000</v>
      </c>
    </row>
    <row r="671783" spans="20:21" x14ac:dyDescent="0.15">
      <c r="T671783" s="9">
        <v>1650608320717.1299</v>
      </c>
      <c r="U671783" s="9">
        <v>7287236000000</v>
      </c>
    </row>
    <row r="671784" spans="20:21" x14ac:dyDescent="0.15">
      <c r="T671784" s="9">
        <v>1831415202548.1001</v>
      </c>
      <c r="U671784" s="9">
        <v>7639749000000</v>
      </c>
    </row>
    <row r="671785" spans="20:21" x14ac:dyDescent="0.15">
      <c r="T671785" s="9">
        <v>2013138415391.3999</v>
      </c>
      <c r="U671785" s="9">
        <v>8073122000000</v>
      </c>
    </row>
    <row r="671786" spans="20:21" x14ac:dyDescent="0.15">
      <c r="T671786" s="9">
        <v>2199087579734.8799</v>
      </c>
      <c r="U671786" s="9">
        <v>8577554457000</v>
      </c>
    </row>
    <row r="671787" spans="20:21" x14ac:dyDescent="0.15">
      <c r="T671787" s="9">
        <v>2371626931008.4102</v>
      </c>
      <c r="U671787" s="9">
        <v>9062818202000</v>
      </c>
    </row>
    <row r="671788" spans="20:21" x14ac:dyDescent="0.15">
      <c r="T671788" s="9">
        <v>2553332721355.1499</v>
      </c>
      <c r="U671788" s="9">
        <v>9631174489000</v>
      </c>
    </row>
    <row r="671789" spans="20:21" x14ac:dyDescent="0.15">
      <c r="T671789" s="9">
        <v>2770113054357.8301</v>
      </c>
      <c r="U671789" s="9">
        <v>10250947997000</v>
      </c>
    </row>
    <row r="671790" spans="20:21" x14ac:dyDescent="0.15">
      <c r="T671790" s="9">
        <v>3001022295612.3501</v>
      </c>
      <c r="U671790" s="9">
        <v>10581929774000</v>
      </c>
    </row>
    <row r="671791" spans="20:21" x14ac:dyDescent="0.15">
      <c r="T671791" s="9">
        <v>3275124592017.1602</v>
      </c>
      <c r="U671791" s="9">
        <v>10929112955000</v>
      </c>
    </row>
    <row r="671792" spans="20:21" x14ac:dyDescent="0.15">
      <c r="T671792" s="9">
        <v>3603882596858.1099</v>
      </c>
      <c r="U671792" s="9">
        <v>11456442041000</v>
      </c>
    </row>
    <row r="671793" spans="20:21" x14ac:dyDescent="0.15">
      <c r="T671793" s="9">
        <v>3968365637613.6299</v>
      </c>
      <c r="U671793" s="9">
        <v>12217193198000</v>
      </c>
    </row>
    <row r="671794" spans="20:21" x14ac:dyDescent="0.15">
      <c r="T671794" s="9">
        <v>4420544703537.2402</v>
      </c>
      <c r="U671794" s="9">
        <v>13039199193000</v>
      </c>
    </row>
    <row r="671795" spans="20:21" x14ac:dyDescent="0.15">
      <c r="T671795" s="9">
        <v>4982880235433.3896</v>
      </c>
      <c r="U671795" s="9">
        <v>13815586948000</v>
      </c>
    </row>
    <row r="671796" spans="20:21" x14ac:dyDescent="0.15">
      <c r="T671796" s="9">
        <v>5691986992199.8604</v>
      </c>
      <c r="U671796" s="9">
        <v>14474226905000</v>
      </c>
    </row>
    <row r="671797" spans="20:21" x14ac:dyDescent="0.15">
      <c r="T671797" s="9">
        <v>6241302380960.0195</v>
      </c>
      <c r="U671797" s="9">
        <v>14769857911000</v>
      </c>
    </row>
    <row r="671798" spans="20:21" x14ac:dyDescent="0.15">
      <c r="T671798" s="9">
        <v>6827905267633.6299</v>
      </c>
      <c r="U671798" s="9">
        <v>14478064934000</v>
      </c>
    </row>
    <row r="671799" spans="20:21" x14ac:dyDescent="0.15">
      <c r="T671799" s="9">
        <v>7554112468317.7305</v>
      </c>
      <c r="U671799" s="9">
        <v>15048964444000</v>
      </c>
    </row>
    <row r="671800" spans="20:21" x14ac:dyDescent="0.15">
      <c r="T671800" s="9">
        <v>8275593072769.2598</v>
      </c>
      <c r="U671800" s="9">
        <v>15599728123000</v>
      </c>
    </row>
    <row r="671801" spans="20:21" x14ac:dyDescent="0.15">
      <c r="T671801" s="9">
        <v>8926363901575.5605</v>
      </c>
      <c r="U671801" s="9">
        <v>16253972230000</v>
      </c>
    </row>
    <row r="671802" spans="20:21" x14ac:dyDescent="0.15">
      <c r="T671802" s="9">
        <v>9619598720424.4609</v>
      </c>
      <c r="U671802" s="9">
        <v>16843190993000</v>
      </c>
    </row>
    <row r="671803" spans="20:21" x14ac:dyDescent="0.15">
      <c r="T671803" s="9">
        <v>10333927386102.801</v>
      </c>
      <c r="U671803" s="9">
        <v>17550680174000</v>
      </c>
    </row>
    <row r="671804" spans="20:21" x14ac:dyDescent="0.15">
      <c r="T671804" s="9">
        <v>11061573199439.699</v>
      </c>
      <c r="U671804" s="9">
        <v>18206020741000</v>
      </c>
    </row>
    <row r="671805" spans="20:21" x14ac:dyDescent="0.15">
      <c r="T671805" s="9">
        <v>11819154044004.9</v>
      </c>
      <c r="U671805" s="9">
        <v>18695110842000</v>
      </c>
    </row>
    <row r="671806" spans="20:21" x14ac:dyDescent="0.15">
      <c r="T671806" s="9">
        <v>12640254407508.1</v>
      </c>
      <c r="U671806" s="9">
        <v>19477336549000</v>
      </c>
    </row>
    <row r="671807" spans="20:21" x14ac:dyDescent="0.15">
      <c r="T671807" s="9">
        <v>13493442991864.699</v>
      </c>
      <c r="U671807" s="9">
        <v>20533057312000</v>
      </c>
    </row>
    <row r="671808" spans="20:21" x14ac:dyDescent="0.15">
      <c r="T671808" s="9">
        <v>14296370418805.1</v>
      </c>
      <c r="U671808" s="9">
        <v>21380976119000</v>
      </c>
    </row>
    <row r="671809" spans="20:21" x14ac:dyDescent="0.15">
      <c r="T671809" s="9">
        <v>14616414450558.4</v>
      </c>
      <c r="U671809" s="9">
        <v>21060473613000</v>
      </c>
    </row>
    <row r="671810" spans="20:21" x14ac:dyDescent="0.15">
      <c r="T671810" s="9">
        <v>15851132888547.1</v>
      </c>
      <c r="U671810" s="9">
        <v>23315080560000</v>
      </c>
    </row>
    <row r="671811" spans="20:21" x14ac:dyDescent="0.15">
      <c r="T671811" s="9">
        <v>16325209299766.801</v>
      </c>
      <c r="U671811" s="9">
        <v>25462700000000</v>
      </c>
    </row>
    <row r="688129" spans="20:21" x14ac:dyDescent="0.15">
      <c r="T688129" s="9" t="s">
        <v>45</v>
      </c>
      <c r="U688129" s="9" t="s">
        <v>44</v>
      </c>
    </row>
    <row r="688130" spans="20:21" x14ac:dyDescent="0.15">
      <c r="T688130" s="9" t="s">
        <v>43</v>
      </c>
      <c r="U688130" s="9" t="s">
        <v>42</v>
      </c>
    </row>
    <row r="688131" spans="20:21" x14ac:dyDescent="0.15">
      <c r="T688131" s="9" t="s">
        <v>41</v>
      </c>
      <c r="U688131" s="9" t="s">
        <v>40</v>
      </c>
    </row>
    <row r="688132" spans="20:21" x14ac:dyDescent="0.15">
      <c r="T688132" s="9" t="s">
        <v>39</v>
      </c>
      <c r="U688132" s="9" t="s">
        <v>38</v>
      </c>
    </row>
    <row r="688133" spans="20:21" x14ac:dyDescent="0.15">
      <c r="T688133" s="9">
        <v>158907457242.42899</v>
      </c>
      <c r="U688133" s="9">
        <v>543300000000</v>
      </c>
    </row>
    <row r="688134" spans="20:21" x14ac:dyDescent="0.15">
      <c r="T688134" s="9">
        <v>115573393646.185</v>
      </c>
      <c r="U688134" s="9">
        <v>563300000000</v>
      </c>
    </row>
    <row r="688135" spans="20:21" x14ac:dyDescent="0.15">
      <c r="T688135" s="9">
        <v>109124398292.05099</v>
      </c>
      <c r="U688135" s="9">
        <v>605100000000</v>
      </c>
    </row>
    <row r="688136" spans="20:21" x14ac:dyDescent="0.15">
      <c r="T688136" s="9">
        <v>120364211312.289</v>
      </c>
      <c r="U688136" s="9">
        <v>638600000000</v>
      </c>
    </row>
    <row r="688137" spans="20:21" x14ac:dyDescent="0.15">
      <c r="T688137" s="9">
        <v>142246424921.30899</v>
      </c>
      <c r="U688137" s="9">
        <v>685800000000</v>
      </c>
    </row>
    <row r="688138" spans="20:21" x14ac:dyDescent="0.15">
      <c r="T688138" s="9">
        <v>166357193951.10501</v>
      </c>
      <c r="U688138" s="9">
        <v>743700000000</v>
      </c>
    </row>
    <row r="688139" spans="20:21" x14ac:dyDescent="0.15">
      <c r="T688139" s="9">
        <v>184074235104.24799</v>
      </c>
      <c r="U688139" s="9">
        <v>815000000000</v>
      </c>
    </row>
    <row r="688140" spans="20:21" x14ac:dyDescent="0.15">
      <c r="T688140" s="9">
        <v>173453151731.27701</v>
      </c>
      <c r="U688140" s="9">
        <v>861700000000</v>
      </c>
    </row>
    <row r="688141" spans="20:21" x14ac:dyDescent="0.15">
      <c r="T688141" s="9">
        <v>166341572533.69101</v>
      </c>
      <c r="U688141" s="9">
        <v>942500000000</v>
      </c>
    </row>
    <row r="688142" spans="20:21" x14ac:dyDescent="0.15">
      <c r="T688142" s="9">
        <v>194519834914.35999</v>
      </c>
      <c r="U688142" s="9">
        <v>1019900000000</v>
      </c>
    </row>
    <row r="688143" spans="20:21" x14ac:dyDescent="0.15">
      <c r="T688143" s="9">
        <v>232062163046.44</v>
      </c>
      <c r="U688143" s="9">
        <v>1073303000000</v>
      </c>
    </row>
    <row r="688144" spans="20:21" x14ac:dyDescent="0.15">
      <c r="T688144" s="9">
        <v>248445751754.134</v>
      </c>
      <c r="U688144" s="9">
        <v>1164850000000</v>
      </c>
    </row>
    <row r="688145" spans="20:21" x14ac:dyDescent="0.15">
      <c r="T688145" s="9">
        <v>257911534896.49799</v>
      </c>
      <c r="U688145" s="9">
        <v>1279110000000</v>
      </c>
    </row>
    <row r="688146" spans="20:21" x14ac:dyDescent="0.15">
      <c r="T688146" s="9">
        <v>277925470006.599</v>
      </c>
      <c r="U688146" s="9">
        <v>1425376000000</v>
      </c>
    </row>
    <row r="688147" spans="20:21" x14ac:dyDescent="0.15">
      <c r="T688147" s="9">
        <v>284345548371.966</v>
      </c>
      <c r="U688147" s="9">
        <v>1545243000000</v>
      </c>
    </row>
    <row r="688148" spans="20:21" x14ac:dyDescent="0.15">
      <c r="T688148" s="9">
        <v>309140480182.89801</v>
      </c>
      <c r="U688148" s="9">
        <v>1684904000000</v>
      </c>
    </row>
    <row r="688149" spans="20:21" x14ac:dyDescent="0.15">
      <c r="T688149" s="9">
        <v>304286974638.82202</v>
      </c>
      <c r="U688149" s="9">
        <v>1873412000000</v>
      </c>
    </row>
    <row r="688150" spans="20:21" x14ac:dyDescent="0.15">
      <c r="T688150" s="9">
        <v>327321498623.151</v>
      </c>
      <c r="U688150" s="9">
        <v>2081826000000</v>
      </c>
    </row>
    <row r="688151" spans="20:21" x14ac:dyDescent="0.15">
      <c r="T688151" s="9">
        <v>364393859506.91699</v>
      </c>
      <c r="U688151" s="9">
        <v>2351599000000</v>
      </c>
    </row>
    <row r="688152" spans="20:21" x14ac:dyDescent="0.15">
      <c r="T688152" s="9">
        <v>392056180496.07098</v>
      </c>
      <c r="U688152" s="9">
        <v>2627333000000</v>
      </c>
    </row>
    <row r="688153" spans="20:21" x14ac:dyDescent="0.15">
      <c r="T688153" s="9">
        <v>422770430220.08099</v>
      </c>
      <c r="U688153" s="9">
        <v>2857307000000</v>
      </c>
    </row>
    <row r="688154" spans="20:21" x14ac:dyDescent="0.15">
      <c r="T688154" s="9">
        <v>444385672278.89001</v>
      </c>
      <c r="U688154" s="9">
        <v>3207041000000</v>
      </c>
    </row>
    <row r="688155" spans="20:21" x14ac:dyDescent="0.15">
      <c r="T688155" s="9">
        <v>484456434564.98102</v>
      </c>
      <c r="U688155" s="9">
        <v>3343789000000</v>
      </c>
    </row>
    <row r="688156" spans="20:21" x14ac:dyDescent="0.15">
      <c r="T688156" s="9">
        <v>536633373623.745</v>
      </c>
      <c r="U688156" s="9">
        <v>3634038000000</v>
      </c>
    </row>
    <row r="688157" spans="20:21" x14ac:dyDescent="0.15">
      <c r="T688157" s="9">
        <v>618156247357.86304</v>
      </c>
      <c r="U688157" s="9">
        <v>4037613000000</v>
      </c>
    </row>
    <row r="688158" spans="20:21" x14ac:dyDescent="0.15">
      <c r="T688158" s="9">
        <v>701178819512.74402</v>
      </c>
      <c r="U688158" s="9">
        <v>4338979000000</v>
      </c>
    </row>
    <row r="688159" spans="20:21" x14ac:dyDescent="0.15">
      <c r="T688159" s="9">
        <v>763934055759.06604</v>
      </c>
      <c r="U688159" s="9">
        <v>4579631000000</v>
      </c>
    </row>
    <row r="688160" spans="20:21" x14ac:dyDescent="0.15">
      <c r="T688160" s="9">
        <v>852989116696.35205</v>
      </c>
      <c r="U688160" s="9">
        <v>4855215000000</v>
      </c>
    </row>
    <row r="688161" spans="20:21" x14ac:dyDescent="0.15">
      <c r="T688161" s="9">
        <v>948716630508.16699</v>
      </c>
      <c r="U688161" s="9">
        <v>5236438000000</v>
      </c>
    </row>
    <row r="688162" spans="20:21" x14ac:dyDescent="0.15">
      <c r="T688162" s="9">
        <v>988622824073.36694</v>
      </c>
      <c r="U688162" s="9">
        <v>5641580000000</v>
      </c>
    </row>
    <row r="688163" spans="20:21" x14ac:dyDescent="0.15">
      <c r="T688163" s="9">
        <v>1027379323856.15</v>
      </c>
      <c r="U688163" s="9">
        <v>5963144000000</v>
      </c>
    </row>
    <row r="688164" spans="20:21" x14ac:dyDescent="0.15">
      <c r="T688164" s="9">
        <v>1122543272896.8301</v>
      </c>
      <c r="U688164" s="9">
        <v>6158129000000</v>
      </c>
    </row>
    <row r="688165" spans="20:21" x14ac:dyDescent="0.15">
      <c r="T688165" s="9">
        <v>1282219772946.3201</v>
      </c>
      <c r="U688165" s="9">
        <v>6520327000000</v>
      </c>
    </row>
    <row r="688166" spans="20:21" x14ac:dyDescent="0.15">
      <c r="T688166" s="9">
        <v>1460239695280.22</v>
      </c>
      <c r="U688166" s="9">
        <v>6858559000000</v>
      </c>
    </row>
    <row r="688167" spans="20:21" x14ac:dyDescent="0.15">
      <c r="T688167" s="9">
        <v>1650608320717.1299</v>
      </c>
      <c r="U688167" s="9">
        <v>7287236000000</v>
      </c>
    </row>
    <row r="688168" spans="20:21" x14ac:dyDescent="0.15">
      <c r="T688168" s="9">
        <v>1831415202548.1001</v>
      </c>
      <c r="U688168" s="9">
        <v>7639749000000</v>
      </c>
    </row>
    <row r="688169" spans="20:21" x14ac:dyDescent="0.15">
      <c r="T688169" s="9">
        <v>2013138415391.3999</v>
      </c>
      <c r="U688169" s="9">
        <v>8073122000000</v>
      </c>
    </row>
    <row r="688170" spans="20:21" x14ac:dyDescent="0.15">
      <c r="T688170" s="9">
        <v>2199087579734.8799</v>
      </c>
      <c r="U688170" s="9">
        <v>8577554457000</v>
      </c>
    </row>
    <row r="688171" spans="20:21" x14ac:dyDescent="0.15">
      <c r="T688171" s="9">
        <v>2371626931008.4102</v>
      </c>
      <c r="U688171" s="9">
        <v>9062818202000</v>
      </c>
    </row>
    <row r="688172" spans="20:21" x14ac:dyDescent="0.15">
      <c r="T688172" s="9">
        <v>2553332721355.1499</v>
      </c>
      <c r="U688172" s="9">
        <v>9631174489000</v>
      </c>
    </row>
    <row r="688173" spans="20:21" x14ac:dyDescent="0.15">
      <c r="T688173" s="9">
        <v>2770113054357.8301</v>
      </c>
      <c r="U688173" s="9">
        <v>10250947997000</v>
      </c>
    </row>
    <row r="688174" spans="20:21" x14ac:dyDescent="0.15">
      <c r="T688174" s="9">
        <v>3001022295612.3501</v>
      </c>
      <c r="U688174" s="9">
        <v>10581929774000</v>
      </c>
    </row>
    <row r="688175" spans="20:21" x14ac:dyDescent="0.15">
      <c r="T688175" s="9">
        <v>3275124592017.1602</v>
      </c>
      <c r="U688175" s="9">
        <v>10929112955000</v>
      </c>
    </row>
    <row r="688176" spans="20:21" x14ac:dyDescent="0.15">
      <c r="T688176" s="9">
        <v>3603882596858.1099</v>
      </c>
      <c r="U688176" s="9">
        <v>11456442041000</v>
      </c>
    </row>
    <row r="688177" spans="20:21" x14ac:dyDescent="0.15">
      <c r="T688177" s="9">
        <v>3968365637613.6299</v>
      </c>
      <c r="U688177" s="9">
        <v>12217193198000</v>
      </c>
    </row>
    <row r="688178" spans="20:21" x14ac:dyDescent="0.15">
      <c r="T688178" s="9">
        <v>4420544703537.2402</v>
      </c>
      <c r="U688178" s="9">
        <v>13039199193000</v>
      </c>
    </row>
    <row r="688179" spans="20:21" x14ac:dyDescent="0.15">
      <c r="T688179" s="9">
        <v>4982880235433.3896</v>
      </c>
      <c r="U688179" s="9">
        <v>13815586948000</v>
      </c>
    </row>
    <row r="688180" spans="20:21" x14ac:dyDescent="0.15">
      <c r="T688180" s="9">
        <v>5691986992199.8604</v>
      </c>
      <c r="U688180" s="9">
        <v>14474226905000</v>
      </c>
    </row>
    <row r="688181" spans="20:21" x14ac:dyDescent="0.15">
      <c r="T688181" s="9">
        <v>6241302380960.0195</v>
      </c>
      <c r="U688181" s="9">
        <v>14769857911000</v>
      </c>
    </row>
    <row r="688182" spans="20:21" x14ac:dyDescent="0.15">
      <c r="T688182" s="9">
        <v>6827905267633.6299</v>
      </c>
      <c r="U688182" s="9">
        <v>14478064934000</v>
      </c>
    </row>
    <row r="688183" spans="20:21" x14ac:dyDescent="0.15">
      <c r="T688183" s="9">
        <v>7554112468317.7305</v>
      </c>
      <c r="U688183" s="9">
        <v>15048964444000</v>
      </c>
    </row>
    <row r="688184" spans="20:21" x14ac:dyDescent="0.15">
      <c r="T688184" s="9">
        <v>8275593072769.2598</v>
      </c>
      <c r="U688184" s="9">
        <v>15599728123000</v>
      </c>
    </row>
    <row r="688185" spans="20:21" x14ac:dyDescent="0.15">
      <c r="T688185" s="9">
        <v>8926363901575.5605</v>
      </c>
      <c r="U688185" s="9">
        <v>16253972230000</v>
      </c>
    </row>
    <row r="688186" spans="20:21" x14ac:dyDescent="0.15">
      <c r="T688186" s="9">
        <v>9619598720424.4609</v>
      </c>
      <c r="U688186" s="9">
        <v>16843190993000</v>
      </c>
    </row>
    <row r="688187" spans="20:21" x14ac:dyDescent="0.15">
      <c r="T688187" s="9">
        <v>10333927386102.801</v>
      </c>
      <c r="U688187" s="9">
        <v>17550680174000</v>
      </c>
    </row>
    <row r="688188" spans="20:21" x14ac:dyDescent="0.15">
      <c r="T688188" s="9">
        <v>11061573199439.699</v>
      </c>
      <c r="U688188" s="9">
        <v>18206020741000</v>
      </c>
    </row>
    <row r="688189" spans="20:21" x14ac:dyDescent="0.15">
      <c r="T688189" s="9">
        <v>11819154044004.9</v>
      </c>
      <c r="U688189" s="9">
        <v>18695110842000</v>
      </c>
    </row>
    <row r="688190" spans="20:21" x14ac:dyDescent="0.15">
      <c r="T688190" s="9">
        <v>12640254407508.1</v>
      </c>
      <c r="U688190" s="9">
        <v>19477336549000</v>
      </c>
    </row>
    <row r="688191" spans="20:21" x14ac:dyDescent="0.15">
      <c r="T688191" s="9">
        <v>13493442991864.699</v>
      </c>
      <c r="U688191" s="9">
        <v>20533057312000</v>
      </c>
    </row>
    <row r="688192" spans="20:21" x14ac:dyDescent="0.15">
      <c r="T688192" s="9">
        <v>14296370418805.1</v>
      </c>
      <c r="U688192" s="9">
        <v>21380976119000</v>
      </c>
    </row>
    <row r="688193" spans="20:21" x14ac:dyDescent="0.15">
      <c r="T688193" s="9">
        <v>14616414450558.4</v>
      </c>
      <c r="U688193" s="9">
        <v>21060473613000</v>
      </c>
    </row>
    <row r="688194" spans="20:21" x14ac:dyDescent="0.15">
      <c r="T688194" s="9">
        <v>15851132888547.1</v>
      </c>
      <c r="U688194" s="9">
        <v>23315080560000</v>
      </c>
    </row>
    <row r="688195" spans="20:21" x14ac:dyDescent="0.15">
      <c r="T688195" s="9">
        <v>16325209299766.801</v>
      </c>
      <c r="U688195" s="9">
        <v>25462700000000</v>
      </c>
    </row>
    <row r="704513" spans="20:21" x14ac:dyDescent="0.15">
      <c r="T704513" s="9" t="s">
        <v>45</v>
      </c>
      <c r="U704513" s="9" t="s">
        <v>44</v>
      </c>
    </row>
    <row r="704514" spans="20:21" x14ac:dyDescent="0.15">
      <c r="T704514" s="9" t="s">
        <v>43</v>
      </c>
      <c r="U704514" s="9" t="s">
        <v>42</v>
      </c>
    </row>
    <row r="704515" spans="20:21" x14ac:dyDescent="0.15">
      <c r="T704515" s="9" t="s">
        <v>41</v>
      </c>
      <c r="U704515" s="9" t="s">
        <v>40</v>
      </c>
    </row>
    <row r="704516" spans="20:21" x14ac:dyDescent="0.15">
      <c r="T704516" s="9" t="s">
        <v>39</v>
      </c>
      <c r="U704516" s="9" t="s">
        <v>38</v>
      </c>
    </row>
    <row r="704517" spans="20:21" x14ac:dyDescent="0.15">
      <c r="T704517" s="9">
        <v>158907457242.42899</v>
      </c>
      <c r="U704517" s="9">
        <v>543300000000</v>
      </c>
    </row>
    <row r="704518" spans="20:21" x14ac:dyDescent="0.15">
      <c r="T704518" s="9">
        <v>115573393646.185</v>
      </c>
      <c r="U704518" s="9">
        <v>563300000000</v>
      </c>
    </row>
    <row r="704519" spans="20:21" x14ac:dyDescent="0.15">
      <c r="T704519" s="9">
        <v>109124398292.05099</v>
      </c>
      <c r="U704519" s="9">
        <v>605100000000</v>
      </c>
    </row>
    <row r="704520" spans="20:21" x14ac:dyDescent="0.15">
      <c r="T704520" s="9">
        <v>120364211312.289</v>
      </c>
      <c r="U704520" s="9">
        <v>638600000000</v>
      </c>
    </row>
    <row r="704521" spans="20:21" x14ac:dyDescent="0.15">
      <c r="T704521" s="9">
        <v>142246424921.30899</v>
      </c>
      <c r="U704521" s="9">
        <v>685800000000</v>
      </c>
    </row>
    <row r="704522" spans="20:21" x14ac:dyDescent="0.15">
      <c r="T704522" s="9">
        <v>166357193951.10501</v>
      </c>
      <c r="U704522" s="9">
        <v>743700000000</v>
      </c>
    </row>
    <row r="704523" spans="20:21" x14ac:dyDescent="0.15">
      <c r="T704523" s="9">
        <v>184074235104.24799</v>
      </c>
      <c r="U704523" s="9">
        <v>815000000000</v>
      </c>
    </row>
    <row r="704524" spans="20:21" x14ac:dyDescent="0.15">
      <c r="T704524" s="9">
        <v>173453151731.27701</v>
      </c>
      <c r="U704524" s="9">
        <v>861700000000</v>
      </c>
    </row>
    <row r="704525" spans="20:21" x14ac:dyDescent="0.15">
      <c r="T704525" s="9">
        <v>166341572533.69101</v>
      </c>
      <c r="U704525" s="9">
        <v>942500000000</v>
      </c>
    </row>
    <row r="704526" spans="20:21" x14ac:dyDescent="0.15">
      <c r="T704526" s="9">
        <v>194519834914.35999</v>
      </c>
      <c r="U704526" s="9">
        <v>1019900000000</v>
      </c>
    </row>
    <row r="704527" spans="20:21" x14ac:dyDescent="0.15">
      <c r="T704527" s="9">
        <v>232062163046.44</v>
      </c>
      <c r="U704527" s="9">
        <v>1073303000000</v>
      </c>
    </row>
    <row r="704528" spans="20:21" x14ac:dyDescent="0.15">
      <c r="T704528" s="9">
        <v>248445751754.134</v>
      </c>
      <c r="U704528" s="9">
        <v>1164850000000</v>
      </c>
    </row>
    <row r="704529" spans="20:21" x14ac:dyDescent="0.15">
      <c r="T704529" s="9">
        <v>257911534896.49799</v>
      </c>
      <c r="U704529" s="9">
        <v>1279110000000</v>
      </c>
    </row>
    <row r="704530" spans="20:21" x14ac:dyDescent="0.15">
      <c r="T704530" s="9">
        <v>277925470006.599</v>
      </c>
      <c r="U704530" s="9">
        <v>1425376000000</v>
      </c>
    </row>
    <row r="704531" spans="20:21" x14ac:dyDescent="0.15">
      <c r="T704531" s="9">
        <v>284345548371.966</v>
      </c>
      <c r="U704531" s="9">
        <v>1545243000000</v>
      </c>
    </row>
    <row r="704532" spans="20:21" x14ac:dyDescent="0.15">
      <c r="T704532" s="9">
        <v>309140480182.89801</v>
      </c>
      <c r="U704532" s="9">
        <v>1684904000000</v>
      </c>
    </row>
    <row r="704533" spans="20:21" x14ac:dyDescent="0.15">
      <c r="T704533" s="9">
        <v>304286974638.82202</v>
      </c>
      <c r="U704533" s="9">
        <v>1873412000000</v>
      </c>
    </row>
    <row r="704534" spans="20:21" x14ac:dyDescent="0.15">
      <c r="T704534" s="9">
        <v>327321498623.151</v>
      </c>
      <c r="U704534" s="9">
        <v>2081826000000</v>
      </c>
    </row>
    <row r="704535" spans="20:21" x14ac:dyDescent="0.15">
      <c r="T704535" s="9">
        <v>364393859506.91699</v>
      </c>
      <c r="U704535" s="9">
        <v>2351599000000</v>
      </c>
    </row>
    <row r="704536" spans="20:21" x14ac:dyDescent="0.15">
      <c r="T704536" s="9">
        <v>392056180496.07098</v>
      </c>
      <c r="U704536" s="9">
        <v>2627333000000</v>
      </c>
    </row>
    <row r="704537" spans="20:21" x14ac:dyDescent="0.15">
      <c r="T704537" s="9">
        <v>422770430220.08099</v>
      </c>
      <c r="U704537" s="9">
        <v>2857307000000</v>
      </c>
    </row>
    <row r="704538" spans="20:21" x14ac:dyDescent="0.15">
      <c r="T704538" s="9">
        <v>444385672278.89001</v>
      </c>
      <c r="U704538" s="9">
        <v>3207041000000</v>
      </c>
    </row>
    <row r="704539" spans="20:21" x14ac:dyDescent="0.15">
      <c r="T704539" s="9">
        <v>484456434564.98102</v>
      </c>
      <c r="U704539" s="9">
        <v>3343789000000</v>
      </c>
    </row>
    <row r="704540" spans="20:21" x14ac:dyDescent="0.15">
      <c r="T704540" s="9">
        <v>536633373623.745</v>
      </c>
      <c r="U704540" s="9">
        <v>3634038000000</v>
      </c>
    </row>
    <row r="704541" spans="20:21" x14ac:dyDescent="0.15">
      <c r="T704541" s="9">
        <v>618156247357.86304</v>
      </c>
      <c r="U704541" s="9">
        <v>4037613000000</v>
      </c>
    </row>
    <row r="704542" spans="20:21" x14ac:dyDescent="0.15">
      <c r="T704542" s="9">
        <v>701178819512.74402</v>
      </c>
      <c r="U704542" s="9">
        <v>4338979000000</v>
      </c>
    </row>
    <row r="704543" spans="20:21" x14ac:dyDescent="0.15">
      <c r="T704543" s="9">
        <v>763934055759.06604</v>
      </c>
      <c r="U704543" s="9">
        <v>4579631000000</v>
      </c>
    </row>
    <row r="704544" spans="20:21" x14ac:dyDescent="0.15">
      <c r="T704544" s="9">
        <v>852989116696.35205</v>
      </c>
      <c r="U704544" s="9">
        <v>4855215000000</v>
      </c>
    </row>
    <row r="704545" spans="20:21" x14ac:dyDescent="0.15">
      <c r="T704545" s="9">
        <v>948716630508.16699</v>
      </c>
      <c r="U704545" s="9">
        <v>5236438000000</v>
      </c>
    </row>
    <row r="704546" spans="20:21" x14ac:dyDescent="0.15">
      <c r="T704546" s="9">
        <v>988622824073.36694</v>
      </c>
      <c r="U704546" s="9">
        <v>5641580000000</v>
      </c>
    </row>
    <row r="704547" spans="20:21" x14ac:dyDescent="0.15">
      <c r="T704547" s="9">
        <v>1027379323856.15</v>
      </c>
      <c r="U704547" s="9">
        <v>5963144000000</v>
      </c>
    </row>
    <row r="704548" spans="20:21" x14ac:dyDescent="0.15">
      <c r="T704548" s="9">
        <v>1122543272896.8301</v>
      </c>
      <c r="U704548" s="9">
        <v>6158129000000</v>
      </c>
    </row>
    <row r="704549" spans="20:21" x14ac:dyDescent="0.15">
      <c r="T704549" s="9">
        <v>1282219772946.3201</v>
      </c>
      <c r="U704549" s="9">
        <v>6520327000000</v>
      </c>
    </row>
    <row r="704550" spans="20:21" x14ac:dyDescent="0.15">
      <c r="T704550" s="9">
        <v>1460239695280.22</v>
      </c>
      <c r="U704550" s="9">
        <v>6858559000000</v>
      </c>
    </row>
    <row r="704551" spans="20:21" x14ac:dyDescent="0.15">
      <c r="T704551" s="9">
        <v>1650608320717.1299</v>
      </c>
      <c r="U704551" s="9">
        <v>7287236000000</v>
      </c>
    </row>
    <row r="704552" spans="20:21" x14ac:dyDescent="0.15">
      <c r="T704552" s="9">
        <v>1831415202548.1001</v>
      </c>
      <c r="U704552" s="9">
        <v>7639749000000</v>
      </c>
    </row>
    <row r="704553" spans="20:21" x14ac:dyDescent="0.15">
      <c r="T704553" s="9">
        <v>2013138415391.3999</v>
      </c>
      <c r="U704553" s="9">
        <v>8073122000000</v>
      </c>
    </row>
    <row r="704554" spans="20:21" x14ac:dyDescent="0.15">
      <c r="T704554" s="9">
        <v>2199087579734.8799</v>
      </c>
      <c r="U704554" s="9">
        <v>8577554457000</v>
      </c>
    </row>
    <row r="704555" spans="20:21" x14ac:dyDescent="0.15">
      <c r="T704555" s="9">
        <v>2371626931008.4102</v>
      </c>
      <c r="U704555" s="9">
        <v>9062818202000</v>
      </c>
    </row>
    <row r="704556" spans="20:21" x14ac:dyDescent="0.15">
      <c r="T704556" s="9">
        <v>2553332721355.1499</v>
      </c>
      <c r="U704556" s="9">
        <v>9631174489000</v>
      </c>
    </row>
    <row r="704557" spans="20:21" x14ac:dyDescent="0.15">
      <c r="T704557" s="9">
        <v>2770113054357.8301</v>
      </c>
      <c r="U704557" s="9">
        <v>10250947997000</v>
      </c>
    </row>
    <row r="704558" spans="20:21" x14ac:dyDescent="0.15">
      <c r="T704558" s="9">
        <v>3001022295612.3501</v>
      </c>
      <c r="U704558" s="9">
        <v>10581929774000</v>
      </c>
    </row>
    <row r="704559" spans="20:21" x14ac:dyDescent="0.15">
      <c r="T704559" s="9">
        <v>3275124592017.1602</v>
      </c>
      <c r="U704559" s="9">
        <v>10929112955000</v>
      </c>
    </row>
    <row r="704560" spans="20:21" x14ac:dyDescent="0.15">
      <c r="T704560" s="9">
        <v>3603882596858.1099</v>
      </c>
      <c r="U704560" s="9">
        <v>11456442041000</v>
      </c>
    </row>
    <row r="704561" spans="20:21" x14ac:dyDescent="0.15">
      <c r="T704561" s="9">
        <v>3968365637613.6299</v>
      </c>
      <c r="U704561" s="9">
        <v>12217193198000</v>
      </c>
    </row>
    <row r="704562" spans="20:21" x14ac:dyDescent="0.15">
      <c r="T704562" s="9">
        <v>4420544703537.2402</v>
      </c>
      <c r="U704562" s="9">
        <v>13039199193000</v>
      </c>
    </row>
    <row r="704563" spans="20:21" x14ac:dyDescent="0.15">
      <c r="T704563" s="9">
        <v>4982880235433.3896</v>
      </c>
      <c r="U704563" s="9">
        <v>13815586948000</v>
      </c>
    </row>
    <row r="704564" spans="20:21" x14ac:dyDescent="0.15">
      <c r="T704564" s="9">
        <v>5691986992199.8604</v>
      </c>
      <c r="U704564" s="9">
        <v>14474226905000</v>
      </c>
    </row>
    <row r="704565" spans="20:21" x14ac:dyDescent="0.15">
      <c r="T704565" s="9">
        <v>6241302380960.0195</v>
      </c>
      <c r="U704565" s="9">
        <v>14769857911000</v>
      </c>
    </row>
    <row r="704566" spans="20:21" x14ac:dyDescent="0.15">
      <c r="T704566" s="9">
        <v>6827905267633.6299</v>
      </c>
      <c r="U704566" s="9">
        <v>14478064934000</v>
      </c>
    </row>
    <row r="704567" spans="20:21" x14ac:dyDescent="0.15">
      <c r="T704567" s="9">
        <v>7554112468317.7305</v>
      </c>
      <c r="U704567" s="9">
        <v>15048964444000</v>
      </c>
    </row>
    <row r="704568" spans="20:21" x14ac:dyDescent="0.15">
      <c r="T704568" s="9">
        <v>8275593072769.2598</v>
      </c>
      <c r="U704568" s="9">
        <v>15599728123000</v>
      </c>
    </row>
    <row r="704569" spans="20:21" x14ac:dyDescent="0.15">
      <c r="T704569" s="9">
        <v>8926363901575.5605</v>
      </c>
      <c r="U704569" s="9">
        <v>16253972230000</v>
      </c>
    </row>
    <row r="704570" spans="20:21" x14ac:dyDescent="0.15">
      <c r="T704570" s="9">
        <v>9619598720424.4609</v>
      </c>
      <c r="U704570" s="9">
        <v>16843190993000</v>
      </c>
    </row>
    <row r="704571" spans="20:21" x14ac:dyDescent="0.15">
      <c r="T704571" s="9">
        <v>10333927386102.801</v>
      </c>
      <c r="U704571" s="9">
        <v>17550680174000</v>
      </c>
    </row>
    <row r="704572" spans="20:21" x14ac:dyDescent="0.15">
      <c r="T704572" s="9">
        <v>11061573199439.699</v>
      </c>
      <c r="U704572" s="9">
        <v>18206020741000</v>
      </c>
    </row>
    <row r="704573" spans="20:21" x14ac:dyDescent="0.15">
      <c r="T704573" s="9">
        <v>11819154044004.9</v>
      </c>
      <c r="U704573" s="9">
        <v>18695110842000</v>
      </c>
    </row>
    <row r="704574" spans="20:21" x14ac:dyDescent="0.15">
      <c r="T704574" s="9">
        <v>12640254407508.1</v>
      </c>
      <c r="U704574" s="9">
        <v>19477336549000</v>
      </c>
    </row>
    <row r="704575" spans="20:21" x14ac:dyDescent="0.15">
      <c r="T704575" s="9">
        <v>13493442991864.699</v>
      </c>
      <c r="U704575" s="9">
        <v>20533057312000</v>
      </c>
    </row>
    <row r="704576" spans="20:21" x14ac:dyDescent="0.15">
      <c r="T704576" s="9">
        <v>14296370418805.1</v>
      </c>
      <c r="U704576" s="9">
        <v>21380976119000</v>
      </c>
    </row>
    <row r="704577" spans="20:21" x14ac:dyDescent="0.15">
      <c r="T704577" s="9">
        <v>14616414450558.4</v>
      </c>
      <c r="U704577" s="9">
        <v>21060473613000</v>
      </c>
    </row>
    <row r="704578" spans="20:21" x14ac:dyDescent="0.15">
      <c r="T704578" s="9">
        <v>15851132888547.1</v>
      </c>
      <c r="U704578" s="9">
        <v>23315080560000</v>
      </c>
    </row>
    <row r="704579" spans="20:21" x14ac:dyDescent="0.15">
      <c r="T704579" s="9">
        <v>16325209299766.801</v>
      </c>
      <c r="U704579" s="9">
        <v>25462700000000</v>
      </c>
    </row>
    <row r="720897" spans="20:21" x14ac:dyDescent="0.15">
      <c r="T720897" s="9" t="s">
        <v>45</v>
      </c>
      <c r="U720897" s="9" t="s">
        <v>44</v>
      </c>
    </row>
    <row r="720898" spans="20:21" x14ac:dyDescent="0.15">
      <c r="T720898" s="9" t="s">
        <v>43</v>
      </c>
      <c r="U720898" s="9" t="s">
        <v>42</v>
      </c>
    </row>
    <row r="720899" spans="20:21" x14ac:dyDescent="0.15">
      <c r="T720899" s="9" t="s">
        <v>41</v>
      </c>
      <c r="U720899" s="9" t="s">
        <v>40</v>
      </c>
    </row>
    <row r="720900" spans="20:21" x14ac:dyDescent="0.15">
      <c r="T720900" s="9" t="s">
        <v>39</v>
      </c>
      <c r="U720900" s="9" t="s">
        <v>38</v>
      </c>
    </row>
    <row r="720901" spans="20:21" x14ac:dyDescent="0.15">
      <c r="T720901" s="9">
        <v>158907457242.42899</v>
      </c>
      <c r="U720901" s="9">
        <v>543300000000</v>
      </c>
    </row>
    <row r="720902" spans="20:21" x14ac:dyDescent="0.15">
      <c r="T720902" s="9">
        <v>115573393646.185</v>
      </c>
      <c r="U720902" s="9">
        <v>563300000000</v>
      </c>
    </row>
    <row r="720903" spans="20:21" x14ac:dyDescent="0.15">
      <c r="T720903" s="9">
        <v>109124398292.05099</v>
      </c>
      <c r="U720903" s="9">
        <v>605100000000</v>
      </c>
    </row>
    <row r="720904" spans="20:21" x14ac:dyDescent="0.15">
      <c r="T720904" s="9">
        <v>120364211312.289</v>
      </c>
      <c r="U720904" s="9">
        <v>638600000000</v>
      </c>
    </row>
    <row r="720905" spans="20:21" x14ac:dyDescent="0.15">
      <c r="T720905" s="9">
        <v>142246424921.30899</v>
      </c>
      <c r="U720905" s="9">
        <v>685800000000</v>
      </c>
    </row>
    <row r="720906" spans="20:21" x14ac:dyDescent="0.15">
      <c r="T720906" s="9">
        <v>166357193951.10501</v>
      </c>
      <c r="U720906" s="9">
        <v>743700000000</v>
      </c>
    </row>
    <row r="720907" spans="20:21" x14ac:dyDescent="0.15">
      <c r="T720907" s="9">
        <v>184074235104.24799</v>
      </c>
      <c r="U720907" s="9">
        <v>815000000000</v>
      </c>
    </row>
    <row r="720908" spans="20:21" x14ac:dyDescent="0.15">
      <c r="T720908" s="9">
        <v>173453151731.27701</v>
      </c>
      <c r="U720908" s="9">
        <v>861700000000</v>
      </c>
    </row>
    <row r="720909" spans="20:21" x14ac:dyDescent="0.15">
      <c r="T720909" s="9">
        <v>166341572533.69101</v>
      </c>
      <c r="U720909" s="9">
        <v>942500000000</v>
      </c>
    </row>
    <row r="720910" spans="20:21" x14ac:dyDescent="0.15">
      <c r="T720910" s="9">
        <v>194519834914.35999</v>
      </c>
      <c r="U720910" s="9">
        <v>1019900000000</v>
      </c>
    </row>
    <row r="720911" spans="20:21" x14ac:dyDescent="0.15">
      <c r="T720911" s="9">
        <v>232062163046.44</v>
      </c>
      <c r="U720911" s="9">
        <v>1073303000000</v>
      </c>
    </row>
    <row r="720912" spans="20:21" x14ac:dyDescent="0.15">
      <c r="T720912" s="9">
        <v>248445751754.134</v>
      </c>
      <c r="U720912" s="9">
        <v>1164850000000</v>
      </c>
    </row>
    <row r="720913" spans="20:21" x14ac:dyDescent="0.15">
      <c r="T720913" s="9">
        <v>257911534896.49799</v>
      </c>
      <c r="U720913" s="9">
        <v>1279110000000</v>
      </c>
    </row>
    <row r="720914" spans="20:21" x14ac:dyDescent="0.15">
      <c r="T720914" s="9">
        <v>277925470006.599</v>
      </c>
      <c r="U720914" s="9">
        <v>1425376000000</v>
      </c>
    </row>
    <row r="720915" spans="20:21" x14ac:dyDescent="0.15">
      <c r="T720915" s="9">
        <v>284345548371.966</v>
      </c>
      <c r="U720915" s="9">
        <v>1545243000000</v>
      </c>
    </row>
    <row r="720916" spans="20:21" x14ac:dyDescent="0.15">
      <c r="T720916" s="9">
        <v>309140480182.89801</v>
      </c>
      <c r="U720916" s="9">
        <v>1684904000000</v>
      </c>
    </row>
    <row r="720917" spans="20:21" x14ac:dyDescent="0.15">
      <c r="T720917" s="9">
        <v>304286974638.82202</v>
      </c>
      <c r="U720917" s="9">
        <v>1873412000000</v>
      </c>
    </row>
    <row r="720918" spans="20:21" x14ac:dyDescent="0.15">
      <c r="T720918" s="9">
        <v>327321498623.151</v>
      </c>
      <c r="U720918" s="9">
        <v>2081826000000</v>
      </c>
    </row>
    <row r="720919" spans="20:21" x14ac:dyDescent="0.15">
      <c r="T720919" s="9">
        <v>364393859506.91699</v>
      </c>
      <c r="U720919" s="9">
        <v>2351599000000</v>
      </c>
    </row>
    <row r="720920" spans="20:21" x14ac:dyDescent="0.15">
      <c r="T720920" s="9">
        <v>392056180496.07098</v>
      </c>
      <c r="U720920" s="9">
        <v>2627333000000</v>
      </c>
    </row>
    <row r="720921" spans="20:21" x14ac:dyDescent="0.15">
      <c r="T720921" s="9">
        <v>422770430220.08099</v>
      </c>
      <c r="U720921" s="9">
        <v>2857307000000</v>
      </c>
    </row>
    <row r="720922" spans="20:21" x14ac:dyDescent="0.15">
      <c r="T720922" s="9">
        <v>444385672278.89001</v>
      </c>
      <c r="U720922" s="9">
        <v>3207041000000</v>
      </c>
    </row>
    <row r="720923" spans="20:21" x14ac:dyDescent="0.15">
      <c r="T720923" s="9">
        <v>484456434564.98102</v>
      </c>
      <c r="U720923" s="9">
        <v>3343789000000</v>
      </c>
    </row>
    <row r="720924" spans="20:21" x14ac:dyDescent="0.15">
      <c r="T720924" s="9">
        <v>536633373623.745</v>
      </c>
      <c r="U720924" s="9">
        <v>3634038000000</v>
      </c>
    </row>
    <row r="720925" spans="20:21" x14ac:dyDescent="0.15">
      <c r="T720925" s="9">
        <v>618156247357.86304</v>
      </c>
      <c r="U720925" s="9">
        <v>4037613000000</v>
      </c>
    </row>
    <row r="720926" spans="20:21" x14ac:dyDescent="0.15">
      <c r="T720926" s="9">
        <v>701178819512.74402</v>
      </c>
      <c r="U720926" s="9">
        <v>4338979000000</v>
      </c>
    </row>
    <row r="720927" spans="20:21" x14ac:dyDescent="0.15">
      <c r="T720927" s="9">
        <v>763934055759.06604</v>
      </c>
      <c r="U720927" s="9">
        <v>4579631000000</v>
      </c>
    </row>
    <row r="720928" spans="20:21" x14ac:dyDescent="0.15">
      <c r="T720928" s="9">
        <v>852989116696.35205</v>
      </c>
      <c r="U720928" s="9">
        <v>4855215000000</v>
      </c>
    </row>
    <row r="720929" spans="20:21" x14ac:dyDescent="0.15">
      <c r="T720929" s="9">
        <v>948716630508.16699</v>
      </c>
      <c r="U720929" s="9">
        <v>5236438000000</v>
      </c>
    </row>
    <row r="720930" spans="20:21" x14ac:dyDescent="0.15">
      <c r="T720930" s="9">
        <v>988622824073.36694</v>
      </c>
      <c r="U720930" s="9">
        <v>5641580000000</v>
      </c>
    </row>
    <row r="720931" spans="20:21" x14ac:dyDescent="0.15">
      <c r="T720931" s="9">
        <v>1027379323856.15</v>
      </c>
      <c r="U720931" s="9">
        <v>5963144000000</v>
      </c>
    </row>
    <row r="720932" spans="20:21" x14ac:dyDescent="0.15">
      <c r="T720932" s="9">
        <v>1122543272896.8301</v>
      </c>
      <c r="U720932" s="9">
        <v>6158129000000</v>
      </c>
    </row>
    <row r="720933" spans="20:21" x14ac:dyDescent="0.15">
      <c r="T720933" s="9">
        <v>1282219772946.3201</v>
      </c>
      <c r="U720933" s="9">
        <v>6520327000000</v>
      </c>
    </row>
    <row r="720934" spans="20:21" x14ac:dyDescent="0.15">
      <c r="T720934" s="9">
        <v>1460239695280.22</v>
      </c>
      <c r="U720934" s="9">
        <v>6858559000000</v>
      </c>
    </row>
    <row r="720935" spans="20:21" x14ac:dyDescent="0.15">
      <c r="T720935" s="9">
        <v>1650608320717.1299</v>
      </c>
      <c r="U720935" s="9">
        <v>7287236000000</v>
      </c>
    </row>
    <row r="720936" spans="20:21" x14ac:dyDescent="0.15">
      <c r="T720936" s="9">
        <v>1831415202548.1001</v>
      </c>
      <c r="U720936" s="9">
        <v>7639749000000</v>
      </c>
    </row>
    <row r="720937" spans="20:21" x14ac:dyDescent="0.15">
      <c r="T720937" s="9">
        <v>2013138415391.3999</v>
      </c>
      <c r="U720937" s="9">
        <v>8073122000000</v>
      </c>
    </row>
    <row r="720938" spans="20:21" x14ac:dyDescent="0.15">
      <c r="T720938" s="9">
        <v>2199087579734.8799</v>
      </c>
      <c r="U720938" s="9">
        <v>8577554457000</v>
      </c>
    </row>
    <row r="720939" spans="20:21" x14ac:dyDescent="0.15">
      <c r="T720939" s="9">
        <v>2371626931008.4102</v>
      </c>
      <c r="U720939" s="9">
        <v>9062818202000</v>
      </c>
    </row>
    <row r="720940" spans="20:21" x14ac:dyDescent="0.15">
      <c r="T720940" s="9">
        <v>2553332721355.1499</v>
      </c>
      <c r="U720940" s="9">
        <v>9631174489000</v>
      </c>
    </row>
    <row r="720941" spans="20:21" x14ac:dyDescent="0.15">
      <c r="T720941" s="9">
        <v>2770113054357.8301</v>
      </c>
      <c r="U720941" s="9">
        <v>10250947997000</v>
      </c>
    </row>
    <row r="720942" spans="20:21" x14ac:dyDescent="0.15">
      <c r="T720942" s="9">
        <v>3001022295612.3501</v>
      </c>
      <c r="U720942" s="9">
        <v>10581929774000</v>
      </c>
    </row>
    <row r="720943" spans="20:21" x14ac:dyDescent="0.15">
      <c r="T720943" s="9">
        <v>3275124592017.1602</v>
      </c>
      <c r="U720943" s="9">
        <v>10929112955000</v>
      </c>
    </row>
    <row r="720944" spans="20:21" x14ac:dyDescent="0.15">
      <c r="T720944" s="9">
        <v>3603882596858.1099</v>
      </c>
      <c r="U720944" s="9">
        <v>11456442041000</v>
      </c>
    </row>
    <row r="720945" spans="20:21" x14ac:dyDescent="0.15">
      <c r="T720945" s="9">
        <v>3968365637613.6299</v>
      </c>
      <c r="U720945" s="9">
        <v>12217193198000</v>
      </c>
    </row>
    <row r="720946" spans="20:21" x14ac:dyDescent="0.15">
      <c r="T720946" s="9">
        <v>4420544703537.2402</v>
      </c>
      <c r="U720946" s="9">
        <v>13039199193000</v>
      </c>
    </row>
    <row r="720947" spans="20:21" x14ac:dyDescent="0.15">
      <c r="T720947" s="9">
        <v>4982880235433.3896</v>
      </c>
      <c r="U720947" s="9">
        <v>13815586948000</v>
      </c>
    </row>
    <row r="720948" spans="20:21" x14ac:dyDescent="0.15">
      <c r="T720948" s="9">
        <v>5691986992199.8604</v>
      </c>
      <c r="U720948" s="9">
        <v>14474226905000</v>
      </c>
    </row>
    <row r="720949" spans="20:21" x14ac:dyDescent="0.15">
      <c r="T720949" s="9">
        <v>6241302380960.0195</v>
      </c>
      <c r="U720949" s="9">
        <v>14769857911000</v>
      </c>
    </row>
    <row r="720950" spans="20:21" x14ac:dyDescent="0.15">
      <c r="T720950" s="9">
        <v>6827905267633.6299</v>
      </c>
      <c r="U720950" s="9">
        <v>14478064934000</v>
      </c>
    </row>
    <row r="720951" spans="20:21" x14ac:dyDescent="0.15">
      <c r="T720951" s="9">
        <v>7554112468317.7305</v>
      </c>
      <c r="U720951" s="9">
        <v>15048964444000</v>
      </c>
    </row>
    <row r="720952" spans="20:21" x14ac:dyDescent="0.15">
      <c r="T720952" s="9">
        <v>8275593072769.2598</v>
      </c>
      <c r="U720952" s="9">
        <v>15599728123000</v>
      </c>
    </row>
    <row r="720953" spans="20:21" x14ac:dyDescent="0.15">
      <c r="T720953" s="9">
        <v>8926363901575.5605</v>
      </c>
      <c r="U720953" s="9">
        <v>16253972230000</v>
      </c>
    </row>
    <row r="720954" spans="20:21" x14ac:dyDescent="0.15">
      <c r="T720954" s="9">
        <v>9619598720424.4609</v>
      </c>
      <c r="U720954" s="9">
        <v>16843190993000</v>
      </c>
    </row>
    <row r="720955" spans="20:21" x14ac:dyDescent="0.15">
      <c r="T720955" s="9">
        <v>10333927386102.801</v>
      </c>
      <c r="U720955" s="9">
        <v>17550680174000</v>
      </c>
    </row>
    <row r="720956" spans="20:21" x14ac:dyDescent="0.15">
      <c r="T720956" s="9">
        <v>11061573199439.699</v>
      </c>
      <c r="U720956" s="9">
        <v>18206020741000</v>
      </c>
    </row>
    <row r="720957" spans="20:21" x14ac:dyDescent="0.15">
      <c r="T720957" s="9">
        <v>11819154044004.9</v>
      </c>
      <c r="U720957" s="9">
        <v>18695110842000</v>
      </c>
    </row>
    <row r="720958" spans="20:21" x14ac:dyDescent="0.15">
      <c r="T720958" s="9">
        <v>12640254407508.1</v>
      </c>
      <c r="U720958" s="9">
        <v>19477336549000</v>
      </c>
    </row>
    <row r="720959" spans="20:21" x14ac:dyDescent="0.15">
      <c r="T720959" s="9">
        <v>13493442991864.699</v>
      </c>
      <c r="U720959" s="9">
        <v>20533057312000</v>
      </c>
    </row>
    <row r="720960" spans="20:21" x14ac:dyDescent="0.15">
      <c r="T720960" s="9">
        <v>14296370418805.1</v>
      </c>
      <c r="U720960" s="9">
        <v>21380976119000</v>
      </c>
    </row>
    <row r="720961" spans="20:21" x14ac:dyDescent="0.15">
      <c r="T720961" s="9">
        <v>14616414450558.4</v>
      </c>
      <c r="U720961" s="9">
        <v>21060473613000</v>
      </c>
    </row>
    <row r="720962" spans="20:21" x14ac:dyDescent="0.15">
      <c r="T720962" s="9">
        <v>15851132888547.1</v>
      </c>
      <c r="U720962" s="9">
        <v>23315080560000</v>
      </c>
    </row>
    <row r="720963" spans="20:21" x14ac:dyDescent="0.15">
      <c r="T720963" s="9">
        <v>16325209299766.801</v>
      </c>
      <c r="U720963" s="9">
        <v>25462700000000</v>
      </c>
    </row>
    <row r="737281" spans="20:21" x14ac:dyDescent="0.15">
      <c r="T737281" s="9" t="s">
        <v>45</v>
      </c>
      <c r="U737281" s="9" t="s">
        <v>44</v>
      </c>
    </row>
    <row r="737282" spans="20:21" x14ac:dyDescent="0.15">
      <c r="T737282" s="9" t="s">
        <v>43</v>
      </c>
      <c r="U737282" s="9" t="s">
        <v>42</v>
      </c>
    </row>
    <row r="737283" spans="20:21" x14ac:dyDescent="0.15">
      <c r="T737283" s="9" t="s">
        <v>41</v>
      </c>
      <c r="U737283" s="9" t="s">
        <v>40</v>
      </c>
    </row>
    <row r="737284" spans="20:21" x14ac:dyDescent="0.15">
      <c r="T737284" s="9" t="s">
        <v>39</v>
      </c>
      <c r="U737284" s="9" t="s">
        <v>38</v>
      </c>
    </row>
    <row r="737285" spans="20:21" x14ac:dyDescent="0.15">
      <c r="T737285" s="9">
        <v>158907457242.42899</v>
      </c>
      <c r="U737285" s="9">
        <v>543300000000</v>
      </c>
    </row>
    <row r="737286" spans="20:21" x14ac:dyDescent="0.15">
      <c r="T737286" s="9">
        <v>115573393646.185</v>
      </c>
      <c r="U737286" s="9">
        <v>563300000000</v>
      </c>
    </row>
    <row r="737287" spans="20:21" x14ac:dyDescent="0.15">
      <c r="T737287" s="9">
        <v>109124398292.05099</v>
      </c>
      <c r="U737287" s="9">
        <v>605100000000</v>
      </c>
    </row>
    <row r="737288" spans="20:21" x14ac:dyDescent="0.15">
      <c r="T737288" s="9">
        <v>120364211312.289</v>
      </c>
      <c r="U737288" s="9">
        <v>638600000000</v>
      </c>
    </row>
    <row r="737289" spans="20:21" x14ac:dyDescent="0.15">
      <c r="T737289" s="9">
        <v>142246424921.30899</v>
      </c>
      <c r="U737289" s="9">
        <v>685800000000</v>
      </c>
    </row>
    <row r="737290" spans="20:21" x14ac:dyDescent="0.15">
      <c r="T737290" s="9">
        <v>166357193951.10501</v>
      </c>
      <c r="U737290" s="9">
        <v>743700000000</v>
      </c>
    </row>
    <row r="737291" spans="20:21" x14ac:dyDescent="0.15">
      <c r="T737291" s="9">
        <v>184074235104.24799</v>
      </c>
      <c r="U737291" s="9">
        <v>815000000000</v>
      </c>
    </row>
    <row r="737292" spans="20:21" x14ac:dyDescent="0.15">
      <c r="T737292" s="9">
        <v>173453151731.27701</v>
      </c>
      <c r="U737292" s="9">
        <v>861700000000</v>
      </c>
    </row>
    <row r="737293" spans="20:21" x14ac:dyDescent="0.15">
      <c r="T737293" s="9">
        <v>166341572533.69101</v>
      </c>
      <c r="U737293" s="9">
        <v>942500000000</v>
      </c>
    </row>
    <row r="737294" spans="20:21" x14ac:dyDescent="0.15">
      <c r="T737294" s="9">
        <v>194519834914.35999</v>
      </c>
      <c r="U737294" s="9">
        <v>1019900000000</v>
      </c>
    </row>
    <row r="737295" spans="20:21" x14ac:dyDescent="0.15">
      <c r="T737295" s="9">
        <v>232062163046.44</v>
      </c>
      <c r="U737295" s="9">
        <v>1073303000000</v>
      </c>
    </row>
    <row r="737296" spans="20:21" x14ac:dyDescent="0.15">
      <c r="T737296" s="9">
        <v>248445751754.134</v>
      </c>
      <c r="U737296" s="9">
        <v>1164850000000</v>
      </c>
    </row>
    <row r="737297" spans="20:21" x14ac:dyDescent="0.15">
      <c r="T737297" s="9">
        <v>257911534896.49799</v>
      </c>
      <c r="U737297" s="9">
        <v>1279110000000</v>
      </c>
    </row>
    <row r="737298" spans="20:21" x14ac:dyDescent="0.15">
      <c r="T737298" s="9">
        <v>277925470006.599</v>
      </c>
      <c r="U737298" s="9">
        <v>1425376000000</v>
      </c>
    </row>
    <row r="737299" spans="20:21" x14ac:dyDescent="0.15">
      <c r="T737299" s="9">
        <v>284345548371.966</v>
      </c>
      <c r="U737299" s="9">
        <v>1545243000000</v>
      </c>
    </row>
    <row r="737300" spans="20:21" x14ac:dyDescent="0.15">
      <c r="T737300" s="9">
        <v>309140480182.89801</v>
      </c>
      <c r="U737300" s="9">
        <v>1684904000000</v>
      </c>
    </row>
    <row r="737301" spans="20:21" x14ac:dyDescent="0.15">
      <c r="T737301" s="9">
        <v>304286974638.82202</v>
      </c>
      <c r="U737301" s="9">
        <v>1873412000000</v>
      </c>
    </row>
    <row r="737302" spans="20:21" x14ac:dyDescent="0.15">
      <c r="T737302" s="9">
        <v>327321498623.151</v>
      </c>
      <c r="U737302" s="9">
        <v>2081826000000</v>
      </c>
    </row>
    <row r="737303" spans="20:21" x14ac:dyDescent="0.15">
      <c r="T737303" s="9">
        <v>364393859506.91699</v>
      </c>
      <c r="U737303" s="9">
        <v>2351599000000</v>
      </c>
    </row>
    <row r="737304" spans="20:21" x14ac:dyDescent="0.15">
      <c r="T737304" s="9">
        <v>392056180496.07098</v>
      </c>
      <c r="U737304" s="9">
        <v>2627333000000</v>
      </c>
    </row>
    <row r="737305" spans="20:21" x14ac:dyDescent="0.15">
      <c r="T737305" s="9">
        <v>422770430220.08099</v>
      </c>
      <c r="U737305" s="9">
        <v>2857307000000</v>
      </c>
    </row>
    <row r="737306" spans="20:21" x14ac:dyDescent="0.15">
      <c r="T737306" s="9">
        <v>444385672278.89001</v>
      </c>
      <c r="U737306" s="9">
        <v>3207041000000</v>
      </c>
    </row>
    <row r="737307" spans="20:21" x14ac:dyDescent="0.15">
      <c r="T737307" s="9">
        <v>484456434564.98102</v>
      </c>
      <c r="U737307" s="9">
        <v>3343789000000</v>
      </c>
    </row>
    <row r="737308" spans="20:21" x14ac:dyDescent="0.15">
      <c r="T737308" s="9">
        <v>536633373623.745</v>
      </c>
      <c r="U737308" s="9">
        <v>3634038000000</v>
      </c>
    </row>
    <row r="737309" spans="20:21" x14ac:dyDescent="0.15">
      <c r="T737309" s="9">
        <v>618156247357.86304</v>
      </c>
      <c r="U737309" s="9">
        <v>4037613000000</v>
      </c>
    </row>
    <row r="737310" spans="20:21" x14ac:dyDescent="0.15">
      <c r="T737310" s="9">
        <v>701178819512.74402</v>
      </c>
      <c r="U737310" s="9">
        <v>4338979000000</v>
      </c>
    </row>
    <row r="737311" spans="20:21" x14ac:dyDescent="0.15">
      <c r="T737311" s="9">
        <v>763934055759.06604</v>
      </c>
      <c r="U737311" s="9">
        <v>4579631000000</v>
      </c>
    </row>
    <row r="737312" spans="20:21" x14ac:dyDescent="0.15">
      <c r="T737312" s="9">
        <v>852989116696.35205</v>
      </c>
      <c r="U737312" s="9">
        <v>4855215000000</v>
      </c>
    </row>
    <row r="737313" spans="20:21" x14ac:dyDescent="0.15">
      <c r="T737313" s="9">
        <v>948716630508.16699</v>
      </c>
      <c r="U737313" s="9">
        <v>5236438000000</v>
      </c>
    </row>
    <row r="737314" spans="20:21" x14ac:dyDescent="0.15">
      <c r="T737314" s="9">
        <v>988622824073.36694</v>
      </c>
      <c r="U737314" s="9">
        <v>5641580000000</v>
      </c>
    </row>
    <row r="737315" spans="20:21" x14ac:dyDescent="0.15">
      <c r="T737315" s="9">
        <v>1027379323856.15</v>
      </c>
      <c r="U737315" s="9">
        <v>5963144000000</v>
      </c>
    </row>
    <row r="737316" spans="20:21" x14ac:dyDescent="0.15">
      <c r="T737316" s="9">
        <v>1122543272896.8301</v>
      </c>
      <c r="U737316" s="9">
        <v>6158129000000</v>
      </c>
    </row>
    <row r="737317" spans="20:21" x14ac:dyDescent="0.15">
      <c r="T737317" s="9">
        <v>1282219772946.3201</v>
      </c>
      <c r="U737317" s="9">
        <v>6520327000000</v>
      </c>
    </row>
    <row r="737318" spans="20:21" x14ac:dyDescent="0.15">
      <c r="T737318" s="9">
        <v>1460239695280.22</v>
      </c>
      <c r="U737318" s="9">
        <v>6858559000000</v>
      </c>
    </row>
    <row r="737319" spans="20:21" x14ac:dyDescent="0.15">
      <c r="T737319" s="9">
        <v>1650608320717.1299</v>
      </c>
      <c r="U737319" s="9">
        <v>7287236000000</v>
      </c>
    </row>
    <row r="737320" spans="20:21" x14ac:dyDescent="0.15">
      <c r="T737320" s="9">
        <v>1831415202548.1001</v>
      </c>
      <c r="U737320" s="9">
        <v>7639749000000</v>
      </c>
    </row>
    <row r="737321" spans="20:21" x14ac:dyDescent="0.15">
      <c r="T737321" s="9">
        <v>2013138415391.3999</v>
      </c>
      <c r="U737321" s="9">
        <v>8073122000000</v>
      </c>
    </row>
    <row r="737322" spans="20:21" x14ac:dyDescent="0.15">
      <c r="T737322" s="9">
        <v>2199087579734.8799</v>
      </c>
      <c r="U737322" s="9">
        <v>8577554457000</v>
      </c>
    </row>
    <row r="737323" spans="20:21" x14ac:dyDescent="0.15">
      <c r="T737323" s="9">
        <v>2371626931008.4102</v>
      </c>
      <c r="U737323" s="9">
        <v>9062818202000</v>
      </c>
    </row>
    <row r="737324" spans="20:21" x14ac:dyDescent="0.15">
      <c r="T737324" s="9">
        <v>2553332721355.1499</v>
      </c>
      <c r="U737324" s="9">
        <v>9631174489000</v>
      </c>
    </row>
    <row r="737325" spans="20:21" x14ac:dyDescent="0.15">
      <c r="T737325" s="9">
        <v>2770113054357.8301</v>
      </c>
      <c r="U737325" s="9">
        <v>10250947997000</v>
      </c>
    </row>
    <row r="737326" spans="20:21" x14ac:dyDescent="0.15">
      <c r="T737326" s="9">
        <v>3001022295612.3501</v>
      </c>
      <c r="U737326" s="9">
        <v>10581929774000</v>
      </c>
    </row>
    <row r="737327" spans="20:21" x14ac:dyDescent="0.15">
      <c r="T737327" s="9">
        <v>3275124592017.1602</v>
      </c>
      <c r="U737327" s="9">
        <v>10929112955000</v>
      </c>
    </row>
    <row r="737328" spans="20:21" x14ac:dyDescent="0.15">
      <c r="T737328" s="9">
        <v>3603882596858.1099</v>
      </c>
      <c r="U737328" s="9">
        <v>11456442041000</v>
      </c>
    </row>
    <row r="737329" spans="20:21" x14ac:dyDescent="0.15">
      <c r="T737329" s="9">
        <v>3968365637613.6299</v>
      </c>
      <c r="U737329" s="9">
        <v>12217193198000</v>
      </c>
    </row>
    <row r="737330" spans="20:21" x14ac:dyDescent="0.15">
      <c r="T737330" s="9">
        <v>4420544703537.2402</v>
      </c>
      <c r="U737330" s="9">
        <v>13039199193000</v>
      </c>
    </row>
    <row r="737331" spans="20:21" x14ac:dyDescent="0.15">
      <c r="T737331" s="9">
        <v>4982880235433.3896</v>
      </c>
      <c r="U737331" s="9">
        <v>13815586948000</v>
      </c>
    </row>
    <row r="737332" spans="20:21" x14ac:dyDescent="0.15">
      <c r="T737332" s="9">
        <v>5691986992199.8604</v>
      </c>
      <c r="U737332" s="9">
        <v>14474226905000</v>
      </c>
    </row>
    <row r="737333" spans="20:21" x14ac:dyDescent="0.15">
      <c r="T737333" s="9">
        <v>6241302380960.0195</v>
      </c>
      <c r="U737333" s="9">
        <v>14769857911000</v>
      </c>
    </row>
    <row r="737334" spans="20:21" x14ac:dyDescent="0.15">
      <c r="T737334" s="9">
        <v>6827905267633.6299</v>
      </c>
      <c r="U737334" s="9">
        <v>14478064934000</v>
      </c>
    </row>
    <row r="737335" spans="20:21" x14ac:dyDescent="0.15">
      <c r="T737335" s="9">
        <v>7554112468317.7305</v>
      </c>
      <c r="U737335" s="9">
        <v>15048964444000</v>
      </c>
    </row>
    <row r="737336" spans="20:21" x14ac:dyDescent="0.15">
      <c r="T737336" s="9">
        <v>8275593072769.2598</v>
      </c>
      <c r="U737336" s="9">
        <v>15599728123000</v>
      </c>
    </row>
    <row r="737337" spans="20:21" x14ac:dyDescent="0.15">
      <c r="T737337" s="9">
        <v>8926363901575.5605</v>
      </c>
      <c r="U737337" s="9">
        <v>16253972230000</v>
      </c>
    </row>
    <row r="737338" spans="20:21" x14ac:dyDescent="0.15">
      <c r="T737338" s="9">
        <v>9619598720424.4609</v>
      </c>
      <c r="U737338" s="9">
        <v>16843190993000</v>
      </c>
    </row>
    <row r="737339" spans="20:21" x14ac:dyDescent="0.15">
      <c r="T737339" s="9">
        <v>10333927386102.801</v>
      </c>
      <c r="U737339" s="9">
        <v>17550680174000</v>
      </c>
    </row>
    <row r="737340" spans="20:21" x14ac:dyDescent="0.15">
      <c r="T737340" s="9">
        <v>11061573199439.699</v>
      </c>
      <c r="U737340" s="9">
        <v>18206020741000</v>
      </c>
    </row>
    <row r="737341" spans="20:21" x14ac:dyDescent="0.15">
      <c r="T737341" s="9">
        <v>11819154044004.9</v>
      </c>
      <c r="U737341" s="9">
        <v>18695110842000</v>
      </c>
    </row>
    <row r="737342" spans="20:21" x14ac:dyDescent="0.15">
      <c r="T737342" s="9">
        <v>12640254407508.1</v>
      </c>
      <c r="U737342" s="9">
        <v>19477336549000</v>
      </c>
    </row>
    <row r="737343" spans="20:21" x14ac:dyDescent="0.15">
      <c r="T737343" s="9">
        <v>13493442991864.699</v>
      </c>
      <c r="U737343" s="9">
        <v>20533057312000</v>
      </c>
    </row>
    <row r="737344" spans="20:21" x14ac:dyDescent="0.15">
      <c r="T737344" s="9">
        <v>14296370418805.1</v>
      </c>
      <c r="U737344" s="9">
        <v>21380976119000</v>
      </c>
    </row>
    <row r="737345" spans="20:21" x14ac:dyDescent="0.15">
      <c r="T737345" s="9">
        <v>14616414450558.4</v>
      </c>
      <c r="U737345" s="9">
        <v>21060473613000</v>
      </c>
    </row>
    <row r="737346" spans="20:21" x14ac:dyDescent="0.15">
      <c r="T737346" s="9">
        <v>15851132888547.1</v>
      </c>
      <c r="U737346" s="9">
        <v>23315080560000</v>
      </c>
    </row>
    <row r="737347" spans="20:21" x14ac:dyDescent="0.15">
      <c r="T737347" s="9">
        <v>16325209299766.801</v>
      </c>
      <c r="U737347" s="9">
        <v>25462700000000</v>
      </c>
    </row>
    <row r="753665" spans="20:21" x14ac:dyDescent="0.15">
      <c r="T753665" s="9" t="s">
        <v>45</v>
      </c>
      <c r="U753665" s="9" t="s">
        <v>44</v>
      </c>
    </row>
    <row r="753666" spans="20:21" x14ac:dyDescent="0.15">
      <c r="T753666" s="9" t="s">
        <v>43</v>
      </c>
      <c r="U753666" s="9" t="s">
        <v>42</v>
      </c>
    </row>
    <row r="753667" spans="20:21" x14ac:dyDescent="0.15">
      <c r="T753667" s="9" t="s">
        <v>41</v>
      </c>
      <c r="U753667" s="9" t="s">
        <v>40</v>
      </c>
    </row>
    <row r="753668" spans="20:21" x14ac:dyDescent="0.15">
      <c r="T753668" s="9" t="s">
        <v>39</v>
      </c>
      <c r="U753668" s="9" t="s">
        <v>38</v>
      </c>
    </row>
    <row r="753669" spans="20:21" x14ac:dyDescent="0.15">
      <c r="T753669" s="9">
        <v>158907457242.42899</v>
      </c>
      <c r="U753669" s="9">
        <v>543300000000</v>
      </c>
    </row>
    <row r="753670" spans="20:21" x14ac:dyDescent="0.15">
      <c r="T753670" s="9">
        <v>115573393646.185</v>
      </c>
      <c r="U753670" s="9">
        <v>563300000000</v>
      </c>
    </row>
    <row r="753671" spans="20:21" x14ac:dyDescent="0.15">
      <c r="T753671" s="9">
        <v>109124398292.05099</v>
      </c>
      <c r="U753671" s="9">
        <v>605100000000</v>
      </c>
    </row>
    <row r="753672" spans="20:21" x14ac:dyDescent="0.15">
      <c r="T753672" s="9">
        <v>120364211312.289</v>
      </c>
      <c r="U753672" s="9">
        <v>638600000000</v>
      </c>
    </row>
    <row r="753673" spans="20:21" x14ac:dyDescent="0.15">
      <c r="T753673" s="9">
        <v>142246424921.30899</v>
      </c>
      <c r="U753673" s="9">
        <v>685800000000</v>
      </c>
    </row>
    <row r="753674" spans="20:21" x14ac:dyDescent="0.15">
      <c r="T753674" s="9">
        <v>166357193951.10501</v>
      </c>
      <c r="U753674" s="9">
        <v>743700000000</v>
      </c>
    </row>
    <row r="753675" spans="20:21" x14ac:dyDescent="0.15">
      <c r="T753675" s="9">
        <v>184074235104.24799</v>
      </c>
      <c r="U753675" s="9">
        <v>815000000000</v>
      </c>
    </row>
    <row r="753676" spans="20:21" x14ac:dyDescent="0.15">
      <c r="T753676" s="9">
        <v>173453151731.27701</v>
      </c>
      <c r="U753676" s="9">
        <v>861700000000</v>
      </c>
    </row>
    <row r="753677" spans="20:21" x14ac:dyDescent="0.15">
      <c r="T753677" s="9">
        <v>166341572533.69101</v>
      </c>
      <c r="U753677" s="9">
        <v>942500000000</v>
      </c>
    </row>
    <row r="753678" spans="20:21" x14ac:dyDescent="0.15">
      <c r="T753678" s="9">
        <v>194519834914.35999</v>
      </c>
      <c r="U753678" s="9">
        <v>1019900000000</v>
      </c>
    </row>
    <row r="753679" spans="20:21" x14ac:dyDescent="0.15">
      <c r="T753679" s="9">
        <v>232062163046.44</v>
      </c>
      <c r="U753679" s="9">
        <v>1073303000000</v>
      </c>
    </row>
    <row r="753680" spans="20:21" x14ac:dyDescent="0.15">
      <c r="T753680" s="9">
        <v>248445751754.134</v>
      </c>
      <c r="U753680" s="9">
        <v>1164850000000</v>
      </c>
    </row>
    <row r="753681" spans="20:21" x14ac:dyDescent="0.15">
      <c r="T753681" s="9">
        <v>257911534896.49799</v>
      </c>
      <c r="U753681" s="9">
        <v>1279110000000</v>
      </c>
    </row>
    <row r="753682" spans="20:21" x14ac:dyDescent="0.15">
      <c r="T753682" s="9">
        <v>277925470006.599</v>
      </c>
      <c r="U753682" s="9">
        <v>1425376000000</v>
      </c>
    </row>
    <row r="753683" spans="20:21" x14ac:dyDescent="0.15">
      <c r="T753683" s="9">
        <v>284345548371.966</v>
      </c>
      <c r="U753683" s="9">
        <v>1545243000000</v>
      </c>
    </row>
    <row r="753684" spans="20:21" x14ac:dyDescent="0.15">
      <c r="T753684" s="9">
        <v>309140480182.89801</v>
      </c>
      <c r="U753684" s="9">
        <v>1684904000000</v>
      </c>
    </row>
    <row r="753685" spans="20:21" x14ac:dyDescent="0.15">
      <c r="T753685" s="9">
        <v>304286974638.82202</v>
      </c>
      <c r="U753685" s="9">
        <v>1873412000000</v>
      </c>
    </row>
    <row r="753686" spans="20:21" x14ac:dyDescent="0.15">
      <c r="T753686" s="9">
        <v>327321498623.151</v>
      </c>
      <c r="U753686" s="9">
        <v>2081826000000</v>
      </c>
    </row>
    <row r="753687" spans="20:21" x14ac:dyDescent="0.15">
      <c r="T753687" s="9">
        <v>364393859506.91699</v>
      </c>
      <c r="U753687" s="9">
        <v>2351599000000</v>
      </c>
    </row>
    <row r="753688" spans="20:21" x14ac:dyDescent="0.15">
      <c r="T753688" s="9">
        <v>392056180496.07098</v>
      </c>
      <c r="U753688" s="9">
        <v>2627333000000</v>
      </c>
    </row>
    <row r="753689" spans="20:21" x14ac:dyDescent="0.15">
      <c r="T753689" s="9">
        <v>422770430220.08099</v>
      </c>
      <c r="U753689" s="9">
        <v>2857307000000</v>
      </c>
    </row>
    <row r="753690" spans="20:21" x14ac:dyDescent="0.15">
      <c r="T753690" s="9">
        <v>444385672278.89001</v>
      </c>
      <c r="U753690" s="9">
        <v>3207041000000</v>
      </c>
    </row>
    <row r="753691" spans="20:21" x14ac:dyDescent="0.15">
      <c r="T753691" s="9">
        <v>484456434564.98102</v>
      </c>
      <c r="U753691" s="9">
        <v>3343789000000</v>
      </c>
    </row>
    <row r="753692" spans="20:21" x14ac:dyDescent="0.15">
      <c r="T753692" s="9">
        <v>536633373623.745</v>
      </c>
      <c r="U753692" s="9">
        <v>3634038000000</v>
      </c>
    </row>
    <row r="753693" spans="20:21" x14ac:dyDescent="0.15">
      <c r="T753693" s="9">
        <v>618156247357.86304</v>
      </c>
      <c r="U753693" s="9">
        <v>4037613000000</v>
      </c>
    </row>
    <row r="753694" spans="20:21" x14ac:dyDescent="0.15">
      <c r="T753694" s="9">
        <v>701178819512.74402</v>
      </c>
      <c r="U753694" s="9">
        <v>4338979000000</v>
      </c>
    </row>
    <row r="753695" spans="20:21" x14ac:dyDescent="0.15">
      <c r="T753695" s="9">
        <v>763934055759.06604</v>
      </c>
      <c r="U753695" s="9">
        <v>4579631000000</v>
      </c>
    </row>
    <row r="753696" spans="20:21" x14ac:dyDescent="0.15">
      <c r="T753696" s="9">
        <v>852989116696.35205</v>
      </c>
      <c r="U753696" s="9">
        <v>4855215000000</v>
      </c>
    </row>
    <row r="753697" spans="20:21" x14ac:dyDescent="0.15">
      <c r="T753697" s="9">
        <v>948716630508.16699</v>
      </c>
      <c r="U753697" s="9">
        <v>5236438000000</v>
      </c>
    </row>
    <row r="753698" spans="20:21" x14ac:dyDescent="0.15">
      <c r="T753698" s="9">
        <v>988622824073.36694</v>
      </c>
      <c r="U753698" s="9">
        <v>5641580000000</v>
      </c>
    </row>
    <row r="753699" spans="20:21" x14ac:dyDescent="0.15">
      <c r="T753699" s="9">
        <v>1027379323856.15</v>
      </c>
      <c r="U753699" s="9">
        <v>5963144000000</v>
      </c>
    </row>
    <row r="753700" spans="20:21" x14ac:dyDescent="0.15">
      <c r="T753700" s="9">
        <v>1122543272896.8301</v>
      </c>
      <c r="U753700" s="9">
        <v>6158129000000</v>
      </c>
    </row>
    <row r="753701" spans="20:21" x14ac:dyDescent="0.15">
      <c r="T753701" s="9">
        <v>1282219772946.3201</v>
      </c>
      <c r="U753701" s="9">
        <v>6520327000000</v>
      </c>
    </row>
    <row r="753702" spans="20:21" x14ac:dyDescent="0.15">
      <c r="T753702" s="9">
        <v>1460239695280.22</v>
      </c>
      <c r="U753702" s="9">
        <v>6858559000000</v>
      </c>
    </row>
    <row r="753703" spans="20:21" x14ac:dyDescent="0.15">
      <c r="T753703" s="9">
        <v>1650608320717.1299</v>
      </c>
      <c r="U753703" s="9">
        <v>7287236000000</v>
      </c>
    </row>
    <row r="753704" spans="20:21" x14ac:dyDescent="0.15">
      <c r="T753704" s="9">
        <v>1831415202548.1001</v>
      </c>
      <c r="U753704" s="9">
        <v>7639749000000</v>
      </c>
    </row>
    <row r="753705" spans="20:21" x14ac:dyDescent="0.15">
      <c r="T753705" s="9">
        <v>2013138415391.3999</v>
      </c>
      <c r="U753705" s="9">
        <v>8073122000000</v>
      </c>
    </row>
    <row r="753706" spans="20:21" x14ac:dyDescent="0.15">
      <c r="T753706" s="9">
        <v>2199087579734.8799</v>
      </c>
      <c r="U753706" s="9">
        <v>8577554457000</v>
      </c>
    </row>
    <row r="753707" spans="20:21" x14ac:dyDescent="0.15">
      <c r="T753707" s="9">
        <v>2371626931008.4102</v>
      </c>
      <c r="U753707" s="9">
        <v>9062818202000</v>
      </c>
    </row>
    <row r="753708" spans="20:21" x14ac:dyDescent="0.15">
      <c r="T753708" s="9">
        <v>2553332721355.1499</v>
      </c>
      <c r="U753708" s="9">
        <v>9631174489000</v>
      </c>
    </row>
    <row r="753709" spans="20:21" x14ac:dyDescent="0.15">
      <c r="T753709" s="9">
        <v>2770113054357.8301</v>
      </c>
      <c r="U753709" s="9">
        <v>10250947997000</v>
      </c>
    </row>
    <row r="753710" spans="20:21" x14ac:dyDescent="0.15">
      <c r="T753710" s="9">
        <v>3001022295612.3501</v>
      </c>
      <c r="U753710" s="9">
        <v>10581929774000</v>
      </c>
    </row>
    <row r="753711" spans="20:21" x14ac:dyDescent="0.15">
      <c r="T753711" s="9">
        <v>3275124592017.1602</v>
      </c>
      <c r="U753711" s="9">
        <v>10929112955000</v>
      </c>
    </row>
    <row r="753712" spans="20:21" x14ac:dyDescent="0.15">
      <c r="T753712" s="9">
        <v>3603882596858.1099</v>
      </c>
      <c r="U753712" s="9">
        <v>11456442041000</v>
      </c>
    </row>
    <row r="753713" spans="20:21" x14ac:dyDescent="0.15">
      <c r="T753713" s="9">
        <v>3968365637613.6299</v>
      </c>
      <c r="U753713" s="9">
        <v>12217193198000</v>
      </c>
    </row>
    <row r="753714" spans="20:21" x14ac:dyDescent="0.15">
      <c r="T753714" s="9">
        <v>4420544703537.2402</v>
      </c>
      <c r="U753714" s="9">
        <v>13039199193000</v>
      </c>
    </row>
    <row r="753715" spans="20:21" x14ac:dyDescent="0.15">
      <c r="T753715" s="9">
        <v>4982880235433.3896</v>
      </c>
      <c r="U753715" s="9">
        <v>13815586948000</v>
      </c>
    </row>
    <row r="753716" spans="20:21" x14ac:dyDescent="0.15">
      <c r="T753716" s="9">
        <v>5691986992199.8604</v>
      </c>
      <c r="U753716" s="9">
        <v>14474226905000</v>
      </c>
    </row>
    <row r="753717" spans="20:21" x14ac:dyDescent="0.15">
      <c r="T753717" s="9">
        <v>6241302380960.0195</v>
      </c>
      <c r="U753717" s="9">
        <v>14769857911000</v>
      </c>
    </row>
    <row r="753718" spans="20:21" x14ac:dyDescent="0.15">
      <c r="T753718" s="9">
        <v>6827905267633.6299</v>
      </c>
      <c r="U753718" s="9">
        <v>14478064934000</v>
      </c>
    </row>
    <row r="753719" spans="20:21" x14ac:dyDescent="0.15">
      <c r="T753719" s="9">
        <v>7554112468317.7305</v>
      </c>
      <c r="U753719" s="9">
        <v>15048964444000</v>
      </c>
    </row>
    <row r="753720" spans="20:21" x14ac:dyDescent="0.15">
      <c r="T753720" s="9">
        <v>8275593072769.2598</v>
      </c>
      <c r="U753720" s="9">
        <v>15599728123000</v>
      </c>
    </row>
    <row r="753721" spans="20:21" x14ac:dyDescent="0.15">
      <c r="T753721" s="9">
        <v>8926363901575.5605</v>
      </c>
      <c r="U753721" s="9">
        <v>16253972230000</v>
      </c>
    </row>
    <row r="753722" spans="20:21" x14ac:dyDescent="0.15">
      <c r="T753722" s="9">
        <v>9619598720424.4609</v>
      </c>
      <c r="U753722" s="9">
        <v>16843190993000</v>
      </c>
    </row>
    <row r="753723" spans="20:21" x14ac:dyDescent="0.15">
      <c r="T753723" s="9">
        <v>10333927386102.801</v>
      </c>
      <c r="U753723" s="9">
        <v>17550680174000</v>
      </c>
    </row>
    <row r="753724" spans="20:21" x14ac:dyDescent="0.15">
      <c r="T753724" s="9">
        <v>11061573199439.699</v>
      </c>
      <c r="U753724" s="9">
        <v>18206020741000</v>
      </c>
    </row>
    <row r="753725" spans="20:21" x14ac:dyDescent="0.15">
      <c r="T753725" s="9">
        <v>11819154044004.9</v>
      </c>
      <c r="U753725" s="9">
        <v>18695110842000</v>
      </c>
    </row>
    <row r="753726" spans="20:21" x14ac:dyDescent="0.15">
      <c r="T753726" s="9">
        <v>12640254407508.1</v>
      </c>
      <c r="U753726" s="9">
        <v>19477336549000</v>
      </c>
    </row>
    <row r="753727" spans="20:21" x14ac:dyDescent="0.15">
      <c r="T753727" s="9">
        <v>13493442991864.699</v>
      </c>
      <c r="U753727" s="9">
        <v>20533057312000</v>
      </c>
    </row>
    <row r="753728" spans="20:21" x14ac:dyDescent="0.15">
      <c r="T753728" s="9">
        <v>14296370418805.1</v>
      </c>
      <c r="U753728" s="9">
        <v>21380976119000</v>
      </c>
    </row>
    <row r="753729" spans="20:21" x14ac:dyDescent="0.15">
      <c r="T753729" s="9">
        <v>14616414450558.4</v>
      </c>
      <c r="U753729" s="9">
        <v>21060473613000</v>
      </c>
    </row>
    <row r="753730" spans="20:21" x14ac:dyDescent="0.15">
      <c r="T753730" s="9">
        <v>15851132888547.1</v>
      </c>
      <c r="U753730" s="9">
        <v>23315080560000</v>
      </c>
    </row>
    <row r="753731" spans="20:21" x14ac:dyDescent="0.15">
      <c r="T753731" s="9">
        <v>16325209299766.801</v>
      </c>
      <c r="U753731" s="9">
        <v>25462700000000</v>
      </c>
    </row>
    <row r="770049" spans="20:21" x14ac:dyDescent="0.15">
      <c r="T770049" s="9" t="s">
        <v>45</v>
      </c>
      <c r="U770049" s="9" t="s">
        <v>44</v>
      </c>
    </row>
    <row r="770050" spans="20:21" x14ac:dyDescent="0.15">
      <c r="T770050" s="9" t="s">
        <v>43</v>
      </c>
      <c r="U770050" s="9" t="s">
        <v>42</v>
      </c>
    </row>
    <row r="770051" spans="20:21" x14ac:dyDescent="0.15">
      <c r="T770051" s="9" t="s">
        <v>41</v>
      </c>
      <c r="U770051" s="9" t="s">
        <v>40</v>
      </c>
    </row>
    <row r="770052" spans="20:21" x14ac:dyDescent="0.15">
      <c r="T770052" s="9" t="s">
        <v>39</v>
      </c>
      <c r="U770052" s="9" t="s">
        <v>38</v>
      </c>
    </row>
    <row r="770053" spans="20:21" x14ac:dyDescent="0.15">
      <c r="T770053" s="9">
        <v>158907457242.42899</v>
      </c>
      <c r="U770053" s="9">
        <v>543300000000</v>
      </c>
    </row>
    <row r="770054" spans="20:21" x14ac:dyDescent="0.15">
      <c r="T770054" s="9">
        <v>115573393646.185</v>
      </c>
      <c r="U770054" s="9">
        <v>563300000000</v>
      </c>
    </row>
    <row r="770055" spans="20:21" x14ac:dyDescent="0.15">
      <c r="T770055" s="9">
        <v>109124398292.05099</v>
      </c>
      <c r="U770055" s="9">
        <v>605100000000</v>
      </c>
    </row>
    <row r="770056" spans="20:21" x14ac:dyDescent="0.15">
      <c r="T770056" s="9">
        <v>120364211312.289</v>
      </c>
      <c r="U770056" s="9">
        <v>638600000000</v>
      </c>
    </row>
    <row r="770057" spans="20:21" x14ac:dyDescent="0.15">
      <c r="T770057" s="9">
        <v>142246424921.30899</v>
      </c>
      <c r="U770057" s="9">
        <v>685800000000</v>
      </c>
    </row>
    <row r="770058" spans="20:21" x14ac:dyDescent="0.15">
      <c r="T770058" s="9">
        <v>166357193951.10501</v>
      </c>
      <c r="U770058" s="9">
        <v>743700000000</v>
      </c>
    </row>
    <row r="770059" spans="20:21" x14ac:dyDescent="0.15">
      <c r="T770059" s="9">
        <v>184074235104.24799</v>
      </c>
      <c r="U770059" s="9">
        <v>815000000000</v>
      </c>
    </row>
    <row r="770060" spans="20:21" x14ac:dyDescent="0.15">
      <c r="T770060" s="9">
        <v>173453151731.27701</v>
      </c>
      <c r="U770060" s="9">
        <v>861700000000</v>
      </c>
    </row>
    <row r="770061" spans="20:21" x14ac:dyDescent="0.15">
      <c r="T770061" s="9">
        <v>166341572533.69101</v>
      </c>
      <c r="U770061" s="9">
        <v>942500000000</v>
      </c>
    </row>
    <row r="770062" spans="20:21" x14ac:dyDescent="0.15">
      <c r="T770062" s="9">
        <v>194519834914.35999</v>
      </c>
      <c r="U770062" s="9">
        <v>1019900000000</v>
      </c>
    </row>
    <row r="770063" spans="20:21" x14ac:dyDescent="0.15">
      <c r="T770063" s="9">
        <v>232062163046.44</v>
      </c>
      <c r="U770063" s="9">
        <v>1073303000000</v>
      </c>
    </row>
    <row r="770064" spans="20:21" x14ac:dyDescent="0.15">
      <c r="T770064" s="9">
        <v>248445751754.134</v>
      </c>
      <c r="U770064" s="9">
        <v>1164850000000</v>
      </c>
    </row>
    <row r="770065" spans="20:21" x14ac:dyDescent="0.15">
      <c r="T770065" s="9">
        <v>257911534896.49799</v>
      </c>
      <c r="U770065" s="9">
        <v>1279110000000</v>
      </c>
    </row>
    <row r="770066" spans="20:21" x14ac:dyDescent="0.15">
      <c r="T770066" s="9">
        <v>277925470006.599</v>
      </c>
      <c r="U770066" s="9">
        <v>1425376000000</v>
      </c>
    </row>
    <row r="770067" spans="20:21" x14ac:dyDescent="0.15">
      <c r="T770067" s="9">
        <v>284345548371.966</v>
      </c>
      <c r="U770067" s="9">
        <v>1545243000000</v>
      </c>
    </row>
    <row r="770068" spans="20:21" x14ac:dyDescent="0.15">
      <c r="T770068" s="9">
        <v>309140480182.89801</v>
      </c>
      <c r="U770068" s="9">
        <v>1684904000000</v>
      </c>
    </row>
    <row r="770069" spans="20:21" x14ac:dyDescent="0.15">
      <c r="T770069" s="9">
        <v>304286974638.82202</v>
      </c>
      <c r="U770069" s="9">
        <v>1873412000000</v>
      </c>
    </row>
    <row r="770070" spans="20:21" x14ac:dyDescent="0.15">
      <c r="T770070" s="9">
        <v>327321498623.151</v>
      </c>
      <c r="U770070" s="9">
        <v>2081826000000</v>
      </c>
    </row>
    <row r="770071" spans="20:21" x14ac:dyDescent="0.15">
      <c r="T770071" s="9">
        <v>364393859506.91699</v>
      </c>
      <c r="U770071" s="9">
        <v>2351599000000</v>
      </c>
    </row>
    <row r="770072" spans="20:21" x14ac:dyDescent="0.15">
      <c r="T770072" s="9">
        <v>392056180496.07098</v>
      </c>
      <c r="U770072" s="9">
        <v>2627333000000</v>
      </c>
    </row>
    <row r="770073" spans="20:21" x14ac:dyDescent="0.15">
      <c r="T770073" s="9">
        <v>422770430220.08099</v>
      </c>
      <c r="U770073" s="9">
        <v>2857307000000</v>
      </c>
    </row>
    <row r="770074" spans="20:21" x14ac:dyDescent="0.15">
      <c r="T770074" s="9">
        <v>444385672278.89001</v>
      </c>
      <c r="U770074" s="9">
        <v>3207041000000</v>
      </c>
    </row>
    <row r="770075" spans="20:21" x14ac:dyDescent="0.15">
      <c r="T770075" s="9">
        <v>484456434564.98102</v>
      </c>
      <c r="U770075" s="9">
        <v>3343789000000</v>
      </c>
    </row>
    <row r="770076" spans="20:21" x14ac:dyDescent="0.15">
      <c r="T770076" s="9">
        <v>536633373623.745</v>
      </c>
      <c r="U770076" s="9">
        <v>3634038000000</v>
      </c>
    </row>
    <row r="770077" spans="20:21" x14ac:dyDescent="0.15">
      <c r="T770077" s="9">
        <v>618156247357.86304</v>
      </c>
      <c r="U770077" s="9">
        <v>4037613000000</v>
      </c>
    </row>
    <row r="770078" spans="20:21" x14ac:dyDescent="0.15">
      <c r="T770078" s="9">
        <v>701178819512.74402</v>
      </c>
      <c r="U770078" s="9">
        <v>4338979000000</v>
      </c>
    </row>
    <row r="770079" spans="20:21" x14ac:dyDescent="0.15">
      <c r="T770079" s="9">
        <v>763934055759.06604</v>
      </c>
      <c r="U770079" s="9">
        <v>4579631000000</v>
      </c>
    </row>
    <row r="770080" spans="20:21" x14ac:dyDescent="0.15">
      <c r="T770080" s="9">
        <v>852989116696.35205</v>
      </c>
      <c r="U770080" s="9">
        <v>4855215000000</v>
      </c>
    </row>
    <row r="770081" spans="20:21" x14ac:dyDescent="0.15">
      <c r="T770081" s="9">
        <v>948716630508.16699</v>
      </c>
      <c r="U770081" s="9">
        <v>5236438000000</v>
      </c>
    </row>
    <row r="770082" spans="20:21" x14ac:dyDescent="0.15">
      <c r="T770082" s="9">
        <v>988622824073.36694</v>
      </c>
      <c r="U770082" s="9">
        <v>5641580000000</v>
      </c>
    </row>
    <row r="770083" spans="20:21" x14ac:dyDescent="0.15">
      <c r="T770083" s="9">
        <v>1027379323856.15</v>
      </c>
      <c r="U770083" s="9">
        <v>5963144000000</v>
      </c>
    </row>
    <row r="770084" spans="20:21" x14ac:dyDescent="0.15">
      <c r="T770084" s="9">
        <v>1122543272896.8301</v>
      </c>
      <c r="U770084" s="9">
        <v>6158129000000</v>
      </c>
    </row>
    <row r="770085" spans="20:21" x14ac:dyDescent="0.15">
      <c r="T770085" s="9">
        <v>1282219772946.3201</v>
      </c>
      <c r="U770085" s="9">
        <v>6520327000000</v>
      </c>
    </row>
    <row r="770086" spans="20:21" x14ac:dyDescent="0.15">
      <c r="T770086" s="9">
        <v>1460239695280.22</v>
      </c>
      <c r="U770086" s="9">
        <v>6858559000000</v>
      </c>
    </row>
    <row r="770087" spans="20:21" x14ac:dyDescent="0.15">
      <c r="T770087" s="9">
        <v>1650608320717.1299</v>
      </c>
      <c r="U770087" s="9">
        <v>7287236000000</v>
      </c>
    </row>
    <row r="770088" spans="20:21" x14ac:dyDescent="0.15">
      <c r="T770088" s="9">
        <v>1831415202548.1001</v>
      </c>
      <c r="U770088" s="9">
        <v>7639749000000</v>
      </c>
    </row>
    <row r="770089" spans="20:21" x14ac:dyDescent="0.15">
      <c r="T770089" s="9">
        <v>2013138415391.3999</v>
      </c>
      <c r="U770089" s="9">
        <v>8073122000000</v>
      </c>
    </row>
    <row r="770090" spans="20:21" x14ac:dyDescent="0.15">
      <c r="T770090" s="9">
        <v>2199087579734.8799</v>
      </c>
      <c r="U770090" s="9">
        <v>8577554457000</v>
      </c>
    </row>
    <row r="770091" spans="20:21" x14ac:dyDescent="0.15">
      <c r="T770091" s="9">
        <v>2371626931008.4102</v>
      </c>
      <c r="U770091" s="9">
        <v>9062818202000</v>
      </c>
    </row>
    <row r="770092" spans="20:21" x14ac:dyDescent="0.15">
      <c r="T770092" s="9">
        <v>2553332721355.1499</v>
      </c>
      <c r="U770092" s="9">
        <v>9631174489000</v>
      </c>
    </row>
    <row r="770093" spans="20:21" x14ac:dyDescent="0.15">
      <c r="T770093" s="9">
        <v>2770113054357.8301</v>
      </c>
      <c r="U770093" s="9">
        <v>10250947997000</v>
      </c>
    </row>
    <row r="770094" spans="20:21" x14ac:dyDescent="0.15">
      <c r="T770094" s="9">
        <v>3001022295612.3501</v>
      </c>
      <c r="U770094" s="9">
        <v>10581929774000</v>
      </c>
    </row>
    <row r="770095" spans="20:21" x14ac:dyDescent="0.15">
      <c r="T770095" s="9">
        <v>3275124592017.1602</v>
      </c>
      <c r="U770095" s="9">
        <v>10929112955000</v>
      </c>
    </row>
    <row r="770096" spans="20:21" x14ac:dyDescent="0.15">
      <c r="T770096" s="9">
        <v>3603882596858.1099</v>
      </c>
      <c r="U770096" s="9">
        <v>11456442041000</v>
      </c>
    </row>
    <row r="770097" spans="20:21" x14ac:dyDescent="0.15">
      <c r="T770097" s="9">
        <v>3968365637613.6299</v>
      </c>
      <c r="U770097" s="9">
        <v>12217193198000</v>
      </c>
    </row>
    <row r="770098" spans="20:21" x14ac:dyDescent="0.15">
      <c r="T770098" s="9">
        <v>4420544703537.2402</v>
      </c>
      <c r="U770098" s="9">
        <v>13039199193000</v>
      </c>
    </row>
    <row r="770099" spans="20:21" x14ac:dyDescent="0.15">
      <c r="T770099" s="9">
        <v>4982880235433.3896</v>
      </c>
      <c r="U770099" s="9">
        <v>13815586948000</v>
      </c>
    </row>
    <row r="770100" spans="20:21" x14ac:dyDescent="0.15">
      <c r="T770100" s="9">
        <v>5691986992199.8604</v>
      </c>
      <c r="U770100" s="9">
        <v>14474226905000</v>
      </c>
    </row>
    <row r="770101" spans="20:21" x14ac:dyDescent="0.15">
      <c r="T770101" s="9">
        <v>6241302380960.0195</v>
      </c>
      <c r="U770101" s="9">
        <v>14769857911000</v>
      </c>
    </row>
    <row r="770102" spans="20:21" x14ac:dyDescent="0.15">
      <c r="T770102" s="9">
        <v>6827905267633.6299</v>
      </c>
      <c r="U770102" s="9">
        <v>14478064934000</v>
      </c>
    </row>
    <row r="770103" spans="20:21" x14ac:dyDescent="0.15">
      <c r="T770103" s="9">
        <v>7554112468317.7305</v>
      </c>
      <c r="U770103" s="9">
        <v>15048964444000</v>
      </c>
    </row>
    <row r="770104" spans="20:21" x14ac:dyDescent="0.15">
      <c r="T770104" s="9">
        <v>8275593072769.2598</v>
      </c>
      <c r="U770104" s="9">
        <v>15599728123000</v>
      </c>
    </row>
    <row r="770105" spans="20:21" x14ac:dyDescent="0.15">
      <c r="T770105" s="9">
        <v>8926363901575.5605</v>
      </c>
      <c r="U770105" s="9">
        <v>16253972230000</v>
      </c>
    </row>
    <row r="770106" spans="20:21" x14ac:dyDescent="0.15">
      <c r="T770106" s="9">
        <v>9619598720424.4609</v>
      </c>
      <c r="U770106" s="9">
        <v>16843190993000</v>
      </c>
    </row>
    <row r="770107" spans="20:21" x14ac:dyDescent="0.15">
      <c r="T770107" s="9">
        <v>10333927386102.801</v>
      </c>
      <c r="U770107" s="9">
        <v>17550680174000</v>
      </c>
    </row>
    <row r="770108" spans="20:21" x14ac:dyDescent="0.15">
      <c r="T770108" s="9">
        <v>11061573199439.699</v>
      </c>
      <c r="U770108" s="9">
        <v>18206020741000</v>
      </c>
    </row>
    <row r="770109" spans="20:21" x14ac:dyDescent="0.15">
      <c r="T770109" s="9">
        <v>11819154044004.9</v>
      </c>
      <c r="U770109" s="9">
        <v>18695110842000</v>
      </c>
    </row>
    <row r="770110" spans="20:21" x14ac:dyDescent="0.15">
      <c r="T770110" s="9">
        <v>12640254407508.1</v>
      </c>
      <c r="U770110" s="9">
        <v>19477336549000</v>
      </c>
    </row>
    <row r="770111" spans="20:21" x14ac:dyDescent="0.15">
      <c r="T770111" s="9">
        <v>13493442991864.699</v>
      </c>
      <c r="U770111" s="9">
        <v>20533057312000</v>
      </c>
    </row>
    <row r="770112" spans="20:21" x14ac:dyDescent="0.15">
      <c r="T770112" s="9">
        <v>14296370418805.1</v>
      </c>
      <c r="U770112" s="9">
        <v>21380976119000</v>
      </c>
    </row>
    <row r="770113" spans="20:21" x14ac:dyDescent="0.15">
      <c r="T770113" s="9">
        <v>14616414450558.4</v>
      </c>
      <c r="U770113" s="9">
        <v>21060473613000</v>
      </c>
    </row>
    <row r="770114" spans="20:21" x14ac:dyDescent="0.15">
      <c r="T770114" s="9">
        <v>15851132888547.1</v>
      </c>
      <c r="U770114" s="9">
        <v>23315080560000</v>
      </c>
    </row>
    <row r="770115" spans="20:21" x14ac:dyDescent="0.15">
      <c r="T770115" s="9">
        <v>16325209299766.801</v>
      </c>
      <c r="U770115" s="9">
        <v>25462700000000</v>
      </c>
    </row>
    <row r="786433" spans="20:21" x14ac:dyDescent="0.15">
      <c r="T786433" s="9" t="s">
        <v>45</v>
      </c>
      <c r="U786433" s="9" t="s">
        <v>44</v>
      </c>
    </row>
    <row r="786434" spans="20:21" x14ac:dyDescent="0.15">
      <c r="T786434" s="9" t="s">
        <v>43</v>
      </c>
      <c r="U786434" s="9" t="s">
        <v>42</v>
      </c>
    </row>
    <row r="786435" spans="20:21" x14ac:dyDescent="0.15">
      <c r="T786435" s="9" t="s">
        <v>41</v>
      </c>
      <c r="U786435" s="9" t="s">
        <v>40</v>
      </c>
    </row>
    <row r="786436" spans="20:21" x14ac:dyDescent="0.15">
      <c r="T786436" s="9" t="s">
        <v>39</v>
      </c>
      <c r="U786436" s="9" t="s">
        <v>38</v>
      </c>
    </row>
    <row r="786437" spans="20:21" x14ac:dyDescent="0.15">
      <c r="T786437" s="9">
        <v>158907457242.42899</v>
      </c>
      <c r="U786437" s="9">
        <v>543300000000</v>
      </c>
    </row>
    <row r="786438" spans="20:21" x14ac:dyDescent="0.15">
      <c r="T786438" s="9">
        <v>115573393646.185</v>
      </c>
      <c r="U786438" s="9">
        <v>563300000000</v>
      </c>
    </row>
    <row r="786439" spans="20:21" x14ac:dyDescent="0.15">
      <c r="T786439" s="9">
        <v>109124398292.05099</v>
      </c>
      <c r="U786439" s="9">
        <v>605100000000</v>
      </c>
    </row>
    <row r="786440" spans="20:21" x14ac:dyDescent="0.15">
      <c r="T786440" s="9">
        <v>120364211312.289</v>
      </c>
      <c r="U786440" s="9">
        <v>638600000000</v>
      </c>
    </row>
    <row r="786441" spans="20:21" x14ac:dyDescent="0.15">
      <c r="T786441" s="9">
        <v>142246424921.30899</v>
      </c>
      <c r="U786441" s="9">
        <v>685800000000</v>
      </c>
    </row>
    <row r="786442" spans="20:21" x14ac:dyDescent="0.15">
      <c r="T786442" s="9">
        <v>166357193951.10501</v>
      </c>
      <c r="U786442" s="9">
        <v>743700000000</v>
      </c>
    </row>
    <row r="786443" spans="20:21" x14ac:dyDescent="0.15">
      <c r="T786443" s="9">
        <v>184074235104.24799</v>
      </c>
      <c r="U786443" s="9">
        <v>815000000000</v>
      </c>
    </row>
    <row r="786444" spans="20:21" x14ac:dyDescent="0.15">
      <c r="T786444" s="9">
        <v>173453151731.27701</v>
      </c>
      <c r="U786444" s="9">
        <v>861700000000</v>
      </c>
    </row>
    <row r="786445" spans="20:21" x14ac:dyDescent="0.15">
      <c r="T786445" s="9">
        <v>166341572533.69101</v>
      </c>
      <c r="U786445" s="9">
        <v>942500000000</v>
      </c>
    </row>
    <row r="786446" spans="20:21" x14ac:dyDescent="0.15">
      <c r="T786446" s="9">
        <v>194519834914.35999</v>
      </c>
      <c r="U786446" s="9">
        <v>1019900000000</v>
      </c>
    </row>
    <row r="786447" spans="20:21" x14ac:dyDescent="0.15">
      <c r="T786447" s="9">
        <v>232062163046.44</v>
      </c>
      <c r="U786447" s="9">
        <v>1073303000000</v>
      </c>
    </row>
    <row r="786448" spans="20:21" x14ac:dyDescent="0.15">
      <c r="T786448" s="9">
        <v>248445751754.134</v>
      </c>
      <c r="U786448" s="9">
        <v>1164850000000</v>
      </c>
    </row>
    <row r="786449" spans="20:21" x14ac:dyDescent="0.15">
      <c r="T786449" s="9">
        <v>257911534896.49799</v>
      </c>
      <c r="U786449" s="9">
        <v>1279110000000</v>
      </c>
    </row>
    <row r="786450" spans="20:21" x14ac:dyDescent="0.15">
      <c r="T786450" s="9">
        <v>277925470006.599</v>
      </c>
      <c r="U786450" s="9">
        <v>1425376000000</v>
      </c>
    </row>
    <row r="786451" spans="20:21" x14ac:dyDescent="0.15">
      <c r="T786451" s="9">
        <v>284345548371.966</v>
      </c>
      <c r="U786451" s="9">
        <v>1545243000000</v>
      </c>
    </row>
    <row r="786452" spans="20:21" x14ac:dyDescent="0.15">
      <c r="T786452" s="9">
        <v>309140480182.89801</v>
      </c>
      <c r="U786452" s="9">
        <v>1684904000000</v>
      </c>
    </row>
    <row r="786453" spans="20:21" x14ac:dyDescent="0.15">
      <c r="T786453" s="9">
        <v>304286974638.82202</v>
      </c>
      <c r="U786453" s="9">
        <v>1873412000000</v>
      </c>
    </row>
    <row r="786454" spans="20:21" x14ac:dyDescent="0.15">
      <c r="T786454" s="9">
        <v>327321498623.151</v>
      </c>
      <c r="U786454" s="9">
        <v>2081826000000</v>
      </c>
    </row>
    <row r="786455" spans="20:21" x14ac:dyDescent="0.15">
      <c r="T786455" s="9">
        <v>364393859506.91699</v>
      </c>
      <c r="U786455" s="9">
        <v>2351599000000</v>
      </c>
    </row>
    <row r="786456" spans="20:21" x14ac:dyDescent="0.15">
      <c r="T786456" s="9">
        <v>392056180496.07098</v>
      </c>
      <c r="U786456" s="9">
        <v>2627333000000</v>
      </c>
    </row>
    <row r="786457" spans="20:21" x14ac:dyDescent="0.15">
      <c r="T786457" s="9">
        <v>422770430220.08099</v>
      </c>
      <c r="U786457" s="9">
        <v>2857307000000</v>
      </c>
    </row>
    <row r="786458" spans="20:21" x14ac:dyDescent="0.15">
      <c r="T786458" s="9">
        <v>444385672278.89001</v>
      </c>
      <c r="U786458" s="9">
        <v>3207041000000</v>
      </c>
    </row>
    <row r="786459" spans="20:21" x14ac:dyDescent="0.15">
      <c r="T786459" s="9">
        <v>484456434564.98102</v>
      </c>
      <c r="U786459" s="9">
        <v>3343789000000</v>
      </c>
    </row>
    <row r="786460" spans="20:21" x14ac:dyDescent="0.15">
      <c r="T786460" s="9">
        <v>536633373623.745</v>
      </c>
      <c r="U786460" s="9">
        <v>3634038000000</v>
      </c>
    </row>
    <row r="786461" spans="20:21" x14ac:dyDescent="0.15">
      <c r="T786461" s="9">
        <v>618156247357.86304</v>
      </c>
      <c r="U786461" s="9">
        <v>4037613000000</v>
      </c>
    </row>
    <row r="786462" spans="20:21" x14ac:dyDescent="0.15">
      <c r="T786462" s="9">
        <v>701178819512.74402</v>
      </c>
      <c r="U786462" s="9">
        <v>4338979000000</v>
      </c>
    </row>
    <row r="786463" spans="20:21" x14ac:dyDescent="0.15">
      <c r="T786463" s="9">
        <v>763934055759.06604</v>
      </c>
      <c r="U786463" s="9">
        <v>4579631000000</v>
      </c>
    </row>
    <row r="786464" spans="20:21" x14ac:dyDescent="0.15">
      <c r="T786464" s="9">
        <v>852989116696.35205</v>
      </c>
      <c r="U786464" s="9">
        <v>4855215000000</v>
      </c>
    </row>
    <row r="786465" spans="20:21" x14ac:dyDescent="0.15">
      <c r="T786465" s="9">
        <v>948716630508.16699</v>
      </c>
      <c r="U786465" s="9">
        <v>5236438000000</v>
      </c>
    </row>
    <row r="786466" spans="20:21" x14ac:dyDescent="0.15">
      <c r="T786466" s="9">
        <v>988622824073.36694</v>
      </c>
      <c r="U786466" s="9">
        <v>5641580000000</v>
      </c>
    </row>
    <row r="786467" spans="20:21" x14ac:dyDescent="0.15">
      <c r="T786467" s="9">
        <v>1027379323856.15</v>
      </c>
      <c r="U786467" s="9">
        <v>5963144000000</v>
      </c>
    </row>
    <row r="786468" spans="20:21" x14ac:dyDescent="0.15">
      <c r="T786468" s="9">
        <v>1122543272896.8301</v>
      </c>
      <c r="U786468" s="9">
        <v>6158129000000</v>
      </c>
    </row>
    <row r="786469" spans="20:21" x14ac:dyDescent="0.15">
      <c r="T786469" s="9">
        <v>1282219772946.3201</v>
      </c>
      <c r="U786469" s="9">
        <v>6520327000000</v>
      </c>
    </row>
    <row r="786470" spans="20:21" x14ac:dyDescent="0.15">
      <c r="T786470" s="9">
        <v>1460239695280.22</v>
      </c>
      <c r="U786470" s="9">
        <v>6858559000000</v>
      </c>
    </row>
    <row r="786471" spans="20:21" x14ac:dyDescent="0.15">
      <c r="T786471" s="9">
        <v>1650608320717.1299</v>
      </c>
      <c r="U786471" s="9">
        <v>7287236000000</v>
      </c>
    </row>
    <row r="786472" spans="20:21" x14ac:dyDescent="0.15">
      <c r="T786472" s="9">
        <v>1831415202548.1001</v>
      </c>
      <c r="U786472" s="9">
        <v>7639749000000</v>
      </c>
    </row>
    <row r="786473" spans="20:21" x14ac:dyDescent="0.15">
      <c r="T786473" s="9">
        <v>2013138415391.3999</v>
      </c>
      <c r="U786473" s="9">
        <v>8073122000000</v>
      </c>
    </row>
    <row r="786474" spans="20:21" x14ac:dyDescent="0.15">
      <c r="T786474" s="9">
        <v>2199087579734.8799</v>
      </c>
      <c r="U786474" s="9">
        <v>8577554457000</v>
      </c>
    </row>
    <row r="786475" spans="20:21" x14ac:dyDescent="0.15">
      <c r="T786475" s="9">
        <v>2371626931008.4102</v>
      </c>
      <c r="U786475" s="9">
        <v>9062818202000</v>
      </c>
    </row>
    <row r="786476" spans="20:21" x14ac:dyDescent="0.15">
      <c r="T786476" s="9">
        <v>2553332721355.1499</v>
      </c>
      <c r="U786476" s="9">
        <v>9631174489000</v>
      </c>
    </row>
    <row r="786477" spans="20:21" x14ac:dyDescent="0.15">
      <c r="T786477" s="9">
        <v>2770113054357.8301</v>
      </c>
      <c r="U786477" s="9">
        <v>10250947997000</v>
      </c>
    </row>
    <row r="786478" spans="20:21" x14ac:dyDescent="0.15">
      <c r="T786478" s="9">
        <v>3001022295612.3501</v>
      </c>
      <c r="U786478" s="9">
        <v>10581929774000</v>
      </c>
    </row>
    <row r="786479" spans="20:21" x14ac:dyDescent="0.15">
      <c r="T786479" s="9">
        <v>3275124592017.1602</v>
      </c>
      <c r="U786479" s="9">
        <v>10929112955000</v>
      </c>
    </row>
    <row r="786480" spans="20:21" x14ac:dyDescent="0.15">
      <c r="T786480" s="9">
        <v>3603882596858.1099</v>
      </c>
      <c r="U786480" s="9">
        <v>11456442041000</v>
      </c>
    </row>
    <row r="786481" spans="20:21" x14ac:dyDescent="0.15">
      <c r="T786481" s="9">
        <v>3968365637613.6299</v>
      </c>
      <c r="U786481" s="9">
        <v>12217193198000</v>
      </c>
    </row>
    <row r="786482" spans="20:21" x14ac:dyDescent="0.15">
      <c r="T786482" s="9">
        <v>4420544703537.2402</v>
      </c>
      <c r="U786482" s="9">
        <v>13039199193000</v>
      </c>
    </row>
    <row r="786483" spans="20:21" x14ac:dyDescent="0.15">
      <c r="T786483" s="9">
        <v>4982880235433.3896</v>
      </c>
      <c r="U786483" s="9">
        <v>13815586948000</v>
      </c>
    </row>
    <row r="786484" spans="20:21" x14ac:dyDescent="0.15">
      <c r="T786484" s="9">
        <v>5691986992199.8604</v>
      </c>
      <c r="U786484" s="9">
        <v>14474226905000</v>
      </c>
    </row>
    <row r="786485" spans="20:21" x14ac:dyDescent="0.15">
      <c r="T786485" s="9">
        <v>6241302380960.0195</v>
      </c>
      <c r="U786485" s="9">
        <v>14769857911000</v>
      </c>
    </row>
    <row r="786486" spans="20:21" x14ac:dyDescent="0.15">
      <c r="T786486" s="9">
        <v>6827905267633.6299</v>
      </c>
      <c r="U786486" s="9">
        <v>14478064934000</v>
      </c>
    </row>
    <row r="786487" spans="20:21" x14ac:dyDescent="0.15">
      <c r="T786487" s="9">
        <v>7554112468317.7305</v>
      </c>
      <c r="U786487" s="9">
        <v>15048964444000</v>
      </c>
    </row>
    <row r="786488" spans="20:21" x14ac:dyDescent="0.15">
      <c r="T786488" s="9">
        <v>8275593072769.2598</v>
      </c>
      <c r="U786488" s="9">
        <v>15599728123000</v>
      </c>
    </row>
    <row r="786489" spans="20:21" x14ac:dyDescent="0.15">
      <c r="T786489" s="9">
        <v>8926363901575.5605</v>
      </c>
      <c r="U786489" s="9">
        <v>16253972230000</v>
      </c>
    </row>
    <row r="786490" spans="20:21" x14ac:dyDescent="0.15">
      <c r="T786490" s="9">
        <v>9619598720424.4609</v>
      </c>
      <c r="U786490" s="9">
        <v>16843190993000</v>
      </c>
    </row>
    <row r="786491" spans="20:21" x14ac:dyDescent="0.15">
      <c r="T786491" s="9">
        <v>10333927386102.801</v>
      </c>
      <c r="U786491" s="9">
        <v>17550680174000</v>
      </c>
    </row>
    <row r="786492" spans="20:21" x14ac:dyDescent="0.15">
      <c r="T786492" s="9">
        <v>11061573199439.699</v>
      </c>
      <c r="U786492" s="9">
        <v>18206020741000</v>
      </c>
    </row>
    <row r="786493" spans="20:21" x14ac:dyDescent="0.15">
      <c r="T786493" s="9">
        <v>11819154044004.9</v>
      </c>
      <c r="U786493" s="9">
        <v>18695110842000</v>
      </c>
    </row>
    <row r="786494" spans="20:21" x14ac:dyDescent="0.15">
      <c r="T786494" s="9">
        <v>12640254407508.1</v>
      </c>
      <c r="U786494" s="9">
        <v>19477336549000</v>
      </c>
    </row>
    <row r="786495" spans="20:21" x14ac:dyDescent="0.15">
      <c r="T786495" s="9">
        <v>13493442991864.699</v>
      </c>
      <c r="U786495" s="9">
        <v>20533057312000</v>
      </c>
    </row>
    <row r="786496" spans="20:21" x14ac:dyDescent="0.15">
      <c r="T786496" s="9">
        <v>14296370418805.1</v>
      </c>
      <c r="U786496" s="9">
        <v>21380976119000</v>
      </c>
    </row>
    <row r="786497" spans="20:21" x14ac:dyDescent="0.15">
      <c r="T786497" s="9">
        <v>14616414450558.4</v>
      </c>
      <c r="U786497" s="9">
        <v>21060473613000</v>
      </c>
    </row>
    <row r="786498" spans="20:21" x14ac:dyDescent="0.15">
      <c r="T786498" s="9">
        <v>15851132888547.1</v>
      </c>
      <c r="U786498" s="9">
        <v>23315080560000</v>
      </c>
    </row>
    <row r="786499" spans="20:21" x14ac:dyDescent="0.15">
      <c r="T786499" s="9">
        <v>16325209299766.801</v>
      </c>
      <c r="U786499" s="9">
        <v>25462700000000</v>
      </c>
    </row>
    <row r="802817" spans="20:21" x14ac:dyDescent="0.15">
      <c r="T802817" s="9" t="s">
        <v>45</v>
      </c>
      <c r="U802817" s="9" t="s">
        <v>44</v>
      </c>
    </row>
    <row r="802818" spans="20:21" x14ac:dyDescent="0.15">
      <c r="T802818" s="9" t="s">
        <v>43</v>
      </c>
      <c r="U802818" s="9" t="s">
        <v>42</v>
      </c>
    </row>
    <row r="802819" spans="20:21" x14ac:dyDescent="0.15">
      <c r="T802819" s="9" t="s">
        <v>41</v>
      </c>
      <c r="U802819" s="9" t="s">
        <v>40</v>
      </c>
    </row>
    <row r="802820" spans="20:21" x14ac:dyDescent="0.15">
      <c r="T802820" s="9" t="s">
        <v>39</v>
      </c>
      <c r="U802820" s="9" t="s">
        <v>38</v>
      </c>
    </row>
    <row r="802821" spans="20:21" x14ac:dyDescent="0.15">
      <c r="T802821" s="9">
        <v>158907457242.42899</v>
      </c>
      <c r="U802821" s="9">
        <v>543300000000</v>
      </c>
    </row>
    <row r="802822" spans="20:21" x14ac:dyDescent="0.15">
      <c r="T802822" s="9">
        <v>115573393646.185</v>
      </c>
      <c r="U802822" s="9">
        <v>563300000000</v>
      </c>
    </row>
    <row r="802823" spans="20:21" x14ac:dyDescent="0.15">
      <c r="T802823" s="9">
        <v>109124398292.05099</v>
      </c>
      <c r="U802823" s="9">
        <v>605100000000</v>
      </c>
    </row>
    <row r="802824" spans="20:21" x14ac:dyDescent="0.15">
      <c r="T802824" s="9">
        <v>120364211312.289</v>
      </c>
      <c r="U802824" s="9">
        <v>638600000000</v>
      </c>
    </row>
    <row r="802825" spans="20:21" x14ac:dyDescent="0.15">
      <c r="T802825" s="9">
        <v>142246424921.30899</v>
      </c>
      <c r="U802825" s="9">
        <v>685800000000</v>
      </c>
    </row>
    <row r="802826" spans="20:21" x14ac:dyDescent="0.15">
      <c r="T802826" s="9">
        <v>166357193951.10501</v>
      </c>
      <c r="U802826" s="9">
        <v>743700000000</v>
      </c>
    </row>
    <row r="802827" spans="20:21" x14ac:dyDescent="0.15">
      <c r="T802827" s="9">
        <v>184074235104.24799</v>
      </c>
      <c r="U802827" s="9">
        <v>815000000000</v>
      </c>
    </row>
    <row r="802828" spans="20:21" x14ac:dyDescent="0.15">
      <c r="T802828" s="9">
        <v>173453151731.27701</v>
      </c>
      <c r="U802828" s="9">
        <v>861700000000</v>
      </c>
    </row>
    <row r="802829" spans="20:21" x14ac:dyDescent="0.15">
      <c r="T802829" s="9">
        <v>166341572533.69101</v>
      </c>
      <c r="U802829" s="9">
        <v>942500000000</v>
      </c>
    </row>
    <row r="802830" spans="20:21" x14ac:dyDescent="0.15">
      <c r="T802830" s="9">
        <v>194519834914.35999</v>
      </c>
      <c r="U802830" s="9">
        <v>1019900000000</v>
      </c>
    </row>
    <row r="802831" spans="20:21" x14ac:dyDescent="0.15">
      <c r="T802831" s="9">
        <v>232062163046.44</v>
      </c>
      <c r="U802831" s="9">
        <v>1073303000000</v>
      </c>
    </row>
    <row r="802832" spans="20:21" x14ac:dyDescent="0.15">
      <c r="T802832" s="9">
        <v>248445751754.134</v>
      </c>
      <c r="U802832" s="9">
        <v>1164850000000</v>
      </c>
    </row>
    <row r="802833" spans="20:21" x14ac:dyDescent="0.15">
      <c r="T802833" s="9">
        <v>257911534896.49799</v>
      </c>
      <c r="U802833" s="9">
        <v>1279110000000</v>
      </c>
    </row>
    <row r="802834" spans="20:21" x14ac:dyDescent="0.15">
      <c r="T802834" s="9">
        <v>277925470006.599</v>
      </c>
      <c r="U802834" s="9">
        <v>1425376000000</v>
      </c>
    </row>
    <row r="802835" spans="20:21" x14ac:dyDescent="0.15">
      <c r="T802835" s="9">
        <v>284345548371.966</v>
      </c>
      <c r="U802835" s="9">
        <v>1545243000000</v>
      </c>
    </row>
    <row r="802836" spans="20:21" x14ac:dyDescent="0.15">
      <c r="T802836" s="9">
        <v>309140480182.89801</v>
      </c>
      <c r="U802836" s="9">
        <v>1684904000000</v>
      </c>
    </row>
    <row r="802837" spans="20:21" x14ac:dyDescent="0.15">
      <c r="T802837" s="9">
        <v>304286974638.82202</v>
      </c>
      <c r="U802837" s="9">
        <v>1873412000000</v>
      </c>
    </row>
    <row r="802838" spans="20:21" x14ac:dyDescent="0.15">
      <c r="T802838" s="9">
        <v>327321498623.151</v>
      </c>
      <c r="U802838" s="9">
        <v>2081826000000</v>
      </c>
    </row>
    <row r="802839" spans="20:21" x14ac:dyDescent="0.15">
      <c r="T802839" s="9">
        <v>364393859506.91699</v>
      </c>
      <c r="U802839" s="9">
        <v>2351599000000</v>
      </c>
    </row>
    <row r="802840" spans="20:21" x14ac:dyDescent="0.15">
      <c r="T802840" s="9">
        <v>392056180496.07098</v>
      </c>
      <c r="U802840" s="9">
        <v>2627333000000</v>
      </c>
    </row>
    <row r="802841" spans="20:21" x14ac:dyDescent="0.15">
      <c r="T802841" s="9">
        <v>422770430220.08099</v>
      </c>
      <c r="U802841" s="9">
        <v>2857307000000</v>
      </c>
    </row>
    <row r="802842" spans="20:21" x14ac:dyDescent="0.15">
      <c r="T802842" s="9">
        <v>444385672278.89001</v>
      </c>
      <c r="U802842" s="9">
        <v>3207041000000</v>
      </c>
    </row>
    <row r="802843" spans="20:21" x14ac:dyDescent="0.15">
      <c r="T802843" s="9">
        <v>484456434564.98102</v>
      </c>
      <c r="U802843" s="9">
        <v>3343789000000</v>
      </c>
    </row>
    <row r="802844" spans="20:21" x14ac:dyDescent="0.15">
      <c r="T802844" s="9">
        <v>536633373623.745</v>
      </c>
      <c r="U802844" s="9">
        <v>3634038000000</v>
      </c>
    </row>
    <row r="802845" spans="20:21" x14ac:dyDescent="0.15">
      <c r="T802845" s="9">
        <v>618156247357.86304</v>
      </c>
      <c r="U802845" s="9">
        <v>4037613000000</v>
      </c>
    </row>
    <row r="802846" spans="20:21" x14ac:dyDescent="0.15">
      <c r="T802846" s="9">
        <v>701178819512.74402</v>
      </c>
      <c r="U802846" s="9">
        <v>4338979000000</v>
      </c>
    </row>
    <row r="802847" spans="20:21" x14ac:dyDescent="0.15">
      <c r="T802847" s="9">
        <v>763934055759.06604</v>
      </c>
      <c r="U802847" s="9">
        <v>4579631000000</v>
      </c>
    </row>
    <row r="802848" spans="20:21" x14ac:dyDescent="0.15">
      <c r="T802848" s="9">
        <v>852989116696.35205</v>
      </c>
      <c r="U802848" s="9">
        <v>4855215000000</v>
      </c>
    </row>
    <row r="802849" spans="20:21" x14ac:dyDescent="0.15">
      <c r="T802849" s="9">
        <v>948716630508.16699</v>
      </c>
      <c r="U802849" s="9">
        <v>5236438000000</v>
      </c>
    </row>
    <row r="802850" spans="20:21" x14ac:dyDescent="0.15">
      <c r="T802850" s="9">
        <v>988622824073.36694</v>
      </c>
      <c r="U802850" s="9">
        <v>5641580000000</v>
      </c>
    </row>
    <row r="802851" spans="20:21" x14ac:dyDescent="0.15">
      <c r="T802851" s="9">
        <v>1027379323856.15</v>
      </c>
      <c r="U802851" s="9">
        <v>5963144000000</v>
      </c>
    </row>
    <row r="802852" spans="20:21" x14ac:dyDescent="0.15">
      <c r="T802852" s="9">
        <v>1122543272896.8301</v>
      </c>
      <c r="U802852" s="9">
        <v>6158129000000</v>
      </c>
    </row>
    <row r="802853" spans="20:21" x14ac:dyDescent="0.15">
      <c r="T802853" s="9">
        <v>1282219772946.3201</v>
      </c>
      <c r="U802853" s="9">
        <v>6520327000000</v>
      </c>
    </row>
    <row r="802854" spans="20:21" x14ac:dyDescent="0.15">
      <c r="T802854" s="9">
        <v>1460239695280.22</v>
      </c>
      <c r="U802854" s="9">
        <v>6858559000000</v>
      </c>
    </row>
    <row r="802855" spans="20:21" x14ac:dyDescent="0.15">
      <c r="T802855" s="9">
        <v>1650608320717.1299</v>
      </c>
      <c r="U802855" s="9">
        <v>7287236000000</v>
      </c>
    </row>
    <row r="802856" spans="20:21" x14ac:dyDescent="0.15">
      <c r="T802856" s="9">
        <v>1831415202548.1001</v>
      </c>
      <c r="U802856" s="9">
        <v>7639749000000</v>
      </c>
    </row>
    <row r="802857" spans="20:21" x14ac:dyDescent="0.15">
      <c r="T802857" s="9">
        <v>2013138415391.3999</v>
      </c>
      <c r="U802857" s="9">
        <v>8073122000000</v>
      </c>
    </row>
    <row r="802858" spans="20:21" x14ac:dyDescent="0.15">
      <c r="T802858" s="9">
        <v>2199087579734.8799</v>
      </c>
      <c r="U802858" s="9">
        <v>8577554457000</v>
      </c>
    </row>
    <row r="802859" spans="20:21" x14ac:dyDescent="0.15">
      <c r="T802859" s="9">
        <v>2371626931008.4102</v>
      </c>
      <c r="U802859" s="9">
        <v>9062818202000</v>
      </c>
    </row>
    <row r="802860" spans="20:21" x14ac:dyDescent="0.15">
      <c r="T802860" s="9">
        <v>2553332721355.1499</v>
      </c>
      <c r="U802860" s="9">
        <v>9631174489000</v>
      </c>
    </row>
    <row r="802861" spans="20:21" x14ac:dyDescent="0.15">
      <c r="T802861" s="9">
        <v>2770113054357.8301</v>
      </c>
      <c r="U802861" s="9">
        <v>10250947997000</v>
      </c>
    </row>
    <row r="802862" spans="20:21" x14ac:dyDescent="0.15">
      <c r="T802862" s="9">
        <v>3001022295612.3501</v>
      </c>
      <c r="U802862" s="9">
        <v>10581929774000</v>
      </c>
    </row>
    <row r="802863" spans="20:21" x14ac:dyDescent="0.15">
      <c r="T802863" s="9">
        <v>3275124592017.1602</v>
      </c>
      <c r="U802863" s="9">
        <v>10929112955000</v>
      </c>
    </row>
    <row r="802864" spans="20:21" x14ac:dyDescent="0.15">
      <c r="T802864" s="9">
        <v>3603882596858.1099</v>
      </c>
      <c r="U802864" s="9">
        <v>11456442041000</v>
      </c>
    </row>
    <row r="802865" spans="20:21" x14ac:dyDescent="0.15">
      <c r="T802865" s="9">
        <v>3968365637613.6299</v>
      </c>
      <c r="U802865" s="9">
        <v>12217193198000</v>
      </c>
    </row>
    <row r="802866" spans="20:21" x14ac:dyDescent="0.15">
      <c r="T802866" s="9">
        <v>4420544703537.2402</v>
      </c>
      <c r="U802866" s="9">
        <v>13039199193000</v>
      </c>
    </row>
    <row r="802867" spans="20:21" x14ac:dyDescent="0.15">
      <c r="T802867" s="9">
        <v>4982880235433.3896</v>
      </c>
      <c r="U802867" s="9">
        <v>13815586948000</v>
      </c>
    </row>
    <row r="802868" spans="20:21" x14ac:dyDescent="0.15">
      <c r="T802868" s="9">
        <v>5691986992199.8604</v>
      </c>
      <c r="U802868" s="9">
        <v>14474226905000</v>
      </c>
    </row>
    <row r="802869" spans="20:21" x14ac:dyDescent="0.15">
      <c r="T802869" s="9">
        <v>6241302380960.0195</v>
      </c>
      <c r="U802869" s="9">
        <v>14769857911000</v>
      </c>
    </row>
    <row r="802870" spans="20:21" x14ac:dyDescent="0.15">
      <c r="T802870" s="9">
        <v>6827905267633.6299</v>
      </c>
      <c r="U802870" s="9">
        <v>14478064934000</v>
      </c>
    </row>
    <row r="802871" spans="20:21" x14ac:dyDescent="0.15">
      <c r="T802871" s="9">
        <v>7554112468317.7305</v>
      </c>
      <c r="U802871" s="9">
        <v>15048964444000</v>
      </c>
    </row>
    <row r="802872" spans="20:21" x14ac:dyDescent="0.15">
      <c r="T802872" s="9">
        <v>8275593072769.2598</v>
      </c>
      <c r="U802872" s="9">
        <v>15599728123000</v>
      </c>
    </row>
    <row r="802873" spans="20:21" x14ac:dyDescent="0.15">
      <c r="T802873" s="9">
        <v>8926363901575.5605</v>
      </c>
      <c r="U802873" s="9">
        <v>16253972230000</v>
      </c>
    </row>
    <row r="802874" spans="20:21" x14ac:dyDescent="0.15">
      <c r="T802874" s="9">
        <v>9619598720424.4609</v>
      </c>
      <c r="U802874" s="9">
        <v>16843190993000</v>
      </c>
    </row>
    <row r="802875" spans="20:21" x14ac:dyDescent="0.15">
      <c r="T802875" s="9">
        <v>10333927386102.801</v>
      </c>
      <c r="U802875" s="9">
        <v>17550680174000</v>
      </c>
    </row>
    <row r="802876" spans="20:21" x14ac:dyDescent="0.15">
      <c r="T802876" s="9">
        <v>11061573199439.699</v>
      </c>
      <c r="U802876" s="9">
        <v>18206020741000</v>
      </c>
    </row>
    <row r="802877" spans="20:21" x14ac:dyDescent="0.15">
      <c r="T802877" s="9">
        <v>11819154044004.9</v>
      </c>
      <c r="U802877" s="9">
        <v>18695110842000</v>
      </c>
    </row>
    <row r="802878" spans="20:21" x14ac:dyDescent="0.15">
      <c r="T802878" s="9">
        <v>12640254407508.1</v>
      </c>
      <c r="U802878" s="9">
        <v>19477336549000</v>
      </c>
    </row>
    <row r="802879" spans="20:21" x14ac:dyDescent="0.15">
      <c r="T802879" s="9">
        <v>13493442991864.699</v>
      </c>
      <c r="U802879" s="9">
        <v>20533057312000</v>
      </c>
    </row>
    <row r="802880" spans="20:21" x14ac:dyDescent="0.15">
      <c r="T802880" s="9">
        <v>14296370418805.1</v>
      </c>
      <c r="U802880" s="9">
        <v>21380976119000</v>
      </c>
    </row>
    <row r="802881" spans="20:21" x14ac:dyDescent="0.15">
      <c r="T802881" s="9">
        <v>14616414450558.4</v>
      </c>
      <c r="U802881" s="9">
        <v>21060473613000</v>
      </c>
    </row>
    <row r="802882" spans="20:21" x14ac:dyDescent="0.15">
      <c r="T802882" s="9">
        <v>15851132888547.1</v>
      </c>
      <c r="U802882" s="9">
        <v>23315080560000</v>
      </c>
    </row>
    <row r="802883" spans="20:21" x14ac:dyDescent="0.15">
      <c r="T802883" s="9">
        <v>16325209299766.801</v>
      </c>
      <c r="U802883" s="9">
        <v>25462700000000</v>
      </c>
    </row>
    <row r="819201" spans="20:21" x14ac:dyDescent="0.15">
      <c r="T819201" s="9" t="s">
        <v>45</v>
      </c>
      <c r="U819201" s="9" t="s">
        <v>44</v>
      </c>
    </row>
    <row r="819202" spans="20:21" x14ac:dyDescent="0.15">
      <c r="T819202" s="9" t="s">
        <v>43</v>
      </c>
      <c r="U819202" s="9" t="s">
        <v>42</v>
      </c>
    </row>
    <row r="819203" spans="20:21" x14ac:dyDescent="0.15">
      <c r="T819203" s="9" t="s">
        <v>41</v>
      </c>
      <c r="U819203" s="9" t="s">
        <v>40</v>
      </c>
    </row>
    <row r="819204" spans="20:21" x14ac:dyDescent="0.15">
      <c r="T819204" s="9" t="s">
        <v>39</v>
      </c>
      <c r="U819204" s="9" t="s">
        <v>38</v>
      </c>
    </row>
    <row r="819205" spans="20:21" x14ac:dyDescent="0.15">
      <c r="T819205" s="9">
        <v>158907457242.42899</v>
      </c>
      <c r="U819205" s="9">
        <v>543300000000</v>
      </c>
    </row>
    <row r="819206" spans="20:21" x14ac:dyDescent="0.15">
      <c r="T819206" s="9">
        <v>115573393646.185</v>
      </c>
      <c r="U819206" s="9">
        <v>563300000000</v>
      </c>
    </row>
    <row r="819207" spans="20:21" x14ac:dyDescent="0.15">
      <c r="T819207" s="9">
        <v>109124398292.05099</v>
      </c>
      <c r="U819207" s="9">
        <v>605100000000</v>
      </c>
    </row>
    <row r="819208" spans="20:21" x14ac:dyDescent="0.15">
      <c r="T819208" s="9">
        <v>120364211312.289</v>
      </c>
      <c r="U819208" s="9">
        <v>638600000000</v>
      </c>
    </row>
    <row r="819209" spans="20:21" x14ac:dyDescent="0.15">
      <c r="T819209" s="9">
        <v>142246424921.30899</v>
      </c>
      <c r="U819209" s="9">
        <v>685800000000</v>
      </c>
    </row>
    <row r="819210" spans="20:21" x14ac:dyDescent="0.15">
      <c r="T819210" s="9">
        <v>166357193951.10501</v>
      </c>
      <c r="U819210" s="9">
        <v>743700000000</v>
      </c>
    </row>
    <row r="819211" spans="20:21" x14ac:dyDescent="0.15">
      <c r="T819211" s="9">
        <v>184074235104.24799</v>
      </c>
      <c r="U819211" s="9">
        <v>815000000000</v>
      </c>
    </row>
    <row r="819212" spans="20:21" x14ac:dyDescent="0.15">
      <c r="T819212" s="9">
        <v>173453151731.27701</v>
      </c>
      <c r="U819212" s="9">
        <v>861700000000</v>
      </c>
    </row>
    <row r="819213" spans="20:21" x14ac:dyDescent="0.15">
      <c r="T819213" s="9">
        <v>166341572533.69101</v>
      </c>
      <c r="U819213" s="9">
        <v>942500000000</v>
      </c>
    </row>
    <row r="819214" spans="20:21" x14ac:dyDescent="0.15">
      <c r="T819214" s="9">
        <v>194519834914.35999</v>
      </c>
      <c r="U819214" s="9">
        <v>1019900000000</v>
      </c>
    </row>
    <row r="819215" spans="20:21" x14ac:dyDescent="0.15">
      <c r="T819215" s="9">
        <v>232062163046.44</v>
      </c>
      <c r="U819215" s="9">
        <v>1073303000000</v>
      </c>
    </row>
    <row r="819216" spans="20:21" x14ac:dyDescent="0.15">
      <c r="T819216" s="9">
        <v>248445751754.134</v>
      </c>
      <c r="U819216" s="9">
        <v>1164850000000</v>
      </c>
    </row>
    <row r="819217" spans="20:21" x14ac:dyDescent="0.15">
      <c r="T819217" s="9">
        <v>257911534896.49799</v>
      </c>
      <c r="U819217" s="9">
        <v>1279110000000</v>
      </c>
    </row>
    <row r="819218" spans="20:21" x14ac:dyDescent="0.15">
      <c r="T819218" s="9">
        <v>277925470006.599</v>
      </c>
      <c r="U819218" s="9">
        <v>1425376000000</v>
      </c>
    </row>
    <row r="819219" spans="20:21" x14ac:dyDescent="0.15">
      <c r="T819219" s="9">
        <v>284345548371.966</v>
      </c>
      <c r="U819219" s="9">
        <v>1545243000000</v>
      </c>
    </row>
    <row r="819220" spans="20:21" x14ac:dyDescent="0.15">
      <c r="T819220" s="9">
        <v>309140480182.89801</v>
      </c>
      <c r="U819220" s="9">
        <v>1684904000000</v>
      </c>
    </row>
    <row r="819221" spans="20:21" x14ac:dyDescent="0.15">
      <c r="T819221" s="9">
        <v>304286974638.82202</v>
      </c>
      <c r="U819221" s="9">
        <v>1873412000000</v>
      </c>
    </row>
    <row r="819222" spans="20:21" x14ac:dyDescent="0.15">
      <c r="T819222" s="9">
        <v>327321498623.151</v>
      </c>
      <c r="U819222" s="9">
        <v>2081826000000</v>
      </c>
    </row>
    <row r="819223" spans="20:21" x14ac:dyDescent="0.15">
      <c r="T819223" s="9">
        <v>364393859506.91699</v>
      </c>
      <c r="U819223" s="9">
        <v>2351599000000</v>
      </c>
    </row>
    <row r="819224" spans="20:21" x14ac:dyDescent="0.15">
      <c r="T819224" s="9">
        <v>392056180496.07098</v>
      </c>
      <c r="U819224" s="9">
        <v>2627333000000</v>
      </c>
    </row>
    <row r="819225" spans="20:21" x14ac:dyDescent="0.15">
      <c r="T819225" s="9">
        <v>422770430220.08099</v>
      </c>
      <c r="U819225" s="9">
        <v>2857307000000</v>
      </c>
    </row>
    <row r="819226" spans="20:21" x14ac:dyDescent="0.15">
      <c r="T819226" s="9">
        <v>444385672278.89001</v>
      </c>
      <c r="U819226" s="9">
        <v>3207041000000</v>
      </c>
    </row>
    <row r="819227" spans="20:21" x14ac:dyDescent="0.15">
      <c r="T819227" s="9">
        <v>484456434564.98102</v>
      </c>
      <c r="U819227" s="9">
        <v>3343789000000</v>
      </c>
    </row>
    <row r="819228" spans="20:21" x14ac:dyDescent="0.15">
      <c r="T819228" s="9">
        <v>536633373623.745</v>
      </c>
      <c r="U819228" s="9">
        <v>3634038000000</v>
      </c>
    </row>
    <row r="819229" spans="20:21" x14ac:dyDescent="0.15">
      <c r="T819229" s="9">
        <v>618156247357.86304</v>
      </c>
      <c r="U819229" s="9">
        <v>4037613000000</v>
      </c>
    </row>
    <row r="819230" spans="20:21" x14ac:dyDescent="0.15">
      <c r="T819230" s="9">
        <v>701178819512.74402</v>
      </c>
      <c r="U819230" s="9">
        <v>4338979000000</v>
      </c>
    </row>
    <row r="819231" spans="20:21" x14ac:dyDescent="0.15">
      <c r="T819231" s="9">
        <v>763934055759.06604</v>
      </c>
      <c r="U819231" s="9">
        <v>4579631000000</v>
      </c>
    </row>
    <row r="819232" spans="20:21" x14ac:dyDescent="0.15">
      <c r="T819232" s="9">
        <v>852989116696.35205</v>
      </c>
      <c r="U819232" s="9">
        <v>4855215000000</v>
      </c>
    </row>
    <row r="819233" spans="20:21" x14ac:dyDescent="0.15">
      <c r="T819233" s="9">
        <v>948716630508.16699</v>
      </c>
      <c r="U819233" s="9">
        <v>5236438000000</v>
      </c>
    </row>
    <row r="819234" spans="20:21" x14ac:dyDescent="0.15">
      <c r="T819234" s="9">
        <v>988622824073.36694</v>
      </c>
      <c r="U819234" s="9">
        <v>5641580000000</v>
      </c>
    </row>
    <row r="819235" spans="20:21" x14ac:dyDescent="0.15">
      <c r="T819235" s="9">
        <v>1027379323856.15</v>
      </c>
      <c r="U819235" s="9">
        <v>5963144000000</v>
      </c>
    </row>
    <row r="819236" spans="20:21" x14ac:dyDescent="0.15">
      <c r="T819236" s="9">
        <v>1122543272896.8301</v>
      </c>
      <c r="U819236" s="9">
        <v>6158129000000</v>
      </c>
    </row>
    <row r="819237" spans="20:21" x14ac:dyDescent="0.15">
      <c r="T819237" s="9">
        <v>1282219772946.3201</v>
      </c>
      <c r="U819237" s="9">
        <v>6520327000000</v>
      </c>
    </row>
    <row r="819238" spans="20:21" x14ac:dyDescent="0.15">
      <c r="T819238" s="9">
        <v>1460239695280.22</v>
      </c>
      <c r="U819238" s="9">
        <v>6858559000000</v>
      </c>
    </row>
    <row r="819239" spans="20:21" x14ac:dyDescent="0.15">
      <c r="T819239" s="9">
        <v>1650608320717.1299</v>
      </c>
      <c r="U819239" s="9">
        <v>7287236000000</v>
      </c>
    </row>
    <row r="819240" spans="20:21" x14ac:dyDescent="0.15">
      <c r="T819240" s="9">
        <v>1831415202548.1001</v>
      </c>
      <c r="U819240" s="9">
        <v>7639749000000</v>
      </c>
    </row>
    <row r="819241" spans="20:21" x14ac:dyDescent="0.15">
      <c r="T819241" s="9">
        <v>2013138415391.3999</v>
      </c>
      <c r="U819241" s="9">
        <v>8073122000000</v>
      </c>
    </row>
    <row r="819242" spans="20:21" x14ac:dyDescent="0.15">
      <c r="T819242" s="9">
        <v>2199087579734.8799</v>
      </c>
      <c r="U819242" s="9">
        <v>8577554457000</v>
      </c>
    </row>
    <row r="819243" spans="20:21" x14ac:dyDescent="0.15">
      <c r="T819243" s="9">
        <v>2371626931008.4102</v>
      </c>
      <c r="U819243" s="9">
        <v>9062818202000</v>
      </c>
    </row>
    <row r="819244" spans="20:21" x14ac:dyDescent="0.15">
      <c r="T819244" s="9">
        <v>2553332721355.1499</v>
      </c>
      <c r="U819244" s="9">
        <v>9631174489000</v>
      </c>
    </row>
    <row r="819245" spans="20:21" x14ac:dyDescent="0.15">
      <c r="T819245" s="9">
        <v>2770113054357.8301</v>
      </c>
      <c r="U819245" s="9">
        <v>10250947997000</v>
      </c>
    </row>
    <row r="819246" spans="20:21" x14ac:dyDescent="0.15">
      <c r="T819246" s="9">
        <v>3001022295612.3501</v>
      </c>
      <c r="U819246" s="9">
        <v>10581929774000</v>
      </c>
    </row>
    <row r="819247" spans="20:21" x14ac:dyDescent="0.15">
      <c r="T819247" s="9">
        <v>3275124592017.1602</v>
      </c>
      <c r="U819247" s="9">
        <v>10929112955000</v>
      </c>
    </row>
    <row r="819248" spans="20:21" x14ac:dyDescent="0.15">
      <c r="T819248" s="9">
        <v>3603882596858.1099</v>
      </c>
      <c r="U819248" s="9">
        <v>11456442041000</v>
      </c>
    </row>
    <row r="819249" spans="20:21" x14ac:dyDescent="0.15">
      <c r="T819249" s="9">
        <v>3968365637613.6299</v>
      </c>
      <c r="U819249" s="9">
        <v>12217193198000</v>
      </c>
    </row>
    <row r="819250" spans="20:21" x14ac:dyDescent="0.15">
      <c r="T819250" s="9">
        <v>4420544703537.2402</v>
      </c>
      <c r="U819250" s="9">
        <v>13039199193000</v>
      </c>
    </row>
    <row r="819251" spans="20:21" x14ac:dyDescent="0.15">
      <c r="T819251" s="9">
        <v>4982880235433.3896</v>
      </c>
      <c r="U819251" s="9">
        <v>13815586948000</v>
      </c>
    </row>
    <row r="819252" spans="20:21" x14ac:dyDescent="0.15">
      <c r="T819252" s="9">
        <v>5691986992199.8604</v>
      </c>
      <c r="U819252" s="9">
        <v>14474226905000</v>
      </c>
    </row>
    <row r="819253" spans="20:21" x14ac:dyDescent="0.15">
      <c r="T819253" s="9">
        <v>6241302380960.0195</v>
      </c>
      <c r="U819253" s="9">
        <v>14769857911000</v>
      </c>
    </row>
    <row r="819254" spans="20:21" x14ac:dyDescent="0.15">
      <c r="T819254" s="9">
        <v>6827905267633.6299</v>
      </c>
      <c r="U819254" s="9">
        <v>14478064934000</v>
      </c>
    </row>
    <row r="819255" spans="20:21" x14ac:dyDescent="0.15">
      <c r="T819255" s="9">
        <v>7554112468317.7305</v>
      </c>
      <c r="U819255" s="9">
        <v>15048964444000</v>
      </c>
    </row>
    <row r="819256" spans="20:21" x14ac:dyDescent="0.15">
      <c r="T819256" s="9">
        <v>8275593072769.2598</v>
      </c>
      <c r="U819256" s="9">
        <v>15599728123000</v>
      </c>
    </row>
    <row r="819257" spans="20:21" x14ac:dyDescent="0.15">
      <c r="T819257" s="9">
        <v>8926363901575.5605</v>
      </c>
      <c r="U819257" s="9">
        <v>16253972230000</v>
      </c>
    </row>
    <row r="819258" spans="20:21" x14ac:dyDescent="0.15">
      <c r="T819258" s="9">
        <v>9619598720424.4609</v>
      </c>
      <c r="U819258" s="9">
        <v>16843190993000</v>
      </c>
    </row>
    <row r="819259" spans="20:21" x14ac:dyDescent="0.15">
      <c r="T819259" s="9">
        <v>10333927386102.801</v>
      </c>
      <c r="U819259" s="9">
        <v>17550680174000</v>
      </c>
    </row>
    <row r="819260" spans="20:21" x14ac:dyDescent="0.15">
      <c r="T819260" s="9">
        <v>11061573199439.699</v>
      </c>
      <c r="U819260" s="9">
        <v>18206020741000</v>
      </c>
    </row>
    <row r="819261" spans="20:21" x14ac:dyDescent="0.15">
      <c r="T819261" s="9">
        <v>11819154044004.9</v>
      </c>
      <c r="U819261" s="9">
        <v>18695110842000</v>
      </c>
    </row>
    <row r="819262" spans="20:21" x14ac:dyDescent="0.15">
      <c r="T819262" s="9">
        <v>12640254407508.1</v>
      </c>
      <c r="U819262" s="9">
        <v>19477336549000</v>
      </c>
    </row>
    <row r="819263" spans="20:21" x14ac:dyDescent="0.15">
      <c r="T819263" s="9">
        <v>13493442991864.699</v>
      </c>
      <c r="U819263" s="9">
        <v>20533057312000</v>
      </c>
    </row>
    <row r="819264" spans="20:21" x14ac:dyDescent="0.15">
      <c r="T819264" s="9">
        <v>14296370418805.1</v>
      </c>
      <c r="U819264" s="9">
        <v>21380976119000</v>
      </c>
    </row>
    <row r="819265" spans="20:21" x14ac:dyDescent="0.15">
      <c r="T819265" s="9">
        <v>14616414450558.4</v>
      </c>
      <c r="U819265" s="9">
        <v>21060473613000</v>
      </c>
    </row>
    <row r="819266" spans="20:21" x14ac:dyDescent="0.15">
      <c r="T819266" s="9">
        <v>15851132888547.1</v>
      </c>
      <c r="U819266" s="9">
        <v>23315080560000</v>
      </c>
    </row>
    <row r="819267" spans="20:21" x14ac:dyDescent="0.15">
      <c r="T819267" s="9">
        <v>16325209299766.801</v>
      </c>
      <c r="U819267" s="9">
        <v>25462700000000</v>
      </c>
    </row>
    <row r="835585" spans="20:21" x14ac:dyDescent="0.15">
      <c r="T835585" s="9" t="s">
        <v>45</v>
      </c>
      <c r="U835585" s="9" t="s">
        <v>44</v>
      </c>
    </row>
    <row r="835586" spans="20:21" x14ac:dyDescent="0.15">
      <c r="T835586" s="9" t="s">
        <v>43</v>
      </c>
      <c r="U835586" s="9" t="s">
        <v>42</v>
      </c>
    </row>
    <row r="835587" spans="20:21" x14ac:dyDescent="0.15">
      <c r="T835587" s="9" t="s">
        <v>41</v>
      </c>
      <c r="U835587" s="9" t="s">
        <v>40</v>
      </c>
    </row>
    <row r="835588" spans="20:21" x14ac:dyDescent="0.15">
      <c r="T835588" s="9" t="s">
        <v>39</v>
      </c>
      <c r="U835588" s="9" t="s">
        <v>38</v>
      </c>
    </row>
    <row r="835589" spans="20:21" x14ac:dyDescent="0.15">
      <c r="T835589" s="9">
        <v>158907457242.42899</v>
      </c>
      <c r="U835589" s="9">
        <v>543300000000</v>
      </c>
    </row>
    <row r="835590" spans="20:21" x14ac:dyDescent="0.15">
      <c r="T835590" s="9">
        <v>115573393646.185</v>
      </c>
      <c r="U835590" s="9">
        <v>563300000000</v>
      </c>
    </row>
    <row r="835591" spans="20:21" x14ac:dyDescent="0.15">
      <c r="T835591" s="9">
        <v>109124398292.05099</v>
      </c>
      <c r="U835591" s="9">
        <v>605100000000</v>
      </c>
    </row>
    <row r="835592" spans="20:21" x14ac:dyDescent="0.15">
      <c r="T835592" s="9">
        <v>120364211312.289</v>
      </c>
      <c r="U835592" s="9">
        <v>638600000000</v>
      </c>
    </row>
    <row r="835593" spans="20:21" x14ac:dyDescent="0.15">
      <c r="T835593" s="9">
        <v>142246424921.30899</v>
      </c>
      <c r="U835593" s="9">
        <v>685800000000</v>
      </c>
    </row>
    <row r="835594" spans="20:21" x14ac:dyDescent="0.15">
      <c r="T835594" s="9">
        <v>166357193951.10501</v>
      </c>
      <c r="U835594" s="9">
        <v>743700000000</v>
      </c>
    </row>
    <row r="835595" spans="20:21" x14ac:dyDescent="0.15">
      <c r="T835595" s="9">
        <v>184074235104.24799</v>
      </c>
      <c r="U835595" s="9">
        <v>815000000000</v>
      </c>
    </row>
    <row r="835596" spans="20:21" x14ac:dyDescent="0.15">
      <c r="T835596" s="9">
        <v>173453151731.27701</v>
      </c>
      <c r="U835596" s="9">
        <v>861700000000</v>
      </c>
    </row>
    <row r="835597" spans="20:21" x14ac:dyDescent="0.15">
      <c r="T835597" s="9">
        <v>166341572533.69101</v>
      </c>
      <c r="U835597" s="9">
        <v>942500000000</v>
      </c>
    </row>
    <row r="835598" spans="20:21" x14ac:dyDescent="0.15">
      <c r="T835598" s="9">
        <v>194519834914.35999</v>
      </c>
      <c r="U835598" s="9">
        <v>1019900000000</v>
      </c>
    </row>
    <row r="835599" spans="20:21" x14ac:dyDescent="0.15">
      <c r="T835599" s="9">
        <v>232062163046.44</v>
      </c>
      <c r="U835599" s="9">
        <v>1073303000000</v>
      </c>
    </row>
    <row r="835600" spans="20:21" x14ac:dyDescent="0.15">
      <c r="T835600" s="9">
        <v>248445751754.134</v>
      </c>
      <c r="U835600" s="9">
        <v>1164850000000</v>
      </c>
    </row>
    <row r="835601" spans="20:21" x14ac:dyDescent="0.15">
      <c r="T835601" s="9">
        <v>257911534896.49799</v>
      </c>
      <c r="U835601" s="9">
        <v>1279110000000</v>
      </c>
    </row>
    <row r="835602" spans="20:21" x14ac:dyDescent="0.15">
      <c r="T835602" s="9">
        <v>277925470006.599</v>
      </c>
      <c r="U835602" s="9">
        <v>1425376000000</v>
      </c>
    </row>
    <row r="835603" spans="20:21" x14ac:dyDescent="0.15">
      <c r="T835603" s="9">
        <v>284345548371.966</v>
      </c>
      <c r="U835603" s="9">
        <v>1545243000000</v>
      </c>
    </row>
    <row r="835604" spans="20:21" x14ac:dyDescent="0.15">
      <c r="T835604" s="9">
        <v>309140480182.89801</v>
      </c>
      <c r="U835604" s="9">
        <v>1684904000000</v>
      </c>
    </row>
    <row r="835605" spans="20:21" x14ac:dyDescent="0.15">
      <c r="T835605" s="9">
        <v>304286974638.82202</v>
      </c>
      <c r="U835605" s="9">
        <v>1873412000000</v>
      </c>
    </row>
    <row r="835606" spans="20:21" x14ac:dyDescent="0.15">
      <c r="T835606" s="9">
        <v>327321498623.151</v>
      </c>
      <c r="U835606" s="9">
        <v>2081826000000</v>
      </c>
    </row>
    <row r="835607" spans="20:21" x14ac:dyDescent="0.15">
      <c r="T835607" s="9">
        <v>364393859506.91699</v>
      </c>
      <c r="U835607" s="9">
        <v>2351599000000</v>
      </c>
    </row>
    <row r="835608" spans="20:21" x14ac:dyDescent="0.15">
      <c r="T835608" s="9">
        <v>392056180496.07098</v>
      </c>
      <c r="U835608" s="9">
        <v>2627333000000</v>
      </c>
    </row>
    <row r="835609" spans="20:21" x14ac:dyDescent="0.15">
      <c r="T835609" s="9">
        <v>422770430220.08099</v>
      </c>
      <c r="U835609" s="9">
        <v>2857307000000</v>
      </c>
    </row>
    <row r="835610" spans="20:21" x14ac:dyDescent="0.15">
      <c r="T835610" s="9">
        <v>444385672278.89001</v>
      </c>
      <c r="U835610" s="9">
        <v>3207041000000</v>
      </c>
    </row>
    <row r="835611" spans="20:21" x14ac:dyDescent="0.15">
      <c r="T835611" s="9">
        <v>484456434564.98102</v>
      </c>
      <c r="U835611" s="9">
        <v>3343789000000</v>
      </c>
    </row>
    <row r="835612" spans="20:21" x14ac:dyDescent="0.15">
      <c r="T835612" s="9">
        <v>536633373623.745</v>
      </c>
      <c r="U835612" s="9">
        <v>3634038000000</v>
      </c>
    </row>
    <row r="835613" spans="20:21" x14ac:dyDescent="0.15">
      <c r="T835613" s="9">
        <v>618156247357.86304</v>
      </c>
      <c r="U835613" s="9">
        <v>4037613000000</v>
      </c>
    </row>
    <row r="835614" spans="20:21" x14ac:dyDescent="0.15">
      <c r="T835614" s="9">
        <v>701178819512.74402</v>
      </c>
      <c r="U835614" s="9">
        <v>4338979000000</v>
      </c>
    </row>
    <row r="835615" spans="20:21" x14ac:dyDescent="0.15">
      <c r="T835615" s="9">
        <v>763934055759.06604</v>
      </c>
      <c r="U835615" s="9">
        <v>4579631000000</v>
      </c>
    </row>
    <row r="835616" spans="20:21" x14ac:dyDescent="0.15">
      <c r="T835616" s="9">
        <v>852989116696.35205</v>
      </c>
      <c r="U835616" s="9">
        <v>4855215000000</v>
      </c>
    </row>
    <row r="835617" spans="20:21" x14ac:dyDescent="0.15">
      <c r="T835617" s="9">
        <v>948716630508.16699</v>
      </c>
      <c r="U835617" s="9">
        <v>5236438000000</v>
      </c>
    </row>
    <row r="835618" spans="20:21" x14ac:dyDescent="0.15">
      <c r="T835618" s="9">
        <v>988622824073.36694</v>
      </c>
      <c r="U835618" s="9">
        <v>5641580000000</v>
      </c>
    </row>
    <row r="835619" spans="20:21" x14ac:dyDescent="0.15">
      <c r="T835619" s="9">
        <v>1027379323856.15</v>
      </c>
      <c r="U835619" s="9">
        <v>5963144000000</v>
      </c>
    </row>
    <row r="835620" spans="20:21" x14ac:dyDescent="0.15">
      <c r="T835620" s="9">
        <v>1122543272896.8301</v>
      </c>
      <c r="U835620" s="9">
        <v>6158129000000</v>
      </c>
    </row>
    <row r="835621" spans="20:21" x14ac:dyDescent="0.15">
      <c r="T835621" s="9">
        <v>1282219772946.3201</v>
      </c>
      <c r="U835621" s="9">
        <v>6520327000000</v>
      </c>
    </row>
    <row r="835622" spans="20:21" x14ac:dyDescent="0.15">
      <c r="T835622" s="9">
        <v>1460239695280.22</v>
      </c>
      <c r="U835622" s="9">
        <v>6858559000000</v>
      </c>
    </row>
    <row r="835623" spans="20:21" x14ac:dyDescent="0.15">
      <c r="T835623" s="9">
        <v>1650608320717.1299</v>
      </c>
      <c r="U835623" s="9">
        <v>7287236000000</v>
      </c>
    </row>
    <row r="835624" spans="20:21" x14ac:dyDescent="0.15">
      <c r="T835624" s="9">
        <v>1831415202548.1001</v>
      </c>
      <c r="U835624" s="9">
        <v>7639749000000</v>
      </c>
    </row>
    <row r="835625" spans="20:21" x14ac:dyDescent="0.15">
      <c r="T835625" s="9">
        <v>2013138415391.3999</v>
      </c>
      <c r="U835625" s="9">
        <v>8073122000000</v>
      </c>
    </row>
    <row r="835626" spans="20:21" x14ac:dyDescent="0.15">
      <c r="T835626" s="9">
        <v>2199087579734.8799</v>
      </c>
      <c r="U835626" s="9">
        <v>8577554457000</v>
      </c>
    </row>
    <row r="835627" spans="20:21" x14ac:dyDescent="0.15">
      <c r="T835627" s="9">
        <v>2371626931008.4102</v>
      </c>
      <c r="U835627" s="9">
        <v>9062818202000</v>
      </c>
    </row>
    <row r="835628" spans="20:21" x14ac:dyDescent="0.15">
      <c r="T835628" s="9">
        <v>2553332721355.1499</v>
      </c>
      <c r="U835628" s="9">
        <v>9631174489000</v>
      </c>
    </row>
    <row r="835629" spans="20:21" x14ac:dyDescent="0.15">
      <c r="T835629" s="9">
        <v>2770113054357.8301</v>
      </c>
      <c r="U835629" s="9">
        <v>10250947997000</v>
      </c>
    </row>
    <row r="835630" spans="20:21" x14ac:dyDescent="0.15">
      <c r="T835630" s="9">
        <v>3001022295612.3501</v>
      </c>
      <c r="U835630" s="9">
        <v>10581929774000</v>
      </c>
    </row>
    <row r="835631" spans="20:21" x14ac:dyDescent="0.15">
      <c r="T835631" s="9">
        <v>3275124592017.1602</v>
      </c>
      <c r="U835631" s="9">
        <v>10929112955000</v>
      </c>
    </row>
    <row r="835632" spans="20:21" x14ac:dyDescent="0.15">
      <c r="T835632" s="9">
        <v>3603882596858.1099</v>
      </c>
      <c r="U835632" s="9">
        <v>11456442041000</v>
      </c>
    </row>
    <row r="835633" spans="20:21" x14ac:dyDescent="0.15">
      <c r="T835633" s="9">
        <v>3968365637613.6299</v>
      </c>
      <c r="U835633" s="9">
        <v>12217193198000</v>
      </c>
    </row>
    <row r="835634" spans="20:21" x14ac:dyDescent="0.15">
      <c r="T835634" s="9">
        <v>4420544703537.2402</v>
      </c>
      <c r="U835634" s="9">
        <v>13039199193000</v>
      </c>
    </row>
    <row r="835635" spans="20:21" x14ac:dyDescent="0.15">
      <c r="T835635" s="9">
        <v>4982880235433.3896</v>
      </c>
      <c r="U835635" s="9">
        <v>13815586948000</v>
      </c>
    </row>
    <row r="835636" spans="20:21" x14ac:dyDescent="0.15">
      <c r="T835636" s="9">
        <v>5691986992199.8604</v>
      </c>
      <c r="U835636" s="9">
        <v>14474226905000</v>
      </c>
    </row>
    <row r="835637" spans="20:21" x14ac:dyDescent="0.15">
      <c r="T835637" s="9">
        <v>6241302380960.0195</v>
      </c>
      <c r="U835637" s="9">
        <v>14769857911000</v>
      </c>
    </row>
    <row r="835638" spans="20:21" x14ac:dyDescent="0.15">
      <c r="T835638" s="9">
        <v>6827905267633.6299</v>
      </c>
      <c r="U835638" s="9">
        <v>14478064934000</v>
      </c>
    </row>
    <row r="835639" spans="20:21" x14ac:dyDescent="0.15">
      <c r="T835639" s="9">
        <v>7554112468317.7305</v>
      </c>
      <c r="U835639" s="9">
        <v>15048964444000</v>
      </c>
    </row>
    <row r="835640" spans="20:21" x14ac:dyDescent="0.15">
      <c r="T835640" s="9">
        <v>8275593072769.2598</v>
      </c>
      <c r="U835640" s="9">
        <v>15599728123000</v>
      </c>
    </row>
    <row r="835641" spans="20:21" x14ac:dyDescent="0.15">
      <c r="T835641" s="9">
        <v>8926363901575.5605</v>
      </c>
      <c r="U835641" s="9">
        <v>16253972230000</v>
      </c>
    </row>
    <row r="835642" spans="20:21" x14ac:dyDescent="0.15">
      <c r="T835642" s="9">
        <v>9619598720424.4609</v>
      </c>
      <c r="U835642" s="9">
        <v>16843190993000</v>
      </c>
    </row>
    <row r="835643" spans="20:21" x14ac:dyDescent="0.15">
      <c r="T835643" s="9">
        <v>10333927386102.801</v>
      </c>
      <c r="U835643" s="9">
        <v>17550680174000</v>
      </c>
    </row>
    <row r="835644" spans="20:21" x14ac:dyDescent="0.15">
      <c r="T835644" s="9">
        <v>11061573199439.699</v>
      </c>
      <c r="U835644" s="9">
        <v>18206020741000</v>
      </c>
    </row>
    <row r="835645" spans="20:21" x14ac:dyDescent="0.15">
      <c r="T835645" s="9">
        <v>11819154044004.9</v>
      </c>
      <c r="U835645" s="9">
        <v>18695110842000</v>
      </c>
    </row>
    <row r="835646" spans="20:21" x14ac:dyDescent="0.15">
      <c r="T835646" s="9">
        <v>12640254407508.1</v>
      </c>
      <c r="U835646" s="9">
        <v>19477336549000</v>
      </c>
    </row>
    <row r="835647" spans="20:21" x14ac:dyDescent="0.15">
      <c r="T835647" s="9">
        <v>13493442991864.699</v>
      </c>
      <c r="U835647" s="9">
        <v>20533057312000</v>
      </c>
    </row>
    <row r="835648" spans="20:21" x14ac:dyDescent="0.15">
      <c r="T835648" s="9">
        <v>14296370418805.1</v>
      </c>
      <c r="U835648" s="9">
        <v>21380976119000</v>
      </c>
    </row>
    <row r="835649" spans="20:21" x14ac:dyDescent="0.15">
      <c r="T835649" s="9">
        <v>14616414450558.4</v>
      </c>
      <c r="U835649" s="9">
        <v>21060473613000</v>
      </c>
    </row>
    <row r="835650" spans="20:21" x14ac:dyDescent="0.15">
      <c r="T835650" s="9">
        <v>15851132888547.1</v>
      </c>
      <c r="U835650" s="9">
        <v>23315080560000</v>
      </c>
    </row>
    <row r="835651" spans="20:21" x14ac:dyDescent="0.15">
      <c r="T835651" s="9">
        <v>16325209299766.801</v>
      </c>
      <c r="U835651" s="9">
        <v>25462700000000</v>
      </c>
    </row>
    <row r="851969" spans="20:21" x14ac:dyDescent="0.15">
      <c r="T851969" s="9" t="s">
        <v>45</v>
      </c>
      <c r="U851969" s="9" t="s">
        <v>44</v>
      </c>
    </row>
    <row r="851970" spans="20:21" x14ac:dyDescent="0.15">
      <c r="T851970" s="9" t="s">
        <v>43</v>
      </c>
      <c r="U851970" s="9" t="s">
        <v>42</v>
      </c>
    </row>
    <row r="851971" spans="20:21" x14ac:dyDescent="0.15">
      <c r="T851971" s="9" t="s">
        <v>41</v>
      </c>
      <c r="U851971" s="9" t="s">
        <v>40</v>
      </c>
    </row>
    <row r="851972" spans="20:21" x14ac:dyDescent="0.15">
      <c r="T851972" s="9" t="s">
        <v>39</v>
      </c>
      <c r="U851972" s="9" t="s">
        <v>38</v>
      </c>
    </row>
    <row r="851973" spans="20:21" x14ac:dyDescent="0.15">
      <c r="T851973" s="9">
        <v>158907457242.42899</v>
      </c>
      <c r="U851973" s="9">
        <v>543300000000</v>
      </c>
    </row>
    <row r="851974" spans="20:21" x14ac:dyDescent="0.15">
      <c r="T851974" s="9">
        <v>115573393646.185</v>
      </c>
      <c r="U851974" s="9">
        <v>563300000000</v>
      </c>
    </row>
    <row r="851975" spans="20:21" x14ac:dyDescent="0.15">
      <c r="T851975" s="9">
        <v>109124398292.05099</v>
      </c>
      <c r="U851975" s="9">
        <v>605100000000</v>
      </c>
    </row>
    <row r="851976" spans="20:21" x14ac:dyDescent="0.15">
      <c r="T851976" s="9">
        <v>120364211312.289</v>
      </c>
      <c r="U851976" s="9">
        <v>638600000000</v>
      </c>
    </row>
    <row r="851977" spans="20:21" x14ac:dyDescent="0.15">
      <c r="T851977" s="9">
        <v>142246424921.30899</v>
      </c>
      <c r="U851977" s="9">
        <v>685800000000</v>
      </c>
    </row>
    <row r="851978" spans="20:21" x14ac:dyDescent="0.15">
      <c r="T851978" s="9">
        <v>166357193951.10501</v>
      </c>
      <c r="U851978" s="9">
        <v>743700000000</v>
      </c>
    </row>
    <row r="851979" spans="20:21" x14ac:dyDescent="0.15">
      <c r="T851979" s="9">
        <v>184074235104.24799</v>
      </c>
      <c r="U851979" s="9">
        <v>815000000000</v>
      </c>
    </row>
    <row r="851980" spans="20:21" x14ac:dyDescent="0.15">
      <c r="T851980" s="9">
        <v>173453151731.27701</v>
      </c>
      <c r="U851980" s="9">
        <v>861700000000</v>
      </c>
    </row>
    <row r="851981" spans="20:21" x14ac:dyDescent="0.15">
      <c r="T851981" s="9">
        <v>166341572533.69101</v>
      </c>
      <c r="U851981" s="9">
        <v>942500000000</v>
      </c>
    </row>
    <row r="851982" spans="20:21" x14ac:dyDescent="0.15">
      <c r="T851982" s="9">
        <v>194519834914.35999</v>
      </c>
      <c r="U851982" s="9">
        <v>1019900000000</v>
      </c>
    </row>
    <row r="851983" spans="20:21" x14ac:dyDescent="0.15">
      <c r="T851983" s="9">
        <v>232062163046.44</v>
      </c>
      <c r="U851983" s="9">
        <v>1073303000000</v>
      </c>
    </row>
    <row r="851984" spans="20:21" x14ac:dyDescent="0.15">
      <c r="T851984" s="9">
        <v>248445751754.134</v>
      </c>
      <c r="U851984" s="9">
        <v>1164850000000</v>
      </c>
    </row>
    <row r="851985" spans="20:21" x14ac:dyDescent="0.15">
      <c r="T851985" s="9">
        <v>257911534896.49799</v>
      </c>
      <c r="U851985" s="9">
        <v>1279110000000</v>
      </c>
    </row>
    <row r="851986" spans="20:21" x14ac:dyDescent="0.15">
      <c r="T851986" s="9">
        <v>277925470006.599</v>
      </c>
      <c r="U851986" s="9">
        <v>1425376000000</v>
      </c>
    </row>
    <row r="851987" spans="20:21" x14ac:dyDescent="0.15">
      <c r="T851987" s="9">
        <v>284345548371.966</v>
      </c>
      <c r="U851987" s="9">
        <v>1545243000000</v>
      </c>
    </row>
    <row r="851988" spans="20:21" x14ac:dyDescent="0.15">
      <c r="T851988" s="9">
        <v>309140480182.89801</v>
      </c>
      <c r="U851988" s="9">
        <v>1684904000000</v>
      </c>
    </row>
    <row r="851989" spans="20:21" x14ac:dyDescent="0.15">
      <c r="T851989" s="9">
        <v>304286974638.82202</v>
      </c>
      <c r="U851989" s="9">
        <v>1873412000000</v>
      </c>
    </row>
    <row r="851990" spans="20:21" x14ac:dyDescent="0.15">
      <c r="T851990" s="9">
        <v>327321498623.151</v>
      </c>
      <c r="U851990" s="9">
        <v>2081826000000</v>
      </c>
    </row>
    <row r="851991" spans="20:21" x14ac:dyDescent="0.15">
      <c r="T851991" s="9">
        <v>364393859506.91699</v>
      </c>
      <c r="U851991" s="9">
        <v>2351599000000</v>
      </c>
    </row>
    <row r="851992" spans="20:21" x14ac:dyDescent="0.15">
      <c r="T851992" s="9">
        <v>392056180496.07098</v>
      </c>
      <c r="U851992" s="9">
        <v>2627333000000</v>
      </c>
    </row>
    <row r="851993" spans="20:21" x14ac:dyDescent="0.15">
      <c r="T851993" s="9">
        <v>422770430220.08099</v>
      </c>
      <c r="U851993" s="9">
        <v>2857307000000</v>
      </c>
    </row>
    <row r="851994" spans="20:21" x14ac:dyDescent="0.15">
      <c r="T851994" s="9">
        <v>444385672278.89001</v>
      </c>
      <c r="U851994" s="9">
        <v>3207041000000</v>
      </c>
    </row>
    <row r="851995" spans="20:21" x14ac:dyDescent="0.15">
      <c r="T851995" s="9">
        <v>484456434564.98102</v>
      </c>
      <c r="U851995" s="9">
        <v>3343789000000</v>
      </c>
    </row>
    <row r="851996" spans="20:21" x14ac:dyDescent="0.15">
      <c r="T851996" s="9">
        <v>536633373623.745</v>
      </c>
      <c r="U851996" s="9">
        <v>3634038000000</v>
      </c>
    </row>
    <row r="851997" spans="20:21" x14ac:dyDescent="0.15">
      <c r="T851997" s="9">
        <v>618156247357.86304</v>
      </c>
      <c r="U851997" s="9">
        <v>4037613000000</v>
      </c>
    </row>
    <row r="851998" spans="20:21" x14ac:dyDescent="0.15">
      <c r="T851998" s="9">
        <v>701178819512.74402</v>
      </c>
      <c r="U851998" s="9">
        <v>4338979000000</v>
      </c>
    </row>
    <row r="851999" spans="20:21" x14ac:dyDescent="0.15">
      <c r="T851999" s="9">
        <v>763934055759.06604</v>
      </c>
      <c r="U851999" s="9">
        <v>4579631000000</v>
      </c>
    </row>
    <row r="852000" spans="20:21" x14ac:dyDescent="0.15">
      <c r="T852000" s="9">
        <v>852989116696.35205</v>
      </c>
      <c r="U852000" s="9">
        <v>4855215000000</v>
      </c>
    </row>
    <row r="852001" spans="20:21" x14ac:dyDescent="0.15">
      <c r="T852001" s="9">
        <v>948716630508.16699</v>
      </c>
      <c r="U852001" s="9">
        <v>5236438000000</v>
      </c>
    </row>
    <row r="852002" spans="20:21" x14ac:dyDescent="0.15">
      <c r="T852002" s="9">
        <v>988622824073.36694</v>
      </c>
      <c r="U852002" s="9">
        <v>5641580000000</v>
      </c>
    </row>
    <row r="852003" spans="20:21" x14ac:dyDescent="0.15">
      <c r="T852003" s="9">
        <v>1027379323856.15</v>
      </c>
      <c r="U852003" s="9">
        <v>5963144000000</v>
      </c>
    </row>
    <row r="852004" spans="20:21" x14ac:dyDescent="0.15">
      <c r="T852004" s="9">
        <v>1122543272896.8301</v>
      </c>
      <c r="U852004" s="9">
        <v>6158129000000</v>
      </c>
    </row>
    <row r="852005" spans="20:21" x14ac:dyDescent="0.15">
      <c r="T852005" s="9">
        <v>1282219772946.3201</v>
      </c>
      <c r="U852005" s="9">
        <v>6520327000000</v>
      </c>
    </row>
    <row r="852006" spans="20:21" x14ac:dyDescent="0.15">
      <c r="T852006" s="9">
        <v>1460239695280.22</v>
      </c>
      <c r="U852006" s="9">
        <v>6858559000000</v>
      </c>
    </row>
    <row r="852007" spans="20:21" x14ac:dyDescent="0.15">
      <c r="T852007" s="9">
        <v>1650608320717.1299</v>
      </c>
      <c r="U852007" s="9">
        <v>7287236000000</v>
      </c>
    </row>
    <row r="852008" spans="20:21" x14ac:dyDescent="0.15">
      <c r="T852008" s="9">
        <v>1831415202548.1001</v>
      </c>
      <c r="U852008" s="9">
        <v>7639749000000</v>
      </c>
    </row>
    <row r="852009" spans="20:21" x14ac:dyDescent="0.15">
      <c r="T852009" s="9">
        <v>2013138415391.3999</v>
      </c>
      <c r="U852009" s="9">
        <v>8073122000000</v>
      </c>
    </row>
    <row r="852010" spans="20:21" x14ac:dyDescent="0.15">
      <c r="T852010" s="9">
        <v>2199087579734.8799</v>
      </c>
      <c r="U852010" s="9">
        <v>8577554457000</v>
      </c>
    </row>
    <row r="852011" spans="20:21" x14ac:dyDescent="0.15">
      <c r="T852011" s="9">
        <v>2371626931008.4102</v>
      </c>
      <c r="U852011" s="9">
        <v>9062818202000</v>
      </c>
    </row>
    <row r="852012" spans="20:21" x14ac:dyDescent="0.15">
      <c r="T852012" s="9">
        <v>2553332721355.1499</v>
      </c>
      <c r="U852012" s="9">
        <v>9631174489000</v>
      </c>
    </row>
    <row r="852013" spans="20:21" x14ac:dyDescent="0.15">
      <c r="T852013" s="9">
        <v>2770113054357.8301</v>
      </c>
      <c r="U852013" s="9">
        <v>10250947997000</v>
      </c>
    </row>
    <row r="852014" spans="20:21" x14ac:dyDescent="0.15">
      <c r="T852014" s="9">
        <v>3001022295612.3501</v>
      </c>
      <c r="U852014" s="9">
        <v>10581929774000</v>
      </c>
    </row>
    <row r="852015" spans="20:21" x14ac:dyDescent="0.15">
      <c r="T852015" s="9">
        <v>3275124592017.1602</v>
      </c>
      <c r="U852015" s="9">
        <v>10929112955000</v>
      </c>
    </row>
    <row r="852016" spans="20:21" x14ac:dyDescent="0.15">
      <c r="T852016" s="9">
        <v>3603882596858.1099</v>
      </c>
      <c r="U852016" s="9">
        <v>11456442041000</v>
      </c>
    </row>
    <row r="852017" spans="20:21" x14ac:dyDescent="0.15">
      <c r="T852017" s="9">
        <v>3968365637613.6299</v>
      </c>
      <c r="U852017" s="9">
        <v>12217193198000</v>
      </c>
    </row>
    <row r="852018" spans="20:21" x14ac:dyDescent="0.15">
      <c r="T852018" s="9">
        <v>4420544703537.2402</v>
      </c>
      <c r="U852018" s="9">
        <v>13039199193000</v>
      </c>
    </row>
    <row r="852019" spans="20:21" x14ac:dyDescent="0.15">
      <c r="T852019" s="9">
        <v>4982880235433.3896</v>
      </c>
      <c r="U852019" s="9">
        <v>13815586948000</v>
      </c>
    </row>
    <row r="852020" spans="20:21" x14ac:dyDescent="0.15">
      <c r="T852020" s="9">
        <v>5691986992199.8604</v>
      </c>
      <c r="U852020" s="9">
        <v>14474226905000</v>
      </c>
    </row>
    <row r="852021" spans="20:21" x14ac:dyDescent="0.15">
      <c r="T852021" s="9">
        <v>6241302380960.0195</v>
      </c>
      <c r="U852021" s="9">
        <v>14769857911000</v>
      </c>
    </row>
    <row r="852022" spans="20:21" x14ac:dyDescent="0.15">
      <c r="T852022" s="9">
        <v>6827905267633.6299</v>
      </c>
      <c r="U852022" s="9">
        <v>14478064934000</v>
      </c>
    </row>
    <row r="852023" spans="20:21" x14ac:dyDescent="0.15">
      <c r="T852023" s="9">
        <v>7554112468317.7305</v>
      </c>
      <c r="U852023" s="9">
        <v>15048964444000</v>
      </c>
    </row>
    <row r="852024" spans="20:21" x14ac:dyDescent="0.15">
      <c r="T852024" s="9">
        <v>8275593072769.2598</v>
      </c>
      <c r="U852024" s="9">
        <v>15599728123000</v>
      </c>
    </row>
    <row r="852025" spans="20:21" x14ac:dyDescent="0.15">
      <c r="T852025" s="9">
        <v>8926363901575.5605</v>
      </c>
      <c r="U852025" s="9">
        <v>16253972230000</v>
      </c>
    </row>
    <row r="852026" spans="20:21" x14ac:dyDescent="0.15">
      <c r="T852026" s="9">
        <v>9619598720424.4609</v>
      </c>
      <c r="U852026" s="9">
        <v>16843190993000</v>
      </c>
    </row>
    <row r="852027" spans="20:21" x14ac:dyDescent="0.15">
      <c r="T852027" s="9">
        <v>10333927386102.801</v>
      </c>
      <c r="U852027" s="9">
        <v>17550680174000</v>
      </c>
    </row>
    <row r="852028" spans="20:21" x14ac:dyDescent="0.15">
      <c r="T852028" s="9">
        <v>11061573199439.699</v>
      </c>
      <c r="U852028" s="9">
        <v>18206020741000</v>
      </c>
    </row>
    <row r="852029" spans="20:21" x14ac:dyDescent="0.15">
      <c r="T852029" s="9">
        <v>11819154044004.9</v>
      </c>
      <c r="U852029" s="9">
        <v>18695110842000</v>
      </c>
    </row>
    <row r="852030" spans="20:21" x14ac:dyDescent="0.15">
      <c r="T852030" s="9">
        <v>12640254407508.1</v>
      </c>
      <c r="U852030" s="9">
        <v>19477336549000</v>
      </c>
    </row>
    <row r="852031" spans="20:21" x14ac:dyDescent="0.15">
      <c r="T852031" s="9">
        <v>13493442991864.699</v>
      </c>
      <c r="U852031" s="9">
        <v>20533057312000</v>
      </c>
    </row>
    <row r="852032" spans="20:21" x14ac:dyDescent="0.15">
      <c r="T852032" s="9">
        <v>14296370418805.1</v>
      </c>
      <c r="U852032" s="9">
        <v>21380976119000</v>
      </c>
    </row>
    <row r="852033" spans="20:21" x14ac:dyDescent="0.15">
      <c r="T852033" s="9">
        <v>14616414450558.4</v>
      </c>
      <c r="U852033" s="9">
        <v>21060473613000</v>
      </c>
    </row>
    <row r="852034" spans="20:21" x14ac:dyDescent="0.15">
      <c r="T852034" s="9">
        <v>15851132888547.1</v>
      </c>
      <c r="U852034" s="9">
        <v>23315080560000</v>
      </c>
    </row>
    <row r="852035" spans="20:21" x14ac:dyDescent="0.15">
      <c r="T852035" s="9">
        <v>16325209299766.801</v>
      </c>
      <c r="U852035" s="9">
        <v>25462700000000</v>
      </c>
    </row>
    <row r="868353" spans="20:21" x14ac:dyDescent="0.15">
      <c r="T868353" s="9" t="s">
        <v>45</v>
      </c>
      <c r="U868353" s="9" t="s">
        <v>44</v>
      </c>
    </row>
    <row r="868354" spans="20:21" x14ac:dyDescent="0.15">
      <c r="T868354" s="9" t="s">
        <v>43</v>
      </c>
      <c r="U868354" s="9" t="s">
        <v>42</v>
      </c>
    </row>
    <row r="868355" spans="20:21" x14ac:dyDescent="0.15">
      <c r="T868355" s="9" t="s">
        <v>41</v>
      </c>
      <c r="U868355" s="9" t="s">
        <v>40</v>
      </c>
    </row>
    <row r="868356" spans="20:21" x14ac:dyDescent="0.15">
      <c r="T868356" s="9" t="s">
        <v>39</v>
      </c>
      <c r="U868356" s="9" t="s">
        <v>38</v>
      </c>
    </row>
    <row r="868357" spans="20:21" x14ac:dyDescent="0.15">
      <c r="T868357" s="9">
        <v>158907457242.42899</v>
      </c>
      <c r="U868357" s="9">
        <v>543300000000</v>
      </c>
    </row>
    <row r="868358" spans="20:21" x14ac:dyDescent="0.15">
      <c r="T868358" s="9">
        <v>115573393646.185</v>
      </c>
      <c r="U868358" s="9">
        <v>563300000000</v>
      </c>
    </row>
    <row r="868359" spans="20:21" x14ac:dyDescent="0.15">
      <c r="T868359" s="9">
        <v>109124398292.05099</v>
      </c>
      <c r="U868359" s="9">
        <v>605100000000</v>
      </c>
    </row>
    <row r="868360" spans="20:21" x14ac:dyDescent="0.15">
      <c r="T868360" s="9">
        <v>120364211312.289</v>
      </c>
      <c r="U868360" s="9">
        <v>638600000000</v>
      </c>
    </row>
    <row r="868361" spans="20:21" x14ac:dyDescent="0.15">
      <c r="T868361" s="9">
        <v>142246424921.30899</v>
      </c>
      <c r="U868361" s="9">
        <v>685800000000</v>
      </c>
    </row>
    <row r="868362" spans="20:21" x14ac:dyDescent="0.15">
      <c r="T868362" s="9">
        <v>166357193951.10501</v>
      </c>
      <c r="U868362" s="9">
        <v>743700000000</v>
      </c>
    </row>
    <row r="868363" spans="20:21" x14ac:dyDescent="0.15">
      <c r="T868363" s="9">
        <v>184074235104.24799</v>
      </c>
      <c r="U868363" s="9">
        <v>815000000000</v>
      </c>
    </row>
    <row r="868364" spans="20:21" x14ac:dyDescent="0.15">
      <c r="T868364" s="9">
        <v>173453151731.27701</v>
      </c>
      <c r="U868364" s="9">
        <v>861700000000</v>
      </c>
    </row>
    <row r="868365" spans="20:21" x14ac:dyDescent="0.15">
      <c r="T868365" s="9">
        <v>166341572533.69101</v>
      </c>
      <c r="U868365" s="9">
        <v>942500000000</v>
      </c>
    </row>
    <row r="868366" spans="20:21" x14ac:dyDescent="0.15">
      <c r="T868366" s="9">
        <v>194519834914.35999</v>
      </c>
      <c r="U868366" s="9">
        <v>1019900000000</v>
      </c>
    </row>
    <row r="868367" spans="20:21" x14ac:dyDescent="0.15">
      <c r="T868367" s="9">
        <v>232062163046.44</v>
      </c>
      <c r="U868367" s="9">
        <v>1073303000000</v>
      </c>
    </row>
    <row r="868368" spans="20:21" x14ac:dyDescent="0.15">
      <c r="T868368" s="9">
        <v>248445751754.134</v>
      </c>
      <c r="U868368" s="9">
        <v>1164850000000</v>
      </c>
    </row>
    <row r="868369" spans="20:21" x14ac:dyDescent="0.15">
      <c r="T868369" s="9">
        <v>257911534896.49799</v>
      </c>
      <c r="U868369" s="9">
        <v>1279110000000</v>
      </c>
    </row>
    <row r="868370" spans="20:21" x14ac:dyDescent="0.15">
      <c r="T868370" s="9">
        <v>277925470006.599</v>
      </c>
      <c r="U868370" s="9">
        <v>1425376000000</v>
      </c>
    </row>
    <row r="868371" spans="20:21" x14ac:dyDescent="0.15">
      <c r="T868371" s="9">
        <v>284345548371.966</v>
      </c>
      <c r="U868371" s="9">
        <v>1545243000000</v>
      </c>
    </row>
    <row r="868372" spans="20:21" x14ac:dyDescent="0.15">
      <c r="T868372" s="9">
        <v>309140480182.89801</v>
      </c>
      <c r="U868372" s="9">
        <v>1684904000000</v>
      </c>
    </row>
    <row r="868373" spans="20:21" x14ac:dyDescent="0.15">
      <c r="T868373" s="9">
        <v>304286974638.82202</v>
      </c>
      <c r="U868373" s="9">
        <v>1873412000000</v>
      </c>
    </row>
    <row r="868374" spans="20:21" x14ac:dyDescent="0.15">
      <c r="T868374" s="9">
        <v>327321498623.151</v>
      </c>
      <c r="U868374" s="9">
        <v>2081826000000</v>
      </c>
    </row>
    <row r="868375" spans="20:21" x14ac:dyDescent="0.15">
      <c r="T868375" s="9">
        <v>364393859506.91699</v>
      </c>
      <c r="U868375" s="9">
        <v>2351599000000</v>
      </c>
    </row>
    <row r="868376" spans="20:21" x14ac:dyDescent="0.15">
      <c r="T868376" s="9">
        <v>392056180496.07098</v>
      </c>
      <c r="U868376" s="9">
        <v>2627333000000</v>
      </c>
    </row>
    <row r="868377" spans="20:21" x14ac:dyDescent="0.15">
      <c r="T868377" s="9">
        <v>422770430220.08099</v>
      </c>
      <c r="U868377" s="9">
        <v>2857307000000</v>
      </c>
    </row>
    <row r="868378" spans="20:21" x14ac:dyDescent="0.15">
      <c r="T868378" s="9">
        <v>444385672278.89001</v>
      </c>
      <c r="U868378" s="9">
        <v>3207041000000</v>
      </c>
    </row>
    <row r="868379" spans="20:21" x14ac:dyDescent="0.15">
      <c r="T868379" s="9">
        <v>484456434564.98102</v>
      </c>
      <c r="U868379" s="9">
        <v>3343789000000</v>
      </c>
    </row>
    <row r="868380" spans="20:21" x14ac:dyDescent="0.15">
      <c r="T868380" s="9">
        <v>536633373623.745</v>
      </c>
      <c r="U868380" s="9">
        <v>3634038000000</v>
      </c>
    </row>
    <row r="868381" spans="20:21" x14ac:dyDescent="0.15">
      <c r="T868381" s="9">
        <v>618156247357.86304</v>
      </c>
      <c r="U868381" s="9">
        <v>4037613000000</v>
      </c>
    </row>
    <row r="868382" spans="20:21" x14ac:dyDescent="0.15">
      <c r="T868382" s="9">
        <v>701178819512.74402</v>
      </c>
      <c r="U868382" s="9">
        <v>4338979000000</v>
      </c>
    </row>
    <row r="868383" spans="20:21" x14ac:dyDescent="0.15">
      <c r="T868383" s="9">
        <v>763934055759.06604</v>
      </c>
      <c r="U868383" s="9">
        <v>4579631000000</v>
      </c>
    </row>
    <row r="868384" spans="20:21" x14ac:dyDescent="0.15">
      <c r="T868384" s="9">
        <v>852989116696.35205</v>
      </c>
      <c r="U868384" s="9">
        <v>4855215000000</v>
      </c>
    </row>
    <row r="868385" spans="20:21" x14ac:dyDescent="0.15">
      <c r="T868385" s="9">
        <v>948716630508.16699</v>
      </c>
      <c r="U868385" s="9">
        <v>5236438000000</v>
      </c>
    </row>
    <row r="868386" spans="20:21" x14ac:dyDescent="0.15">
      <c r="T868386" s="9">
        <v>988622824073.36694</v>
      </c>
      <c r="U868386" s="9">
        <v>5641580000000</v>
      </c>
    </row>
    <row r="868387" spans="20:21" x14ac:dyDescent="0.15">
      <c r="T868387" s="9">
        <v>1027379323856.15</v>
      </c>
      <c r="U868387" s="9">
        <v>5963144000000</v>
      </c>
    </row>
    <row r="868388" spans="20:21" x14ac:dyDescent="0.15">
      <c r="T868388" s="9">
        <v>1122543272896.8301</v>
      </c>
      <c r="U868388" s="9">
        <v>6158129000000</v>
      </c>
    </row>
    <row r="868389" spans="20:21" x14ac:dyDescent="0.15">
      <c r="T868389" s="9">
        <v>1282219772946.3201</v>
      </c>
      <c r="U868389" s="9">
        <v>6520327000000</v>
      </c>
    </row>
    <row r="868390" spans="20:21" x14ac:dyDescent="0.15">
      <c r="T868390" s="9">
        <v>1460239695280.22</v>
      </c>
      <c r="U868390" s="9">
        <v>6858559000000</v>
      </c>
    </row>
    <row r="868391" spans="20:21" x14ac:dyDescent="0.15">
      <c r="T868391" s="9">
        <v>1650608320717.1299</v>
      </c>
      <c r="U868391" s="9">
        <v>7287236000000</v>
      </c>
    </row>
    <row r="868392" spans="20:21" x14ac:dyDescent="0.15">
      <c r="T868392" s="9">
        <v>1831415202548.1001</v>
      </c>
      <c r="U868392" s="9">
        <v>7639749000000</v>
      </c>
    </row>
    <row r="868393" spans="20:21" x14ac:dyDescent="0.15">
      <c r="T868393" s="9">
        <v>2013138415391.3999</v>
      </c>
      <c r="U868393" s="9">
        <v>8073122000000</v>
      </c>
    </row>
    <row r="868394" spans="20:21" x14ac:dyDescent="0.15">
      <c r="T868394" s="9">
        <v>2199087579734.8799</v>
      </c>
      <c r="U868394" s="9">
        <v>8577554457000</v>
      </c>
    </row>
    <row r="868395" spans="20:21" x14ac:dyDescent="0.15">
      <c r="T868395" s="9">
        <v>2371626931008.4102</v>
      </c>
      <c r="U868395" s="9">
        <v>9062818202000</v>
      </c>
    </row>
    <row r="868396" spans="20:21" x14ac:dyDescent="0.15">
      <c r="T868396" s="9">
        <v>2553332721355.1499</v>
      </c>
      <c r="U868396" s="9">
        <v>9631174489000</v>
      </c>
    </row>
    <row r="868397" spans="20:21" x14ac:dyDescent="0.15">
      <c r="T868397" s="9">
        <v>2770113054357.8301</v>
      </c>
      <c r="U868397" s="9">
        <v>10250947997000</v>
      </c>
    </row>
    <row r="868398" spans="20:21" x14ac:dyDescent="0.15">
      <c r="T868398" s="9">
        <v>3001022295612.3501</v>
      </c>
      <c r="U868398" s="9">
        <v>10581929774000</v>
      </c>
    </row>
    <row r="868399" spans="20:21" x14ac:dyDescent="0.15">
      <c r="T868399" s="9">
        <v>3275124592017.1602</v>
      </c>
      <c r="U868399" s="9">
        <v>10929112955000</v>
      </c>
    </row>
    <row r="868400" spans="20:21" x14ac:dyDescent="0.15">
      <c r="T868400" s="9">
        <v>3603882596858.1099</v>
      </c>
      <c r="U868400" s="9">
        <v>11456442041000</v>
      </c>
    </row>
    <row r="868401" spans="20:21" x14ac:dyDescent="0.15">
      <c r="T868401" s="9">
        <v>3968365637613.6299</v>
      </c>
      <c r="U868401" s="9">
        <v>12217193198000</v>
      </c>
    </row>
    <row r="868402" spans="20:21" x14ac:dyDescent="0.15">
      <c r="T868402" s="9">
        <v>4420544703537.2402</v>
      </c>
      <c r="U868402" s="9">
        <v>13039199193000</v>
      </c>
    </row>
    <row r="868403" spans="20:21" x14ac:dyDescent="0.15">
      <c r="T868403" s="9">
        <v>4982880235433.3896</v>
      </c>
      <c r="U868403" s="9">
        <v>13815586948000</v>
      </c>
    </row>
    <row r="868404" spans="20:21" x14ac:dyDescent="0.15">
      <c r="T868404" s="9">
        <v>5691986992199.8604</v>
      </c>
      <c r="U868404" s="9">
        <v>14474226905000</v>
      </c>
    </row>
    <row r="868405" spans="20:21" x14ac:dyDescent="0.15">
      <c r="T868405" s="9">
        <v>6241302380960.0195</v>
      </c>
      <c r="U868405" s="9">
        <v>14769857911000</v>
      </c>
    </row>
    <row r="868406" spans="20:21" x14ac:dyDescent="0.15">
      <c r="T868406" s="9">
        <v>6827905267633.6299</v>
      </c>
      <c r="U868406" s="9">
        <v>14478064934000</v>
      </c>
    </row>
    <row r="868407" spans="20:21" x14ac:dyDescent="0.15">
      <c r="T868407" s="9">
        <v>7554112468317.7305</v>
      </c>
      <c r="U868407" s="9">
        <v>15048964444000</v>
      </c>
    </row>
    <row r="868408" spans="20:21" x14ac:dyDescent="0.15">
      <c r="T868408" s="9">
        <v>8275593072769.2598</v>
      </c>
      <c r="U868408" s="9">
        <v>15599728123000</v>
      </c>
    </row>
    <row r="868409" spans="20:21" x14ac:dyDescent="0.15">
      <c r="T868409" s="9">
        <v>8926363901575.5605</v>
      </c>
      <c r="U868409" s="9">
        <v>16253972230000</v>
      </c>
    </row>
    <row r="868410" spans="20:21" x14ac:dyDescent="0.15">
      <c r="T868410" s="9">
        <v>9619598720424.4609</v>
      </c>
      <c r="U868410" s="9">
        <v>16843190993000</v>
      </c>
    </row>
    <row r="868411" spans="20:21" x14ac:dyDescent="0.15">
      <c r="T868411" s="9">
        <v>10333927386102.801</v>
      </c>
      <c r="U868411" s="9">
        <v>17550680174000</v>
      </c>
    </row>
    <row r="868412" spans="20:21" x14ac:dyDescent="0.15">
      <c r="T868412" s="9">
        <v>11061573199439.699</v>
      </c>
      <c r="U868412" s="9">
        <v>18206020741000</v>
      </c>
    </row>
    <row r="868413" spans="20:21" x14ac:dyDescent="0.15">
      <c r="T868413" s="9">
        <v>11819154044004.9</v>
      </c>
      <c r="U868413" s="9">
        <v>18695110842000</v>
      </c>
    </row>
    <row r="868414" spans="20:21" x14ac:dyDescent="0.15">
      <c r="T868414" s="9">
        <v>12640254407508.1</v>
      </c>
      <c r="U868414" s="9">
        <v>19477336549000</v>
      </c>
    </row>
    <row r="868415" spans="20:21" x14ac:dyDescent="0.15">
      <c r="T868415" s="9">
        <v>13493442991864.699</v>
      </c>
      <c r="U868415" s="9">
        <v>20533057312000</v>
      </c>
    </row>
    <row r="868416" spans="20:21" x14ac:dyDescent="0.15">
      <c r="T868416" s="9">
        <v>14296370418805.1</v>
      </c>
      <c r="U868416" s="9">
        <v>21380976119000</v>
      </c>
    </row>
    <row r="868417" spans="20:21" x14ac:dyDescent="0.15">
      <c r="T868417" s="9">
        <v>14616414450558.4</v>
      </c>
      <c r="U868417" s="9">
        <v>21060473613000</v>
      </c>
    </row>
    <row r="868418" spans="20:21" x14ac:dyDescent="0.15">
      <c r="T868418" s="9">
        <v>15851132888547.1</v>
      </c>
      <c r="U868418" s="9">
        <v>23315080560000</v>
      </c>
    </row>
    <row r="868419" spans="20:21" x14ac:dyDescent="0.15">
      <c r="T868419" s="9">
        <v>16325209299766.801</v>
      </c>
      <c r="U868419" s="9">
        <v>25462700000000</v>
      </c>
    </row>
    <row r="884737" spans="20:21" x14ac:dyDescent="0.15">
      <c r="T884737" s="9" t="s">
        <v>45</v>
      </c>
      <c r="U884737" s="9" t="s">
        <v>44</v>
      </c>
    </row>
    <row r="884738" spans="20:21" x14ac:dyDescent="0.15">
      <c r="T884738" s="9" t="s">
        <v>43</v>
      </c>
      <c r="U884738" s="9" t="s">
        <v>42</v>
      </c>
    </row>
    <row r="884739" spans="20:21" x14ac:dyDescent="0.15">
      <c r="T884739" s="9" t="s">
        <v>41</v>
      </c>
      <c r="U884739" s="9" t="s">
        <v>40</v>
      </c>
    </row>
    <row r="884740" spans="20:21" x14ac:dyDescent="0.15">
      <c r="T884740" s="9" t="s">
        <v>39</v>
      </c>
      <c r="U884740" s="9" t="s">
        <v>38</v>
      </c>
    </row>
    <row r="884741" spans="20:21" x14ac:dyDescent="0.15">
      <c r="T884741" s="9">
        <v>158907457242.42899</v>
      </c>
      <c r="U884741" s="9">
        <v>543300000000</v>
      </c>
    </row>
    <row r="884742" spans="20:21" x14ac:dyDescent="0.15">
      <c r="T884742" s="9">
        <v>115573393646.185</v>
      </c>
      <c r="U884742" s="9">
        <v>563300000000</v>
      </c>
    </row>
    <row r="884743" spans="20:21" x14ac:dyDescent="0.15">
      <c r="T884743" s="9">
        <v>109124398292.05099</v>
      </c>
      <c r="U884743" s="9">
        <v>605100000000</v>
      </c>
    </row>
    <row r="884744" spans="20:21" x14ac:dyDescent="0.15">
      <c r="T884744" s="9">
        <v>120364211312.289</v>
      </c>
      <c r="U884744" s="9">
        <v>638600000000</v>
      </c>
    </row>
    <row r="884745" spans="20:21" x14ac:dyDescent="0.15">
      <c r="T884745" s="9">
        <v>142246424921.30899</v>
      </c>
      <c r="U884745" s="9">
        <v>685800000000</v>
      </c>
    </row>
    <row r="884746" spans="20:21" x14ac:dyDescent="0.15">
      <c r="T884746" s="9">
        <v>166357193951.10501</v>
      </c>
      <c r="U884746" s="9">
        <v>743700000000</v>
      </c>
    </row>
    <row r="884747" spans="20:21" x14ac:dyDescent="0.15">
      <c r="T884747" s="9">
        <v>184074235104.24799</v>
      </c>
      <c r="U884747" s="9">
        <v>815000000000</v>
      </c>
    </row>
    <row r="884748" spans="20:21" x14ac:dyDescent="0.15">
      <c r="T884748" s="9">
        <v>173453151731.27701</v>
      </c>
      <c r="U884748" s="9">
        <v>861700000000</v>
      </c>
    </row>
    <row r="884749" spans="20:21" x14ac:dyDescent="0.15">
      <c r="T884749" s="9">
        <v>166341572533.69101</v>
      </c>
      <c r="U884749" s="9">
        <v>942500000000</v>
      </c>
    </row>
    <row r="884750" spans="20:21" x14ac:dyDescent="0.15">
      <c r="T884750" s="9">
        <v>194519834914.35999</v>
      </c>
      <c r="U884750" s="9">
        <v>1019900000000</v>
      </c>
    </row>
    <row r="884751" spans="20:21" x14ac:dyDescent="0.15">
      <c r="T884751" s="9">
        <v>232062163046.44</v>
      </c>
      <c r="U884751" s="9">
        <v>1073303000000</v>
      </c>
    </row>
    <row r="884752" spans="20:21" x14ac:dyDescent="0.15">
      <c r="T884752" s="9">
        <v>248445751754.134</v>
      </c>
      <c r="U884752" s="9">
        <v>1164850000000</v>
      </c>
    </row>
    <row r="884753" spans="20:21" x14ac:dyDescent="0.15">
      <c r="T884753" s="9">
        <v>257911534896.49799</v>
      </c>
      <c r="U884753" s="9">
        <v>1279110000000</v>
      </c>
    </row>
    <row r="884754" spans="20:21" x14ac:dyDescent="0.15">
      <c r="T884754" s="9">
        <v>277925470006.599</v>
      </c>
      <c r="U884754" s="9">
        <v>1425376000000</v>
      </c>
    </row>
    <row r="884755" spans="20:21" x14ac:dyDescent="0.15">
      <c r="T884755" s="9">
        <v>284345548371.966</v>
      </c>
      <c r="U884755" s="9">
        <v>1545243000000</v>
      </c>
    </row>
    <row r="884756" spans="20:21" x14ac:dyDescent="0.15">
      <c r="T884756" s="9">
        <v>309140480182.89801</v>
      </c>
      <c r="U884756" s="9">
        <v>1684904000000</v>
      </c>
    </row>
    <row r="884757" spans="20:21" x14ac:dyDescent="0.15">
      <c r="T884757" s="9">
        <v>304286974638.82202</v>
      </c>
      <c r="U884757" s="9">
        <v>1873412000000</v>
      </c>
    </row>
    <row r="884758" spans="20:21" x14ac:dyDescent="0.15">
      <c r="T884758" s="9">
        <v>327321498623.151</v>
      </c>
      <c r="U884758" s="9">
        <v>2081826000000</v>
      </c>
    </row>
    <row r="884759" spans="20:21" x14ac:dyDescent="0.15">
      <c r="T884759" s="9">
        <v>364393859506.91699</v>
      </c>
      <c r="U884759" s="9">
        <v>2351599000000</v>
      </c>
    </row>
    <row r="884760" spans="20:21" x14ac:dyDescent="0.15">
      <c r="T884760" s="9">
        <v>392056180496.07098</v>
      </c>
      <c r="U884760" s="9">
        <v>2627333000000</v>
      </c>
    </row>
    <row r="884761" spans="20:21" x14ac:dyDescent="0.15">
      <c r="T884761" s="9">
        <v>422770430220.08099</v>
      </c>
      <c r="U884761" s="9">
        <v>2857307000000</v>
      </c>
    </row>
    <row r="884762" spans="20:21" x14ac:dyDescent="0.15">
      <c r="T884762" s="9">
        <v>444385672278.89001</v>
      </c>
      <c r="U884762" s="9">
        <v>3207041000000</v>
      </c>
    </row>
    <row r="884763" spans="20:21" x14ac:dyDescent="0.15">
      <c r="T884763" s="9">
        <v>484456434564.98102</v>
      </c>
      <c r="U884763" s="9">
        <v>3343789000000</v>
      </c>
    </row>
    <row r="884764" spans="20:21" x14ac:dyDescent="0.15">
      <c r="T884764" s="9">
        <v>536633373623.745</v>
      </c>
      <c r="U884764" s="9">
        <v>3634038000000</v>
      </c>
    </row>
    <row r="884765" spans="20:21" x14ac:dyDescent="0.15">
      <c r="T884765" s="9">
        <v>618156247357.86304</v>
      </c>
      <c r="U884765" s="9">
        <v>4037613000000</v>
      </c>
    </row>
    <row r="884766" spans="20:21" x14ac:dyDescent="0.15">
      <c r="T884766" s="9">
        <v>701178819512.74402</v>
      </c>
      <c r="U884766" s="9">
        <v>4338979000000</v>
      </c>
    </row>
    <row r="884767" spans="20:21" x14ac:dyDescent="0.15">
      <c r="T884767" s="9">
        <v>763934055759.06604</v>
      </c>
      <c r="U884767" s="9">
        <v>4579631000000</v>
      </c>
    </row>
    <row r="884768" spans="20:21" x14ac:dyDescent="0.15">
      <c r="T884768" s="9">
        <v>852989116696.35205</v>
      </c>
      <c r="U884768" s="9">
        <v>4855215000000</v>
      </c>
    </row>
    <row r="884769" spans="20:21" x14ac:dyDescent="0.15">
      <c r="T884769" s="9">
        <v>948716630508.16699</v>
      </c>
      <c r="U884769" s="9">
        <v>5236438000000</v>
      </c>
    </row>
    <row r="884770" spans="20:21" x14ac:dyDescent="0.15">
      <c r="T884770" s="9">
        <v>988622824073.36694</v>
      </c>
      <c r="U884770" s="9">
        <v>5641580000000</v>
      </c>
    </row>
    <row r="884771" spans="20:21" x14ac:dyDescent="0.15">
      <c r="T884771" s="9">
        <v>1027379323856.15</v>
      </c>
      <c r="U884771" s="9">
        <v>5963144000000</v>
      </c>
    </row>
    <row r="884772" spans="20:21" x14ac:dyDescent="0.15">
      <c r="T884772" s="9">
        <v>1122543272896.8301</v>
      </c>
      <c r="U884772" s="9">
        <v>6158129000000</v>
      </c>
    </row>
    <row r="884773" spans="20:21" x14ac:dyDescent="0.15">
      <c r="T884773" s="9">
        <v>1282219772946.3201</v>
      </c>
      <c r="U884773" s="9">
        <v>6520327000000</v>
      </c>
    </row>
    <row r="884774" spans="20:21" x14ac:dyDescent="0.15">
      <c r="T884774" s="9">
        <v>1460239695280.22</v>
      </c>
      <c r="U884774" s="9">
        <v>6858559000000</v>
      </c>
    </row>
    <row r="884775" spans="20:21" x14ac:dyDescent="0.15">
      <c r="T884775" s="9">
        <v>1650608320717.1299</v>
      </c>
      <c r="U884775" s="9">
        <v>7287236000000</v>
      </c>
    </row>
    <row r="884776" spans="20:21" x14ac:dyDescent="0.15">
      <c r="T884776" s="9">
        <v>1831415202548.1001</v>
      </c>
      <c r="U884776" s="9">
        <v>7639749000000</v>
      </c>
    </row>
    <row r="884777" spans="20:21" x14ac:dyDescent="0.15">
      <c r="T884777" s="9">
        <v>2013138415391.3999</v>
      </c>
      <c r="U884777" s="9">
        <v>8073122000000</v>
      </c>
    </row>
    <row r="884778" spans="20:21" x14ac:dyDescent="0.15">
      <c r="T884778" s="9">
        <v>2199087579734.8799</v>
      </c>
      <c r="U884778" s="9">
        <v>8577554457000</v>
      </c>
    </row>
    <row r="884779" spans="20:21" x14ac:dyDescent="0.15">
      <c r="T884779" s="9">
        <v>2371626931008.4102</v>
      </c>
      <c r="U884779" s="9">
        <v>9062818202000</v>
      </c>
    </row>
    <row r="884780" spans="20:21" x14ac:dyDescent="0.15">
      <c r="T884780" s="9">
        <v>2553332721355.1499</v>
      </c>
      <c r="U884780" s="9">
        <v>9631174489000</v>
      </c>
    </row>
    <row r="884781" spans="20:21" x14ac:dyDescent="0.15">
      <c r="T884781" s="9">
        <v>2770113054357.8301</v>
      </c>
      <c r="U884781" s="9">
        <v>10250947997000</v>
      </c>
    </row>
    <row r="884782" spans="20:21" x14ac:dyDescent="0.15">
      <c r="T884782" s="9">
        <v>3001022295612.3501</v>
      </c>
      <c r="U884782" s="9">
        <v>10581929774000</v>
      </c>
    </row>
    <row r="884783" spans="20:21" x14ac:dyDescent="0.15">
      <c r="T884783" s="9">
        <v>3275124592017.1602</v>
      </c>
      <c r="U884783" s="9">
        <v>10929112955000</v>
      </c>
    </row>
    <row r="884784" spans="20:21" x14ac:dyDescent="0.15">
      <c r="T884784" s="9">
        <v>3603882596858.1099</v>
      </c>
      <c r="U884784" s="9">
        <v>11456442041000</v>
      </c>
    </row>
    <row r="884785" spans="20:21" x14ac:dyDescent="0.15">
      <c r="T884785" s="9">
        <v>3968365637613.6299</v>
      </c>
      <c r="U884785" s="9">
        <v>12217193198000</v>
      </c>
    </row>
    <row r="884786" spans="20:21" x14ac:dyDescent="0.15">
      <c r="T884786" s="9">
        <v>4420544703537.2402</v>
      </c>
      <c r="U884786" s="9">
        <v>13039199193000</v>
      </c>
    </row>
    <row r="884787" spans="20:21" x14ac:dyDescent="0.15">
      <c r="T884787" s="9">
        <v>4982880235433.3896</v>
      </c>
      <c r="U884787" s="9">
        <v>13815586948000</v>
      </c>
    </row>
    <row r="884788" spans="20:21" x14ac:dyDescent="0.15">
      <c r="T884788" s="9">
        <v>5691986992199.8604</v>
      </c>
      <c r="U884788" s="9">
        <v>14474226905000</v>
      </c>
    </row>
    <row r="884789" spans="20:21" x14ac:dyDescent="0.15">
      <c r="T884789" s="9">
        <v>6241302380960.0195</v>
      </c>
      <c r="U884789" s="9">
        <v>14769857911000</v>
      </c>
    </row>
    <row r="884790" spans="20:21" x14ac:dyDescent="0.15">
      <c r="T884790" s="9">
        <v>6827905267633.6299</v>
      </c>
      <c r="U884790" s="9">
        <v>14478064934000</v>
      </c>
    </row>
    <row r="884791" spans="20:21" x14ac:dyDescent="0.15">
      <c r="T884791" s="9">
        <v>7554112468317.7305</v>
      </c>
      <c r="U884791" s="9">
        <v>15048964444000</v>
      </c>
    </row>
    <row r="884792" spans="20:21" x14ac:dyDescent="0.15">
      <c r="T884792" s="9">
        <v>8275593072769.2598</v>
      </c>
      <c r="U884792" s="9">
        <v>15599728123000</v>
      </c>
    </row>
    <row r="884793" spans="20:21" x14ac:dyDescent="0.15">
      <c r="T884793" s="9">
        <v>8926363901575.5605</v>
      </c>
      <c r="U884793" s="9">
        <v>16253972230000</v>
      </c>
    </row>
    <row r="884794" spans="20:21" x14ac:dyDescent="0.15">
      <c r="T884794" s="9">
        <v>9619598720424.4609</v>
      </c>
      <c r="U884794" s="9">
        <v>16843190993000</v>
      </c>
    </row>
    <row r="884795" spans="20:21" x14ac:dyDescent="0.15">
      <c r="T884795" s="9">
        <v>10333927386102.801</v>
      </c>
      <c r="U884795" s="9">
        <v>17550680174000</v>
      </c>
    </row>
    <row r="884796" spans="20:21" x14ac:dyDescent="0.15">
      <c r="T884796" s="9">
        <v>11061573199439.699</v>
      </c>
      <c r="U884796" s="9">
        <v>18206020741000</v>
      </c>
    </row>
    <row r="884797" spans="20:21" x14ac:dyDescent="0.15">
      <c r="T884797" s="9">
        <v>11819154044004.9</v>
      </c>
      <c r="U884797" s="9">
        <v>18695110842000</v>
      </c>
    </row>
    <row r="884798" spans="20:21" x14ac:dyDescent="0.15">
      <c r="T884798" s="9">
        <v>12640254407508.1</v>
      </c>
      <c r="U884798" s="9">
        <v>19477336549000</v>
      </c>
    </row>
    <row r="884799" spans="20:21" x14ac:dyDescent="0.15">
      <c r="T884799" s="9">
        <v>13493442991864.699</v>
      </c>
      <c r="U884799" s="9">
        <v>20533057312000</v>
      </c>
    </row>
    <row r="884800" spans="20:21" x14ac:dyDescent="0.15">
      <c r="T884800" s="9">
        <v>14296370418805.1</v>
      </c>
      <c r="U884800" s="9">
        <v>21380976119000</v>
      </c>
    </row>
    <row r="884801" spans="20:21" x14ac:dyDescent="0.15">
      <c r="T884801" s="9">
        <v>14616414450558.4</v>
      </c>
      <c r="U884801" s="9">
        <v>21060473613000</v>
      </c>
    </row>
    <row r="884802" spans="20:21" x14ac:dyDescent="0.15">
      <c r="T884802" s="9">
        <v>15851132888547.1</v>
      </c>
      <c r="U884802" s="9">
        <v>23315080560000</v>
      </c>
    </row>
    <row r="884803" spans="20:21" x14ac:dyDescent="0.15">
      <c r="T884803" s="9">
        <v>16325209299766.801</v>
      </c>
      <c r="U884803" s="9">
        <v>25462700000000</v>
      </c>
    </row>
    <row r="901121" spans="20:21" x14ac:dyDescent="0.15">
      <c r="T901121" s="9" t="s">
        <v>45</v>
      </c>
      <c r="U901121" s="9" t="s">
        <v>44</v>
      </c>
    </row>
    <row r="901122" spans="20:21" x14ac:dyDescent="0.15">
      <c r="T901122" s="9" t="s">
        <v>43</v>
      </c>
      <c r="U901122" s="9" t="s">
        <v>42</v>
      </c>
    </row>
    <row r="901123" spans="20:21" x14ac:dyDescent="0.15">
      <c r="T901123" s="9" t="s">
        <v>41</v>
      </c>
      <c r="U901123" s="9" t="s">
        <v>40</v>
      </c>
    </row>
    <row r="901124" spans="20:21" x14ac:dyDescent="0.15">
      <c r="T901124" s="9" t="s">
        <v>39</v>
      </c>
      <c r="U901124" s="9" t="s">
        <v>38</v>
      </c>
    </row>
    <row r="901125" spans="20:21" x14ac:dyDescent="0.15">
      <c r="T901125" s="9">
        <v>158907457242.42899</v>
      </c>
      <c r="U901125" s="9">
        <v>543300000000</v>
      </c>
    </row>
    <row r="901126" spans="20:21" x14ac:dyDescent="0.15">
      <c r="T901126" s="9">
        <v>115573393646.185</v>
      </c>
      <c r="U901126" s="9">
        <v>563300000000</v>
      </c>
    </row>
    <row r="901127" spans="20:21" x14ac:dyDescent="0.15">
      <c r="T901127" s="9">
        <v>109124398292.05099</v>
      </c>
      <c r="U901127" s="9">
        <v>605100000000</v>
      </c>
    </row>
    <row r="901128" spans="20:21" x14ac:dyDescent="0.15">
      <c r="T901128" s="9">
        <v>120364211312.289</v>
      </c>
      <c r="U901128" s="9">
        <v>638600000000</v>
      </c>
    </row>
    <row r="901129" spans="20:21" x14ac:dyDescent="0.15">
      <c r="T901129" s="9">
        <v>142246424921.30899</v>
      </c>
      <c r="U901129" s="9">
        <v>685800000000</v>
      </c>
    </row>
    <row r="901130" spans="20:21" x14ac:dyDescent="0.15">
      <c r="T901130" s="9">
        <v>166357193951.10501</v>
      </c>
      <c r="U901130" s="9">
        <v>743700000000</v>
      </c>
    </row>
    <row r="901131" spans="20:21" x14ac:dyDescent="0.15">
      <c r="T901131" s="9">
        <v>184074235104.24799</v>
      </c>
      <c r="U901131" s="9">
        <v>815000000000</v>
      </c>
    </row>
    <row r="901132" spans="20:21" x14ac:dyDescent="0.15">
      <c r="T901132" s="9">
        <v>173453151731.27701</v>
      </c>
      <c r="U901132" s="9">
        <v>861700000000</v>
      </c>
    </row>
    <row r="901133" spans="20:21" x14ac:dyDescent="0.15">
      <c r="T901133" s="9">
        <v>166341572533.69101</v>
      </c>
      <c r="U901133" s="9">
        <v>942500000000</v>
      </c>
    </row>
    <row r="901134" spans="20:21" x14ac:dyDescent="0.15">
      <c r="T901134" s="9">
        <v>194519834914.35999</v>
      </c>
      <c r="U901134" s="9">
        <v>1019900000000</v>
      </c>
    </row>
    <row r="901135" spans="20:21" x14ac:dyDescent="0.15">
      <c r="T901135" s="9">
        <v>232062163046.44</v>
      </c>
      <c r="U901135" s="9">
        <v>1073303000000</v>
      </c>
    </row>
    <row r="901136" spans="20:21" x14ac:dyDescent="0.15">
      <c r="T901136" s="9">
        <v>248445751754.134</v>
      </c>
      <c r="U901136" s="9">
        <v>1164850000000</v>
      </c>
    </row>
    <row r="901137" spans="20:21" x14ac:dyDescent="0.15">
      <c r="T901137" s="9">
        <v>257911534896.49799</v>
      </c>
      <c r="U901137" s="9">
        <v>1279110000000</v>
      </c>
    </row>
    <row r="901138" spans="20:21" x14ac:dyDescent="0.15">
      <c r="T901138" s="9">
        <v>277925470006.599</v>
      </c>
      <c r="U901138" s="9">
        <v>1425376000000</v>
      </c>
    </row>
    <row r="901139" spans="20:21" x14ac:dyDescent="0.15">
      <c r="T901139" s="9">
        <v>284345548371.966</v>
      </c>
      <c r="U901139" s="9">
        <v>1545243000000</v>
      </c>
    </row>
    <row r="901140" spans="20:21" x14ac:dyDescent="0.15">
      <c r="T901140" s="9">
        <v>309140480182.89801</v>
      </c>
      <c r="U901140" s="9">
        <v>1684904000000</v>
      </c>
    </row>
    <row r="901141" spans="20:21" x14ac:dyDescent="0.15">
      <c r="T901141" s="9">
        <v>304286974638.82202</v>
      </c>
      <c r="U901141" s="9">
        <v>1873412000000</v>
      </c>
    </row>
    <row r="901142" spans="20:21" x14ac:dyDescent="0.15">
      <c r="T901142" s="9">
        <v>327321498623.151</v>
      </c>
      <c r="U901142" s="9">
        <v>2081826000000</v>
      </c>
    </row>
    <row r="901143" spans="20:21" x14ac:dyDescent="0.15">
      <c r="T901143" s="9">
        <v>364393859506.91699</v>
      </c>
      <c r="U901143" s="9">
        <v>2351599000000</v>
      </c>
    </row>
    <row r="901144" spans="20:21" x14ac:dyDescent="0.15">
      <c r="T901144" s="9">
        <v>392056180496.07098</v>
      </c>
      <c r="U901144" s="9">
        <v>2627333000000</v>
      </c>
    </row>
    <row r="901145" spans="20:21" x14ac:dyDescent="0.15">
      <c r="T901145" s="9">
        <v>422770430220.08099</v>
      </c>
      <c r="U901145" s="9">
        <v>2857307000000</v>
      </c>
    </row>
    <row r="901146" spans="20:21" x14ac:dyDescent="0.15">
      <c r="T901146" s="9">
        <v>444385672278.89001</v>
      </c>
      <c r="U901146" s="9">
        <v>3207041000000</v>
      </c>
    </row>
    <row r="901147" spans="20:21" x14ac:dyDescent="0.15">
      <c r="T901147" s="9">
        <v>484456434564.98102</v>
      </c>
      <c r="U901147" s="9">
        <v>3343789000000</v>
      </c>
    </row>
    <row r="901148" spans="20:21" x14ac:dyDescent="0.15">
      <c r="T901148" s="9">
        <v>536633373623.745</v>
      </c>
      <c r="U901148" s="9">
        <v>3634038000000</v>
      </c>
    </row>
    <row r="901149" spans="20:21" x14ac:dyDescent="0.15">
      <c r="T901149" s="9">
        <v>618156247357.86304</v>
      </c>
      <c r="U901149" s="9">
        <v>4037613000000</v>
      </c>
    </row>
    <row r="901150" spans="20:21" x14ac:dyDescent="0.15">
      <c r="T901150" s="9">
        <v>701178819512.74402</v>
      </c>
      <c r="U901150" s="9">
        <v>4338979000000</v>
      </c>
    </row>
    <row r="901151" spans="20:21" x14ac:dyDescent="0.15">
      <c r="T901151" s="9">
        <v>763934055759.06604</v>
      </c>
      <c r="U901151" s="9">
        <v>4579631000000</v>
      </c>
    </row>
    <row r="901152" spans="20:21" x14ac:dyDescent="0.15">
      <c r="T901152" s="9">
        <v>852989116696.35205</v>
      </c>
      <c r="U901152" s="9">
        <v>4855215000000</v>
      </c>
    </row>
    <row r="901153" spans="20:21" x14ac:dyDescent="0.15">
      <c r="T901153" s="9">
        <v>948716630508.16699</v>
      </c>
      <c r="U901153" s="9">
        <v>5236438000000</v>
      </c>
    </row>
    <row r="901154" spans="20:21" x14ac:dyDescent="0.15">
      <c r="T901154" s="9">
        <v>988622824073.36694</v>
      </c>
      <c r="U901154" s="9">
        <v>5641580000000</v>
      </c>
    </row>
    <row r="901155" spans="20:21" x14ac:dyDescent="0.15">
      <c r="T901155" s="9">
        <v>1027379323856.15</v>
      </c>
      <c r="U901155" s="9">
        <v>5963144000000</v>
      </c>
    </row>
    <row r="901156" spans="20:21" x14ac:dyDescent="0.15">
      <c r="T901156" s="9">
        <v>1122543272896.8301</v>
      </c>
      <c r="U901156" s="9">
        <v>6158129000000</v>
      </c>
    </row>
    <row r="901157" spans="20:21" x14ac:dyDescent="0.15">
      <c r="T901157" s="9">
        <v>1282219772946.3201</v>
      </c>
      <c r="U901157" s="9">
        <v>6520327000000</v>
      </c>
    </row>
    <row r="901158" spans="20:21" x14ac:dyDescent="0.15">
      <c r="T901158" s="9">
        <v>1460239695280.22</v>
      </c>
      <c r="U901158" s="9">
        <v>6858559000000</v>
      </c>
    </row>
    <row r="901159" spans="20:21" x14ac:dyDescent="0.15">
      <c r="T901159" s="9">
        <v>1650608320717.1299</v>
      </c>
      <c r="U901159" s="9">
        <v>7287236000000</v>
      </c>
    </row>
    <row r="901160" spans="20:21" x14ac:dyDescent="0.15">
      <c r="T901160" s="9">
        <v>1831415202548.1001</v>
      </c>
      <c r="U901160" s="9">
        <v>7639749000000</v>
      </c>
    </row>
    <row r="901161" spans="20:21" x14ac:dyDescent="0.15">
      <c r="T901161" s="9">
        <v>2013138415391.3999</v>
      </c>
      <c r="U901161" s="9">
        <v>8073122000000</v>
      </c>
    </row>
    <row r="901162" spans="20:21" x14ac:dyDescent="0.15">
      <c r="T901162" s="9">
        <v>2199087579734.8799</v>
      </c>
      <c r="U901162" s="9">
        <v>8577554457000</v>
      </c>
    </row>
    <row r="901163" spans="20:21" x14ac:dyDescent="0.15">
      <c r="T901163" s="9">
        <v>2371626931008.4102</v>
      </c>
      <c r="U901163" s="9">
        <v>9062818202000</v>
      </c>
    </row>
    <row r="901164" spans="20:21" x14ac:dyDescent="0.15">
      <c r="T901164" s="9">
        <v>2553332721355.1499</v>
      </c>
      <c r="U901164" s="9">
        <v>9631174489000</v>
      </c>
    </row>
    <row r="901165" spans="20:21" x14ac:dyDescent="0.15">
      <c r="T901165" s="9">
        <v>2770113054357.8301</v>
      </c>
      <c r="U901165" s="9">
        <v>10250947997000</v>
      </c>
    </row>
    <row r="901166" spans="20:21" x14ac:dyDescent="0.15">
      <c r="T901166" s="9">
        <v>3001022295612.3501</v>
      </c>
      <c r="U901166" s="9">
        <v>10581929774000</v>
      </c>
    </row>
    <row r="901167" spans="20:21" x14ac:dyDescent="0.15">
      <c r="T901167" s="9">
        <v>3275124592017.1602</v>
      </c>
      <c r="U901167" s="9">
        <v>10929112955000</v>
      </c>
    </row>
    <row r="901168" spans="20:21" x14ac:dyDescent="0.15">
      <c r="T901168" s="9">
        <v>3603882596858.1099</v>
      </c>
      <c r="U901168" s="9">
        <v>11456442041000</v>
      </c>
    </row>
    <row r="901169" spans="20:21" x14ac:dyDescent="0.15">
      <c r="T901169" s="9">
        <v>3968365637613.6299</v>
      </c>
      <c r="U901169" s="9">
        <v>12217193198000</v>
      </c>
    </row>
    <row r="901170" spans="20:21" x14ac:dyDescent="0.15">
      <c r="T901170" s="9">
        <v>4420544703537.2402</v>
      </c>
      <c r="U901170" s="9">
        <v>13039199193000</v>
      </c>
    </row>
    <row r="901171" spans="20:21" x14ac:dyDescent="0.15">
      <c r="T901171" s="9">
        <v>4982880235433.3896</v>
      </c>
      <c r="U901171" s="9">
        <v>13815586948000</v>
      </c>
    </row>
    <row r="901172" spans="20:21" x14ac:dyDescent="0.15">
      <c r="T901172" s="9">
        <v>5691986992199.8604</v>
      </c>
      <c r="U901172" s="9">
        <v>14474226905000</v>
      </c>
    </row>
    <row r="901173" spans="20:21" x14ac:dyDescent="0.15">
      <c r="T901173" s="9">
        <v>6241302380960.0195</v>
      </c>
      <c r="U901173" s="9">
        <v>14769857911000</v>
      </c>
    </row>
    <row r="901174" spans="20:21" x14ac:dyDescent="0.15">
      <c r="T901174" s="9">
        <v>6827905267633.6299</v>
      </c>
      <c r="U901174" s="9">
        <v>14478064934000</v>
      </c>
    </row>
    <row r="901175" spans="20:21" x14ac:dyDescent="0.15">
      <c r="T901175" s="9">
        <v>7554112468317.7305</v>
      </c>
      <c r="U901175" s="9">
        <v>15048964444000</v>
      </c>
    </row>
    <row r="901176" spans="20:21" x14ac:dyDescent="0.15">
      <c r="T901176" s="9">
        <v>8275593072769.2598</v>
      </c>
      <c r="U901176" s="9">
        <v>15599728123000</v>
      </c>
    </row>
    <row r="901177" spans="20:21" x14ac:dyDescent="0.15">
      <c r="T901177" s="9">
        <v>8926363901575.5605</v>
      </c>
      <c r="U901177" s="9">
        <v>16253972230000</v>
      </c>
    </row>
    <row r="901178" spans="20:21" x14ac:dyDescent="0.15">
      <c r="T901178" s="9">
        <v>9619598720424.4609</v>
      </c>
      <c r="U901178" s="9">
        <v>16843190993000</v>
      </c>
    </row>
    <row r="901179" spans="20:21" x14ac:dyDescent="0.15">
      <c r="T901179" s="9">
        <v>10333927386102.801</v>
      </c>
      <c r="U901179" s="9">
        <v>17550680174000</v>
      </c>
    </row>
    <row r="901180" spans="20:21" x14ac:dyDescent="0.15">
      <c r="T901180" s="9">
        <v>11061573199439.699</v>
      </c>
      <c r="U901180" s="9">
        <v>18206020741000</v>
      </c>
    </row>
    <row r="901181" spans="20:21" x14ac:dyDescent="0.15">
      <c r="T901181" s="9">
        <v>11819154044004.9</v>
      </c>
      <c r="U901181" s="9">
        <v>18695110842000</v>
      </c>
    </row>
    <row r="901182" spans="20:21" x14ac:dyDescent="0.15">
      <c r="T901182" s="9">
        <v>12640254407508.1</v>
      </c>
      <c r="U901182" s="9">
        <v>19477336549000</v>
      </c>
    </row>
    <row r="901183" spans="20:21" x14ac:dyDescent="0.15">
      <c r="T901183" s="9">
        <v>13493442991864.699</v>
      </c>
      <c r="U901183" s="9">
        <v>20533057312000</v>
      </c>
    </row>
    <row r="901184" spans="20:21" x14ac:dyDescent="0.15">
      <c r="T901184" s="9">
        <v>14296370418805.1</v>
      </c>
      <c r="U901184" s="9">
        <v>21380976119000</v>
      </c>
    </row>
    <row r="901185" spans="20:21" x14ac:dyDescent="0.15">
      <c r="T901185" s="9">
        <v>14616414450558.4</v>
      </c>
      <c r="U901185" s="9">
        <v>21060473613000</v>
      </c>
    </row>
    <row r="901186" spans="20:21" x14ac:dyDescent="0.15">
      <c r="T901186" s="9">
        <v>15851132888547.1</v>
      </c>
      <c r="U901186" s="9">
        <v>23315080560000</v>
      </c>
    </row>
    <row r="901187" spans="20:21" x14ac:dyDescent="0.15">
      <c r="T901187" s="9">
        <v>16325209299766.801</v>
      </c>
      <c r="U901187" s="9">
        <v>25462700000000</v>
      </c>
    </row>
    <row r="917505" spans="20:21" x14ac:dyDescent="0.15">
      <c r="T917505" s="9" t="s">
        <v>45</v>
      </c>
      <c r="U917505" s="9" t="s">
        <v>44</v>
      </c>
    </row>
    <row r="917506" spans="20:21" x14ac:dyDescent="0.15">
      <c r="T917506" s="9" t="s">
        <v>43</v>
      </c>
      <c r="U917506" s="9" t="s">
        <v>42</v>
      </c>
    </row>
    <row r="917507" spans="20:21" x14ac:dyDescent="0.15">
      <c r="T917507" s="9" t="s">
        <v>41</v>
      </c>
      <c r="U917507" s="9" t="s">
        <v>40</v>
      </c>
    </row>
    <row r="917508" spans="20:21" x14ac:dyDescent="0.15">
      <c r="T917508" s="9" t="s">
        <v>39</v>
      </c>
      <c r="U917508" s="9" t="s">
        <v>38</v>
      </c>
    </row>
    <row r="917509" spans="20:21" x14ac:dyDescent="0.15">
      <c r="T917509" s="9">
        <v>158907457242.42899</v>
      </c>
      <c r="U917509" s="9">
        <v>543300000000</v>
      </c>
    </row>
    <row r="917510" spans="20:21" x14ac:dyDescent="0.15">
      <c r="T917510" s="9">
        <v>115573393646.185</v>
      </c>
      <c r="U917510" s="9">
        <v>563300000000</v>
      </c>
    </row>
    <row r="917511" spans="20:21" x14ac:dyDescent="0.15">
      <c r="T917511" s="9">
        <v>109124398292.05099</v>
      </c>
      <c r="U917511" s="9">
        <v>605100000000</v>
      </c>
    </row>
    <row r="917512" spans="20:21" x14ac:dyDescent="0.15">
      <c r="T917512" s="9">
        <v>120364211312.289</v>
      </c>
      <c r="U917512" s="9">
        <v>638600000000</v>
      </c>
    </row>
    <row r="917513" spans="20:21" x14ac:dyDescent="0.15">
      <c r="T917513" s="9">
        <v>142246424921.30899</v>
      </c>
      <c r="U917513" s="9">
        <v>685800000000</v>
      </c>
    </row>
    <row r="917514" spans="20:21" x14ac:dyDescent="0.15">
      <c r="T917514" s="9">
        <v>166357193951.10501</v>
      </c>
      <c r="U917514" s="9">
        <v>743700000000</v>
      </c>
    </row>
    <row r="917515" spans="20:21" x14ac:dyDescent="0.15">
      <c r="T917515" s="9">
        <v>184074235104.24799</v>
      </c>
      <c r="U917515" s="9">
        <v>815000000000</v>
      </c>
    </row>
    <row r="917516" spans="20:21" x14ac:dyDescent="0.15">
      <c r="T917516" s="9">
        <v>173453151731.27701</v>
      </c>
      <c r="U917516" s="9">
        <v>861700000000</v>
      </c>
    </row>
    <row r="917517" spans="20:21" x14ac:dyDescent="0.15">
      <c r="T917517" s="9">
        <v>166341572533.69101</v>
      </c>
      <c r="U917517" s="9">
        <v>942500000000</v>
      </c>
    </row>
    <row r="917518" spans="20:21" x14ac:dyDescent="0.15">
      <c r="T917518" s="9">
        <v>194519834914.35999</v>
      </c>
      <c r="U917518" s="9">
        <v>1019900000000</v>
      </c>
    </row>
    <row r="917519" spans="20:21" x14ac:dyDescent="0.15">
      <c r="T917519" s="9">
        <v>232062163046.44</v>
      </c>
      <c r="U917519" s="9">
        <v>1073303000000</v>
      </c>
    </row>
    <row r="917520" spans="20:21" x14ac:dyDescent="0.15">
      <c r="T917520" s="9">
        <v>248445751754.134</v>
      </c>
      <c r="U917520" s="9">
        <v>1164850000000</v>
      </c>
    </row>
    <row r="917521" spans="20:21" x14ac:dyDescent="0.15">
      <c r="T917521" s="9">
        <v>257911534896.49799</v>
      </c>
      <c r="U917521" s="9">
        <v>1279110000000</v>
      </c>
    </row>
    <row r="917522" spans="20:21" x14ac:dyDescent="0.15">
      <c r="T917522" s="9">
        <v>277925470006.599</v>
      </c>
      <c r="U917522" s="9">
        <v>1425376000000</v>
      </c>
    </row>
    <row r="917523" spans="20:21" x14ac:dyDescent="0.15">
      <c r="T917523" s="9">
        <v>284345548371.966</v>
      </c>
      <c r="U917523" s="9">
        <v>1545243000000</v>
      </c>
    </row>
    <row r="917524" spans="20:21" x14ac:dyDescent="0.15">
      <c r="T917524" s="9">
        <v>309140480182.89801</v>
      </c>
      <c r="U917524" s="9">
        <v>1684904000000</v>
      </c>
    </row>
    <row r="917525" spans="20:21" x14ac:dyDescent="0.15">
      <c r="T917525" s="9">
        <v>304286974638.82202</v>
      </c>
      <c r="U917525" s="9">
        <v>1873412000000</v>
      </c>
    </row>
    <row r="917526" spans="20:21" x14ac:dyDescent="0.15">
      <c r="T917526" s="9">
        <v>327321498623.151</v>
      </c>
      <c r="U917526" s="9">
        <v>2081826000000</v>
      </c>
    </row>
    <row r="917527" spans="20:21" x14ac:dyDescent="0.15">
      <c r="T917527" s="9">
        <v>364393859506.91699</v>
      </c>
      <c r="U917527" s="9">
        <v>2351599000000</v>
      </c>
    </row>
    <row r="917528" spans="20:21" x14ac:dyDescent="0.15">
      <c r="T917528" s="9">
        <v>392056180496.07098</v>
      </c>
      <c r="U917528" s="9">
        <v>2627333000000</v>
      </c>
    </row>
    <row r="917529" spans="20:21" x14ac:dyDescent="0.15">
      <c r="T917529" s="9">
        <v>422770430220.08099</v>
      </c>
      <c r="U917529" s="9">
        <v>2857307000000</v>
      </c>
    </row>
    <row r="917530" spans="20:21" x14ac:dyDescent="0.15">
      <c r="T917530" s="9">
        <v>444385672278.89001</v>
      </c>
      <c r="U917530" s="9">
        <v>3207041000000</v>
      </c>
    </row>
    <row r="917531" spans="20:21" x14ac:dyDescent="0.15">
      <c r="T917531" s="9">
        <v>484456434564.98102</v>
      </c>
      <c r="U917531" s="9">
        <v>3343789000000</v>
      </c>
    </row>
    <row r="917532" spans="20:21" x14ac:dyDescent="0.15">
      <c r="T917532" s="9">
        <v>536633373623.745</v>
      </c>
      <c r="U917532" s="9">
        <v>3634038000000</v>
      </c>
    </row>
    <row r="917533" spans="20:21" x14ac:dyDescent="0.15">
      <c r="T917533" s="9">
        <v>618156247357.86304</v>
      </c>
      <c r="U917533" s="9">
        <v>4037613000000</v>
      </c>
    </row>
    <row r="917534" spans="20:21" x14ac:dyDescent="0.15">
      <c r="T917534" s="9">
        <v>701178819512.74402</v>
      </c>
      <c r="U917534" s="9">
        <v>4338979000000</v>
      </c>
    </row>
    <row r="917535" spans="20:21" x14ac:dyDescent="0.15">
      <c r="T917535" s="9">
        <v>763934055759.06604</v>
      </c>
      <c r="U917535" s="9">
        <v>4579631000000</v>
      </c>
    </row>
    <row r="917536" spans="20:21" x14ac:dyDescent="0.15">
      <c r="T917536" s="9">
        <v>852989116696.35205</v>
      </c>
      <c r="U917536" s="9">
        <v>4855215000000</v>
      </c>
    </row>
    <row r="917537" spans="20:21" x14ac:dyDescent="0.15">
      <c r="T917537" s="9">
        <v>948716630508.16699</v>
      </c>
      <c r="U917537" s="9">
        <v>5236438000000</v>
      </c>
    </row>
    <row r="917538" spans="20:21" x14ac:dyDescent="0.15">
      <c r="T917538" s="9">
        <v>988622824073.36694</v>
      </c>
      <c r="U917538" s="9">
        <v>5641580000000</v>
      </c>
    </row>
    <row r="917539" spans="20:21" x14ac:dyDescent="0.15">
      <c r="T917539" s="9">
        <v>1027379323856.15</v>
      </c>
      <c r="U917539" s="9">
        <v>5963144000000</v>
      </c>
    </row>
    <row r="917540" spans="20:21" x14ac:dyDescent="0.15">
      <c r="T917540" s="9">
        <v>1122543272896.8301</v>
      </c>
      <c r="U917540" s="9">
        <v>6158129000000</v>
      </c>
    </row>
    <row r="917541" spans="20:21" x14ac:dyDescent="0.15">
      <c r="T917541" s="9">
        <v>1282219772946.3201</v>
      </c>
      <c r="U917541" s="9">
        <v>6520327000000</v>
      </c>
    </row>
    <row r="917542" spans="20:21" x14ac:dyDescent="0.15">
      <c r="T917542" s="9">
        <v>1460239695280.22</v>
      </c>
      <c r="U917542" s="9">
        <v>6858559000000</v>
      </c>
    </row>
    <row r="917543" spans="20:21" x14ac:dyDescent="0.15">
      <c r="T917543" s="9">
        <v>1650608320717.1299</v>
      </c>
      <c r="U917543" s="9">
        <v>7287236000000</v>
      </c>
    </row>
    <row r="917544" spans="20:21" x14ac:dyDescent="0.15">
      <c r="T917544" s="9">
        <v>1831415202548.1001</v>
      </c>
      <c r="U917544" s="9">
        <v>7639749000000</v>
      </c>
    </row>
    <row r="917545" spans="20:21" x14ac:dyDescent="0.15">
      <c r="T917545" s="9">
        <v>2013138415391.3999</v>
      </c>
      <c r="U917545" s="9">
        <v>8073122000000</v>
      </c>
    </row>
    <row r="917546" spans="20:21" x14ac:dyDescent="0.15">
      <c r="T917546" s="9">
        <v>2199087579734.8799</v>
      </c>
      <c r="U917546" s="9">
        <v>8577554457000</v>
      </c>
    </row>
    <row r="917547" spans="20:21" x14ac:dyDescent="0.15">
      <c r="T917547" s="9">
        <v>2371626931008.4102</v>
      </c>
      <c r="U917547" s="9">
        <v>9062818202000</v>
      </c>
    </row>
    <row r="917548" spans="20:21" x14ac:dyDescent="0.15">
      <c r="T917548" s="9">
        <v>2553332721355.1499</v>
      </c>
      <c r="U917548" s="9">
        <v>9631174489000</v>
      </c>
    </row>
    <row r="917549" spans="20:21" x14ac:dyDescent="0.15">
      <c r="T917549" s="9">
        <v>2770113054357.8301</v>
      </c>
      <c r="U917549" s="9">
        <v>10250947997000</v>
      </c>
    </row>
    <row r="917550" spans="20:21" x14ac:dyDescent="0.15">
      <c r="T917550" s="9">
        <v>3001022295612.3501</v>
      </c>
      <c r="U917550" s="9">
        <v>10581929774000</v>
      </c>
    </row>
    <row r="917551" spans="20:21" x14ac:dyDescent="0.15">
      <c r="T917551" s="9">
        <v>3275124592017.1602</v>
      </c>
      <c r="U917551" s="9">
        <v>10929112955000</v>
      </c>
    </row>
    <row r="917552" spans="20:21" x14ac:dyDescent="0.15">
      <c r="T917552" s="9">
        <v>3603882596858.1099</v>
      </c>
      <c r="U917552" s="9">
        <v>11456442041000</v>
      </c>
    </row>
    <row r="917553" spans="20:21" x14ac:dyDescent="0.15">
      <c r="T917553" s="9">
        <v>3968365637613.6299</v>
      </c>
      <c r="U917553" s="9">
        <v>12217193198000</v>
      </c>
    </row>
    <row r="917554" spans="20:21" x14ac:dyDescent="0.15">
      <c r="T917554" s="9">
        <v>4420544703537.2402</v>
      </c>
      <c r="U917554" s="9">
        <v>13039199193000</v>
      </c>
    </row>
    <row r="917555" spans="20:21" x14ac:dyDescent="0.15">
      <c r="T917555" s="9">
        <v>4982880235433.3896</v>
      </c>
      <c r="U917555" s="9">
        <v>13815586948000</v>
      </c>
    </row>
    <row r="917556" spans="20:21" x14ac:dyDescent="0.15">
      <c r="T917556" s="9">
        <v>5691986992199.8604</v>
      </c>
      <c r="U917556" s="9">
        <v>14474226905000</v>
      </c>
    </row>
    <row r="917557" spans="20:21" x14ac:dyDescent="0.15">
      <c r="T917557" s="9">
        <v>6241302380960.0195</v>
      </c>
      <c r="U917557" s="9">
        <v>14769857911000</v>
      </c>
    </row>
    <row r="917558" spans="20:21" x14ac:dyDescent="0.15">
      <c r="T917558" s="9">
        <v>6827905267633.6299</v>
      </c>
      <c r="U917558" s="9">
        <v>14478064934000</v>
      </c>
    </row>
    <row r="917559" spans="20:21" x14ac:dyDescent="0.15">
      <c r="T917559" s="9">
        <v>7554112468317.7305</v>
      </c>
      <c r="U917559" s="9">
        <v>15048964444000</v>
      </c>
    </row>
    <row r="917560" spans="20:21" x14ac:dyDescent="0.15">
      <c r="T917560" s="9">
        <v>8275593072769.2598</v>
      </c>
      <c r="U917560" s="9">
        <v>15599728123000</v>
      </c>
    </row>
    <row r="917561" spans="20:21" x14ac:dyDescent="0.15">
      <c r="T917561" s="9">
        <v>8926363901575.5605</v>
      </c>
      <c r="U917561" s="9">
        <v>16253972230000</v>
      </c>
    </row>
    <row r="917562" spans="20:21" x14ac:dyDescent="0.15">
      <c r="T917562" s="9">
        <v>9619598720424.4609</v>
      </c>
      <c r="U917562" s="9">
        <v>16843190993000</v>
      </c>
    </row>
    <row r="917563" spans="20:21" x14ac:dyDescent="0.15">
      <c r="T917563" s="9">
        <v>10333927386102.801</v>
      </c>
      <c r="U917563" s="9">
        <v>17550680174000</v>
      </c>
    </row>
    <row r="917564" spans="20:21" x14ac:dyDescent="0.15">
      <c r="T917564" s="9">
        <v>11061573199439.699</v>
      </c>
      <c r="U917564" s="9">
        <v>18206020741000</v>
      </c>
    </row>
    <row r="917565" spans="20:21" x14ac:dyDescent="0.15">
      <c r="T917565" s="9">
        <v>11819154044004.9</v>
      </c>
      <c r="U917565" s="9">
        <v>18695110842000</v>
      </c>
    </row>
    <row r="917566" spans="20:21" x14ac:dyDescent="0.15">
      <c r="T917566" s="9">
        <v>12640254407508.1</v>
      </c>
      <c r="U917566" s="9">
        <v>19477336549000</v>
      </c>
    </row>
    <row r="917567" spans="20:21" x14ac:dyDescent="0.15">
      <c r="T917567" s="9">
        <v>13493442991864.699</v>
      </c>
      <c r="U917567" s="9">
        <v>20533057312000</v>
      </c>
    </row>
    <row r="917568" spans="20:21" x14ac:dyDescent="0.15">
      <c r="T917568" s="9">
        <v>14296370418805.1</v>
      </c>
      <c r="U917568" s="9">
        <v>21380976119000</v>
      </c>
    </row>
    <row r="917569" spans="20:21" x14ac:dyDescent="0.15">
      <c r="T917569" s="9">
        <v>14616414450558.4</v>
      </c>
      <c r="U917569" s="9">
        <v>21060473613000</v>
      </c>
    </row>
    <row r="917570" spans="20:21" x14ac:dyDescent="0.15">
      <c r="T917570" s="9">
        <v>15851132888547.1</v>
      </c>
      <c r="U917570" s="9">
        <v>23315080560000</v>
      </c>
    </row>
    <row r="917571" spans="20:21" x14ac:dyDescent="0.15">
      <c r="T917571" s="9">
        <v>16325209299766.801</v>
      </c>
      <c r="U917571" s="9">
        <v>25462700000000</v>
      </c>
    </row>
    <row r="933889" spans="20:21" x14ac:dyDescent="0.15">
      <c r="T933889" s="9" t="s">
        <v>45</v>
      </c>
      <c r="U933889" s="9" t="s">
        <v>44</v>
      </c>
    </row>
    <row r="933890" spans="20:21" x14ac:dyDescent="0.15">
      <c r="T933890" s="9" t="s">
        <v>43</v>
      </c>
      <c r="U933890" s="9" t="s">
        <v>42</v>
      </c>
    </row>
    <row r="933891" spans="20:21" x14ac:dyDescent="0.15">
      <c r="T933891" s="9" t="s">
        <v>41</v>
      </c>
      <c r="U933891" s="9" t="s">
        <v>40</v>
      </c>
    </row>
    <row r="933892" spans="20:21" x14ac:dyDescent="0.15">
      <c r="T933892" s="9" t="s">
        <v>39</v>
      </c>
      <c r="U933892" s="9" t="s">
        <v>38</v>
      </c>
    </row>
    <row r="933893" spans="20:21" x14ac:dyDescent="0.15">
      <c r="T933893" s="9">
        <v>158907457242.42899</v>
      </c>
      <c r="U933893" s="9">
        <v>543300000000</v>
      </c>
    </row>
    <row r="933894" spans="20:21" x14ac:dyDescent="0.15">
      <c r="T933894" s="9">
        <v>115573393646.185</v>
      </c>
      <c r="U933894" s="9">
        <v>563300000000</v>
      </c>
    </row>
    <row r="933895" spans="20:21" x14ac:dyDescent="0.15">
      <c r="T933895" s="9">
        <v>109124398292.05099</v>
      </c>
      <c r="U933895" s="9">
        <v>605100000000</v>
      </c>
    </row>
    <row r="933896" spans="20:21" x14ac:dyDescent="0.15">
      <c r="T933896" s="9">
        <v>120364211312.289</v>
      </c>
      <c r="U933896" s="9">
        <v>638600000000</v>
      </c>
    </row>
    <row r="933897" spans="20:21" x14ac:dyDescent="0.15">
      <c r="T933897" s="9">
        <v>142246424921.30899</v>
      </c>
      <c r="U933897" s="9">
        <v>685800000000</v>
      </c>
    </row>
    <row r="933898" spans="20:21" x14ac:dyDescent="0.15">
      <c r="T933898" s="9">
        <v>166357193951.10501</v>
      </c>
      <c r="U933898" s="9">
        <v>743700000000</v>
      </c>
    </row>
    <row r="933899" spans="20:21" x14ac:dyDescent="0.15">
      <c r="T933899" s="9">
        <v>184074235104.24799</v>
      </c>
      <c r="U933899" s="9">
        <v>815000000000</v>
      </c>
    </row>
    <row r="933900" spans="20:21" x14ac:dyDescent="0.15">
      <c r="T933900" s="9">
        <v>173453151731.27701</v>
      </c>
      <c r="U933900" s="9">
        <v>861700000000</v>
      </c>
    </row>
    <row r="933901" spans="20:21" x14ac:dyDescent="0.15">
      <c r="T933901" s="9">
        <v>166341572533.69101</v>
      </c>
      <c r="U933901" s="9">
        <v>942500000000</v>
      </c>
    </row>
    <row r="933902" spans="20:21" x14ac:dyDescent="0.15">
      <c r="T933902" s="9">
        <v>194519834914.35999</v>
      </c>
      <c r="U933902" s="9">
        <v>1019900000000</v>
      </c>
    </row>
    <row r="933903" spans="20:21" x14ac:dyDescent="0.15">
      <c r="T933903" s="9">
        <v>232062163046.44</v>
      </c>
      <c r="U933903" s="9">
        <v>1073303000000</v>
      </c>
    </row>
    <row r="933904" spans="20:21" x14ac:dyDescent="0.15">
      <c r="T933904" s="9">
        <v>248445751754.134</v>
      </c>
      <c r="U933904" s="9">
        <v>1164850000000</v>
      </c>
    </row>
    <row r="933905" spans="20:21" x14ac:dyDescent="0.15">
      <c r="T933905" s="9">
        <v>257911534896.49799</v>
      </c>
      <c r="U933905" s="9">
        <v>1279110000000</v>
      </c>
    </row>
    <row r="933906" spans="20:21" x14ac:dyDescent="0.15">
      <c r="T933906" s="9">
        <v>277925470006.599</v>
      </c>
      <c r="U933906" s="9">
        <v>1425376000000</v>
      </c>
    </row>
    <row r="933907" spans="20:21" x14ac:dyDescent="0.15">
      <c r="T933907" s="9">
        <v>284345548371.966</v>
      </c>
      <c r="U933907" s="9">
        <v>1545243000000</v>
      </c>
    </row>
    <row r="933908" spans="20:21" x14ac:dyDescent="0.15">
      <c r="T933908" s="9">
        <v>309140480182.89801</v>
      </c>
      <c r="U933908" s="9">
        <v>1684904000000</v>
      </c>
    </row>
    <row r="933909" spans="20:21" x14ac:dyDescent="0.15">
      <c r="T933909" s="9">
        <v>304286974638.82202</v>
      </c>
      <c r="U933909" s="9">
        <v>1873412000000</v>
      </c>
    </row>
    <row r="933910" spans="20:21" x14ac:dyDescent="0.15">
      <c r="T933910" s="9">
        <v>327321498623.151</v>
      </c>
      <c r="U933910" s="9">
        <v>2081826000000</v>
      </c>
    </row>
    <row r="933911" spans="20:21" x14ac:dyDescent="0.15">
      <c r="T933911" s="9">
        <v>364393859506.91699</v>
      </c>
      <c r="U933911" s="9">
        <v>2351599000000</v>
      </c>
    </row>
    <row r="933912" spans="20:21" x14ac:dyDescent="0.15">
      <c r="T933912" s="9">
        <v>392056180496.07098</v>
      </c>
      <c r="U933912" s="9">
        <v>2627333000000</v>
      </c>
    </row>
    <row r="933913" spans="20:21" x14ac:dyDescent="0.15">
      <c r="T933913" s="9">
        <v>422770430220.08099</v>
      </c>
      <c r="U933913" s="9">
        <v>2857307000000</v>
      </c>
    </row>
    <row r="933914" spans="20:21" x14ac:dyDescent="0.15">
      <c r="T933914" s="9">
        <v>444385672278.89001</v>
      </c>
      <c r="U933914" s="9">
        <v>3207041000000</v>
      </c>
    </row>
    <row r="933915" spans="20:21" x14ac:dyDescent="0.15">
      <c r="T933915" s="9">
        <v>484456434564.98102</v>
      </c>
      <c r="U933915" s="9">
        <v>3343789000000</v>
      </c>
    </row>
    <row r="933916" spans="20:21" x14ac:dyDescent="0.15">
      <c r="T933916" s="9">
        <v>536633373623.745</v>
      </c>
      <c r="U933916" s="9">
        <v>3634038000000</v>
      </c>
    </row>
    <row r="933917" spans="20:21" x14ac:dyDescent="0.15">
      <c r="T933917" s="9">
        <v>618156247357.86304</v>
      </c>
      <c r="U933917" s="9">
        <v>4037613000000</v>
      </c>
    </row>
    <row r="933918" spans="20:21" x14ac:dyDescent="0.15">
      <c r="T933918" s="9">
        <v>701178819512.74402</v>
      </c>
      <c r="U933918" s="9">
        <v>4338979000000</v>
      </c>
    </row>
    <row r="933919" spans="20:21" x14ac:dyDescent="0.15">
      <c r="T933919" s="9">
        <v>763934055759.06604</v>
      </c>
      <c r="U933919" s="9">
        <v>4579631000000</v>
      </c>
    </row>
    <row r="933920" spans="20:21" x14ac:dyDescent="0.15">
      <c r="T933920" s="9">
        <v>852989116696.35205</v>
      </c>
      <c r="U933920" s="9">
        <v>4855215000000</v>
      </c>
    </row>
    <row r="933921" spans="20:21" x14ac:dyDescent="0.15">
      <c r="T933921" s="9">
        <v>948716630508.16699</v>
      </c>
      <c r="U933921" s="9">
        <v>5236438000000</v>
      </c>
    </row>
    <row r="933922" spans="20:21" x14ac:dyDescent="0.15">
      <c r="T933922" s="9">
        <v>988622824073.36694</v>
      </c>
      <c r="U933922" s="9">
        <v>5641580000000</v>
      </c>
    </row>
    <row r="933923" spans="20:21" x14ac:dyDescent="0.15">
      <c r="T933923" s="9">
        <v>1027379323856.15</v>
      </c>
      <c r="U933923" s="9">
        <v>5963144000000</v>
      </c>
    </row>
    <row r="933924" spans="20:21" x14ac:dyDescent="0.15">
      <c r="T933924" s="9">
        <v>1122543272896.8301</v>
      </c>
      <c r="U933924" s="9">
        <v>6158129000000</v>
      </c>
    </row>
    <row r="933925" spans="20:21" x14ac:dyDescent="0.15">
      <c r="T933925" s="9">
        <v>1282219772946.3201</v>
      </c>
      <c r="U933925" s="9">
        <v>6520327000000</v>
      </c>
    </row>
    <row r="933926" spans="20:21" x14ac:dyDescent="0.15">
      <c r="T933926" s="9">
        <v>1460239695280.22</v>
      </c>
      <c r="U933926" s="9">
        <v>6858559000000</v>
      </c>
    </row>
    <row r="933927" spans="20:21" x14ac:dyDescent="0.15">
      <c r="T933927" s="9">
        <v>1650608320717.1299</v>
      </c>
      <c r="U933927" s="9">
        <v>7287236000000</v>
      </c>
    </row>
    <row r="933928" spans="20:21" x14ac:dyDescent="0.15">
      <c r="T933928" s="9">
        <v>1831415202548.1001</v>
      </c>
      <c r="U933928" s="9">
        <v>7639749000000</v>
      </c>
    </row>
    <row r="933929" spans="20:21" x14ac:dyDescent="0.15">
      <c r="T933929" s="9">
        <v>2013138415391.3999</v>
      </c>
      <c r="U933929" s="9">
        <v>8073122000000</v>
      </c>
    </row>
    <row r="933930" spans="20:21" x14ac:dyDescent="0.15">
      <c r="T933930" s="9">
        <v>2199087579734.8799</v>
      </c>
      <c r="U933930" s="9">
        <v>8577554457000</v>
      </c>
    </row>
    <row r="933931" spans="20:21" x14ac:dyDescent="0.15">
      <c r="T933931" s="9">
        <v>2371626931008.4102</v>
      </c>
      <c r="U933931" s="9">
        <v>9062818202000</v>
      </c>
    </row>
    <row r="933932" spans="20:21" x14ac:dyDescent="0.15">
      <c r="T933932" s="9">
        <v>2553332721355.1499</v>
      </c>
      <c r="U933932" s="9">
        <v>9631174489000</v>
      </c>
    </row>
    <row r="933933" spans="20:21" x14ac:dyDescent="0.15">
      <c r="T933933" s="9">
        <v>2770113054357.8301</v>
      </c>
      <c r="U933933" s="9">
        <v>10250947997000</v>
      </c>
    </row>
    <row r="933934" spans="20:21" x14ac:dyDescent="0.15">
      <c r="T933934" s="9">
        <v>3001022295612.3501</v>
      </c>
      <c r="U933934" s="9">
        <v>10581929774000</v>
      </c>
    </row>
    <row r="933935" spans="20:21" x14ac:dyDescent="0.15">
      <c r="T933935" s="9">
        <v>3275124592017.1602</v>
      </c>
      <c r="U933935" s="9">
        <v>10929112955000</v>
      </c>
    </row>
    <row r="933936" spans="20:21" x14ac:dyDescent="0.15">
      <c r="T933936" s="9">
        <v>3603882596858.1099</v>
      </c>
      <c r="U933936" s="9">
        <v>11456442041000</v>
      </c>
    </row>
    <row r="933937" spans="20:21" x14ac:dyDescent="0.15">
      <c r="T933937" s="9">
        <v>3968365637613.6299</v>
      </c>
      <c r="U933937" s="9">
        <v>12217193198000</v>
      </c>
    </row>
    <row r="933938" spans="20:21" x14ac:dyDescent="0.15">
      <c r="T933938" s="9">
        <v>4420544703537.2402</v>
      </c>
      <c r="U933938" s="9">
        <v>13039199193000</v>
      </c>
    </row>
    <row r="933939" spans="20:21" x14ac:dyDescent="0.15">
      <c r="T933939" s="9">
        <v>4982880235433.3896</v>
      </c>
      <c r="U933939" s="9">
        <v>13815586948000</v>
      </c>
    </row>
    <row r="933940" spans="20:21" x14ac:dyDescent="0.15">
      <c r="T933940" s="9">
        <v>5691986992199.8604</v>
      </c>
      <c r="U933940" s="9">
        <v>14474226905000</v>
      </c>
    </row>
    <row r="933941" spans="20:21" x14ac:dyDescent="0.15">
      <c r="T933941" s="9">
        <v>6241302380960.0195</v>
      </c>
      <c r="U933941" s="9">
        <v>14769857911000</v>
      </c>
    </row>
    <row r="933942" spans="20:21" x14ac:dyDescent="0.15">
      <c r="T933942" s="9">
        <v>6827905267633.6299</v>
      </c>
      <c r="U933942" s="9">
        <v>14478064934000</v>
      </c>
    </row>
    <row r="933943" spans="20:21" x14ac:dyDescent="0.15">
      <c r="T933943" s="9">
        <v>7554112468317.7305</v>
      </c>
      <c r="U933943" s="9">
        <v>15048964444000</v>
      </c>
    </row>
    <row r="933944" spans="20:21" x14ac:dyDescent="0.15">
      <c r="T933944" s="9">
        <v>8275593072769.2598</v>
      </c>
      <c r="U933944" s="9">
        <v>15599728123000</v>
      </c>
    </row>
    <row r="933945" spans="20:21" x14ac:dyDescent="0.15">
      <c r="T933945" s="9">
        <v>8926363901575.5605</v>
      </c>
      <c r="U933945" s="9">
        <v>16253972230000</v>
      </c>
    </row>
    <row r="933946" spans="20:21" x14ac:dyDescent="0.15">
      <c r="T933946" s="9">
        <v>9619598720424.4609</v>
      </c>
      <c r="U933946" s="9">
        <v>16843190993000</v>
      </c>
    </row>
    <row r="933947" spans="20:21" x14ac:dyDescent="0.15">
      <c r="T933947" s="9">
        <v>10333927386102.801</v>
      </c>
      <c r="U933947" s="9">
        <v>17550680174000</v>
      </c>
    </row>
    <row r="933948" spans="20:21" x14ac:dyDescent="0.15">
      <c r="T933948" s="9">
        <v>11061573199439.699</v>
      </c>
      <c r="U933948" s="9">
        <v>18206020741000</v>
      </c>
    </row>
    <row r="933949" spans="20:21" x14ac:dyDescent="0.15">
      <c r="T933949" s="9">
        <v>11819154044004.9</v>
      </c>
      <c r="U933949" s="9">
        <v>18695110842000</v>
      </c>
    </row>
    <row r="933950" spans="20:21" x14ac:dyDescent="0.15">
      <c r="T933950" s="9">
        <v>12640254407508.1</v>
      </c>
      <c r="U933950" s="9">
        <v>19477336549000</v>
      </c>
    </row>
    <row r="933951" spans="20:21" x14ac:dyDescent="0.15">
      <c r="T933951" s="9">
        <v>13493442991864.699</v>
      </c>
      <c r="U933951" s="9">
        <v>20533057312000</v>
      </c>
    </row>
    <row r="933952" spans="20:21" x14ac:dyDescent="0.15">
      <c r="T933952" s="9">
        <v>14296370418805.1</v>
      </c>
      <c r="U933952" s="9">
        <v>21380976119000</v>
      </c>
    </row>
    <row r="933953" spans="20:21" x14ac:dyDescent="0.15">
      <c r="T933953" s="9">
        <v>14616414450558.4</v>
      </c>
      <c r="U933953" s="9">
        <v>21060473613000</v>
      </c>
    </row>
    <row r="933954" spans="20:21" x14ac:dyDescent="0.15">
      <c r="T933954" s="9">
        <v>15851132888547.1</v>
      </c>
      <c r="U933954" s="9">
        <v>23315080560000</v>
      </c>
    </row>
    <row r="933955" spans="20:21" x14ac:dyDescent="0.15">
      <c r="T933955" s="9">
        <v>16325209299766.801</v>
      </c>
      <c r="U933955" s="9">
        <v>25462700000000</v>
      </c>
    </row>
    <row r="950273" spans="20:21" x14ac:dyDescent="0.15">
      <c r="T950273" s="9" t="s">
        <v>45</v>
      </c>
      <c r="U950273" s="9" t="s">
        <v>44</v>
      </c>
    </row>
    <row r="950274" spans="20:21" x14ac:dyDescent="0.15">
      <c r="T950274" s="9" t="s">
        <v>43</v>
      </c>
      <c r="U950274" s="9" t="s">
        <v>42</v>
      </c>
    </row>
    <row r="950275" spans="20:21" x14ac:dyDescent="0.15">
      <c r="T950275" s="9" t="s">
        <v>41</v>
      </c>
      <c r="U950275" s="9" t="s">
        <v>40</v>
      </c>
    </row>
    <row r="950276" spans="20:21" x14ac:dyDescent="0.15">
      <c r="T950276" s="9" t="s">
        <v>39</v>
      </c>
      <c r="U950276" s="9" t="s">
        <v>38</v>
      </c>
    </row>
    <row r="950277" spans="20:21" x14ac:dyDescent="0.15">
      <c r="T950277" s="9">
        <v>158907457242.42899</v>
      </c>
      <c r="U950277" s="9">
        <v>543300000000</v>
      </c>
    </row>
    <row r="950278" spans="20:21" x14ac:dyDescent="0.15">
      <c r="T950278" s="9">
        <v>115573393646.185</v>
      </c>
      <c r="U950278" s="9">
        <v>563300000000</v>
      </c>
    </row>
    <row r="950279" spans="20:21" x14ac:dyDescent="0.15">
      <c r="T950279" s="9">
        <v>109124398292.05099</v>
      </c>
      <c r="U950279" s="9">
        <v>605100000000</v>
      </c>
    </row>
    <row r="950280" spans="20:21" x14ac:dyDescent="0.15">
      <c r="T950280" s="9">
        <v>120364211312.289</v>
      </c>
      <c r="U950280" s="9">
        <v>638600000000</v>
      </c>
    </row>
    <row r="950281" spans="20:21" x14ac:dyDescent="0.15">
      <c r="T950281" s="9">
        <v>142246424921.30899</v>
      </c>
      <c r="U950281" s="9">
        <v>685800000000</v>
      </c>
    </row>
    <row r="950282" spans="20:21" x14ac:dyDescent="0.15">
      <c r="T950282" s="9">
        <v>166357193951.10501</v>
      </c>
      <c r="U950282" s="9">
        <v>743700000000</v>
      </c>
    </row>
    <row r="950283" spans="20:21" x14ac:dyDescent="0.15">
      <c r="T950283" s="9">
        <v>184074235104.24799</v>
      </c>
      <c r="U950283" s="9">
        <v>815000000000</v>
      </c>
    </row>
    <row r="950284" spans="20:21" x14ac:dyDescent="0.15">
      <c r="T950284" s="9">
        <v>173453151731.27701</v>
      </c>
      <c r="U950284" s="9">
        <v>861700000000</v>
      </c>
    </row>
    <row r="950285" spans="20:21" x14ac:dyDescent="0.15">
      <c r="T950285" s="9">
        <v>166341572533.69101</v>
      </c>
      <c r="U950285" s="9">
        <v>942500000000</v>
      </c>
    </row>
    <row r="950286" spans="20:21" x14ac:dyDescent="0.15">
      <c r="T950286" s="9">
        <v>194519834914.35999</v>
      </c>
      <c r="U950286" s="9">
        <v>1019900000000</v>
      </c>
    </row>
    <row r="950287" spans="20:21" x14ac:dyDescent="0.15">
      <c r="T950287" s="9">
        <v>232062163046.44</v>
      </c>
      <c r="U950287" s="9">
        <v>1073303000000</v>
      </c>
    </row>
    <row r="950288" spans="20:21" x14ac:dyDescent="0.15">
      <c r="T950288" s="9">
        <v>248445751754.134</v>
      </c>
      <c r="U950288" s="9">
        <v>1164850000000</v>
      </c>
    </row>
    <row r="950289" spans="20:21" x14ac:dyDescent="0.15">
      <c r="T950289" s="9">
        <v>257911534896.49799</v>
      </c>
      <c r="U950289" s="9">
        <v>1279110000000</v>
      </c>
    </row>
    <row r="950290" spans="20:21" x14ac:dyDescent="0.15">
      <c r="T950290" s="9">
        <v>277925470006.599</v>
      </c>
      <c r="U950290" s="9">
        <v>1425376000000</v>
      </c>
    </row>
    <row r="950291" spans="20:21" x14ac:dyDescent="0.15">
      <c r="T950291" s="9">
        <v>284345548371.966</v>
      </c>
      <c r="U950291" s="9">
        <v>1545243000000</v>
      </c>
    </row>
    <row r="950292" spans="20:21" x14ac:dyDescent="0.15">
      <c r="T950292" s="9">
        <v>309140480182.89801</v>
      </c>
      <c r="U950292" s="9">
        <v>1684904000000</v>
      </c>
    </row>
    <row r="950293" spans="20:21" x14ac:dyDescent="0.15">
      <c r="T950293" s="9">
        <v>304286974638.82202</v>
      </c>
      <c r="U950293" s="9">
        <v>1873412000000</v>
      </c>
    </row>
    <row r="950294" spans="20:21" x14ac:dyDescent="0.15">
      <c r="T950294" s="9">
        <v>327321498623.151</v>
      </c>
      <c r="U950294" s="9">
        <v>2081826000000</v>
      </c>
    </row>
    <row r="950295" spans="20:21" x14ac:dyDescent="0.15">
      <c r="T950295" s="9">
        <v>364393859506.91699</v>
      </c>
      <c r="U950295" s="9">
        <v>2351599000000</v>
      </c>
    </row>
    <row r="950296" spans="20:21" x14ac:dyDescent="0.15">
      <c r="T950296" s="9">
        <v>392056180496.07098</v>
      </c>
      <c r="U950296" s="9">
        <v>2627333000000</v>
      </c>
    </row>
    <row r="950297" spans="20:21" x14ac:dyDescent="0.15">
      <c r="T950297" s="9">
        <v>422770430220.08099</v>
      </c>
      <c r="U950297" s="9">
        <v>2857307000000</v>
      </c>
    </row>
    <row r="950298" spans="20:21" x14ac:dyDescent="0.15">
      <c r="T950298" s="9">
        <v>444385672278.89001</v>
      </c>
      <c r="U950298" s="9">
        <v>3207041000000</v>
      </c>
    </row>
    <row r="950299" spans="20:21" x14ac:dyDescent="0.15">
      <c r="T950299" s="9">
        <v>484456434564.98102</v>
      </c>
      <c r="U950299" s="9">
        <v>3343789000000</v>
      </c>
    </row>
    <row r="950300" spans="20:21" x14ac:dyDescent="0.15">
      <c r="T950300" s="9">
        <v>536633373623.745</v>
      </c>
      <c r="U950300" s="9">
        <v>3634038000000</v>
      </c>
    </row>
    <row r="950301" spans="20:21" x14ac:dyDescent="0.15">
      <c r="T950301" s="9">
        <v>618156247357.86304</v>
      </c>
      <c r="U950301" s="9">
        <v>4037613000000</v>
      </c>
    </row>
    <row r="950302" spans="20:21" x14ac:dyDescent="0.15">
      <c r="T950302" s="9">
        <v>701178819512.74402</v>
      </c>
      <c r="U950302" s="9">
        <v>4338979000000</v>
      </c>
    </row>
    <row r="950303" spans="20:21" x14ac:dyDescent="0.15">
      <c r="T950303" s="9">
        <v>763934055759.06604</v>
      </c>
      <c r="U950303" s="9">
        <v>4579631000000</v>
      </c>
    </row>
    <row r="950304" spans="20:21" x14ac:dyDescent="0.15">
      <c r="T950304" s="9">
        <v>852989116696.35205</v>
      </c>
      <c r="U950304" s="9">
        <v>4855215000000</v>
      </c>
    </row>
    <row r="950305" spans="20:21" x14ac:dyDescent="0.15">
      <c r="T950305" s="9">
        <v>948716630508.16699</v>
      </c>
      <c r="U950305" s="9">
        <v>5236438000000</v>
      </c>
    </row>
    <row r="950306" spans="20:21" x14ac:dyDescent="0.15">
      <c r="T950306" s="9">
        <v>988622824073.36694</v>
      </c>
      <c r="U950306" s="9">
        <v>5641580000000</v>
      </c>
    </row>
    <row r="950307" spans="20:21" x14ac:dyDescent="0.15">
      <c r="T950307" s="9">
        <v>1027379323856.15</v>
      </c>
      <c r="U950307" s="9">
        <v>5963144000000</v>
      </c>
    </row>
    <row r="950308" spans="20:21" x14ac:dyDescent="0.15">
      <c r="T950308" s="9">
        <v>1122543272896.8301</v>
      </c>
      <c r="U950308" s="9">
        <v>6158129000000</v>
      </c>
    </row>
    <row r="950309" spans="20:21" x14ac:dyDescent="0.15">
      <c r="T950309" s="9">
        <v>1282219772946.3201</v>
      </c>
      <c r="U950309" s="9">
        <v>6520327000000</v>
      </c>
    </row>
    <row r="950310" spans="20:21" x14ac:dyDescent="0.15">
      <c r="T950310" s="9">
        <v>1460239695280.22</v>
      </c>
      <c r="U950310" s="9">
        <v>6858559000000</v>
      </c>
    </row>
    <row r="950311" spans="20:21" x14ac:dyDescent="0.15">
      <c r="T950311" s="9">
        <v>1650608320717.1299</v>
      </c>
      <c r="U950311" s="9">
        <v>7287236000000</v>
      </c>
    </row>
    <row r="950312" spans="20:21" x14ac:dyDescent="0.15">
      <c r="T950312" s="9">
        <v>1831415202548.1001</v>
      </c>
      <c r="U950312" s="9">
        <v>7639749000000</v>
      </c>
    </row>
    <row r="950313" spans="20:21" x14ac:dyDescent="0.15">
      <c r="T950313" s="9">
        <v>2013138415391.3999</v>
      </c>
      <c r="U950313" s="9">
        <v>8073122000000</v>
      </c>
    </row>
    <row r="950314" spans="20:21" x14ac:dyDescent="0.15">
      <c r="T950314" s="9">
        <v>2199087579734.8799</v>
      </c>
      <c r="U950314" s="9">
        <v>8577554457000</v>
      </c>
    </row>
    <row r="950315" spans="20:21" x14ac:dyDescent="0.15">
      <c r="T950315" s="9">
        <v>2371626931008.4102</v>
      </c>
      <c r="U950315" s="9">
        <v>9062818202000</v>
      </c>
    </row>
    <row r="950316" spans="20:21" x14ac:dyDescent="0.15">
      <c r="T950316" s="9">
        <v>2553332721355.1499</v>
      </c>
      <c r="U950316" s="9">
        <v>9631174489000</v>
      </c>
    </row>
    <row r="950317" spans="20:21" x14ac:dyDescent="0.15">
      <c r="T950317" s="9">
        <v>2770113054357.8301</v>
      </c>
      <c r="U950317" s="9">
        <v>10250947997000</v>
      </c>
    </row>
    <row r="950318" spans="20:21" x14ac:dyDescent="0.15">
      <c r="T950318" s="9">
        <v>3001022295612.3501</v>
      </c>
      <c r="U950318" s="9">
        <v>10581929774000</v>
      </c>
    </row>
    <row r="950319" spans="20:21" x14ac:dyDescent="0.15">
      <c r="T950319" s="9">
        <v>3275124592017.1602</v>
      </c>
      <c r="U950319" s="9">
        <v>10929112955000</v>
      </c>
    </row>
    <row r="950320" spans="20:21" x14ac:dyDescent="0.15">
      <c r="T950320" s="9">
        <v>3603882596858.1099</v>
      </c>
      <c r="U950320" s="9">
        <v>11456442041000</v>
      </c>
    </row>
    <row r="950321" spans="20:21" x14ac:dyDescent="0.15">
      <c r="T950321" s="9">
        <v>3968365637613.6299</v>
      </c>
      <c r="U950321" s="9">
        <v>12217193198000</v>
      </c>
    </row>
    <row r="950322" spans="20:21" x14ac:dyDescent="0.15">
      <c r="T950322" s="9">
        <v>4420544703537.2402</v>
      </c>
      <c r="U950322" s="9">
        <v>13039199193000</v>
      </c>
    </row>
    <row r="950323" spans="20:21" x14ac:dyDescent="0.15">
      <c r="T950323" s="9">
        <v>4982880235433.3896</v>
      </c>
      <c r="U950323" s="9">
        <v>13815586948000</v>
      </c>
    </row>
    <row r="950324" spans="20:21" x14ac:dyDescent="0.15">
      <c r="T950324" s="9">
        <v>5691986992199.8604</v>
      </c>
      <c r="U950324" s="9">
        <v>14474226905000</v>
      </c>
    </row>
    <row r="950325" spans="20:21" x14ac:dyDescent="0.15">
      <c r="T950325" s="9">
        <v>6241302380960.0195</v>
      </c>
      <c r="U950325" s="9">
        <v>14769857911000</v>
      </c>
    </row>
    <row r="950326" spans="20:21" x14ac:dyDescent="0.15">
      <c r="T950326" s="9">
        <v>6827905267633.6299</v>
      </c>
      <c r="U950326" s="9">
        <v>14478064934000</v>
      </c>
    </row>
    <row r="950327" spans="20:21" x14ac:dyDescent="0.15">
      <c r="T950327" s="9">
        <v>7554112468317.7305</v>
      </c>
      <c r="U950327" s="9">
        <v>15048964444000</v>
      </c>
    </row>
    <row r="950328" spans="20:21" x14ac:dyDescent="0.15">
      <c r="T950328" s="9">
        <v>8275593072769.2598</v>
      </c>
      <c r="U950328" s="9">
        <v>15599728123000</v>
      </c>
    </row>
    <row r="950329" spans="20:21" x14ac:dyDescent="0.15">
      <c r="T950329" s="9">
        <v>8926363901575.5605</v>
      </c>
      <c r="U950329" s="9">
        <v>16253972230000</v>
      </c>
    </row>
    <row r="950330" spans="20:21" x14ac:dyDescent="0.15">
      <c r="T950330" s="9">
        <v>9619598720424.4609</v>
      </c>
      <c r="U950330" s="9">
        <v>16843190993000</v>
      </c>
    </row>
    <row r="950331" spans="20:21" x14ac:dyDescent="0.15">
      <c r="T950331" s="9">
        <v>10333927386102.801</v>
      </c>
      <c r="U950331" s="9">
        <v>17550680174000</v>
      </c>
    </row>
    <row r="950332" spans="20:21" x14ac:dyDescent="0.15">
      <c r="T950332" s="9">
        <v>11061573199439.699</v>
      </c>
      <c r="U950332" s="9">
        <v>18206020741000</v>
      </c>
    </row>
    <row r="950333" spans="20:21" x14ac:dyDescent="0.15">
      <c r="T950333" s="9">
        <v>11819154044004.9</v>
      </c>
      <c r="U950333" s="9">
        <v>18695110842000</v>
      </c>
    </row>
    <row r="950334" spans="20:21" x14ac:dyDescent="0.15">
      <c r="T950334" s="9">
        <v>12640254407508.1</v>
      </c>
      <c r="U950334" s="9">
        <v>19477336549000</v>
      </c>
    </row>
    <row r="950335" spans="20:21" x14ac:dyDescent="0.15">
      <c r="T950335" s="9">
        <v>13493442991864.699</v>
      </c>
      <c r="U950335" s="9">
        <v>20533057312000</v>
      </c>
    </row>
    <row r="950336" spans="20:21" x14ac:dyDescent="0.15">
      <c r="T950336" s="9">
        <v>14296370418805.1</v>
      </c>
      <c r="U950336" s="9">
        <v>21380976119000</v>
      </c>
    </row>
    <row r="950337" spans="20:21" x14ac:dyDescent="0.15">
      <c r="T950337" s="9">
        <v>14616414450558.4</v>
      </c>
      <c r="U950337" s="9">
        <v>21060473613000</v>
      </c>
    </row>
    <row r="950338" spans="20:21" x14ac:dyDescent="0.15">
      <c r="T950338" s="9">
        <v>15851132888547.1</v>
      </c>
      <c r="U950338" s="9">
        <v>23315080560000</v>
      </c>
    </row>
    <row r="950339" spans="20:21" x14ac:dyDescent="0.15">
      <c r="T950339" s="9">
        <v>16325209299766.801</v>
      </c>
      <c r="U950339" s="9">
        <v>25462700000000</v>
      </c>
    </row>
    <row r="966657" spans="20:21" x14ac:dyDescent="0.15">
      <c r="T966657" s="9" t="s">
        <v>45</v>
      </c>
      <c r="U966657" s="9" t="s">
        <v>44</v>
      </c>
    </row>
    <row r="966658" spans="20:21" x14ac:dyDescent="0.15">
      <c r="T966658" s="9" t="s">
        <v>43</v>
      </c>
      <c r="U966658" s="9" t="s">
        <v>42</v>
      </c>
    </row>
    <row r="966659" spans="20:21" x14ac:dyDescent="0.15">
      <c r="T966659" s="9" t="s">
        <v>41</v>
      </c>
      <c r="U966659" s="9" t="s">
        <v>40</v>
      </c>
    </row>
    <row r="966660" spans="20:21" x14ac:dyDescent="0.15">
      <c r="T966660" s="9" t="s">
        <v>39</v>
      </c>
      <c r="U966660" s="9" t="s">
        <v>38</v>
      </c>
    </row>
    <row r="966661" spans="20:21" x14ac:dyDescent="0.15">
      <c r="T966661" s="9">
        <v>158907457242.42899</v>
      </c>
      <c r="U966661" s="9">
        <v>543300000000</v>
      </c>
    </row>
    <row r="966662" spans="20:21" x14ac:dyDescent="0.15">
      <c r="T966662" s="9">
        <v>115573393646.185</v>
      </c>
      <c r="U966662" s="9">
        <v>563300000000</v>
      </c>
    </row>
    <row r="966663" spans="20:21" x14ac:dyDescent="0.15">
      <c r="T966663" s="9">
        <v>109124398292.05099</v>
      </c>
      <c r="U966663" s="9">
        <v>605100000000</v>
      </c>
    </row>
    <row r="966664" spans="20:21" x14ac:dyDescent="0.15">
      <c r="T966664" s="9">
        <v>120364211312.289</v>
      </c>
      <c r="U966664" s="9">
        <v>638600000000</v>
      </c>
    </row>
    <row r="966665" spans="20:21" x14ac:dyDescent="0.15">
      <c r="T966665" s="9">
        <v>142246424921.30899</v>
      </c>
      <c r="U966665" s="9">
        <v>685800000000</v>
      </c>
    </row>
    <row r="966666" spans="20:21" x14ac:dyDescent="0.15">
      <c r="T966666" s="9">
        <v>166357193951.10501</v>
      </c>
      <c r="U966666" s="9">
        <v>743700000000</v>
      </c>
    </row>
    <row r="966667" spans="20:21" x14ac:dyDescent="0.15">
      <c r="T966667" s="9">
        <v>184074235104.24799</v>
      </c>
      <c r="U966667" s="9">
        <v>815000000000</v>
      </c>
    </row>
    <row r="966668" spans="20:21" x14ac:dyDescent="0.15">
      <c r="T966668" s="9">
        <v>173453151731.27701</v>
      </c>
      <c r="U966668" s="9">
        <v>861700000000</v>
      </c>
    </row>
    <row r="966669" spans="20:21" x14ac:dyDescent="0.15">
      <c r="T966669" s="9">
        <v>166341572533.69101</v>
      </c>
      <c r="U966669" s="9">
        <v>942500000000</v>
      </c>
    </row>
    <row r="966670" spans="20:21" x14ac:dyDescent="0.15">
      <c r="T966670" s="9">
        <v>194519834914.35999</v>
      </c>
      <c r="U966670" s="9">
        <v>1019900000000</v>
      </c>
    </row>
    <row r="966671" spans="20:21" x14ac:dyDescent="0.15">
      <c r="T966671" s="9">
        <v>232062163046.44</v>
      </c>
      <c r="U966671" s="9">
        <v>1073303000000</v>
      </c>
    </row>
    <row r="966672" spans="20:21" x14ac:dyDescent="0.15">
      <c r="T966672" s="9">
        <v>248445751754.134</v>
      </c>
      <c r="U966672" s="9">
        <v>1164850000000</v>
      </c>
    </row>
    <row r="966673" spans="20:21" x14ac:dyDescent="0.15">
      <c r="T966673" s="9">
        <v>257911534896.49799</v>
      </c>
      <c r="U966673" s="9">
        <v>1279110000000</v>
      </c>
    </row>
    <row r="966674" spans="20:21" x14ac:dyDescent="0.15">
      <c r="T966674" s="9">
        <v>277925470006.599</v>
      </c>
      <c r="U966674" s="9">
        <v>1425376000000</v>
      </c>
    </row>
    <row r="966675" spans="20:21" x14ac:dyDescent="0.15">
      <c r="T966675" s="9">
        <v>284345548371.966</v>
      </c>
      <c r="U966675" s="9">
        <v>1545243000000</v>
      </c>
    </row>
    <row r="966676" spans="20:21" x14ac:dyDescent="0.15">
      <c r="T966676" s="9">
        <v>309140480182.89801</v>
      </c>
      <c r="U966676" s="9">
        <v>1684904000000</v>
      </c>
    </row>
    <row r="966677" spans="20:21" x14ac:dyDescent="0.15">
      <c r="T966677" s="9">
        <v>304286974638.82202</v>
      </c>
      <c r="U966677" s="9">
        <v>1873412000000</v>
      </c>
    </row>
    <row r="966678" spans="20:21" x14ac:dyDescent="0.15">
      <c r="T966678" s="9">
        <v>327321498623.151</v>
      </c>
      <c r="U966678" s="9">
        <v>2081826000000</v>
      </c>
    </row>
    <row r="966679" spans="20:21" x14ac:dyDescent="0.15">
      <c r="T966679" s="9">
        <v>364393859506.91699</v>
      </c>
      <c r="U966679" s="9">
        <v>2351599000000</v>
      </c>
    </row>
    <row r="966680" spans="20:21" x14ac:dyDescent="0.15">
      <c r="T966680" s="9">
        <v>392056180496.07098</v>
      </c>
      <c r="U966680" s="9">
        <v>2627333000000</v>
      </c>
    </row>
    <row r="966681" spans="20:21" x14ac:dyDescent="0.15">
      <c r="T966681" s="9">
        <v>422770430220.08099</v>
      </c>
      <c r="U966681" s="9">
        <v>2857307000000</v>
      </c>
    </row>
    <row r="966682" spans="20:21" x14ac:dyDescent="0.15">
      <c r="T966682" s="9">
        <v>444385672278.89001</v>
      </c>
      <c r="U966682" s="9">
        <v>3207041000000</v>
      </c>
    </row>
    <row r="966683" spans="20:21" x14ac:dyDescent="0.15">
      <c r="T966683" s="9">
        <v>484456434564.98102</v>
      </c>
      <c r="U966683" s="9">
        <v>3343789000000</v>
      </c>
    </row>
    <row r="966684" spans="20:21" x14ac:dyDescent="0.15">
      <c r="T966684" s="9">
        <v>536633373623.745</v>
      </c>
      <c r="U966684" s="9">
        <v>3634038000000</v>
      </c>
    </row>
    <row r="966685" spans="20:21" x14ac:dyDescent="0.15">
      <c r="T966685" s="9">
        <v>618156247357.86304</v>
      </c>
      <c r="U966685" s="9">
        <v>4037613000000</v>
      </c>
    </row>
    <row r="966686" spans="20:21" x14ac:dyDescent="0.15">
      <c r="T966686" s="9">
        <v>701178819512.74402</v>
      </c>
      <c r="U966686" s="9">
        <v>4338979000000</v>
      </c>
    </row>
    <row r="966687" spans="20:21" x14ac:dyDescent="0.15">
      <c r="T966687" s="9">
        <v>763934055759.06604</v>
      </c>
      <c r="U966687" s="9">
        <v>4579631000000</v>
      </c>
    </row>
    <row r="966688" spans="20:21" x14ac:dyDescent="0.15">
      <c r="T966688" s="9">
        <v>852989116696.35205</v>
      </c>
      <c r="U966688" s="9">
        <v>4855215000000</v>
      </c>
    </row>
    <row r="966689" spans="20:21" x14ac:dyDescent="0.15">
      <c r="T966689" s="9">
        <v>948716630508.16699</v>
      </c>
      <c r="U966689" s="9">
        <v>5236438000000</v>
      </c>
    </row>
    <row r="966690" spans="20:21" x14ac:dyDescent="0.15">
      <c r="T966690" s="9">
        <v>988622824073.36694</v>
      </c>
      <c r="U966690" s="9">
        <v>5641580000000</v>
      </c>
    </row>
    <row r="966691" spans="20:21" x14ac:dyDescent="0.15">
      <c r="T966691" s="9">
        <v>1027379323856.15</v>
      </c>
      <c r="U966691" s="9">
        <v>5963144000000</v>
      </c>
    </row>
    <row r="966692" spans="20:21" x14ac:dyDescent="0.15">
      <c r="T966692" s="9">
        <v>1122543272896.8301</v>
      </c>
      <c r="U966692" s="9">
        <v>6158129000000</v>
      </c>
    </row>
    <row r="966693" spans="20:21" x14ac:dyDescent="0.15">
      <c r="T966693" s="9">
        <v>1282219772946.3201</v>
      </c>
      <c r="U966693" s="9">
        <v>6520327000000</v>
      </c>
    </row>
    <row r="966694" spans="20:21" x14ac:dyDescent="0.15">
      <c r="T966694" s="9">
        <v>1460239695280.22</v>
      </c>
      <c r="U966694" s="9">
        <v>6858559000000</v>
      </c>
    </row>
    <row r="966695" spans="20:21" x14ac:dyDescent="0.15">
      <c r="T966695" s="9">
        <v>1650608320717.1299</v>
      </c>
      <c r="U966695" s="9">
        <v>7287236000000</v>
      </c>
    </row>
    <row r="966696" spans="20:21" x14ac:dyDescent="0.15">
      <c r="T966696" s="9">
        <v>1831415202548.1001</v>
      </c>
      <c r="U966696" s="9">
        <v>7639749000000</v>
      </c>
    </row>
    <row r="966697" spans="20:21" x14ac:dyDescent="0.15">
      <c r="T966697" s="9">
        <v>2013138415391.3999</v>
      </c>
      <c r="U966697" s="9">
        <v>8073122000000</v>
      </c>
    </row>
    <row r="966698" spans="20:21" x14ac:dyDescent="0.15">
      <c r="T966698" s="9">
        <v>2199087579734.8799</v>
      </c>
      <c r="U966698" s="9">
        <v>8577554457000</v>
      </c>
    </row>
    <row r="966699" spans="20:21" x14ac:dyDescent="0.15">
      <c r="T966699" s="9">
        <v>2371626931008.4102</v>
      </c>
      <c r="U966699" s="9">
        <v>9062818202000</v>
      </c>
    </row>
    <row r="966700" spans="20:21" x14ac:dyDescent="0.15">
      <c r="T966700" s="9">
        <v>2553332721355.1499</v>
      </c>
      <c r="U966700" s="9">
        <v>9631174489000</v>
      </c>
    </row>
    <row r="966701" spans="20:21" x14ac:dyDescent="0.15">
      <c r="T966701" s="9">
        <v>2770113054357.8301</v>
      </c>
      <c r="U966701" s="9">
        <v>10250947997000</v>
      </c>
    </row>
    <row r="966702" spans="20:21" x14ac:dyDescent="0.15">
      <c r="T966702" s="9">
        <v>3001022295612.3501</v>
      </c>
      <c r="U966702" s="9">
        <v>10581929774000</v>
      </c>
    </row>
    <row r="966703" spans="20:21" x14ac:dyDescent="0.15">
      <c r="T966703" s="9">
        <v>3275124592017.1602</v>
      </c>
      <c r="U966703" s="9">
        <v>10929112955000</v>
      </c>
    </row>
    <row r="966704" spans="20:21" x14ac:dyDescent="0.15">
      <c r="T966704" s="9">
        <v>3603882596858.1099</v>
      </c>
      <c r="U966704" s="9">
        <v>11456442041000</v>
      </c>
    </row>
    <row r="966705" spans="20:21" x14ac:dyDescent="0.15">
      <c r="T966705" s="9">
        <v>3968365637613.6299</v>
      </c>
      <c r="U966705" s="9">
        <v>12217193198000</v>
      </c>
    </row>
    <row r="966706" spans="20:21" x14ac:dyDescent="0.15">
      <c r="T966706" s="9">
        <v>4420544703537.2402</v>
      </c>
      <c r="U966706" s="9">
        <v>13039199193000</v>
      </c>
    </row>
    <row r="966707" spans="20:21" x14ac:dyDescent="0.15">
      <c r="T966707" s="9">
        <v>4982880235433.3896</v>
      </c>
      <c r="U966707" s="9">
        <v>13815586948000</v>
      </c>
    </row>
    <row r="966708" spans="20:21" x14ac:dyDescent="0.15">
      <c r="T966708" s="9">
        <v>5691986992199.8604</v>
      </c>
      <c r="U966708" s="9">
        <v>14474226905000</v>
      </c>
    </row>
    <row r="966709" spans="20:21" x14ac:dyDescent="0.15">
      <c r="T966709" s="9">
        <v>6241302380960.0195</v>
      </c>
      <c r="U966709" s="9">
        <v>14769857911000</v>
      </c>
    </row>
    <row r="966710" spans="20:21" x14ac:dyDescent="0.15">
      <c r="T966710" s="9">
        <v>6827905267633.6299</v>
      </c>
      <c r="U966710" s="9">
        <v>14478064934000</v>
      </c>
    </row>
    <row r="966711" spans="20:21" x14ac:dyDescent="0.15">
      <c r="T966711" s="9">
        <v>7554112468317.7305</v>
      </c>
      <c r="U966711" s="9">
        <v>15048964444000</v>
      </c>
    </row>
    <row r="966712" spans="20:21" x14ac:dyDescent="0.15">
      <c r="T966712" s="9">
        <v>8275593072769.2598</v>
      </c>
      <c r="U966712" s="9">
        <v>15599728123000</v>
      </c>
    </row>
    <row r="966713" spans="20:21" x14ac:dyDescent="0.15">
      <c r="T966713" s="9">
        <v>8926363901575.5605</v>
      </c>
      <c r="U966713" s="9">
        <v>16253972230000</v>
      </c>
    </row>
    <row r="966714" spans="20:21" x14ac:dyDescent="0.15">
      <c r="T966714" s="9">
        <v>9619598720424.4609</v>
      </c>
      <c r="U966714" s="9">
        <v>16843190993000</v>
      </c>
    </row>
    <row r="966715" spans="20:21" x14ac:dyDescent="0.15">
      <c r="T966715" s="9">
        <v>10333927386102.801</v>
      </c>
      <c r="U966715" s="9">
        <v>17550680174000</v>
      </c>
    </row>
    <row r="966716" spans="20:21" x14ac:dyDescent="0.15">
      <c r="T966716" s="9">
        <v>11061573199439.699</v>
      </c>
      <c r="U966716" s="9">
        <v>18206020741000</v>
      </c>
    </row>
    <row r="966717" spans="20:21" x14ac:dyDescent="0.15">
      <c r="T966717" s="9">
        <v>11819154044004.9</v>
      </c>
      <c r="U966717" s="9">
        <v>18695110842000</v>
      </c>
    </row>
    <row r="966718" spans="20:21" x14ac:dyDescent="0.15">
      <c r="T966718" s="9">
        <v>12640254407508.1</v>
      </c>
      <c r="U966718" s="9">
        <v>19477336549000</v>
      </c>
    </row>
    <row r="966719" spans="20:21" x14ac:dyDescent="0.15">
      <c r="T966719" s="9">
        <v>13493442991864.699</v>
      </c>
      <c r="U966719" s="9">
        <v>20533057312000</v>
      </c>
    </row>
    <row r="966720" spans="20:21" x14ac:dyDescent="0.15">
      <c r="T966720" s="9">
        <v>14296370418805.1</v>
      </c>
      <c r="U966720" s="9">
        <v>21380976119000</v>
      </c>
    </row>
    <row r="966721" spans="20:21" x14ac:dyDescent="0.15">
      <c r="T966721" s="9">
        <v>14616414450558.4</v>
      </c>
      <c r="U966721" s="9">
        <v>21060473613000</v>
      </c>
    </row>
    <row r="966722" spans="20:21" x14ac:dyDescent="0.15">
      <c r="T966722" s="9">
        <v>15851132888547.1</v>
      </c>
      <c r="U966722" s="9">
        <v>23315080560000</v>
      </c>
    </row>
    <row r="966723" spans="20:21" x14ac:dyDescent="0.15">
      <c r="T966723" s="9">
        <v>16325209299766.801</v>
      </c>
      <c r="U966723" s="9">
        <v>25462700000000</v>
      </c>
    </row>
    <row r="983041" spans="20:21" x14ac:dyDescent="0.15">
      <c r="T983041" s="9" t="s">
        <v>45</v>
      </c>
      <c r="U983041" s="9" t="s">
        <v>44</v>
      </c>
    </row>
    <row r="983042" spans="20:21" x14ac:dyDescent="0.15">
      <c r="T983042" s="9" t="s">
        <v>43</v>
      </c>
      <c r="U983042" s="9" t="s">
        <v>42</v>
      </c>
    </row>
    <row r="983043" spans="20:21" x14ac:dyDescent="0.15">
      <c r="T983043" s="9" t="s">
        <v>41</v>
      </c>
      <c r="U983043" s="9" t="s">
        <v>40</v>
      </c>
    </row>
    <row r="983044" spans="20:21" x14ac:dyDescent="0.15">
      <c r="T983044" s="9" t="s">
        <v>39</v>
      </c>
      <c r="U983044" s="9" t="s">
        <v>38</v>
      </c>
    </row>
    <row r="983045" spans="20:21" x14ac:dyDescent="0.15">
      <c r="T983045" s="9">
        <v>158907457242.42899</v>
      </c>
      <c r="U983045" s="9">
        <v>543300000000</v>
      </c>
    </row>
    <row r="983046" spans="20:21" x14ac:dyDescent="0.15">
      <c r="T983046" s="9">
        <v>115573393646.185</v>
      </c>
      <c r="U983046" s="9">
        <v>563300000000</v>
      </c>
    </row>
    <row r="983047" spans="20:21" x14ac:dyDescent="0.15">
      <c r="T983047" s="9">
        <v>109124398292.05099</v>
      </c>
      <c r="U983047" s="9">
        <v>605100000000</v>
      </c>
    </row>
    <row r="983048" spans="20:21" x14ac:dyDescent="0.15">
      <c r="T983048" s="9">
        <v>120364211312.289</v>
      </c>
      <c r="U983048" s="9">
        <v>638600000000</v>
      </c>
    </row>
    <row r="983049" spans="20:21" x14ac:dyDescent="0.15">
      <c r="T983049" s="9">
        <v>142246424921.30899</v>
      </c>
      <c r="U983049" s="9">
        <v>685800000000</v>
      </c>
    </row>
    <row r="983050" spans="20:21" x14ac:dyDescent="0.15">
      <c r="T983050" s="9">
        <v>166357193951.10501</v>
      </c>
      <c r="U983050" s="9">
        <v>743700000000</v>
      </c>
    </row>
    <row r="983051" spans="20:21" x14ac:dyDescent="0.15">
      <c r="T983051" s="9">
        <v>184074235104.24799</v>
      </c>
      <c r="U983051" s="9">
        <v>815000000000</v>
      </c>
    </row>
    <row r="983052" spans="20:21" x14ac:dyDescent="0.15">
      <c r="T983052" s="9">
        <v>173453151731.27701</v>
      </c>
      <c r="U983052" s="9">
        <v>861700000000</v>
      </c>
    </row>
    <row r="983053" spans="20:21" x14ac:dyDescent="0.15">
      <c r="T983053" s="9">
        <v>166341572533.69101</v>
      </c>
      <c r="U983053" s="9">
        <v>942500000000</v>
      </c>
    </row>
    <row r="983054" spans="20:21" x14ac:dyDescent="0.15">
      <c r="T983054" s="9">
        <v>194519834914.35999</v>
      </c>
      <c r="U983054" s="9">
        <v>1019900000000</v>
      </c>
    </row>
    <row r="983055" spans="20:21" x14ac:dyDescent="0.15">
      <c r="T983055" s="9">
        <v>232062163046.44</v>
      </c>
      <c r="U983055" s="9">
        <v>1073303000000</v>
      </c>
    </row>
    <row r="983056" spans="20:21" x14ac:dyDescent="0.15">
      <c r="T983056" s="9">
        <v>248445751754.134</v>
      </c>
      <c r="U983056" s="9">
        <v>1164850000000</v>
      </c>
    </row>
    <row r="983057" spans="20:21" x14ac:dyDescent="0.15">
      <c r="T983057" s="9">
        <v>257911534896.49799</v>
      </c>
      <c r="U983057" s="9">
        <v>1279110000000</v>
      </c>
    </row>
    <row r="983058" spans="20:21" x14ac:dyDescent="0.15">
      <c r="T983058" s="9">
        <v>277925470006.599</v>
      </c>
      <c r="U983058" s="9">
        <v>1425376000000</v>
      </c>
    </row>
    <row r="983059" spans="20:21" x14ac:dyDescent="0.15">
      <c r="T983059" s="9">
        <v>284345548371.966</v>
      </c>
      <c r="U983059" s="9">
        <v>1545243000000</v>
      </c>
    </row>
    <row r="983060" spans="20:21" x14ac:dyDescent="0.15">
      <c r="T983060" s="9">
        <v>309140480182.89801</v>
      </c>
      <c r="U983060" s="9">
        <v>1684904000000</v>
      </c>
    </row>
    <row r="983061" spans="20:21" x14ac:dyDescent="0.15">
      <c r="T983061" s="9">
        <v>304286974638.82202</v>
      </c>
      <c r="U983061" s="9">
        <v>1873412000000</v>
      </c>
    </row>
    <row r="983062" spans="20:21" x14ac:dyDescent="0.15">
      <c r="T983062" s="9">
        <v>327321498623.151</v>
      </c>
      <c r="U983062" s="9">
        <v>2081826000000</v>
      </c>
    </row>
    <row r="983063" spans="20:21" x14ac:dyDescent="0.15">
      <c r="T983063" s="9">
        <v>364393859506.91699</v>
      </c>
      <c r="U983063" s="9">
        <v>2351599000000</v>
      </c>
    </row>
    <row r="983064" spans="20:21" x14ac:dyDescent="0.15">
      <c r="T983064" s="9">
        <v>392056180496.07098</v>
      </c>
      <c r="U983064" s="9">
        <v>2627333000000</v>
      </c>
    </row>
    <row r="983065" spans="20:21" x14ac:dyDescent="0.15">
      <c r="T983065" s="9">
        <v>422770430220.08099</v>
      </c>
      <c r="U983065" s="9">
        <v>2857307000000</v>
      </c>
    </row>
    <row r="983066" spans="20:21" x14ac:dyDescent="0.15">
      <c r="T983066" s="9">
        <v>444385672278.89001</v>
      </c>
      <c r="U983066" s="9">
        <v>3207041000000</v>
      </c>
    </row>
    <row r="983067" spans="20:21" x14ac:dyDescent="0.15">
      <c r="T983067" s="9">
        <v>484456434564.98102</v>
      </c>
      <c r="U983067" s="9">
        <v>3343789000000</v>
      </c>
    </row>
    <row r="983068" spans="20:21" x14ac:dyDescent="0.15">
      <c r="T983068" s="9">
        <v>536633373623.745</v>
      </c>
      <c r="U983068" s="9">
        <v>3634038000000</v>
      </c>
    </row>
    <row r="983069" spans="20:21" x14ac:dyDescent="0.15">
      <c r="T983069" s="9">
        <v>618156247357.86304</v>
      </c>
      <c r="U983069" s="9">
        <v>4037613000000</v>
      </c>
    </row>
    <row r="983070" spans="20:21" x14ac:dyDescent="0.15">
      <c r="T983070" s="9">
        <v>701178819512.74402</v>
      </c>
      <c r="U983070" s="9">
        <v>4338979000000</v>
      </c>
    </row>
    <row r="983071" spans="20:21" x14ac:dyDescent="0.15">
      <c r="T983071" s="9">
        <v>763934055759.06604</v>
      </c>
      <c r="U983071" s="9">
        <v>4579631000000</v>
      </c>
    </row>
    <row r="983072" spans="20:21" x14ac:dyDescent="0.15">
      <c r="T983072" s="9">
        <v>852989116696.35205</v>
      </c>
      <c r="U983072" s="9">
        <v>4855215000000</v>
      </c>
    </row>
    <row r="983073" spans="20:21" x14ac:dyDescent="0.15">
      <c r="T983073" s="9">
        <v>948716630508.16699</v>
      </c>
      <c r="U983073" s="9">
        <v>5236438000000</v>
      </c>
    </row>
    <row r="983074" spans="20:21" x14ac:dyDescent="0.15">
      <c r="T983074" s="9">
        <v>988622824073.36694</v>
      </c>
      <c r="U983074" s="9">
        <v>5641580000000</v>
      </c>
    </row>
    <row r="983075" spans="20:21" x14ac:dyDescent="0.15">
      <c r="T983075" s="9">
        <v>1027379323856.15</v>
      </c>
      <c r="U983075" s="9">
        <v>5963144000000</v>
      </c>
    </row>
    <row r="983076" spans="20:21" x14ac:dyDescent="0.15">
      <c r="T983076" s="9">
        <v>1122543272896.8301</v>
      </c>
      <c r="U983076" s="9">
        <v>6158129000000</v>
      </c>
    </row>
    <row r="983077" spans="20:21" x14ac:dyDescent="0.15">
      <c r="T983077" s="9">
        <v>1282219772946.3201</v>
      </c>
      <c r="U983077" s="9">
        <v>6520327000000</v>
      </c>
    </row>
    <row r="983078" spans="20:21" x14ac:dyDescent="0.15">
      <c r="T983078" s="9">
        <v>1460239695280.22</v>
      </c>
      <c r="U983078" s="9">
        <v>6858559000000</v>
      </c>
    </row>
    <row r="983079" spans="20:21" x14ac:dyDescent="0.15">
      <c r="T983079" s="9">
        <v>1650608320717.1299</v>
      </c>
      <c r="U983079" s="9">
        <v>7287236000000</v>
      </c>
    </row>
    <row r="983080" spans="20:21" x14ac:dyDescent="0.15">
      <c r="T983080" s="9">
        <v>1831415202548.1001</v>
      </c>
      <c r="U983080" s="9">
        <v>7639749000000</v>
      </c>
    </row>
    <row r="983081" spans="20:21" x14ac:dyDescent="0.15">
      <c r="T983081" s="9">
        <v>2013138415391.3999</v>
      </c>
      <c r="U983081" s="9">
        <v>8073122000000</v>
      </c>
    </row>
    <row r="983082" spans="20:21" x14ac:dyDescent="0.15">
      <c r="T983082" s="9">
        <v>2199087579734.8799</v>
      </c>
      <c r="U983082" s="9">
        <v>8577554457000</v>
      </c>
    </row>
    <row r="983083" spans="20:21" x14ac:dyDescent="0.15">
      <c r="T983083" s="9">
        <v>2371626931008.4102</v>
      </c>
      <c r="U983083" s="9">
        <v>9062818202000</v>
      </c>
    </row>
    <row r="983084" spans="20:21" x14ac:dyDescent="0.15">
      <c r="T983084" s="9">
        <v>2553332721355.1499</v>
      </c>
      <c r="U983084" s="9">
        <v>9631174489000</v>
      </c>
    </row>
    <row r="983085" spans="20:21" x14ac:dyDescent="0.15">
      <c r="T983085" s="9">
        <v>2770113054357.8301</v>
      </c>
      <c r="U983085" s="9">
        <v>10250947997000</v>
      </c>
    </row>
    <row r="983086" spans="20:21" x14ac:dyDescent="0.15">
      <c r="T983086" s="9">
        <v>3001022295612.3501</v>
      </c>
      <c r="U983086" s="9">
        <v>10581929774000</v>
      </c>
    </row>
    <row r="983087" spans="20:21" x14ac:dyDescent="0.15">
      <c r="T983087" s="9">
        <v>3275124592017.1602</v>
      </c>
      <c r="U983087" s="9">
        <v>10929112955000</v>
      </c>
    </row>
    <row r="983088" spans="20:21" x14ac:dyDescent="0.15">
      <c r="T983088" s="9">
        <v>3603882596858.1099</v>
      </c>
      <c r="U983088" s="9">
        <v>11456442041000</v>
      </c>
    </row>
    <row r="983089" spans="20:21" x14ac:dyDescent="0.15">
      <c r="T983089" s="9">
        <v>3968365637613.6299</v>
      </c>
      <c r="U983089" s="9">
        <v>12217193198000</v>
      </c>
    </row>
    <row r="983090" spans="20:21" x14ac:dyDescent="0.15">
      <c r="T983090" s="9">
        <v>4420544703537.2402</v>
      </c>
      <c r="U983090" s="9">
        <v>13039199193000</v>
      </c>
    </row>
    <row r="983091" spans="20:21" x14ac:dyDescent="0.15">
      <c r="T983091" s="9">
        <v>4982880235433.3896</v>
      </c>
      <c r="U983091" s="9">
        <v>13815586948000</v>
      </c>
    </row>
    <row r="983092" spans="20:21" x14ac:dyDescent="0.15">
      <c r="T983092" s="9">
        <v>5691986992199.8604</v>
      </c>
      <c r="U983092" s="9">
        <v>14474226905000</v>
      </c>
    </row>
    <row r="983093" spans="20:21" x14ac:dyDescent="0.15">
      <c r="T983093" s="9">
        <v>6241302380960.0195</v>
      </c>
      <c r="U983093" s="9">
        <v>14769857911000</v>
      </c>
    </row>
    <row r="983094" spans="20:21" x14ac:dyDescent="0.15">
      <c r="T983094" s="9">
        <v>6827905267633.6299</v>
      </c>
      <c r="U983094" s="9">
        <v>14478064934000</v>
      </c>
    </row>
    <row r="983095" spans="20:21" x14ac:dyDescent="0.15">
      <c r="T983095" s="9">
        <v>7554112468317.7305</v>
      </c>
      <c r="U983095" s="9">
        <v>15048964444000</v>
      </c>
    </row>
    <row r="983096" spans="20:21" x14ac:dyDescent="0.15">
      <c r="T983096" s="9">
        <v>8275593072769.2598</v>
      </c>
      <c r="U983096" s="9">
        <v>15599728123000</v>
      </c>
    </row>
    <row r="983097" spans="20:21" x14ac:dyDescent="0.15">
      <c r="T983097" s="9">
        <v>8926363901575.5605</v>
      </c>
      <c r="U983097" s="9">
        <v>16253972230000</v>
      </c>
    </row>
    <row r="983098" spans="20:21" x14ac:dyDescent="0.15">
      <c r="T983098" s="9">
        <v>9619598720424.4609</v>
      </c>
      <c r="U983098" s="9">
        <v>16843190993000</v>
      </c>
    </row>
    <row r="983099" spans="20:21" x14ac:dyDescent="0.15">
      <c r="T983099" s="9">
        <v>10333927386102.801</v>
      </c>
      <c r="U983099" s="9">
        <v>17550680174000</v>
      </c>
    </row>
    <row r="983100" spans="20:21" x14ac:dyDescent="0.15">
      <c r="T983100" s="9">
        <v>11061573199439.699</v>
      </c>
      <c r="U983100" s="9">
        <v>18206020741000</v>
      </c>
    </row>
    <row r="983101" spans="20:21" x14ac:dyDescent="0.15">
      <c r="T983101" s="9">
        <v>11819154044004.9</v>
      </c>
      <c r="U983101" s="9">
        <v>18695110842000</v>
      </c>
    </row>
    <row r="983102" spans="20:21" x14ac:dyDescent="0.15">
      <c r="T983102" s="9">
        <v>12640254407508.1</v>
      </c>
      <c r="U983102" s="9">
        <v>19477336549000</v>
      </c>
    </row>
    <row r="983103" spans="20:21" x14ac:dyDescent="0.15">
      <c r="T983103" s="9">
        <v>13493442991864.699</v>
      </c>
      <c r="U983103" s="9">
        <v>20533057312000</v>
      </c>
    </row>
    <row r="983104" spans="20:21" x14ac:dyDescent="0.15">
      <c r="T983104" s="9">
        <v>14296370418805.1</v>
      </c>
      <c r="U983104" s="9">
        <v>21380976119000</v>
      </c>
    </row>
    <row r="983105" spans="20:21" x14ac:dyDescent="0.15">
      <c r="T983105" s="9">
        <v>14616414450558.4</v>
      </c>
      <c r="U983105" s="9">
        <v>21060473613000</v>
      </c>
    </row>
    <row r="983106" spans="20:21" x14ac:dyDescent="0.15">
      <c r="T983106" s="9">
        <v>15851132888547.1</v>
      </c>
      <c r="U983106" s="9">
        <v>23315080560000</v>
      </c>
    </row>
    <row r="983107" spans="20:21" x14ac:dyDescent="0.15">
      <c r="T983107" s="9">
        <v>16325209299766.801</v>
      </c>
      <c r="U983107" s="9">
        <v>25462700000000</v>
      </c>
    </row>
    <row r="999425" spans="20:21" x14ac:dyDescent="0.15">
      <c r="T999425" s="9" t="s">
        <v>45</v>
      </c>
      <c r="U999425" s="9" t="s">
        <v>44</v>
      </c>
    </row>
    <row r="999426" spans="20:21" x14ac:dyDescent="0.15">
      <c r="T999426" s="9" t="s">
        <v>43</v>
      </c>
      <c r="U999426" s="9" t="s">
        <v>42</v>
      </c>
    </row>
    <row r="999427" spans="20:21" x14ac:dyDescent="0.15">
      <c r="T999427" s="9" t="s">
        <v>41</v>
      </c>
      <c r="U999427" s="9" t="s">
        <v>40</v>
      </c>
    </row>
    <row r="999428" spans="20:21" x14ac:dyDescent="0.15">
      <c r="T999428" s="9" t="s">
        <v>39</v>
      </c>
      <c r="U999428" s="9" t="s">
        <v>38</v>
      </c>
    </row>
    <row r="999429" spans="20:21" x14ac:dyDescent="0.15">
      <c r="T999429" s="9">
        <v>158907457242.42899</v>
      </c>
      <c r="U999429" s="9">
        <v>543300000000</v>
      </c>
    </row>
    <row r="999430" spans="20:21" x14ac:dyDescent="0.15">
      <c r="T999430" s="9">
        <v>115573393646.185</v>
      </c>
      <c r="U999430" s="9">
        <v>563300000000</v>
      </c>
    </row>
    <row r="999431" spans="20:21" x14ac:dyDescent="0.15">
      <c r="T999431" s="9">
        <v>109124398292.05099</v>
      </c>
      <c r="U999431" s="9">
        <v>605100000000</v>
      </c>
    </row>
    <row r="999432" spans="20:21" x14ac:dyDescent="0.15">
      <c r="T999432" s="9">
        <v>120364211312.289</v>
      </c>
      <c r="U999432" s="9">
        <v>638600000000</v>
      </c>
    </row>
    <row r="999433" spans="20:21" x14ac:dyDescent="0.15">
      <c r="T999433" s="9">
        <v>142246424921.30899</v>
      </c>
      <c r="U999433" s="9">
        <v>685800000000</v>
      </c>
    </row>
    <row r="999434" spans="20:21" x14ac:dyDescent="0.15">
      <c r="T999434" s="9">
        <v>166357193951.10501</v>
      </c>
      <c r="U999434" s="9">
        <v>743700000000</v>
      </c>
    </row>
    <row r="999435" spans="20:21" x14ac:dyDescent="0.15">
      <c r="T999435" s="9">
        <v>184074235104.24799</v>
      </c>
      <c r="U999435" s="9">
        <v>815000000000</v>
      </c>
    </row>
    <row r="999436" spans="20:21" x14ac:dyDescent="0.15">
      <c r="T999436" s="9">
        <v>173453151731.27701</v>
      </c>
      <c r="U999436" s="9">
        <v>861700000000</v>
      </c>
    </row>
    <row r="999437" spans="20:21" x14ac:dyDescent="0.15">
      <c r="T999437" s="9">
        <v>166341572533.69101</v>
      </c>
      <c r="U999437" s="9">
        <v>942500000000</v>
      </c>
    </row>
    <row r="999438" spans="20:21" x14ac:dyDescent="0.15">
      <c r="T999438" s="9">
        <v>194519834914.35999</v>
      </c>
      <c r="U999438" s="9">
        <v>1019900000000</v>
      </c>
    </row>
    <row r="999439" spans="20:21" x14ac:dyDescent="0.15">
      <c r="T999439" s="9">
        <v>232062163046.44</v>
      </c>
      <c r="U999439" s="9">
        <v>1073303000000</v>
      </c>
    </row>
    <row r="999440" spans="20:21" x14ac:dyDescent="0.15">
      <c r="T999440" s="9">
        <v>248445751754.134</v>
      </c>
      <c r="U999440" s="9">
        <v>1164850000000</v>
      </c>
    </row>
    <row r="999441" spans="20:21" x14ac:dyDescent="0.15">
      <c r="T999441" s="9">
        <v>257911534896.49799</v>
      </c>
      <c r="U999441" s="9">
        <v>1279110000000</v>
      </c>
    </row>
    <row r="999442" spans="20:21" x14ac:dyDescent="0.15">
      <c r="T999442" s="9">
        <v>277925470006.599</v>
      </c>
      <c r="U999442" s="9">
        <v>1425376000000</v>
      </c>
    </row>
    <row r="999443" spans="20:21" x14ac:dyDescent="0.15">
      <c r="T999443" s="9">
        <v>284345548371.966</v>
      </c>
      <c r="U999443" s="9">
        <v>1545243000000</v>
      </c>
    </row>
    <row r="999444" spans="20:21" x14ac:dyDescent="0.15">
      <c r="T999444" s="9">
        <v>309140480182.89801</v>
      </c>
      <c r="U999444" s="9">
        <v>1684904000000</v>
      </c>
    </row>
    <row r="999445" spans="20:21" x14ac:dyDescent="0.15">
      <c r="T999445" s="9">
        <v>304286974638.82202</v>
      </c>
      <c r="U999445" s="9">
        <v>1873412000000</v>
      </c>
    </row>
    <row r="999446" spans="20:21" x14ac:dyDescent="0.15">
      <c r="T999446" s="9">
        <v>327321498623.151</v>
      </c>
      <c r="U999446" s="9">
        <v>2081826000000</v>
      </c>
    </row>
    <row r="999447" spans="20:21" x14ac:dyDescent="0.15">
      <c r="T999447" s="9">
        <v>364393859506.91699</v>
      </c>
      <c r="U999447" s="9">
        <v>2351599000000</v>
      </c>
    </row>
    <row r="999448" spans="20:21" x14ac:dyDescent="0.15">
      <c r="T999448" s="9">
        <v>392056180496.07098</v>
      </c>
      <c r="U999448" s="9">
        <v>2627333000000</v>
      </c>
    </row>
    <row r="999449" spans="20:21" x14ac:dyDescent="0.15">
      <c r="T999449" s="9">
        <v>422770430220.08099</v>
      </c>
      <c r="U999449" s="9">
        <v>2857307000000</v>
      </c>
    </row>
    <row r="999450" spans="20:21" x14ac:dyDescent="0.15">
      <c r="T999450" s="9">
        <v>444385672278.89001</v>
      </c>
      <c r="U999450" s="9">
        <v>3207041000000</v>
      </c>
    </row>
    <row r="999451" spans="20:21" x14ac:dyDescent="0.15">
      <c r="T999451" s="9">
        <v>484456434564.98102</v>
      </c>
      <c r="U999451" s="9">
        <v>3343789000000</v>
      </c>
    </row>
    <row r="999452" spans="20:21" x14ac:dyDescent="0.15">
      <c r="T999452" s="9">
        <v>536633373623.745</v>
      </c>
      <c r="U999452" s="9">
        <v>3634038000000</v>
      </c>
    </row>
    <row r="999453" spans="20:21" x14ac:dyDescent="0.15">
      <c r="T999453" s="9">
        <v>618156247357.86304</v>
      </c>
      <c r="U999453" s="9">
        <v>4037613000000</v>
      </c>
    </row>
    <row r="999454" spans="20:21" x14ac:dyDescent="0.15">
      <c r="T999454" s="9">
        <v>701178819512.74402</v>
      </c>
      <c r="U999454" s="9">
        <v>4338979000000</v>
      </c>
    </row>
    <row r="999455" spans="20:21" x14ac:dyDescent="0.15">
      <c r="T999455" s="9">
        <v>763934055759.06604</v>
      </c>
      <c r="U999455" s="9">
        <v>4579631000000</v>
      </c>
    </row>
    <row r="999456" spans="20:21" x14ac:dyDescent="0.15">
      <c r="T999456" s="9">
        <v>852989116696.35205</v>
      </c>
      <c r="U999456" s="9">
        <v>4855215000000</v>
      </c>
    </row>
    <row r="999457" spans="20:21" x14ac:dyDescent="0.15">
      <c r="T999457" s="9">
        <v>948716630508.16699</v>
      </c>
      <c r="U999457" s="9">
        <v>5236438000000</v>
      </c>
    </row>
    <row r="999458" spans="20:21" x14ac:dyDescent="0.15">
      <c r="T999458" s="9">
        <v>988622824073.36694</v>
      </c>
      <c r="U999458" s="9">
        <v>5641580000000</v>
      </c>
    </row>
    <row r="999459" spans="20:21" x14ac:dyDescent="0.15">
      <c r="T999459" s="9">
        <v>1027379323856.15</v>
      </c>
      <c r="U999459" s="9">
        <v>5963144000000</v>
      </c>
    </row>
    <row r="999460" spans="20:21" x14ac:dyDescent="0.15">
      <c r="T999460" s="9">
        <v>1122543272896.8301</v>
      </c>
      <c r="U999460" s="9">
        <v>6158129000000</v>
      </c>
    </row>
    <row r="999461" spans="20:21" x14ac:dyDescent="0.15">
      <c r="T999461" s="9">
        <v>1282219772946.3201</v>
      </c>
      <c r="U999461" s="9">
        <v>6520327000000</v>
      </c>
    </row>
    <row r="999462" spans="20:21" x14ac:dyDescent="0.15">
      <c r="T999462" s="9">
        <v>1460239695280.22</v>
      </c>
      <c r="U999462" s="9">
        <v>6858559000000</v>
      </c>
    </row>
    <row r="999463" spans="20:21" x14ac:dyDescent="0.15">
      <c r="T999463" s="9">
        <v>1650608320717.1299</v>
      </c>
      <c r="U999463" s="9">
        <v>7287236000000</v>
      </c>
    </row>
    <row r="999464" spans="20:21" x14ac:dyDescent="0.15">
      <c r="T999464" s="9">
        <v>1831415202548.1001</v>
      </c>
      <c r="U999464" s="9">
        <v>7639749000000</v>
      </c>
    </row>
    <row r="999465" spans="20:21" x14ac:dyDescent="0.15">
      <c r="T999465" s="9">
        <v>2013138415391.3999</v>
      </c>
      <c r="U999465" s="9">
        <v>8073122000000</v>
      </c>
    </row>
    <row r="999466" spans="20:21" x14ac:dyDescent="0.15">
      <c r="T999466" s="9">
        <v>2199087579734.8799</v>
      </c>
      <c r="U999466" s="9">
        <v>8577554457000</v>
      </c>
    </row>
    <row r="999467" spans="20:21" x14ac:dyDescent="0.15">
      <c r="T999467" s="9">
        <v>2371626931008.4102</v>
      </c>
      <c r="U999467" s="9">
        <v>9062818202000</v>
      </c>
    </row>
    <row r="999468" spans="20:21" x14ac:dyDescent="0.15">
      <c r="T999468" s="9">
        <v>2553332721355.1499</v>
      </c>
      <c r="U999468" s="9">
        <v>9631174489000</v>
      </c>
    </row>
    <row r="999469" spans="20:21" x14ac:dyDescent="0.15">
      <c r="T999469" s="9">
        <v>2770113054357.8301</v>
      </c>
      <c r="U999469" s="9">
        <v>10250947997000</v>
      </c>
    </row>
    <row r="999470" spans="20:21" x14ac:dyDescent="0.15">
      <c r="T999470" s="9">
        <v>3001022295612.3501</v>
      </c>
      <c r="U999470" s="9">
        <v>10581929774000</v>
      </c>
    </row>
    <row r="999471" spans="20:21" x14ac:dyDescent="0.15">
      <c r="T999471" s="9">
        <v>3275124592017.1602</v>
      </c>
      <c r="U999471" s="9">
        <v>10929112955000</v>
      </c>
    </row>
    <row r="999472" spans="20:21" x14ac:dyDescent="0.15">
      <c r="T999472" s="9">
        <v>3603882596858.1099</v>
      </c>
      <c r="U999472" s="9">
        <v>11456442041000</v>
      </c>
    </row>
    <row r="999473" spans="20:21" x14ac:dyDescent="0.15">
      <c r="T999473" s="9">
        <v>3968365637613.6299</v>
      </c>
      <c r="U999473" s="9">
        <v>12217193198000</v>
      </c>
    </row>
    <row r="999474" spans="20:21" x14ac:dyDescent="0.15">
      <c r="T999474" s="9">
        <v>4420544703537.2402</v>
      </c>
      <c r="U999474" s="9">
        <v>13039199193000</v>
      </c>
    </row>
    <row r="999475" spans="20:21" x14ac:dyDescent="0.15">
      <c r="T999475" s="9">
        <v>4982880235433.3896</v>
      </c>
      <c r="U999475" s="9">
        <v>13815586948000</v>
      </c>
    </row>
    <row r="999476" spans="20:21" x14ac:dyDescent="0.15">
      <c r="T999476" s="9">
        <v>5691986992199.8604</v>
      </c>
      <c r="U999476" s="9">
        <v>14474226905000</v>
      </c>
    </row>
    <row r="999477" spans="20:21" x14ac:dyDescent="0.15">
      <c r="T999477" s="9">
        <v>6241302380960.0195</v>
      </c>
      <c r="U999477" s="9">
        <v>14769857911000</v>
      </c>
    </row>
    <row r="999478" spans="20:21" x14ac:dyDescent="0.15">
      <c r="T999478" s="9">
        <v>6827905267633.6299</v>
      </c>
      <c r="U999478" s="9">
        <v>14478064934000</v>
      </c>
    </row>
    <row r="999479" spans="20:21" x14ac:dyDescent="0.15">
      <c r="T999479" s="9">
        <v>7554112468317.7305</v>
      </c>
      <c r="U999479" s="9">
        <v>15048964444000</v>
      </c>
    </row>
    <row r="999480" spans="20:21" x14ac:dyDescent="0.15">
      <c r="T999480" s="9">
        <v>8275593072769.2598</v>
      </c>
      <c r="U999480" s="9">
        <v>15599728123000</v>
      </c>
    </row>
    <row r="999481" spans="20:21" x14ac:dyDescent="0.15">
      <c r="T999481" s="9">
        <v>8926363901575.5605</v>
      </c>
      <c r="U999481" s="9">
        <v>16253972230000</v>
      </c>
    </row>
    <row r="999482" spans="20:21" x14ac:dyDescent="0.15">
      <c r="T999482" s="9">
        <v>9619598720424.4609</v>
      </c>
      <c r="U999482" s="9">
        <v>16843190993000</v>
      </c>
    </row>
    <row r="999483" spans="20:21" x14ac:dyDescent="0.15">
      <c r="T999483" s="9">
        <v>10333927386102.801</v>
      </c>
      <c r="U999483" s="9">
        <v>17550680174000</v>
      </c>
    </row>
    <row r="999484" spans="20:21" x14ac:dyDescent="0.15">
      <c r="T999484" s="9">
        <v>11061573199439.699</v>
      </c>
      <c r="U999484" s="9">
        <v>18206020741000</v>
      </c>
    </row>
    <row r="999485" spans="20:21" x14ac:dyDescent="0.15">
      <c r="T999485" s="9">
        <v>11819154044004.9</v>
      </c>
      <c r="U999485" s="9">
        <v>18695110842000</v>
      </c>
    </row>
    <row r="999486" spans="20:21" x14ac:dyDescent="0.15">
      <c r="T999486" s="9">
        <v>12640254407508.1</v>
      </c>
      <c r="U999486" s="9">
        <v>19477336549000</v>
      </c>
    </row>
    <row r="999487" spans="20:21" x14ac:dyDescent="0.15">
      <c r="T999487" s="9">
        <v>13493442991864.699</v>
      </c>
      <c r="U999487" s="9">
        <v>20533057312000</v>
      </c>
    </row>
    <row r="999488" spans="20:21" x14ac:dyDescent="0.15">
      <c r="T999488" s="9">
        <v>14296370418805.1</v>
      </c>
      <c r="U999488" s="9">
        <v>21380976119000</v>
      </c>
    </row>
    <row r="999489" spans="20:21" x14ac:dyDescent="0.15">
      <c r="T999489" s="9">
        <v>14616414450558.4</v>
      </c>
      <c r="U999489" s="9">
        <v>21060473613000</v>
      </c>
    </row>
    <row r="999490" spans="20:21" x14ac:dyDescent="0.15">
      <c r="T999490" s="9">
        <v>15851132888547.1</v>
      </c>
      <c r="U999490" s="9">
        <v>23315080560000</v>
      </c>
    </row>
    <row r="999491" spans="20:21" x14ac:dyDescent="0.15">
      <c r="T999491" s="9">
        <v>16325209299766.801</v>
      </c>
      <c r="U999491" s="9">
        <v>25462700000000</v>
      </c>
    </row>
    <row r="1015809" spans="20:21" x14ac:dyDescent="0.15">
      <c r="T1015809" s="9" t="s">
        <v>45</v>
      </c>
      <c r="U1015809" s="9" t="s">
        <v>44</v>
      </c>
    </row>
    <row r="1015810" spans="20:21" x14ac:dyDescent="0.15">
      <c r="T1015810" s="9" t="s">
        <v>43</v>
      </c>
      <c r="U1015810" s="9" t="s">
        <v>42</v>
      </c>
    </row>
    <row r="1015811" spans="20:21" x14ac:dyDescent="0.15">
      <c r="T1015811" s="9" t="s">
        <v>41</v>
      </c>
      <c r="U1015811" s="9" t="s">
        <v>40</v>
      </c>
    </row>
    <row r="1015812" spans="20:21" x14ac:dyDescent="0.15">
      <c r="T1015812" s="9" t="s">
        <v>39</v>
      </c>
      <c r="U1015812" s="9" t="s">
        <v>38</v>
      </c>
    </row>
    <row r="1015813" spans="20:21" x14ac:dyDescent="0.15">
      <c r="T1015813" s="9">
        <v>158907457242.42899</v>
      </c>
      <c r="U1015813" s="9">
        <v>543300000000</v>
      </c>
    </row>
    <row r="1015814" spans="20:21" x14ac:dyDescent="0.15">
      <c r="T1015814" s="9">
        <v>115573393646.185</v>
      </c>
      <c r="U1015814" s="9">
        <v>563300000000</v>
      </c>
    </row>
    <row r="1015815" spans="20:21" x14ac:dyDescent="0.15">
      <c r="T1015815" s="9">
        <v>109124398292.05099</v>
      </c>
      <c r="U1015815" s="9">
        <v>605100000000</v>
      </c>
    </row>
    <row r="1015816" spans="20:21" x14ac:dyDescent="0.15">
      <c r="T1015816" s="9">
        <v>120364211312.289</v>
      </c>
      <c r="U1015816" s="9">
        <v>638600000000</v>
      </c>
    </row>
    <row r="1015817" spans="20:21" x14ac:dyDescent="0.15">
      <c r="T1015817" s="9">
        <v>142246424921.30899</v>
      </c>
      <c r="U1015817" s="9">
        <v>685800000000</v>
      </c>
    </row>
    <row r="1015818" spans="20:21" x14ac:dyDescent="0.15">
      <c r="T1015818" s="9">
        <v>166357193951.10501</v>
      </c>
      <c r="U1015818" s="9">
        <v>743700000000</v>
      </c>
    </row>
    <row r="1015819" spans="20:21" x14ac:dyDescent="0.15">
      <c r="T1015819" s="9">
        <v>184074235104.24799</v>
      </c>
      <c r="U1015819" s="9">
        <v>815000000000</v>
      </c>
    </row>
    <row r="1015820" spans="20:21" x14ac:dyDescent="0.15">
      <c r="T1015820" s="9">
        <v>173453151731.27701</v>
      </c>
      <c r="U1015820" s="9">
        <v>861700000000</v>
      </c>
    </row>
    <row r="1015821" spans="20:21" x14ac:dyDescent="0.15">
      <c r="T1015821" s="9">
        <v>166341572533.69101</v>
      </c>
      <c r="U1015821" s="9">
        <v>942500000000</v>
      </c>
    </row>
    <row r="1015822" spans="20:21" x14ac:dyDescent="0.15">
      <c r="T1015822" s="9">
        <v>194519834914.35999</v>
      </c>
      <c r="U1015822" s="9">
        <v>1019900000000</v>
      </c>
    </row>
    <row r="1015823" spans="20:21" x14ac:dyDescent="0.15">
      <c r="T1015823" s="9">
        <v>232062163046.44</v>
      </c>
      <c r="U1015823" s="9">
        <v>1073303000000</v>
      </c>
    </row>
    <row r="1015824" spans="20:21" x14ac:dyDescent="0.15">
      <c r="T1015824" s="9">
        <v>248445751754.134</v>
      </c>
      <c r="U1015824" s="9">
        <v>1164850000000</v>
      </c>
    </row>
    <row r="1015825" spans="20:21" x14ac:dyDescent="0.15">
      <c r="T1015825" s="9">
        <v>257911534896.49799</v>
      </c>
      <c r="U1015825" s="9">
        <v>1279110000000</v>
      </c>
    </row>
    <row r="1015826" spans="20:21" x14ac:dyDescent="0.15">
      <c r="T1015826" s="9">
        <v>277925470006.599</v>
      </c>
      <c r="U1015826" s="9">
        <v>1425376000000</v>
      </c>
    </row>
    <row r="1015827" spans="20:21" x14ac:dyDescent="0.15">
      <c r="T1015827" s="9">
        <v>284345548371.966</v>
      </c>
      <c r="U1015827" s="9">
        <v>1545243000000</v>
      </c>
    </row>
    <row r="1015828" spans="20:21" x14ac:dyDescent="0.15">
      <c r="T1015828" s="9">
        <v>309140480182.89801</v>
      </c>
      <c r="U1015828" s="9">
        <v>1684904000000</v>
      </c>
    </row>
    <row r="1015829" spans="20:21" x14ac:dyDescent="0.15">
      <c r="T1015829" s="9">
        <v>304286974638.82202</v>
      </c>
      <c r="U1015829" s="9">
        <v>1873412000000</v>
      </c>
    </row>
    <row r="1015830" spans="20:21" x14ac:dyDescent="0.15">
      <c r="T1015830" s="9">
        <v>327321498623.151</v>
      </c>
      <c r="U1015830" s="9">
        <v>2081826000000</v>
      </c>
    </row>
    <row r="1015831" spans="20:21" x14ac:dyDescent="0.15">
      <c r="T1015831" s="9">
        <v>364393859506.91699</v>
      </c>
      <c r="U1015831" s="9">
        <v>2351599000000</v>
      </c>
    </row>
    <row r="1015832" spans="20:21" x14ac:dyDescent="0.15">
      <c r="T1015832" s="9">
        <v>392056180496.07098</v>
      </c>
      <c r="U1015832" s="9">
        <v>2627333000000</v>
      </c>
    </row>
    <row r="1015833" spans="20:21" x14ac:dyDescent="0.15">
      <c r="T1015833" s="9">
        <v>422770430220.08099</v>
      </c>
      <c r="U1015833" s="9">
        <v>2857307000000</v>
      </c>
    </row>
    <row r="1015834" spans="20:21" x14ac:dyDescent="0.15">
      <c r="T1015834" s="9">
        <v>444385672278.89001</v>
      </c>
      <c r="U1015834" s="9">
        <v>3207041000000</v>
      </c>
    </row>
    <row r="1015835" spans="20:21" x14ac:dyDescent="0.15">
      <c r="T1015835" s="9">
        <v>484456434564.98102</v>
      </c>
      <c r="U1015835" s="9">
        <v>3343789000000</v>
      </c>
    </row>
    <row r="1015836" spans="20:21" x14ac:dyDescent="0.15">
      <c r="T1015836" s="9">
        <v>536633373623.745</v>
      </c>
      <c r="U1015836" s="9">
        <v>3634038000000</v>
      </c>
    </row>
    <row r="1015837" spans="20:21" x14ac:dyDescent="0.15">
      <c r="T1015837" s="9">
        <v>618156247357.86304</v>
      </c>
      <c r="U1015837" s="9">
        <v>4037613000000</v>
      </c>
    </row>
    <row r="1015838" spans="20:21" x14ac:dyDescent="0.15">
      <c r="T1015838" s="9">
        <v>701178819512.74402</v>
      </c>
      <c r="U1015838" s="9">
        <v>4338979000000</v>
      </c>
    </row>
    <row r="1015839" spans="20:21" x14ac:dyDescent="0.15">
      <c r="T1015839" s="9">
        <v>763934055759.06604</v>
      </c>
      <c r="U1015839" s="9">
        <v>4579631000000</v>
      </c>
    </row>
    <row r="1015840" spans="20:21" x14ac:dyDescent="0.15">
      <c r="T1015840" s="9">
        <v>852989116696.35205</v>
      </c>
      <c r="U1015840" s="9">
        <v>4855215000000</v>
      </c>
    </row>
    <row r="1015841" spans="20:21" x14ac:dyDescent="0.15">
      <c r="T1015841" s="9">
        <v>948716630508.16699</v>
      </c>
      <c r="U1015841" s="9">
        <v>5236438000000</v>
      </c>
    </row>
    <row r="1015842" spans="20:21" x14ac:dyDescent="0.15">
      <c r="T1015842" s="9">
        <v>988622824073.36694</v>
      </c>
      <c r="U1015842" s="9">
        <v>5641580000000</v>
      </c>
    </row>
    <row r="1015843" spans="20:21" x14ac:dyDescent="0.15">
      <c r="T1015843" s="9">
        <v>1027379323856.15</v>
      </c>
      <c r="U1015843" s="9">
        <v>5963144000000</v>
      </c>
    </row>
    <row r="1015844" spans="20:21" x14ac:dyDescent="0.15">
      <c r="T1015844" s="9">
        <v>1122543272896.8301</v>
      </c>
      <c r="U1015844" s="9">
        <v>6158129000000</v>
      </c>
    </row>
    <row r="1015845" spans="20:21" x14ac:dyDescent="0.15">
      <c r="T1015845" s="9">
        <v>1282219772946.3201</v>
      </c>
      <c r="U1015845" s="9">
        <v>6520327000000</v>
      </c>
    </row>
    <row r="1015846" spans="20:21" x14ac:dyDescent="0.15">
      <c r="T1015846" s="9">
        <v>1460239695280.22</v>
      </c>
      <c r="U1015846" s="9">
        <v>6858559000000</v>
      </c>
    </row>
    <row r="1015847" spans="20:21" x14ac:dyDescent="0.15">
      <c r="T1015847" s="9">
        <v>1650608320717.1299</v>
      </c>
      <c r="U1015847" s="9">
        <v>7287236000000</v>
      </c>
    </row>
    <row r="1015848" spans="20:21" x14ac:dyDescent="0.15">
      <c r="T1015848" s="9">
        <v>1831415202548.1001</v>
      </c>
      <c r="U1015848" s="9">
        <v>7639749000000</v>
      </c>
    </row>
    <row r="1015849" spans="20:21" x14ac:dyDescent="0.15">
      <c r="T1015849" s="9">
        <v>2013138415391.3999</v>
      </c>
      <c r="U1015849" s="9">
        <v>8073122000000</v>
      </c>
    </row>
    <row r="1015850" spans="20:21" x14ac:dyDescent="0.15">
      <c r="T1015850" s="9">
        <v>2199087579734.8799</v>
      </c>
      <c r="U1015850" s="9">
        <v>8577554457000</v>
      </c>
    </row>
    <row r="1015851" spans="20:21" x14ac:dyDescent="0.15">
      <c r="T1015851" s="9">
        <v>2371626931008.4102</v>
      </c>
      <c r="U1015851" s="9">
        <v>9062818202000</v>
      </c>
    </row>
    <row r="1015852" spans="20:21" x14ac:dyDescent="0.15">
      <c r="T1015852" s="9">
        <v>2553332721355.1499</v>
      </c>
      <c r="U1015852" s="9">
        <v>9631174489000</v>
      </c>
    </row>
    <row r="1015853" spans="20:21" x14ac:dyDescent="0.15">
      <c r="T1015853" s="9">
        <v>2770113054357.8301</v>
      </c>
      <c r="U1015853" s="9">
        <v>10250947997000</v>
      </c>
    </row>
    <row r="1015854" spans="20:21" x14ac:dyDescent="0.15">
      <c r="T1015854" s="9">
        <v>3001022295612.3501</v>
      </c>
      <c r="U1015854" s="9">
        <v>10581929774000</v>
      </c>
    </row>
    <row r="1015855" spans="20:21" x14ac:dyDescent="0.15">
      <c r="T1015855" s="9">
        <v>3275124592017.1602</v>
      </c>
      <c r="U1015855" s="9">
        <v>10929112955000</v>
      </c>
    </row>
    <row r="1015856" spans="20:21" x14ac:dyDescent="0.15">
      <c r="T1015856" s="9">
        <v>3603882596858.1099</v>
      </c>
      <c r="U1015856" s="9">
        <v>11456442041000</v>
      </c>
    </row>
    <row r="1015857" spans="20:21" x14ac:dyDescent="0.15">
      <c r="T1015857" s="9">
        <v>3968365637613.6299</v>
      </c>
      <c r="U1015857" s="9">
        <v>12217193198000</v>
      </c>
    </row>
    <row r="1015858" spans="20:21" x14ac:dyDescent="0.15">
      <c r="T1015858" s="9">
        <v>4420544703537.2402</v>
      </c>
      <c r="U1015858" s="9">
        <v>13039199193000</v>
      </c>
    </row>
    <row r="1015859" spans="20:21" x14ac:dyDescent="0.15">
      <c r="T1015859" s="9">
        <v>4982880235433.3896</v>
      </c>
      <c r="U1015859" s="9">
        <v>13815586948000</v>
      </c>
    </row>
    <row r="1015860" spans="20:21" x14ac:dyDescent="0.15">
      <c r="T1015860" s="9">
        <v>5691986992199.8604</v>
      </c>
      <c r="U1015860" s="9">
        <v>14474226905000</v>
      </c>
    </row>
    <row r="1015861" spans="20:21" x14ac:dyDescent="0.15">
      <c r="T1015861" s="9">
        <v>6241302380960.0195</v>
      </c>
      <c r="U1015861" s="9">
        <v>14769857911000</v>
      </c>
    </row>
    <row r="1015862" spans="20:21" x14ac:dyDescent="0.15">
      <c r="T1015862" s="9">
        <v>6827905267633.6299</v>
      </c>
      <c r="U1015862" s="9">
        <v>14478064934000</v>
      </c>
    </row>
    <row r="1015863" spans="20:21" x14ac:dyDescent="0.15">
      <c r="T1015863" s="9">
        <v>7554112468317.7305</v>
      </c>
      <c r="U1015863" s="9">
        <v>15048964444000</v>
      </c>
    </row>
    <row r="1015864" spans="20:21" x14ac:dyDescent="0.15">
      <c r="T1015864" s="9">
        <v>8275593072769.2598</v>
      </c>
      <c r="U1015864" s="9">
        <v>15599728123000</v>
      </c>
    </row>
    <row r="1015865" spans="20:21" x14ac:dyDescent="0.15">
      <c r="T1015865" s="9">
        <v>8926363901575.5605</v>
      </c>
      <c r="U1015865" s="9">
        <v>16253972230000</v>
      </c>
    </row>
    <row r="1015866" spans="20:21" x14ac:dyDescent="0.15">
      <c r="T1015866" s="9">
        <v>9619598720424.4609</v>
      </c>
      <c r="U1015866" s="9">
        <v>16843190993000</v>
      </c>
    </row>
    <row r="1015867" spans="20:21" x14ac:dyDescent="0.15">
      <c r="T1015867" s="9">
        <v>10333927386102.801</v>
      </c>
      <c r="U1015867" s="9">
        <v>17550680174000</v>
      </c>
    </row>
    <row r="1015868" spans="20:21" x14ac:dyDescent="0.15">
      <c r="T1015868" s="9">
        <v>11061573199439.699</v>
      </c>
      <c r="U1015868" s="9">
        <v>18206020741000</v>
      </c>
    </row>
    <row r="1015869" spans="20:21" x14ac:dyDescent="0.15">
      <c r="T1015869" s="9">
        <v>11819154044004.9</v>
      </c>
      <c r="U1015869" s="9">
        <v>18695110842000</v>
      </c>
    </row>
    <row r="1015870" spans="20:21" x14ac:dyDescent="0.15">
      <c r="T1015870" s="9">
        <v>12640254407508.1</v>
      </c>
      <c r="U1015870" s="9">
        <v>19477336549000</v>
      </c>
    </row>
    <row r="1015871" spans="20:21" x14ac:dyDescent="0.15">
      <c r="T1015871" s="9">
        <v>13493442991864.699</v>
      </c>
      <c r="U1015871" s="9">
        <v>20533057312000</v>
      </c>
    </row>
    <row r="1015872" spans="20:21" x14ac:dyDescent="0.15">
      <c r="T1015872" s="9">
        <v>14296370418805.1</v>
      </c>
      <c r="U1015872" s="9">
        <v>21380976119000</v>
      </c>
    </row>
    <row r="1015873" spans="20:21" x14ac:dyDescent="0.15">
      <c r="T1015873" s="9">
        <v>14616414450558.4</v>
      </c>
      <c r="U1015873" s="9">
        <v>21060473613000</v>
      </c>
    </row>
    <row r="1015874" spans="20:21" x14ac:dyDescent="0.15">
      <c r="T1015874" s="9">
        <v>15851132888547.1</v>
      </c>
      <c r="U1015874" s="9">
        <v>23315080560000</v>
      </c>
    </row>
    <row r="1015875" spans="20:21" x14ac:dyDescent="0.15">
      <c r="T1015875" s="9">
        <v>16325209299766.801</v>
      </c>
      <c r="U1015875" s="9">
        <v>25462700000000</v>
      </c>
    </row>
    <row r="1032193" spans="20:21" x14ac:dyDescent="0.15">
      <c r="T1032193" s="9" t="s">
        <v>45</v>
      </c>
      <c r="U1032193" s="9" t="s">
        <v>44</v>
      </c>
    </row>
    <row r="1032194" spans="20:21" x14ac:dyDescent="0.15">
      <c r="T1032194" s="9" t="s">
        <v>43</v>
      </c>
      <c r="U1032194" s="9" t="s">
        <v>42</v>
      </c>
    </row>
    <row r="1032195" spans="20:21" x14ac:dyDescent="0.15">
      <c r="T1032195" s="9" t="s">
        <v>41</v>
      </c>
      <c r="U1032195" s="9" t="s">
        <v>40</v>
      </c>
    </row>
    <row r="1032196" spans="20:21" x14ac:dyDescent="0.15">
      <c r="T1032196" s="9" t="s">
        <v>39</v>
      </c>
      <c r="U1032196" s="9" t="s">
        <v>38</v>
      </c>
    </row>
    <row r="1032197" spans="20:21" x14ac:dyDescent="0.15">
      <c r="T1032197" s="9">
        <v>158907457242.42899</v>
      </c>
      <c r="U1032197" s="9">
        <v>543300000000</v>
      </c>
    </row>
    <row r="1032198" spans="20:21" x14ac:dyDescent="0.15">
      <c r="T1032198" s="9">
        <v>115573393646.185</v>
      </c>
      <c r="U1032198" s="9">
        <v>563300000000</v>
      </c>
    </row>
    <row r="1032199" spans="20:21" x14ac:dyDescent="0.15">
      <c r="T1032199" s="9">
        <v>109124398292.05099</v>
      </c>
      <c r="U1032199" s="9">
        <v>605100000000</v>
      </c>
    </row>
    <row r="1032200" spans="20:21" x14ac:dyDescent="0.15">
      <c r="T1032200" s="9">
        <v>120364211312.289</v>
      </c>
      <c r="U1032200" s="9">
        <v>638600000000</v>
      </c>
    </row>
    <row r="1032201" spans="20:21" x14ac:dyDescent="0.15">
      <c r="T1032201" s="9">
        <v>142246424921.30899</v>
      </c>
      <c r="U1032201" s="9">
        <v>685800000000</v>
      </c>
    </row>
    <row r="1032202" spans="20:21" x14ac:dyDescent="0.15">
      <c r="T1032202" s="9">
        <v>166357193951.10501</v>
      </c>
      <c r="U1032202" s="9">
        <v>743700000000</v>
      </c>
    </row>
    <row r="1032203" spans="20:21" x14ac:dyDescent="0.15">
      <c r="T1032203" s="9">
        <v>184074235104.24799</v>
      </c>
      <c r="U1032203" s="9">
        <v>815000000000</v>
      </c>
    </row>
    <row r="1032204" spans="20:21" x14ac:dyDescent="0.15">
      <c r="T1032204" s="9">
        <v>173453151731.27701</v>
      </c>
      <c r="U1032204" s="9">
        <v>861700000000</v>
      </c>
    </row>
    <row r="1032205" spans="20:21" x14ac:dyDescent="0.15">
      <c r="T1032205" s="9">
        <v>166341572533.69101</v>
      </c>
      <c r="U1032205" s="9">
        <v>942500000000</v>
      </c>
    </row>
    <row r="1032206" spans="20:21" x14ac:dyDescent="0.15">
      <c r="T1032206" s="9">
        <v>194519834914.35999</v>
      </c>
      <c r="U1032206" s="9">
        <v>1019900000000</v>
      </c>
    </row>
    <row r="1032207" spans="20:21" x14ac:dyDescent="0.15">
      <c r="T1032207" s="9">
        <v>232062163046.44</v>
      </c>
      <c r="U1032207" s="9">
        <v>1073303000000</v>
      </c>
    </row>
    <row r="1032208" spans="20:21" x14ac:dyDescent="0.15">
      <c r="T1032208" s="9">
        <v>248445751754.134</v>
      </c>
      <c r="U1032208" s="9">
        <v>1164850000000</v>
      </c>
    </row>
    <row r="1032209" spans="20:21" x14ac:dyDescent="0.15">
      <c r="T1032209" s="9">
        <v>257911534896.49799</v>
      </c>
      <c r="U1032209" s="9">
        <v>1279110000000</v>
      </c>
    </row>
    <row r="1032210" spans="20:21" x14ac:dyDescent="0.15">
      <c r="T1032210" s="9">
        <v>277925470006.599</v>
      </c>
      <c r="U1032210" s="9">
        <v>1425376000000</v>
      </c>
    </row>
    <row r="1032211" spans="20:21" x14ac:dyDescent="0.15">
      <c r="T1032211" s="9">
        <v>284345548371.966</v>
      </c>
      <c r="U1032211" s="9">
        <v>1545243000000</v>
      </c>
    </row>
    <row r="1032212" spans="20:21" x14ac:dyDescent="0.15">
      <c r="T1032212" s="9">
        <v>309140480182.89801</v>
      </c>
      <c r="U1032212" s="9">
        <v>1684904000000</v>
      </c>
    </row>
    <row r="1032213" spans="20:21" x14ac:dyDescent="0.15">
      <c r="T1032213" s="9">
        <v>304286974638.82202</v>
      </c>
      <c r="U1032213" s="9">
        <v>1873412000000</v>
      </c>
    </row>
    <row r="1032214" spans="20:21" x14ac:dyDescent="0.15">
      <c r="T1032214" s="9">
        <v>327321498623.151</v>
      </c>
      <c r="U1032214" s="9">
        <v>2081826000000</v>
      </c>
    </row>
    <row r="1032215" spans="20:21" x14ac:dyDescent="0.15">
      <c r="T1032215" s="9">
        <v>364393859506.91699</v>
      </c>
      <c r="U1032215" s="9">
        <v>2351599000000</v>
      </c>
    </row>
    <row r="1032216" spans="20:21" x14ac:dyDescent="0.15">
      <c r="T1032216" s="9">
        <v>392056180496.07098</v>
      </c>
      <c r="U1032216" s="9">
        <v>2627333000000</v>
      </c>
    </row>
    <row r="1032217" spans="20:21" x14ac:dyDescent="0.15">
      <c r="T1032217" s="9">
        <v>422770430220.08099</v>
      </c>
      <c r="U1032217" s="9">
        <v>2857307000000</v>
      </c>
    </row>
    <row r="1032218" spans="20:21" x14ac:dyDescent="0.15">
      <c r="T1032218" s="9">
        <v>444385672278.89001</v>
      </c>
      <c r="U1032218" s="9">
        <v>3207041000000</v>
      </c>
    </row>
    <row r="1032219" spans="20:21" x14ac:dyDescent="0.15">
      <c r="T1032219" s="9">
        <v>484456434564.98102</v>
      </c>
      <c r="U1032219" s="9">
        <v>3343789000000</v>
      </c>
    </row>
    <row r="1032220" spans="20:21" x14ac:dyDescent="0.15">
      <c r="T1032220" s="9">
        <v>536633373623.745</v>
      </c>
      <c r="U1032220" s="9">
        <v>3634038000000</v>
      </c>
    </row>
    <row r="1032221" spans="20:21" x14ac:dyDescent="0.15">
      <c r="T1032221" s="9">
        <v>618156247357.86304</v>
      </c>
      <c r="U1032221" s="9">
        <v>4037613000000</v>
      </c>
    </row>
    <row r="1032222" spans="20:21" x14ac:dyDescent="0.15">
      <c r="T1032222" s="9">
        <v>701178819512.74402</v>
      </c>
      <c r="U1032222" s="9">
        <v>4338979000000</v>
      </c>
    </row>
    <row r="1032223" spans="20:21" x14ac:dyDescent="0.15">
      <c r="T1032223" s="9">
        <v>763934055759.06604</v>
      </c>
      <c r="U1032223" s="9">
        <v>4579631000000</v>
      </c>
    </row>
    <row r="1032224" spans="20:21" x14ac:dyDescent="0.15">
      <c r="T1032224" s="9">
        <v>852989116696.35205</v>
      </c>
      <c r="U1032224" s="9">
        <v>4855215000000</v>
      </c>
    </row>
    <row r="1032225" spans="20:21" x14ac:dyDescent="0.15">
      <c r="T1032225" s="9">
        <v>948716630508.16699</v>
      </c>
      <c r="U1032225" s="9">
        <v>5236438000000</v>
      </c>
    </row>
    <row r="1032226" spans="20:21" x14ac:dyDescent="0.15">
      <c r="T1032226" s="9">
        <v>988622824073.36694</v>
      </c>
      <c r="U1032226" s="9">
        <v>5641580000000</v>
      </c>
    </row>
    <row r="1032227" spans="20:21" x14ac:dyDescent="0.15">
      <c r="T1032227" s="9">
        <v>1027379323856.15</v>
      </c>
      <c r="U1032227" s="9">
        <v>5963144000000</v>
      </c>
    </row>
    <row r="1032228" spans="20:21" x14ac:dyDescent="0.15">
      <c r="T1032228" s="9">
        <v>1122543272896.8301</v>
      </c>
      <c r="U1032228" s="9">
        <v>6158129000000</v>
      </c>
    </row>
    <row r="1032229" spans="20:21" x14ac:dyDescent="0.15">
      <c r="T1032229" s="9">
        <v>1282219772946.3201</v>
      </c>
      <c r="U1032229" s="9">
        <v>6520327000000</v>
      </c>
    </row>
    <row r="1032230" spans="20:21" x14ac:dyDescent="0.15">
      <c r="T1032230" s="9">
        <v>1460239695280.22</v>
      </c>
      <c r="U1032230" s="9">
        <v>6858559000000</v>
      </c>
    </row>
    <row r="1032231" spans="20:21" x14ac:dyDescent="0.15">
      <c r="T1032231" s="9">
        <v>1650608320717.1299</v>
      </c>
      <c r="U1032231" s="9">
        <v>7287236000000</v>
      </c>
    </row>
    <row r="1032232" spans="20:21" x14ac:dyDescent="0.15">
      <c r="T1032232" s="9">
        <v>1831415202548.1001</v>
      </c>
      <c r="U1032232" s="9">
        <v>7639749000000</v>
      </c>
    </row>
    <row r="1032233" spans="20:21" x14ac:dyDescent="0.15">
      <c r="T1032233" s="9">
        <v>2013138415391.3999</v>
      </c>
      <c r="U1032233" s="9">
        <v>8073122000000</v>
      </c>
    </row>
    <row r="1032234" spans="20:21" x14ac:dyDescent="0.15">
      <c r="T1032234" s="9">
        <v>2199087579734.8799</v>
      </c>
      <c r="U1032234" s="9">
        <v>8577554457000</v>
      </c>
    </row>
    <row r="1032235" spans="20:21" x14ac:dyDescent="0.15">
      <c r="T1032235" s="9">
        <v>2371626931008.4102</v>
      </c>
      <c r="U1032235" s="9">
        <v>9062818202000</v>
      </c>
    </row>
    <row r="1032236" spans="20:21" x14ac:dyDescent="0.15">
      <c r="T1032236" s="9">
        <v>2553332721355.1499</v>
      </c>
      <c r="U1032236" s="9">
        <v>9631174489000</v>
      </c>
    </row>
    <row r="1032237" spans="20:21" x14ac:dyDescent="0.15">
      <c r="T1032237" s="9">
        <v>2770113054357.8301</v>
      </c>
      <c r="U1032237" s="9">
        <v>10250947997000</v>
      </c>
    </row>
    <row r="1032238" spans="20:21" x14ac:dyDescent="0.15">
      <c r="T1032238" s="9">
        <v>3001022295612.3501</v>
      </c>
      <c r="U1032238" s="9">
        <v>10581929774000</v>
      </c>
    </row>
    <row r="1032239" spans="20:21" x14ac:dyDescent="0.15">
      <c r="T1032239" s="9">
        <v>3275124592017.1602</v>
      </c>
      <c r="U1032239" s="9">
        <v>10929112955000</v>
      </c>
    </row>
    <row r="1032240" spans="20:21" x14ac:dyDescent="0.15">
      <c r="T1032240" s="9">
        <v>3603882596858.1099</v>
      </c>
      <c r="U1032240" s="9">
        <v>11456442041000</v>
      </c>
    </row>
    <row r="1032241" spans="20:21" x14ac:dyDescent="0.15">
      <c r="T1032241" s="9">
        <v>3968365637613.6299</v>
      </c>
      <c r="U1032241" s="9">
        <v>12217193198000</v>
      </c>
    </row>
    <row r="1032242" spans="20:21" x14ac:dyDescent="0.15">
      <c r="T1032242" s="9">
        <v>4420544703537.2402</v>
      </c>
      <c r="U1032242" s="9">
        <v>13039199193000</v>
      </c>
    </row>
    <row r="1032243" spans="20:21" x14ac:dyDescent="0.15">
      <c r="T1032243" s="9">
        <v>4982880235433.3896</v>
      </c>
      <c r="U1032243" s="9">
        <v>13815586948000</v>
      </c>
    </row>
    <row r="1032244" spans="20:21" x14ac:dyDescent="0.15">
      <c r="T1032244" s="9">
        <v>5691986992199.8604</v>
      </c>
      <c r="U1032244" s="9">
        <v>14474226905000</v>
      </c>
    </row>
    <row r="1032245" spans="20:21" x14ac:dyDescent="0.15">
      <c r="T1032245" s="9">
        <v>6241302380960.0195</v>
      </c>
      <c r="U1032245" s="9">
        <v>14769857911000</v>
      </c>
    </row>
    <row r="1032246" spans="20:21" x14ac:dyDescent="0.15">
      <c r="T1032246" s="9">
        <v>6827905267633.6299</v>
      </c>
      <c r="U1032246" s="9">
        <v>14478064934000</v>
      </c>
    </row>
    <row r="1032247" spans="20:21" x14ac:dyDescent="0.15">
      <c r="T1032247" s="9">
        <v>7554112468317.7305</v>
      </c>
      <c r="U1032247" s="9">
        <v>15048964444000</v>
      </c>
    </row>
    <row r="1032248" spans="20:21" x14ac:dyDescent="0.15">
      <c r="T1032248" s="9">
        <v>8275593072769.2598</v>
      </c>
      <c r="U1032248" s="9">
        <v>15599728123000</v>
      </c>
    </row>
    <row r="1032249" spans="20:21" x14ac:dyDescent="0.15">
      <c r="T1032249" s="9">
        <v>8926363901575.5605</v>
      </c>
      <c r="U1032249" s="9">
        <v>16253972230000</v>
      </c>
    </row>
    <row r="1032250" spans="20:21" x14ac:dyDescent="0.15">
      <c r="T1032250" s="9">
        <v>9619598720424.4609</v>
      </c>
      <c r="U1032250" s="9">
        <v>16843190993000</v>
      </c>
    </row>
    <row r="1032251" spans="20:21" x14ac:dyDescent="0.15">
      <c r="T1032251" s="9">
        <v>10333927386102.801</v>
      </c>
      <c r="U1032251" s="9">
        <v>17550680174000</v>
      </c>
    </row>
    <row r="1032252" spans="20:21" x14ac:dyDescent="0.15">
      <c r="T1032252" s="9">
        <v>11061573199439.699</v>
      </c>
      <c r="U1032252" s="9">
        <v>18206020741000</v>
      </c>
    </row>
    <row r="1032253" spans="20:21" x14ac:dyDescent="0.15">
      <c r="T1032253" s="9">
        <v>11819154044004.9</v>
      </c>
      <c r="U1032253" s="9">
        <v>18695110842000</v>
      </c>
    </row>
    <row r="1032254" spans="20:21" x14ac:dyDescent="0.15">
      <c r="T1032254" s="9">
        <v>12640254407508.1</v>
      </c>
      <c r="U1032254" s="9">
        <v>19477336549000</v>
      </c>
    </row>
    <row r="1032255" spans="20:21" x14ac:dyDescent="0.15">
      <c r="T1032255" s="9">
        <v>13493442991864.699</v>
      </c>
      <c r="U1032255" s="9">
        <v>20533057312000</v>
      </c>
    </row>
    <row r="1032256" spans="20:21" x14ac:dyDescent="0.15">
      <c r="T1032256" s="9">
        <v>14296370418805.1</v>
      </c>
      <c r="U1032256" s="9">
        <v>21380976119000</v>
      </c>
    </row>
    <row r="1032257" spans="20:21" x14ac:dyDescent="0.15">
      <c r="T1032257" s="9">
        <v>14616414450558.4</v>
      </c>
      <c r="U1032257" s="9">
        <v>21060473613000</v>
      </c>
    </row>
    <row r="1032258" spans="20:21" x14ac:dyDescent="0.15">
      <c r="T1032258" s="9">
        <v>15851132888547.1</v>
      </c>
      <c r="U1032258" s="9">
        <v>23315080560000</v>
      </c>
    </row>
    <row r="1032259" spans="20:21" x14ac:dyDescent="0.15">
      <c r="T1032259" s="9">
        <v>16325209299766.801</v>
      </c>
      <c r="U1032259" s="9">
        <v>25462700000000</v>
      </c>
    </row>
  </sheetData>
  <mergeCells count="20">
    <mergeCell ref="F1:F2"/>
    <mergeCell ref="G1:G2"/>
    <mergeCell ref="H1:H2"/>
    <mergeCell ref="I1:I2"/>
    <mergeCell ref="C1:C2"/>
    <mergeCell ref="B1:B2"/>
    <mergeCell ref="B3:B4"/>
    <mergeCell ref="C3:C4"/>
    <mergeCell ref="K1:K2"/>
    <mergeCell ref="K3:K4"/>
    <mergeCell ref="J1:J2"/>
    <mergeCell ref="D3:D4"/>
    <mergeCell ref="E3:E4"/>
    <mergeCell ref="F3:F4"/>
    <mergeCell ref="G3:G4"/>
    <mergeCell ref="H3:H4"/>
    <mergeCell ref="I3:I4"/>
    <mergeCell ref="J3:J4"/>
    <mergeCell ref="D1:D2"/>
    <mergeCell ref="E1:E2"/>
  </mergeCells>
  <phoneticPr fontId="5" type="noConversion"/>
  <hyperlinks>
    <hyperlink ref="M3" r:id="rId1" display="https://data.worldbank.org/indicator/NY.GDP.MKTP.KD" xr:uid="{B720DD74-4ACE-4B0B-8204-1357F53919DF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1780-1441-448B-A646-F8779B559EDA}">
  <dimension ref="A1:AK25"/>
  <sheetViews>
    <sheetView workbookViewId="0">
      <selection activeCell="B25" sqref="B25:AJ25"/>
    </sheetView>
  </sheetViews>
  <sheetFormatPr defaultRowHeight="13.5" x14ac:dyDescent="0.15"/>
  <cols>
    <col min="1" max="1" width="52.625" customWidth="1"/>
  </cols>
  <sheetData>
    <row r="1" spans="1:37" x14ac:dyDescent="0.15">
      <c r="A1" s="30" t="s">
        <v>79</v>
      </c>
    </row>
    <row r="2" spans="1:37" x14ac:dyDescent="0.15">
      <c r="A2" s="30" t="s">
        <v>80</v>
      </c>
    </row>
    <row r="3" spans="1:37" ht="14.25" x14ac:dyDescent="0.15">
      <c r="A3" s="31" t="s">
        <v>81</v>
      </c>
      <c r="B3" s="31" t="s">
        <v>82</v>
      </c>
      <c r="C3" s="31" t="s">
        <v>83</v>
      </c>
      <c r="D3" s="31" t="s">
        <v>84</v>
      </c>
      <c r="E3" s="31" t="s">
        <v>85</v>
      </c>
      <c r="F3" s="31" t="s">
        <v>86</v>
      </c>
      <c r="G3" s="31" t="s">
        <v>87</v>
      </c>
      <c r="H3" s="31" t="s">
        <v>88</v>
      </c>
      <c r="I3" s="31" t="s">
        <v>89</v>
      </c>
      <c r="J3" s="31" t="s">
        <v>90</v>
      </c>
      <c r="K3" s="31" t="s">
        <v>91</v>
      </c>
      <c r="L3" s="31" t="s">
        <v>92</v>
      </c>
      <c r="M3" s="31" t="s">
        <v>93</v>
      </c>
      <c r="N3" s="31" t="s">
        <v>94</v>
      </c>
      <c r="O3" s="31" t="s">
        <v>95</v>
      </c>
      <c r="P3" s="31" t="s">
        <v>96</v>
      </c>
      <c r="Q3" s="31" t="s">
        <v>97</v>
      </c>
      <c r="R3" s="31" t="s">
        <v>98</v>
      </c>
      <c r="S3" s="31" t="s">
        <v>99</v>
      </c>
      <c r="T3" s="31" t="s">
        <v>100</v>
      </c>
      <c r="U3" s="31" t="s">
        <v>101</v>
      </c>
      <c r="V3" s="31" t="s">
        <v>102</v>
      </c>
      <c r="W3" s="31" t="s">
        <v>103</v>
      </c>
      <c r="X3" s="31" t="s">
        <v>104</v>
      </c>
      <c r="Y3" s="31" t="s">
        <v>105</v>
      </c>
      <c r="Z3" s="31" t="s">
        <v>106</v>
      </c>
      <c r="AA3" s="31" t="s">
        <v>107</v>
      </c>
      <c r="AB3" s="31" t="s">
        <v>108</v>
      </c>
      <c r="AC3" s="31" t="s">
        <v>109</v>
      </c>
      <c r="AD3" s="31" t="s">
        <v>110</v>
      </c>
      <c r="AE3" s="31" t="s">
        <v>111</v>
      </c>
      <c r="AF3" s="31" t="s">
        <v>112</v>
      </c>
      <c r="AG3" s="31" t="s">
        <v>113</v>
      </c>
      <c r="AH3" s="31" t="s">
        <v>114</v>
      </c>
      <c r="AI3" s="31" t="s">
        <v>115</v>
      </c>
      <c r="AJ3" s="31" t="s">
        <v>116</v>
      </c>
      <c r="AK3" s="31" t="s">
        <v>117</v>
      </c>
    </row>
    <row r="4" spans="1:37" ht="14.25" x14ac:dyDescent="0.15">
      <c r="A4" s="32" t="s">
        <v>118</v>
      </c>
      <c r="B4" s="33">
        <v>1394052.9</v>
      </c>
      <c r="C4" s="33">
        <v>1340429</v>
      </c>
      <c r="D4" s="33">
        <v>1284773.8999999999</v>
      </c>
      <c r="E4" s="33">
        <v>1223706.8</v>
      </c>
      <c r="F4" s="33">
        <v>1165816.8</v>
      </c>
      <c r="G4" s="33">
        <v>1026751.9</v>
      </c>
      <c r="H4" s="33">
        <v>1003108.4</v>
      </c>
      <c r="I4" s="33">
        <v>931972.5</v>
      </c>
      <c r="J4" s="33">
        <v>846292.7</v>
      </c>
      <c r="K4" s="33">
        <v>757492</v>
      </c>
      <c r="L4" s="33">
        <v>699224.5</v>
      </c>
      <c r="M4" s="33">
        <v>656600</v>
      </c>
      <c r="N4" s="33">
        <v>598838.4</v>
      </c>
      <c r="O4" s="33">
        <v>546259.69999999995</v>
      </c>
      <c r="P4" s="33">
        <v>491160.2</v>
      </c>
      <c r="Q4" s="33">
        <v>417488.1</v>
      </c>
      <c r="R4" s="33">
        <v>353938.8</v>
      </c>
      <c r="S4" s="33">
        <v>326302.7</v>
      </c>
      <c r="T4" s="33">
        <v>274791.40000000002</v>
      </c>
      <c r="U4" s="33">
        <v>222168.4</v>
      </c>
      <c r="V4" s="33">
        <v>188587.6</v>
      </c>
      <c r="W4" s="33">
        <v>163803.20000000001</v>
      </c>
      <c r="X4" s="33">
        <v>138531.5</v>
      </c>
      <c r="Y4" s="33">
        <v>122074.9</v>
      </c>
      <c r="Z4" s="33">
        <v>110570.3</v>
      </c>
      <c r="AA4" s="33">
        <v>100094.6</v>
      </c>
      <c r="AB4" s="33">
        <v>90181</v>
      </c>
      <c r="AC4" s="33">
        <v>84486</v>
      </c>
      <c r="AD4" s="33">
        <v>79312.800000000003</v>
      </c>
      <c r="AE4" s="33">
        <v>71176.5</v>
      </c>
      <c r="AF4" s="33">
        <v>60666.2</v>
      </c>
      <c r="AG4" s="33">
        <v>48773</v>
      </c>
      <c r="AH4" s="33">
        <v>35745.800000000003</v>
      </c>
      <c r="AI4" s="33">
        <v>27309.200000000001</v>
      </c>
      <c r="AJ4" s="33">
        <v>22115.599999999999</v>
      </c>
      <c r="AK4" s="33">
        <v>18960</v>
      </c>
    </row>
    <row r="5" spans="1:37" ht="14.25" x14ac:dyDescent="0.15">
      <c r="A5" s="32" t="s">
        <v>119</v>
      </c>
      <c r="B5" s="33">
        <v>1401879.2</v>
      </c>
      <c r="C5" s="33">
        <v>1348066.2</v>
      </c>
      <c r="D5" s="33">
        <v>1294271.7</v>
      </c>
      <c r="E5" s="33">
        <v>1234029.3999999999</v>
      </c>
      <c r="F5" s="33">
        <v>1173823</v>
      </c>
      <c r="G5" s="33">
        <v>1034867.6</v>
      </c>
      <c r="H5" s="33">
        <v>1005872.4</v>
      </c>
      <c r="I5" s="33">
        <v>936010.1</v>
      </c>
      <c r="J5" s="33">
        <v>847382.9</v>
      </c>
      <c r="K5" s="33">
        <v>761193</v>
      </c>
      <c r="L5" s="33">
        <v>702511.5</v>
      </c>
      <c r="M5" s="33">
        <v>655782.9</v>
      </c>
      <c r="N5" s="33">
        <v>603660.4</v>
      </c>
      <c r="O5" s="33">
        <v>547510.6</v>
      </c>
      <c r="P5" s="33">
        <v>495707.6</v>
      </c>
      <c r="Q5" s="33">
        <v>419253.3</v>
      </c>
      <c r="R5" s="33">
        <v>354521.59999999998</v>
      </c>
      <c r="S5" s="33">
        <v>324317.8</v>
      </c>
      <c r="T5" s="33">
        <v>274179.7</v>
      </c>
      <c r="U5" s="33">
        <v>222578.4</v>
      </c>
      <c r="V5" s="33">
        <v>189907.5</v>
      </c>
      <c r="W5" s="33">
        <v>164228</v>
      </c>
      <c r="X5" s="33">
        <v>139377.29999999999</v>
      </c>
      <c r="Y5" s="33">
        <v>123311.9</v>
      </c>
      <c r="Z5" s="33">
        <v>112157.3</v>
      </c>
      <c r="AA5" s="33">
        <v>101308.6</v>
      </c>
      <c r="AB5" s="33">
        <v>91378.9</v>
      </c>
      <c r="AC5" s="33">
        <v>85863.9</v>
      </c>
      <c r="AD5" s="33">
        <v>80225</v>
      </c>
      <c r="AE5" s="33">
        <v>72210.600000000006</v>
      </c>
      <c r="AF5" s="33">
        <v>61649.4</v>
      </c>
      <c r="AG5" s="33">
        <v>48862.2</v>
      </c>
      <c r="AH5" s="33">
        <v>35819.699999999997</v>
      </c>
      <c r="AI5" s="33">
        <v>27295.599999999999</v>
      </c>
      <c r="AJ5" s="33">
        <v>22070.9</v>
      </c>
      <c r="AK5" s="33">
        <v>18909.599999999999</v>
      </c>
    </row>
    <row r="6" spans="1:37" ht="14.25" x14ac:dyDescent="0.15">
      <c r="A6" s="32" t="s">
        <v>120</v>
      </c>
      <c r="B6" s="33">
        <v>93346.8</v>
      </c>
      <c r="C6" s="33">
        <v>91635.8</v>
      </c>
      <c r="D6" s="33">
        <v>89169.1</v>
      </c>
      <c r="E6" s="33">
        <v>88207</v>
      </c>
      <c r="F6" s="33">
        <v>83216.5</v>
      </c>
      <c r="G6" s="33">
        <v>78030.899999999994</v>
      </c>
      <c r="H6" s="33">
        <v>70473.600000000006</v>
      </c>
      <c r="I6" s="33">
        <v>64745.2</v>
      </c>
      <c r="J6" s="33">
        <v>62099.5</v>
      </c>
      <c r="K6" s="33">
        <v>60139.199999999997</v>
      </c>
      <c r="L6" s="33">
        <v>57774.6</v>
      </c>
      <c r="M6" s="33">
        <v>55626.3</v>
      </c>
      <c r="N6" s="33">
        <v>53028.1</v>
      </c>
      <c r="O6" s="33">
        <v>49084.6</v>
      </c>
      <c r="P6" s="33">
        <v>44781.5</v>
      </c>
      <c r="Q6" s="33">
        <v>38430.800000000003</v>
      </c>
      <c r="R6" s="33">
        <v>33583.800000000003</v>
      </c>
      <c r="S6" s="33">
        <v>32464.1</v>
      </c>
      <c r="T6" s="33">
        <v>27674.1</v>
      </c>
      <c r="U6" s="33">
        <v>23317</v>
      </c>
      <c r="V6" s="33">
        <v>21806.7</v>
      </c>
      <c r="W6" s="33">
        <v>20904.3</v>
      </c>
      <c r="X6" s="33">
        <v>16970.2</v>
      </c>
      <c r="Y6" s="33">
        <v>16190.2</v>
      </c>
      <c r="Z6" s="33">
        <v>15502.5</v>
      </c>
      <c r="AA6" s="33">
        <v>14717.4</v>
      </c>
      <c r="AB6" s="33">
        <v>14549</v>
      </c>
      <c r="AC6" s="33">
        <v>14618.7</v>
      </c>
      <c r="AD6" s="33">
        <v>14265.2</v>
      </c>
      <c r="AE6" s="33">
        <v>13878.3</v>
      </c>
      <c r="AF6" s="33">
        <v>12020.5</v>
      </c>
      <c r="AG6" s="33">
        <v>9471.7999999999993</v>
      </c>
      <c r="AH6" s="33">
        <v>6887.6</v>
      </c>
      <c r="AI6" s="33">
        <v>5800.3</v>
      </c>
      <c r="AJ6" s="33">
        <v>5288.8</v>
      </c>
      <c r="AK6" s="33">
        <v>5017.2</v>
      </c>
    </row>
    <row r="7" spans="1:37" ht="14.25" x14ac:dyDescent="0.15">
      <c r="A7" s="32" t="s">
        <v>121</v>
      </c>
      <c r="B7" s="33">
        <v>499653</v>
      </c>
      <c r="C7" s="33">
        <v>490305.4</v>
      </c>
      <c r="D7" s="33">
        <v>475936.1</v>
      </c>
      <c r="E7" s="33">
        <v>467629.6</v>
      </c>
      <c r="F7" s="33">
        <v>447138.2</v>
      </c>
      <c r="G7" s="33">
        <v>381985.8</v>
      </c>
      <c r="H7" s="33">
        <v>379860</v>
      </c>
      <c r="I7" s="33">
        <v>364835.2</v>
      </c>
      <c r="J7" s="33">
        <v>331580.5</v>
      </c>
      <c r="K7" s="33">
        <v>295427.8</v>
      </c>
      <c r="L7" s="33">
        <v>281338.90000000002</v>
      </c>
      <c r="M7" s="33">
        <v>277282.8</v>
      </c>
      <c r="N7" s="33">
        <v>261951.6</v>
      </c>
      <c r="O7" s="33">
        <v>244639.1</v>
      </c>
      <c r="P7" s="33">
        <v>227035.1</v>
      </c>
      <c r="Q7" s="33">
        <v>191626.5</v>
      </c>
      <c r="R7" s="33">
        <v>160168.79999999999</v>
      </c>
      <c r="S7" s="33">
        <v>149952.9</v>
      </c>
      <c r="T7" s="33">
        <v>126630.5</v>
      </c>
      <c r="U7" s="33">
        <v>104359.2</v>
      </c>
      <c r="V7" s="33">
        <v>88082.2</v>
      </c>
      <c r="W7" s="33">
        <v>74285</v>
      </c>
      <c r="X7" s="33">
        <v>62695.8</v>
      </c>
      <c r="Y7" s="33">
        <v>54104.1</v>
      </c>
      <c r="Z7" s="33">
        <v>49659.4</v>
      </c>
      <c r="AA7" s="33">
        <v>45663.7</v>
      </c>
      <c r="AB7" s="33">
        <v>41079.9</v>
      </c>
      <c r="AC7" s="33">
        <v>39017.5</v>
      </c>
      <c r="AD7" s="33">
        <v>37545</v>
      </c>
      <c r="AE7" s="33">
        <v>33827.300000000003</v>
      </c>
      <c r="AF7" s="33">
        <v>28676.7</v>
      </c>
      <c r="AG7" s="33">
        <v>22452.5</v>
      </c>
      <c r="AH7" s="33">
        <v>16472.7</v>
      </c>
      <c r="AI7" s="33">
        <v>11725</v>
      </c>
      <c r="AJ7" s="33">
        <v>9129.6</v>
      </c>
      <c r="AK7" s="33">
        <v>7744.1</v>
      </c>
    </row>
    <row r="8" spans="1:37" ht="14.25" x14ac:dyDescent="0.15">
      <c r="A8" s="32" t="s">
        <v>122</v>
      </c>
      <c r="B8" s="33">
        <v>808879.3</v>
      </c>
      <c r="C8" s="33">
        <v>766124.9</v>
      </c>
      <c r="D8" s="33">
        <v>729166.5</v>
      </c>
      <c r="E8" s="33">
        <v>678192.7</v>
      </c>
      <c r="F8" s="33">
        <v>643468.4</v>
      </c>
      <c r="G8" s="33">
        <v>574850.9</v>
      </c>
      <c r="H8" s="33">
        <v>555538.9</v>
      </c>
      <c r="I8" s="33">
        <v>506429.8</v>
      </c>
      <c r="J8" s="33">
        <v>453702.9</v>
      </c>
      <c r="K8" s="33">
        <v>405626</v>
      </c>
      <c r="L8" s="33">
        <v>363397.9</v>
      </c>
      <c r="M8" s="33">
        <v>322873.8</v>
      </c>
      <c r="N8" s="33">
        <v>288680.7</v>
      </c>
      <c r="O8" s="33">
        <v>253786.9</v>
      </c>
      <c r="P8" s="33">
        <v>223891</v>
      </c>
      <c r="Q8" s="33">
        <v>189195.9</v>
      </c>
      <c r="R8" s="33">
        <v>160769</v>
      </c>
      <c r="S8" s="33">
        <v>141900.70000000001</v>
      </c>
      <c r="T8" s="33">
        <v>119875</v>
      </c>
      <c r="U8" s="33">
        <v>94902.2</v>
      </c>
      <c r="V8" s="33">
        <v>80018.600000000006</v>
      </c>
      <c r="W8" s="33">
        <v>69038.7</v>
      </c>
      <c r="X8" s="33">
        <v>59711.3</v>
      </c>
      <c r="Y8" s="33">
        <v>53017.599999999999</v>
      </c>
      <c r="Z8" s="33">
        <v>46995.4</v>
      </c>
      <c r="AA8" s="33">
        <v>40927.599999999999</v>
      </c>
      <c r="AB8" s="33">
        <v>35750</v>
      </c>
      <c r="AC8" s="33">
        <v>32227.7</v>
      </c>
      <c r="AD8" s="33">
        <v>28414.799999999999</v>
      </c>
      <c r="AE8" s="33">
        <v>24505</v>
      </c>
      <c r="AF8" s="33">
        <v>20952.2</v>
      </c>
      <c r="AG8" s="33">
        <v>16937.900000000001</v>
      </c>
      <c r="AH8" s="33">
        <v>12459.5</v>
      </c>
      <c r="AI8" s="33">
        <v>9770.2999999999993</v>
      </c>
      <c r="AJ8" s="33">
        <v>7652.5</v>
      </c>
      <c r="AK8" s="33">
        <v>6148.3</v>
      </c>
    </row>
    <row r="9" spans="1:37" ht="14.25" x14ac:dyDescent="0.15">
      <c r="A9" s="32" t="s">
        <v>123</v>
      </c>
      <c r="B9" s="33">
        <v>99665</v>
      </c>
      <c r="C9" s="33">
        <v>95677</v>
      </c>
      <c r="D9" s="33">
        <v>91746</v>
      </c>
      <c r="E9" s="33">
        <v>87385</v>
      </c>
      <c r="F9" s="33">
        <v>83111</v>
      </c>
      <c r="G9" s="33">
        <v>73338</v>
      </c>
      <c r="H9" s="33">
        <v>71453</v>
      </c>
      <c r="I9" s="33">
        <v>66726</v>
      </c>
      <c r="J9" s="33">
        <v>60691</v>
      </c>
      <c r="K9" s="33">
        <v>54849</v>
      </c>
      <c r="L9" s="33">
        <v>50912</v>
      </c>
      <c r="M9" s="33">
        <v>47802</v>
      </c>
      <c r="N9" s="33">
        <v>44281</v>
      </c>
      <c r="O9" s="33">
        <v>40431</v>
      </c>
      <c r="P9" s="33">
        <v>36855</v>
      </c>
      <c r="Q9" s="33">
        <v>31341</v>
      </c>
      <c r="R9" s="33">
        <v>26631</v>
      </c>
      <c r="S9" s="33">
        <v>24483</v>
      </c>
      <c r="T9" s="33">
        <v>20805</v>
      </c>
      <c r="U9" s="33">
        <v>16977</v>
      </c>
      <c r="V9" s="33">
        <v>14567</v>
      </c>
      <c r="W9" s="33">
        <v>12671</v>
      </c>
      <c r="X9" s="33">
        <v>10818</v>
      </c>
      <c r="Y9" s="33">
        <v>9631</v>
      </c>
      <c r="Z9" s="33">
        <v>8818</v>
      </c>
      <c r="AA9" s="33">
        <v>8024</v>
      </c>
      <c r="AB9" s="33">
        <v>7294</v>
      </c>
      <c r="AC9" s="33">
        <v>6914</v>
      </c>
      <c r="AD9" s="33">
        <v>6522</v>
      </c>
      <c r="AE9" s="33">
        <v>5931</v>
      </c>
      <c r="AF9" s="33">
        <v>5117</v>
      </c>
      <c r="AG9" s="33">
        <v>4100</v>
      </c>
      <c r="AH9" s="33">
        <v>3040</v>
      </c>
      <c r="AI9" s="33">
        <v>2343</v>
      </c>
      <c r="AJ9" s="33">
        <v>1918</v>
      </c>
      <c r="AK9" s="33">
        <v>1666</v>
      </c>
    </row>
    <row r="10" spans="1:37" ht="14.25" x14ac:dyDescent="0.15">
      <c r="A10" s="32" t="s">
        <v>124</v>
      </c>
      <c r="B10" s="33">
        <v>105</v>
      </c>
      <c r="C10" s="33">
        <v>105.1</v>
      </c>
      <c r="D10" s="33">
        <v>105.5</v>
      </c>
      <c r="E10" s="33">
        <v>103</v>
      </c>
      <c r="F10" s="33">
        <v>108.7</v>
      </c>
      <c r="G10" s="33">
        <v>101.8</v>
      </c>
      <c r="H10" s="33">
        <v>106.2</v>
      </c>
      <c r="I10" s="33">
        <v>106.4</v>
      </c>
      <c r="J10" s="33">
        <v>107.3</v>
      </c>
      <c r="K10" s="33">
        <v>106.8</v>
      </c>
      <c r="L10" s="33">
        <v>106.3</v>
      </c>
      <c r="M10" s="33">
        <v>108.5</v>
      </c>
      <c r="N10" s="33">
        <v>107.2</v>
      </c>
      <c r="O10" s="33">
        <v>108.6</v>
      </c>
      <c r="P10" s="33">
        <v>108.9</v>
      </c>
      <c r="Q10" s="33">
        <v>110.3</v>
      </c>
      <c r="R10" s="33">
        <v>108.6</v>
      </c>
      <c r="S10" s="33">
        <v>110.1</v>
      </c>
      <c r="T10" s="33">
        <v>114.6</v>
      </c>
      <c r="U10" s="33">
        <v>113.3</v>
      </c>
      <c r="V10" s="33">
        <v>111</v>
      </c>
      <c r="W10" s="33">
        <v>110.5</v>
      </c>
      <c r="X10" s="33">
        <v>110.6</v>
      </c>
      <c r="Y10" s="33">
        <v>109.7</v>
      </c>
      <c r="Z10" s="33">
        <v>108.1</v>
      </c>
      <c r="AA10" s="33">
        <v>108.7</v>
      </c>
      <c r="AB10" s="33">
        <v>108.1</v>
      </c>
      <c r="AC10" s="33">
        <v>107.4</v>
      </c>
      <c r="AD10" s="33">
        <v>109.6</v>
      </c>
      <c r="AE10" s="33">
        <v>110.2</v>
      </c>
      <c r="AF10" s="33">
        <v>109.4</v>
      </c>
      <c r="AG10" s="33">
        <v>113.1</v>
      </c>
      <c r="AH10" s="33">
        <v>113.6</v>
      </c>
      <c r="AI10" s="33">
        <v>114.1</v>
      </c>
      <c r="AJ10" s="33">
        <v>109.3</v>
      </c>
      <c r="AK10" s="33">
        <v>104.1</v>
      </c>
    </row>
    <row r="11" spans="1:37" ht="14.25" x14ac:dyDescent="0.15">
      <c r="A11" s="32" t="s">
        <v>125</v>
      </c>
      <c r="B11" s="33">
        <v>105</v>
      </c>
      <c r="C11" s="33">
        <v>105</v>
      </c>
      <c r="D11" s="33">
        <v>105.4</v>
      </c>
      <c r="E11" s="33">
        <v>103.1</v>
      </c>
      <c r="F11" s="33">
        <v>108.6</v>
      </c>
      <c r="G11" s="33">
        <v>102.3</v>
      </c>
      <c r="H11" s="33">
        <v>106.1</v>
      </c>
      <c r="I11" s="33">
        <v>106.8</v>
      </c>
      <c r="J11" s="33">
        <v>106.9</v>
      </c>
      <c r="K11" s="33">
        <v>106.8</v>
      </c>
      <c r="L11" s="33">
        <v>107</v>
      </c>
      <c r="M11" s="33">
        <v>107.5</v>
      </c>
      <c r="N11" s="33">
        <v>107.8</v>
      </c>
      <c r="O11" s="33">
        <v>107.9</v>
      </c>
      <c r="P11" s="33">
        <v>109.5</v>
      </c>
      <c r="Q11" s="33">
        <v>110.6</v>
      </c>
      <c r="R11" s="33">
        <v>109.4</v>
      </c>
      <c r="S11" s="33">
        <v>109.7</v>
      </c>
      <c r="T11" s="33">
        <v>114.2</v>
      </c>
      <c r="U11" s="33">
        <v>112.7</v>
      </c>
      <c r="V11" s="33">
        <v>111.5</v>
      </c>
      <c r="W11" s="33">
        <v>110.1</v>
      </c>
      <c r="X11" s="33">
        <v>110.1</v>
      </c>
      <c r="Y11" s="33">
        <v>109.2</v>
      </c>
      <c r="Z11" s="33">
        <v>108.3</v>
      </c>
      <c r="AA11" s="33">
        <v>108.6</v>
      </c>
      <c r="AB11" s="33">
        <v>107.7</v>
      </c>
      <c r="AC11" s="33">
        <v>107.9</v>
      </c>
      <c r="AD11" s="33">
        <v>109.3</v>
      </c>
      <c r="AE11" s="33">
        <v>110</v>
      </c>
      <c r="AF11" s="33">
        <v>111</v>
      </c>
      <c r="AG11" s="33">
        <v>113.1</v>
      </c>
      <c r="AH11" s="33">
        <v>113.9</v>
      </c>
      <c r="AI11" s="33">
        <v>114.3</v>
      </c>
      <c r="AJ11" s="33">
        <v>109.4</v>
      </c>
      <c r="AK11" s="33">
        <v>103.9</v>
      </c>
    </row>
    <row r="12" spans="1:37" ht="14.25" x14ac:dyDescent="0.15">
      <c r="A12" s="32" t="s">
        <v>126</v>
      </c>
      <c r="B12" s="33">
        <v>103.9</v>
      </c>
      <c r="C12" s="33">
        <v>103.7</v>
      </c>
      <c r="D12" s="33">
        <v>104.1</v>
      </c>
      <c r="E12" s="33">
        <v>104.2</v>
      </c>
      <c r="F12" s="33">
        <v>107.1</v>
      </c>
      <c r="G12" s="33">
        <v>103.1</v>
      </c>
      <c r="H12" s="33">
        <v>103.1</v>
      </c>
      <c r="I12" s="33">
        <v>103.5</v>
      </c>
      <c r="J12" s="33">
        <v>104</v>
      </c>
      <c r="K12" s="33">
        <v>103.3</v>
      </c>
      <c r="L12" s="33">
        <v>103.9</v>
      </c>
      <c r="M12" s="33">
        <v>104.1</v>
      </c>
      <c r="N12" s="33">
        <v>103.8</v>
      </c>
      <c r="O12" s="33">
        <v>104.5</v>
      </c>
      <c r="P12" s="33">
        <v>104.2</v>
      </c>
      <c r="Q12" s="33">
        <v>104.3</v>
      </c>
      <c r="R12" s="33">
        <v>104</v>
      </c>
      <c r="S12" s="33">
        <v>105.2</v>
      </c>
      <c r="T12" s="33">
        <v>103.5</v>
      </c>
      <c r="U12" s="33">
        <v>104.8</v>
      </c>
      <c r="V12" s="33">
        <v>105.1</v>
      </c>
      <c r="W12" s="33">
        <v>106.1</v>
      </c>
      <c r="X12" s="33">
        <v>102.4</v>
      </c>
      <c r="Y12" s="33">
        <v>102.7</v>
      </c>
      <c r="Z12" s="33">
        <v>102.6</v>
      </c>
      <c r="AA12" s="33">
        <v>102.3</v>
      </c>
      <c r="AB12" s="33">
        <v>102.7</v>
      </c>
      <c r="AC12" s="33">
        <v>103.4</v>
      </c>
      <c r="AD12" s="33">
        <v>103.4</v>
      </c>
      <c r="AE12" s="33">
        <v>105</v>
      </c>
      <c r="AF12" s="33">
        <v>104.9</v>
      </c>
      <c r="AG12" s="33">
        <v>103.9</v>
      </c>
      <c r="AH12" s="33">
        <v>104.6</v>
      </c>
      <c r="AI12" s="33">
        <v>104.7</v>
      </c>
      <c r="AJ12" s="33">
        <v>102.4</v>
      </c>
      <c r="AK12" s="33">
        <v>107.3</v>
      </c>
    </row>
    <row r="13" spans="1:37" ht="14.25" x14ac:dyDescent="0.15">
      <c r="A13" s="32" t="s">
        <v>127</v>
      </c>
      <c r="B13" s="33">
        <v>104.5</v>
      </c>
      <c r="C13" s="33">
        <v>105</v>
      </c>
      <c r="D13" s="33">
        <v>104.4</v>
      </c>
      <c r="E13" s="33">
        <v>102.3</v>
      </c>
      <c r="F13" s="33">
        <v>108.2</v>
      </c>
      <c r="G13" s="33">
        <v>102.1</v>
      </c>
      <c r="H13" s="33">
        <v>104.6</v>
      </c>
      <c r="I13" s="33">
        <v>105.8</v>
      </c>
      <c r="J13" s="33">
        <v>105.9</v>
      </c>
      <c r="K13" s="33">
        <v>106</v>
      </c>
      <c r="L13" s="33">
        <v>105.9</v>
      </c>
      <c r="M13" s="33">
        <v>107.2</v>
      </c>
      <c r="N13" s="33">
        <v>108</v>
      </c>
      <c r="O13" s="33">
        <v>108.4</v>
      </c>
      <c r="P13" s="33">
        <v>110.7</v>
      </c>
      <c r="Q13" s="33">
        <v>112.7</v>
      </c>
      <c r="R13" s="33">
        <v>110.3</v>
      </c>
      <c r="S13" s="33">
        <v>109.8</v>
      </c>
      <c r="T13" s="33">
        <v>115.1</v>
      </c>
      <c r="U13" s="33">
        <v>113.5</v>
      </c>
      <c r="V13" s="33">
        <v>112.1</v>
      </c>
      <c r="W13" s="33">
        <v>111.1</v>
      </c>
      <c r="X13" s="33">
        <v>112.7</v>
      </c>
      <c r="Y13" s="33">
        <v>109.9</v>
      </c>
      <c r="Z13" s="33">
        <v>108.5</v>
      </c>
      <c r="AA13" s="33">
        <v>109.5</v>
      </c>
      <c r="AB13" s="33">
        <v>108.2</v>
      </c>
      <c r="AC13" s="33">
        <v>108.9</v>
      </c>
      <c r="AD13" s="33">
        <v>110.5</v>
      </c>
      <c r="AE13" s="33">
        <v>112.1</v>
      </c>
      <c r="AF13" s="33">
        <v>113.8</v>
      </c>
      <c r="AG13" s="33">
        <v>118.1</v>
      </c>
      <c r="AH13" s="33">
        <v>119.7</v>
      </c>
      <c r="AI13" s="33">
        <v>121</v>
      </c>
      <c r="AJ13" s="33">
        <v>113.8</v>
      </c>
      <c r="AK13" s="33">
        <v>103.2</v>
      </c>
    </row>
    <row r="14" spans="1:37" ht="14.25" x14ac:dyDescent="0.15">
      <c r="A14" s="32" t="s">
        <v>128</v>
      </c>
      <c r="B14" s="33">
        <v>105.4</v>
      </c>
      <c r="C14" s="33">
        <v>105.1</v>
      </c>
      <c r="D14" s="33">
        <v>106.3</v>
      </c>
      <c r="E14" s="33">
        <v>103.5</v>
      </c>
      <c r="F14" s="33">
        <v>109</v>
      </c>
      <c r="G14" s="33">
        <v>102.4</v>
      </c>
      <c r="H14" s="33">
        <v>107.6</v>
      </c>
      <c r="I14" s="33">
        <v>108</v>
      </c>
      <c r="J14" s="33">
        <v>108.1</v>
      </c>
      <c r="K14" s="33">
        <v>107.9</v>
      </c>
      <c r="L14" s="33">
        <v>108.6</v>
      </c>
      <c r="M14" s="33">
        <v>108.4</v>
      </c>
      <c r="N14" s="33">
        <v>108.3</v>
      </c>
      <c r="O14" s="33">
        <v>108</v>
      </c>
      <c r="P14" s="33">
        <v>109.3</v>
      </c>
      <c r="Q14" s="33">
        <v>109.6</v>
      </c>
      <c r="R14" s="33">
        <v>109.6</v>
      </c>
      <c r="S14" s="33">
        <v>110.5</v>
      </c>
      <c r="T14" s="33">
        <v>115.8</v>
      </c>
      <c r="U14" s="33">
        <v>114</v>
      </c>
      <c r="V14" s="33">
        <v>112.5</v>
      </c>
      <c r="W14" s="33">
        <v>110.2</v>
      </c>
      <c r="X14" s="33">
        <v>109.7</v>
      </c>
      <c r="Y14" s="33">
        <v>110.7</v>
      </c>
      <c r="Z14" s="33">
        <v>110.2</v>
      </c>
      <c r="AA14" s="33">
        <v>110</v>
      </c>
      <c r="AB14" s="33">
        <v>109.5</v>
      </c>
      <c r="AC14" s="33">
        <v>108.6</v>
      </c>
      <c r="AD14" s="33">
        <v>110.6</v>
      </c>
      <c r="AE14" s="33">
        <v>109.4</v>
      </c>
      <c r="AF14" s="33">
        <v>110.3</v>
      </c>
      <c r="AG14" s="33">
        <v>111.5</v>
      </c>
      <c r="AH14" s="33">
        <v>112.3</v>
      </c>
      <c r="AI14" s="33">
        <v>112.8</v>
      </c>
      <c r="AJ14" s="33">
        <v>109.6</v>
      </c>
      <c r="AK14" s="33">
        <v>102.7</v>
      </c>
    </row>
    <row r="15" spans="1:37" ht="14.25" x14ac:dyDescent="0.15">
      <c r="A15" s="32" t="s">
        <v>129</v>
      </c>
      <c r="B15" s="33">
        <v>105.1</v>
      </c>
      <c r="C15" s="33">
        <v>105.1</v>
      </c>
      <c r="D15" s="33">
        <v>105.5</v>
      </c>
      <c r="E15" s="33">
        <v>103.1</v>
      </c>
      <c r="F15" s="33">
        <v>108.5</v>
      </c>
      <c r="G15" s="33">
        <v>102.1</v>
      </c>
      <c r="H15" s="33">
        <v>105.7</v>
      </c>
      <c r="I15" s="33">
        <v>106.3</v>
      </c>
      <c r="J15" s="33">
        <v>106.2</v>
      </c>
      <c r="K15" s="33">
        <v>106.2</v>
      </c>
      <c r="L15" s="33">
        <v>106.4</v>
      </c>
      <c r="M15" s="33">
        <v>106.8</v>
      </c>
      <c r="N15" s="33">
        <v>107.1</v>
      </c>
      <c r="O15" s="33">
        <v>107.1</v>
      </c>
      <c r="P15" s="33">
        <v>108.9</v>
      </c>
      <c r="Q15" s="33">
        <v>110.1</v>
      </c>
      <c r="R15" s="33">
        <v>108.9</v>
      </c>
      <c r="S15" s="33">
        <v>109.1</v>
      </c>
      <c r="T15" s="33">
        <v>113.6</v>
      </c>
      <c r="U15" s="33">
        <v>112</v>
      </c>
      <c r="V15" s="33">
        <v>110.8</v>
      </c>
      <c r="W15" s="33">
        <v>109.5</v>
      </c>
      <c r="X15" s="33">
        <v>109.4</v>
      </c>
      <c r="Y15" s="33">
        <v>108.5</v>
      </c>
      <c r="Z15" s="33">
        <v>107.5</v>
      </c>
      <c r="AA15" s="33">
        <v>107.7</v>
      </c>
      <c r="AB15" s="33">
        <v>106.8</v>
      </c>
      <c r="AC15" s="33">
        <v>106.9</v>
      </c>
      <c r="AD15" s="33">
        <v>108.2</v>
      </c>
      <c r="AE15" s="33">
        <v>108.8</v>
      </c>
      <c r="AF15" s="33">
        <v>109.8</v>
      </c>
      <c r="AG15" s="33">
        <v>111.8</v>
      </c>
      <c r="AH15" s="33">
        <v>112.6</v>
      </c>
      <c r="AI15" s="33">
        <v>112.9</v>
      </c>
      <c r="AJ15" s="33">
        <v>107.9</v>
      </c>
      <c r="AK15" s="33">
        <v>102.4</v>
      </c>
    </row>
    <row r="16" spans="1:37" ht="14.25" x14ac:dyDescent="0.15">
      <c r="A16" s="32" t="s">
        <v>130</v>
      </c>
      <c r="B16" s="33">
        <v>5225.1000000000004</v>
      </c>
      <c r="C16" s="33">
        <v>4977.8</v>
      </c>
      <c r="D16" s="33">
        <v>4734.6000000000004</v>
      </c>
      <c r="E16" s="33">
        <v>4486.7</v>
      </c>
      <c r="F16" s="33">
        <v>4357.2</v>
      </c>
      <c r="G16" s="33">
        <v>4009.1</v>
      </c>
      <c r="H16" s="33">
        <v>3937.5</v>
      </c>
      <c r="I16" s="33">
        <v>3706.5</v>
      </c>
      <c r="J16" s="33">
        <v>3482.4</v>
      </c>
      <c r="K16" s="33">
        <v>3246.2</v>
      </c>
      <c r="L16" s="33">
        <v>3040.9</v>
      </c>
      <c r="M16" s="33">
        <v>2859.3</v>
      </c>
      <c r="N16" s="33">
        <v>2636.3</v>
      </c>
      <c r="O16" s="33">
        <v>2460.1</v>
      </c>
      <c r="P16" s="33">
        <v>2265.1</v>
      </c>
      <c r="Q16" s="33">
        <v>2079.6999999999998</v>
      </c>
      <c r="R16" s="33">
        <v>1885.3</v>
      </c>
      <c r="S16" s="33">
        <v>1736.6</v>
      </c>
      <c r="T16" s="33">
        <v>1577.4</v>
      </c>
      <c r="U16" s="33">
        <v>1376.3</v>
      </c>
      <c r="V16" s="33">
        <v>1215.2</v>
      </c>
      <c r="W16" s="33">
        <v>1095.0999999999999</v>
      </c>
      <c r="X16" s="33">
        <v>990.8</v>
      </c>
      <c r="Y16" s="33">
        <v>896.2</v>
      </c>
      <c r="Z16" s="33">
        <v>817</v>
      </c>
      <c r="AA16" s="33">
        <v>755.9</v>
      </c>
      <c r="AB16" s="33">
        <v>695.4</v>
      </c>
      <c r="AC16" s="33">
        <v>643.5</v>
      </c>
      <c r="AD16" s="33">
        <v>599.1</v>
      </c>
      <c r="AE16" s="33">
        <v>546.5</v>
      </c>
      <c r="AF16" s="33">
        <v>496.1</v>
      </c>
      <c r="AG16" s="33">
        <v>453.3</v>
      </c>
      <c r="AH16" s="33">
        <v>400.8</v>
      </c>
      <c r="AI16" s="33">
        <v>352.7</v>
      </c>
      <c r="AJ16" s="33">
        <v>309</v>
      </c>
      <c r="AK16" s="33">
        <v>282.7</v>
      </c>
    </row>
    <row r="17" spans="1:37" ht="14.25" x14ac:dyDescent="0.15">
      <c r="A17" s="32" t="s">
        <v>131</v>
      </c>
      <c r="B17" s="33">
        <v>5254.4</v>
      </c>
      <c r="C17" s="33">
        <v>5006.1000000000004</v>
      </c>
      <c r="D17" s="33">
        <v>4769.6000000000004</v>
      </c>
      <c r="E17" s="33">
        <v>4524.6000000000004</v>
      </c>
      <c r="F17" s="33">
        <v>4387.1000000000004</v>
      </c>
      <c r="G17" s="33">
        <v>4040.8</v>
      </c>
      <c r="H17" s="33">
        <v>3948.4</v>
      </c>
      <c r="I17" s="33">
        <v>3722.5</v>
      </c>
      <c r="J17" s="33">
        <v>3486.9</v>
      </c>
      <c r="K17" s="33">
        <v>3262.1</v>
      </c>
      <c r="L17" s="33">
        <v>3055.1</v>
      </c>
      <c r="M17" s="33">
        <v>2855.8</v>
      </c>
      <c r="N17" s="33">
        <v>2657.5</v>
      </c>
      <c r="O17" s="33">
        <v>2465.6999999999998</v>
      </c>
      <c r="P17" s="33">
        <v>2286.1</v>
      </c>
      <c r="Q17" s="33">
        <v>2088.5</v>
      </c>
      <c r="R17" s="33">
        <v>1888.4</v>
      </c>
      <c r="S17" s="33">
        <v>1726.1</v>
      </c>
      <c r="T17" s="33">
        <v>1573.9</v>
      </c>
      <c r="U17" s="33">
        <v>1378.8</v>
      </c>
      <c r="V17" s="33">
        <v>1223.7</v>
      </c>
      <c r="W17" s="33">
        <v>1097.9000000000001</v>
      </c>
      <c r="X17" s="33">
        <v>996.9</v>
      </c>
      <c r="Y17" s="33">
        <v>905.3</v>
      </c>
      <c r="Z17" s="33">
        <v>828.7</v>
      </c>
      <c r="AA17" s="33">
        <v>765.1</v>
      </c>
      <c r="AB17" s="33">
        <v>704.6</v>
      </c>
      <c r="AC17" s="33">
        <v>654</v>
      </c>
      <c r="AD17" s="33">
        <v>606</v>
      </c>
      <c r="AE17" s="33">
        <v>554.5</v>
      </c>
      <c r="AF17" s="33">
        <v>504.2</v>
      </c>
      <c r="AG17" s="33">
        <v>454.1</v>
      </c>
      <c r="AH17" s="33">
        <v>401.6</v>
      </c>
      <c r="AI17" s="33">
        <v>352.5</v>
      </c>
      <c r="AJ17" s="33">
        <v>308.39999999999998</v>
      </c>
      <c r="AK17" s="33">
        <v>282</v>
      </c>
    </row>
    <row r="18" spans="1:37" ht="14.25" x14ac:dyDescent="0.15">
      <c r="A18" s="32" t="s">
        <v>132</v>
      </c>
      <c r="B18" s="33">
        <v>739.3</v>
      </c>
      <c r="C18" s="33">
        <v>711.3</v>
      </c>
      <c r="D18" s="33">
        <v>686.1</v>
      </c>
      <c r="E18" s="33">
        <v>659.4</v>
      </c>
      <c r="F18" s="33">
        <v>632.79999999999995</v>
      </c>
      <c r="G18" s="33">
        <v>591</v>
      </c>
      <c r="H18" s="33">
        <v>573.1</v>
      </c>
      <c r="I18" s="33">
        <v>555.9</v>
      </c>
      <c r="J18" s="33">
        <v>537.20000000000005</v>
      </c>
      <c r="K18" s="33">
        <v>516.79999999999995</v>
      </c>
      <c r="L18" s="33">
        <v>500.4</v>
      </c>
      <c r="M18" s="33">
        <v>481.6</v>
      </c>
      <c r="N18" s="33">
        <v>462.8</v>
      </c>
      <c r="O18" s="33">
        <v>445.9</v>
      </c>
      <c r="P18" s="33">
        <v>426.8</v>
      </c>
      <c r="Q18" s="33">
        <v>409.7</v>
      </c>
      <c r="R18" s="33">
        <v>393</v>
      </c>
      <c r="S18" s="33">
        <v>377.9</v>
      </c>
      <c r="T18" s="33">
        <v>359.3</v>
      </c>
      <c r="U18" s="33">
        <v>347.1</v>
      </c>
      <c r="V18" s="33">
        <v>331.4</v>
      </c>
      <c r="W18" s="33">
        <v>315.39999999999998</v>
      </c>
      <c r="X18" s="33">
        <v>297.2</v>
      </c>
      <c r="Y18" s="33">
        <v>290.3</v>
      </c>
      <c r="Z18" s="33">
        <v>282.7</v>
      </c>
      <c r="AA18" s="33">
        <v>275.39999999999998</v>
      </c>
      <c r="AB18" s="33">
        <v>269.2</v>
      </c>
      <c r="AC18" s="33">
        <v>262</v>
      </c>
      <c r="AD18" s="33">
        <v>253.3</v>
      </c>
      <c r="AE18" s="33">
        <v>244.9</v>
      </c>
      <c r="AF18" s="33">
        <v>233.1</v>
      </c>
      <c r="AG18" s="33">
        <v>222.2</v>
      </c>
      <c r="AH18" s="33">
        <v>213.7</v>
      </c>
      <c r="AI18" s="33">
        <v>204.2</v>
      </c>
      <c r="AJ18" s="33">
        <v>195.2</v>
      </c>
      <c r="AK18" s="33">
        <v>190.7</v>
      </c>
    </row>
    <row r="19" spans="1:37" ht="14.25" x14ac:dyDescent="0.15">
      <c r="A19" s="32" t="s">
        <v>133</v>
      </c>
      <c r="B19" s="33">
        <v>7565.3</v>
      </c>
      <c r="C19" s="33">
        <v>7239.6</v>
      </c>
      <c r="D19" s="33">
        <v>6891.7</v>
      </c>
      <c r="E19" s="33">
        <v>6603</v>
      </c>
      <c r="F19" s="33">
        <v>6454.5</v>
      </c>
      <c r="G19" s="33">
        <v>5964.8</v>
      </c>
      <c r="H19" s="33">
        <v>5840.2</v>
      </c>
      <c r="I19" s="33">
        <v>5585.9</v>
      </c>
      <c r="J19" s="33">
        <v>5280.1</v>
      </c>
      <c r="K19" s="33">
        <v>4987.3999999999996</v>
      </c>
      <c r="L19" s="33">
        <v>4703.7</v>
      </c>
      <c r="M19" s="33">
        <v>4440.5</v>
      </c>
      <c r="N19" s="33">
        <v>4144</v>
      </c>
      <c r="O19" s="33">
        <v>3837.5</v>
      </c>
      <c r="P19" s="33">
        <v>3541.3</v>
      </c>
      <c r="Q19" s="33">
        <v>3199.3</v>
      </c>
      <c r="R19" s="33">
        <v>2839.2</v>
      </c>
      <c r="S19" s="33">
        <v>2574.3000000000002</v>
      </c>
      <c r="T19" s="33">
        <v>2343.6999999999998</v>
      </c>
      <c r="U19" s="33">
        <v>2037.1</v>
      </c>
      <c r="V19" s="33">
        <v>1795.6</v>
      </c>
      <c r="W19" s="33">
        <v>1601.3</v>
      </c>
      <c r="X19" s="33">
        <v>1440.8</v>
      </c>
      <c r="Y19" s="33">
        <v>1278.8</v>
      </c>
      <c r="Z19" s="33">
        <v>1163.5999999999999</v>
      </c>
      <c r="AA19" s="33">
        <v>1072.5999999999999</v>
      </c>
      <c r="AB19" s="33">
        <v>979.7</v>
      </c>
      <c r="AC19" s="33">
        <v>905.5</v>
      </c>
      <c r="AD19" s="33">
        <v>831.4</v>
      </c>
      <c r="AE19" s="33">
        <v>752.6</v>
      </c>
      <c r="AF19" s="33">
        <v>671.4</v>
      </c>
      <c r="AG19" s="33">
        <v>589.79999999999995</v>
      </c>
      <c r="AH19" s="33">
        <v>499.3</v>
      </c>
      <c r="AI19" s="33">
        <v>416.9</v>
      </c>
      <c r="AJ19" s="33">
        <v>344.5</v>
      </c>
      <c r="AK19" s="33">
        <v>302.8</v>
      </c>
    </row>
    <row r="20" spans="1:37" ht="14.25" x14ac:dyDescent="0.15">
      <c r="A20" s="32" t="s">
        <v>134</v>
      </c>
      <c r="B20" s="33">
        <v>7867.3</v>
      </c>
      <c r="C20" s="33">
        <v>7465.2</v>
      </c>
      <c r="D20" s="33">
        <v>7104.8</v>
      </c>
      <c r="E20" s="33">
        <v>6685.1</v>
      </c>
      <c r="F20" s="33">
        <v>6456.5</v>
      </c>
      <c r="G20" s="33">
        <v>5922.6</v>
      </c>
      <c r="H20" s="33">
        <v>5785</v>
      </c>
      <c r="I20" s="33">
        <v>5376.8</v>
      </c>
      <c r="J20" s="33">
        <v>4980.5</v>
      </c>
      <c r="K20" s="33">
        <v>4606.7</v>
      </c>
      <c r="L20" s="33">
        <v>4269.2</v>
      </c>
      <c r="M20" s="33">
        <v>3931.8</v>
      </c>
      <c r="N20" s="33">
        <v>3627.5</v>
      </c>
      <c r="O20" s="33">
        <v>3349.3</v>
      </c>
      <c r="P20" s="33">
        <v>3101.3</v>
      </c>
      <c r="Q20" s="33">
        <v>2837.6</v>
      </c>
      <c r="R20" s="33">
        <v>2589.1</v>
      </c>
      <c r="S20" s="33">
        <v>2362.4</v>
      </c>
      <c r="T20" s="33">
        <v>2138</v>
      </c>
      <c r="U20" s="33">
        <v>1845.9</v>
      </c>
      <c r="V20" s="33">
        <v>1619.5</v>
      </c>
      <c r="W20" s="33">
        <v>1439.9</v>
      </c>
      <c r="X20" s="33">
        <v>1306.8</v>
      </c>
      <c r="Y20" s="33">
        <v>1190.9000000000001</v>
      </c>
      <c r="Z20" s="33">
        <v>1075.8</v>
      </c>
      <c r="AA20" s="33">
        <v>976.3</v>
      </c>
      <c r="AB20" s="33">
        <v>887.5</v>
      </c>
      <c r="AC20" s="33">
        <v>810.8</v>
      </c>
      <c r="AD20" s="33">
        <v>746.3</v>
      </c>
      <c r="AE20" s="33">
        <v>674.7</v>
      </c>
      <c r="AF20" s="33">
        <v>616.79999999999995</v>
      </c>
      <c r="AG20" s="33">
        <v>559.20000000000005</v>
      </c>
      <c r="AH20" s="33">
        <v>501.4</v>
      </c>
      <c r="AI20" s="33">
        <v>446.4</v>
      </c>
      <c r="AJ20" s="33">
        <v>395.6</v>
      </c>
      <c r="AK20" s="33">
        <v>361.1</v>
      </c>
    </row>
    <row r="21" spans="1:37" ht="14.25" x14ac:dyDescent="0.15">
      <c r="A21" s="32" t="s">
        <v>135</v>
      </c>
      <c r="B21" s="33">
        <v>3571.8</v>
      </c>
      <c r="C21" s="33">
        <v>3397.3</v>
      </c>
      <c r="D21" s="33">
        <v>3232.8</v>
      </c>
      <c r="E21" s="33">
        <v>3063.5</v>
      </c>
      <c r="F21" s="33">
        <v>2970</v>
      </c>
      <c r="G21" s="33">
        <v>2738</v>
      </c>
      <c r="H21" s="33">
        <v>2681.8</v>
      </c>
      <c r="I21" s="33">
        <v>2537.4</v>
      </c>
      <c r="J21" s="33">
        <v>2387.9</v>
      </c>
      <c r="K21" s="33">
        <v>2247.5</v>
      </c>
      <c r="L21" s="33">
        <v>2117</v>
      </c>
      <c r="M21" s="33">
        <v>1990.4</v>
      </c>
      <c r="N21" s="33">
        <v>1863.9</v>
      </c>
      <c r="O21" s="33">
        <v>1741</v>
      </c>
      <c r="P21" s="33">
        <v>1625.1</v>
      </c>
      <c r="Q21" s="33">
        <v>1492.8</v>
      </c>
      <c r="R21" s="33">
        <v>1356.4</v>
      </c>
      <c r="S21" s="33">
        <v>1245.9000000000001</v>
      </c>
      <c r="T21" s="33">
        <v>1141.9000000000001</v>
      </c>
      <c r="U21" s="33">
        <v>1005.6</v>
      </c>
      <c r="V21" s="33">
        <v>897.5</v>
      </c>
      <c r="W21" s="33">
        <v>810</v>
      </c>
      <c r="X21" s="33">
        <v>739.8</v>
      </c>
      <c r="Y21" s="33">
        <v>676</v>
      </c>
      <c r="Z21" s="33">
        <v>623</v>
      </c>
      <c r="AA21" s="33">
        <v>579.4</v>
      </c>
      <c r="AB21" s="33">
        <v>537.79999999999995</v>
      </c>
      <c r="AC21" s="33">
        <v>503.5</v>
      </c>
      <c r="AD21" s="33">
        <v>471.1</v>
      </c>
      <c r="AE21" s="33">
        <v>435.4</v>
      </c>
      <c r="AF21" s="33">
        <v>400.1</v>
      </c>
      <c r="AG21" s="33">
        <v>364.3</v>
      </c>
      <c r="AH21" s="33">
        <v>325.89999999999998</v>
      </c>
      <c r="AI21" s="33">
        <v>289.3</v>
      </c>
      <c r="AJ21" s="33">
        <v>256.3</v>
      </c>
      <c r="AK21" s="33">
        <v>237.5</v>
      </c>
    </row>
    <row r="22" spans="1:37" x14ac:dyDescent="0.15">
      <c r="A22" s="34" t="s">
        <v>136</v>
      </c>
    </row>
    <row r="25" spans="1:37" x14ac:dyDescent="0.15">
      <c r="A25" t="s">
        <v>137</v>
      </c>
      <c r="B25">
        <f>B5/C5/B11*100</f>
        <v>0.99039872642682347</v>
      </c>
      <c r="C25">
        <f t="shared" ref="C25:AJ25" si="0">C5/D5/C11*100</f>
        <v>0.99196526620227532</v>
      </c>
      <c r="D25">
        <f t="shared" si="0"/>
        <v>0.99508307071604807</v>
      </c>
      <c r="E25">
        <f t="shared" si="0"/>
        <v>1.0196807638533842</v>
      </c>
      <c r="F25">
        <f t="shared" si="0"/>
        <v>1.0444508303528202</v>
      </c>
      <c r="G25">
        <f t="shared" si="0"/>
        <v>1.005694939053587</v>
      </c>
      <c r="H25">
        <f t="shared" si="0"/>
        <v>1.0128542921853674</v>
      </c>
      <c r="I25">
        <f t="shared" si="0"/>
        <v>1.034259661495248</v>
      </c>
      <c r="J25">
        <f t="shared" si="0"/>
        <v>1.0413751373442564</v>
      </c>
      <c r="K25">
        <f t="shared" si="0"/>
        <v>1.0145421506834944</v>
      </c>
      <c r="L25">
        <f t="shared" si="0"/>
        <v>1.0011740222843837</v>
      </c>
      <c r="M25">
        <f t="shared" si="0"/>
        <v>1.0105526296758289</v>
      </c>
      <c r="N25">
        <f t="shared" si="0"/>
        <v>1.0227780396978949</v>
      </c>
      <c r="O25">
        <f t="shared" si="0"/>
        <v>1.0236359022648474</v>
      </c>
      <c r="P25">
        <f t="shared" si="0"/>
        <v>1.0797792278944733</v>
      </c>
      <c r="Q25">
        <f t="shared" si="0"/>
        <v>1.0692485304680117</v>
      </c>
      <c r="R25">
        <f t="shared" si="0"/>
        <v>0.99920498793753743</v>
      </c>
      <c r="S25">
        <f t="shared" si="0"/>
        <v>1.0782733234278843</v>
      </c>
      <c r="T25">
        <f t="shared" si="0"/>
        <v>1.0786639807691714</v>
      </c>
      <c r="U25">
        <f t="shared" si="0"/>
        <v>1.0399608336851893</v>
      </c>
      <c r="V25">
        <f t="shared" si="0"/>
        <v>1.0370985934352885</v>
      </c>
      <c r="W25">
        <f t="shared" si="0"/>
        <v>1.0702071246408575</v>
      </c>
      <c r="X25">
        <f t="shared" si="0"/>
        <v>1.0265964041873898</v>
      </c>
      <c r="Y25">
        <f t="shared" si="0"/>
        <v>1.0068268882006373</v>
      </c>
      <c r="Z25">
        <f t="shared" si="0"/>
        <v>1.022239775469034</v>
      </c>
      <c r="AA25">
        <f t="shared" si="0"/>
        <v>1.0208702849699576</v>
      </c>
      <c r="AB25">
        <f t="shared" si="0"/>
        <v>0.98814257565477648</v>
      </c>
      <c r="AC25">
        <f t="shared" si="0"/>
        <v>0.99192637943966067</v>
      </c>
      <c r="AD25">
        <f t="shared" si="0"/>
        <v>1.0164560619119642</v>
      </c>
      <c r="AE25">
        <f t="shared" si="0"/>
        <v>1.0648278815365599</v>
      </c>
      <c r="AF25">
        <f t="shared" si="0"/>
        <v>1.1366659708322588</v>
      </c>
      <c r="AG25">
        <f t="shared" si="0"/>
        <v>1.2061143035785866</v>
      </c>
      <c r="AH25">
        <f t="shared" si="0"/>
        <v>1.1521408493756407</v>
      </c>
      <c r="AI25">
        <f t="shared" si="0"/>
        <v>1.0819977851780123</v>
      </c>
      <c r="AJ25">
        <f t="shared" si="0"/>
        <v>1.066891804045017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tabSelected="1" workbookViewId="0">
      <selection activeCell="P29" sqref="P29"/>
    </sheetView>
  </sheetViews>
  <sheetFormatPr defaultRowHeight="13.5" x14ac:dyDescent="0.15"/>
  <cols>
    <col min="2" max="2" width="31.25" customWidth="1"/>
  </cols>
  <sheetData>
    <row r="1" spans="1:2" x14ac:dyDescent="0.15">
      <c r="B1" s="3" t="s">
        <v>9</v>
      </c>
    </row>
    <row r="2" spans="1:2" x14ac:dyDescent="0.15">
      <c r="A2" s="1" t="s">
        <v>8</v>
      </c>
      <c r="B2" s="2">
        <f>10^8*About!$A$30</f>
        <v>13873179.997224944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defaultRowHeight="13.5" x14ac:dyDescent="0.15"/>
  <cols>
    <col min="2" max="2" width="31.25" customWidth="1"/>
  </cols>
  <sheetData>
    <row r="1" spans="1:2" x14ac:dyDescent="0.15">
      <c r="B1" s="3" t="s">
        <v>12</v>
      </c>
    </row>
    <row r="2" spans="1:2" x14ac:dyDescent="0.15">
      <c r="A2" s="1" t="s">
        <v>8</v>
      </c>
      <c r="B2" s="5">
        <f>10^4*About!$A$30</f>
        <v>1387.3179997224943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defaultRowHeight="13.5" x14ac:dyDescent="0.15"/>
  <cols>
    <col min="2" max="2" width="31.25" customWidth="1"/>
  </cols>
  <sheetData>
    <row r="1" spans="1:2" x14ac:dyDescent="0.15">
      <c r="B1" s="3" t="s">
        <v>12</v>
      </c>
    </row>
    <row r="2" spans="1:2" x14ac:dyDescent="0.15">
      <c r="A2" s="1" t="s">
        <v>8</v>
      </c>
      <c r="B2">
        <f>1*About!A30</f>
        <v>0.13873179997224944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About</vt:lpstr>
      <vt:lpstr>Exchange Rate</vt:lpstr>
      <vt:lpstr>Worldbank Data</vt:lpstr>
      <vt:lpstr>NBS Data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Rui Wang</cp:lastModifiedBy>
  <dcterms:created xsi:type="dcterms:W3CDTF">2016-02-24T02:29:19Z</dcterms:created>
  <dcterms:modified xsi:type="dcterms:W3CDTF">2026-05-07T02:18:57Z</dcterms:modified>
</cp:coreProperties>
</file>