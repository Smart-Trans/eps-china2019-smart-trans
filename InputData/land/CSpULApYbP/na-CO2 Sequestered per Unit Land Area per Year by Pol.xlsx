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Land\CSpULApYbP\"/>
    </mc:Choice>
  </mc:AlternateContent>
  <xr:revisionPtr revIDLastSave="0" documentId="13_ncr:1_{9AC6AB99-C3D9-4ECE-A72B-B31E8B3AE152}" xr6:coauthVersionLast="47" xr6:coauthVersionMax="47" xr10:uidLastSave="{00000000-0000-0000-0000-000000000000}"/>
  <bookViews>
    <workbookView xWindow="-28920" yWindow="-120" windowWidth="29040" windowHeight="15840" activeTab="3" xr2:uid="{00000000-000D-0000-FFFF-FFFF00000000}"/>
  </bookViews>
  <sheets>
    <sheet name="About" sheetId="1" r:id="rId1"/>
    <sheet name="Calculations" sheetId="6" r:id="rId2"/>
    <sheet name="Forest" sheetId="7" r:id="rId3"/>
    <sheet name="CSpULApYbP" sheetId="3" r:id="rId4"/>
  </sheets>
  <externalReferences>
    <externalReference r:id="rId5"/>
    <externalReference r:id="rId6"/>
    <externalReference r:id="rId7"/>
  </externalReferences>
  <definedNames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3" i="3"/>
  <c r="K10" i="7"/>
  <c r="L10" i="7" s="1"/>
  <c r="E13" i="6" s="1"/>
  <c r="K9" i="7"/>
  <c r="L9" i="7" s="1"/>
  <c r="E12" i="6" s="1"/>
  <c r="K11" i="7"/>
  <c r="L11" i="7" s="1"/>
  <c r="E14" i="6" s="1"/>
  <c r="K12" i="7"/>
  <c r="L12" i="7" s="1"/>
  <c r="E15" i="6" s="1"/>
  <c r="K8" i="7"/>
  <c r="L8" i="7" s="1"/>
  <c r="E11" i="6" s="1"/>
  <c r="A3" i="6"/>
  <c r="A4" i="6" s="1"/>
  <c r="A6" i="6" s="1"/>
  <c r="B16" i="6" l="1"/>
  <c r="B17" i="6" s="1"/>
  <c r="B18" i="6" s="1"/>
  <c r="B19" i="6" s="1"/>
  <c r="B2" i="3" s="1"/>
  <c r="A26" i="6"/>
</calcChain>
</file>

<file path=xl/sharedStrings.xml><?xml version="1.0" encoding="utf-8"?>
<sst xmlns="http://schemas.openxmlformats.org/spreadsheetml/2006/main" count="117" uniqueCount="95">
  <si>
    <t>CSpULApYbP CO2 Sequestered per Unit Land Area per Year by Policy</t>
  </si>
  <si>
    <t>Sources:</t>
  </si>
  <si>
    <t>Notes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</si>
  <si>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</si>
  <si>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</si>
  <si>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</si>
  <si>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</si>
  <si>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</si>
  <si>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</si>
  <si>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g CO2 / acre / yr</t>
  </si>
  <si>
    <t>Forest Set-Asides</t>
  </si>
  <si>
    <t>Carbon to Carbon Dioxide</t>
  </si>
  <si>
    <t>Molecular weight of CO2</t>
  </si>
  <si>
    <t>Molecular weight of C</t>
  </si>
  <si>
    <t>Ratio of CO2 to C</t>
  </si>
  <si>
    <t>This variable is not used for the improved forest management policy.</t>
  </si>
  <si>
    <t>Afforestation/Reforestation.</t>
  </si>
  <si>
    <t>For the Afforestation/Reforestation policy, this variable represents the amount of</t>
  </si>
  <si>
    <t>CO2 sequestered each year by the new forest that is growing on a given acre.</t>
  </si>
  <si>
    <t>Afforestation/Reforestation</t>
  </si>
  <si>
    <t xml:space="preserve">carbon sequestration rate based on afforestation and reforestation: </t>
  </si>
  <si>
    <t>gCO2/acre/yr</t>
  </si>
  <si>
    <t>Forest carbon sequestation per acre per year</t>
  </si>
  <si>
    <t xml:space="preserve">t C/ hm2/yr </t>
  </si>
  <si>
    <t>metric ton CO2/hm2/yr</t>
  </si>
  <si>
    <t>metric ton CO2/acre/yr</t>
  </si>
  <si>
    <t xml:space="preserve"> </t>
  </si>
  <si>
    <t>Northeast (东北)</t>
  </si>
  <si>
    <t>Southwest (西南)</t>
  </si>
  <si>
    <t>carbon sequestration rate</t>
  </si>
  <si>
    <t>South (南方）</t>
  </si>
  <si>
    <t>North (北方)</t>
  </si>
  <si>
    <t>Northwest (西北)</t>
  </si>
  <si>
    <t>national average</t>
  </si>
  <si>
    <t>Hectare to acre</t>
  </si>
  <si>
    <t>hectare</t>
  </si>
  <si>
    <t>acre</t>
  </si>
  <si>
    <t>this variable contains data for Forest Set-Asides and</t>
  </si>
  <si>
    <t xml:space="preserve"> CO2 reduction potential by large-scale afforestation and its cost-benefit analysis in China</t>
  </si>
  <si>
    <t>中国大规模造林减少大气碳积累的潜力及其成本效益分析， 徐德应</t>
  </si>
  <si>
    <t>It provides carbon sequestration per hectare per year by forest set asides</t>
  </si>
  <si>
    <t>comparison of ways of carbon reduction by carbon sink</t>
  </si>
  <si>
    <t>http://www.dsjyj.com.cn/CN/abstract/abstract9121.shtml</t>
  </si>
  <si>
    <t xml:space="preserve">http://www.cqvip.com/qk/91893x/199606/2294260.html </t>
  </si>
  <si>
    <t>几种主要碳增汇减排途径的对比分析 ， 王礼茂</t>
  </si>
  <si>
    <t>"人工造林固碳率为1.4 tc/hm2/yr"</t>
  </si>
  <si>
    <t xml:space="preserve">use the average value of carbon sequestration rate of forest set-asides by regions in China.  </t>
  </si>
  <si>
    <t>Forest Set-Asides</t>
    <phoneticPr fontId="7" type="noConversion"/>
  </si>
  <si>
    <t xml:space="preserve">    2.全国总计数包括台湾省和香港、澳门特别行政区数据。</t>
    <phoneticPr fontId="13" type="noConversion"/>
  </si>
  <si>
    <t>注：1.本表为第九次全国森林资源清查 (2014-2018)资料。</t>
    <phoneticPr fontId="13" type="noConversion"/>
  </si>
  <si>
    <t xml:space="preserve"> 新  疆</t>
    <phoneticPr fontId="13" type="noConversion"/>
  </si>
  <si>
    <t xml:space="preserve"> 宁  夏</t>
    <phoneticPr fontId="13" type="noConversion"/>
  </si>
  <si>
    <t xml:space="preserve"> 青  海</t>
    <phoneticPr fontId="13" type="noConversion"/>
  </si>
  <si>
    <t xml:space="preserve"> 甘  肃</t>
    <phoneticPr fontId="13" type="noConversion"/>
  </si>
  <si>
    <t xml:space="preserve"> 陕  西</t>
    <phoneticPr fontId="13" type="noConversion"/>
  </si>
  <si>
    <t/>
  </si>
  <si>
    <t xml:space="preserve"> 西  藏</t>
    <phoneticPr fontId="13" type="noConversion"/>
  </si>
  <si>
    <t xml:space="preserve"> 云  南</t>
    <phoneticPr fontId="13" type="noConversion"/>
  </si>
  <si>
    <t xml:space="preserve"> 贵  州</t>
    <phoneticPr fontId="13" type="noConversion"/>
  </si>
  <si>
    <t xml:space="preserve"> 四  川</t>
    <phoneticPr fontId="13" type="noConversion"/>
  </si>
  <si>
    <t xml:space="preserve"> 重  庆</t>
    <phoneticPr fontId="13" type="noConversion"/>
  </si>
  <si>
    <t xml:space="preserve"> 海  南</t>
    <phoneticPr fontId="13" type="noConversion"/>
  </si>
  <si>
    <t xml:space="preserve"> 广  西</t>
    <phoneticPr fontId="13" type="noConversion"/>
  </si>
  <si>
    <t xml:space="preserve"> 广  东</t>
    <phoneticPr fontId="13" type="noConversion"/>
  </si>
  <si>
    <t xml:space="preserve"> 湖  南</t>
    <phoneticPr fontId="13" type="noConversion"/>
  </si>
  <si>
    <t xml:space="preserve"> 湖  北</t>
    <phoneticPr fontId="13" type="noConversion"/>
  </si>
  <si>
    <t xml:space="preserve"> 河  南</t>
    <phoneticPr fontId="13" type="noConversion"/>
  </si>
  <si>
    <t xml:space="preserve"> 山  东</t>
    <phoneticPr fontId="13" type="noConversion"/>
  </si>
  <si>
    <t xml:space="preserve"> 江  西</t>
    <phoneticPr fontId="13" type="noConversion"/>
  </si>
  <si>
    <t xml:space="preserve"> 福  建</t>
    <phoneticPr fontId="13" type="noConversion"/>
  </si>
  <si>
    <t xml:space="preserve"> 安  徽</t>
    <phoneticPr fontId="13" type="noConversion"/>
  </si>
  <si>
    <t xml:space="preserve"> 浙  江</t>
    <phoneticPr fontId="13" type="noConversion"/>
  </si>
  <si>
    <t xml:space="preserve"> 江  苏</t>
    <phoneticPr fontId="13" type="noConversion"/>
  </si>
  <si>
    <t xml:space="preserve"> 上  海</t>
    <phoneticPr fontId="13" type="noConversion"/>
  </si>
  <si>
    <t xml:space="preserve"> 黑龙江</t>
    <phoneticPr fontId="13" type="noConversion"/>
  </si>
  <si>
    <t xml:space="preserve"> 吉  林</t>
    <phoneticPr fontId="13" type="noConversion"/>
  </si>
  <si>
    <t xml:space="preserve"> 辽  宁</t>
    <phoneticPr fontId="13" type="noConversion"/>
  </si>
  <si>
    <t xml:space="preserve"> 内蒙古</t>
    <phoneticPr fontId="13" type="noConversion"/>
  </si>
  <si>
    <t xml:space="preserve"> 山  西</t>
    <phoneticPr fontId="13" type="noConversion"/>
  </si>
  <si>
    <t xml:space="preserve"> 河  北</t>
    <phoneticPr fontId="13" type="noConversion"/>
  </si>
  <si>
    <t xml:space="preserve"> 天  津</t>
    <phoneticPr fontId="13" type="noConversion"/>
  </si>
  <si>
    <t xml:space="preserve"> 北  京</t>
    <phoneticPr fontId="13" type="noConversion"/>
  </si>
  <si>
    <t xml:space="preserve"> 全  国</t>
    <phoneticPr fontId="13" type="noConversion"/>
  </si>
  <si>
    <t>(万立方米)</t>
    <phoneticPr fontId="13" type="noConversion"/>
  </si>
  <si>
    <t>(%)</t>
    <phoneticPr fontId="13" type="noConversion"/>
  </si>
  <si>
    <t>#人工林</t>
    <phoneticPr fontId="13" type="noConversion"/>
  </si>
  <si>
    <t>(万公顷)</t>
    <phoneticPr fontId="13" type="noConversion"/>
  </si>
  <si>
    <t>森林蓄积量</t>
    <phoneticPr fontId="13" type="noConversion"/>
  </si>
  <si>
    <t>活立木总蓄积量</t>
    <phoneticPr fontId="13" type="noConversion"/>
  </si>
  <si>
    <t>森林覆盖率</t>
    <phoneticPr fontId="13" type="noConversion"/>
  </si>
  <si>
    <t>森林面积</t>
    <phoneticPr fontId="13" type="noConversion"/>
  </si>
  <si>
    <t>林业用地面积</t>
    <phoneticPr fontId="13" type="noConversion"/>
  </si>
  <si>
    <t>地   区</t>
    <phoneticPr fontId="13" type="noConversion"/>
  </si>
  <si>
    <t>8-23  分地区森林资源情况</t>
    <phoneticPr fontId="13" type="noConversion"/>
  </si>
  <si>
    <t>share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</si>
</sst>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_ "/>
    <numFmt numFmtId="178" formatCode="0.0_ "/>
  </numFmts>
  <fonts count="19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b/>
      <sz val="9"/>
      <color theme="1"/>
      <name val="宋体"/>
      <family val="2"/>
      <scheme val="minor"/>
    </font>
    <font>
      <b/>
      <sz val="12"/>
      <color theme="4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Times New Roman"/>
      <family val="1"/>
    </font>
    <font>
      <sz val="10"/>
      <name val="Times New Roman"/>
      <family val="1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sz val="16"/>
      <name val="黑体"/>
      <family val="3"/>
      <charset val="134"/>
    </font>
    <font>
      <sz val="11"/>
      <color rgb="FFFF0000"/>
      <name val="宋体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8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</borders>
  <cellStyleXfs count="10">
    <xf numFmtId="0" fontId="0" fillId="0" borderId="0"/>
    <xf numFmtId="0" fontId="2" fillId="0" borderId="2" applyNumberFormat="0" applyFont="0" applyProtection="0">
      <alignment wrapText="1"/>
    </xf>
    <xf numFmtId="0" fontId="2" fillId="0" borderId="0" applyNumberFormat="0" applyFill="0" applyBorder="0" applyAlignment="0" applyProtection="0"/>
    <xf numFmtId="0" fontId="2" fillId="0" borderId="3" applyNumberFormat="0" applyProtection="0">
      <alignment vertical="top" wrapText="1"/>
    </xf>
    <xf numFmtId="0" fontId="3" fillId="0" borderId="1" applyNumberFormat="0" applyProtection="0">
      <alignment wrapText="1"/>
    </xf>
    <xf numFmtId="0" fontId="3" fillId="0" borderId="4" applyNumberFormat="0" applyProtection="0">
      <alignment wrapText="1"/>
    </xf>
    <xf numFmtId="0" fontId="4" fillId="0" borderId="0" applyNumberFormat="0" applyProtection="0">
      <alignment horizontal="left"/>
    </xf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4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2" fontId="0" fillId="0" borderId="0" xfId="0" applyNumberFormat="1"/>
    <xf numFmtId="0" fontId="5" fillId="0" borderId="0" xfId="7" applyFill="1"/>
    <xf numFmtId="0" fontId="0" fillId="3" borderId="0" xfId="0" applyFill="1"/>
    <xf numFmtId="0" fontId="1" fillId="3" borderId="0" xfId="0" applyFont="1" applyFill="1"/>
    <xf numFmtId="176" fontId="0" fillId="0" borderId="0" xfId="0" applyNumberFormat="1"/>
    <xf numFmtId="0" fontId="5" fillId="0" borderId="0" xfId="7" applyAlignment="1">
      <alignment horizontal="left"/>
    </xf>
    <xf numFmtId="0" fontId="6" fillId="0" borderId="0" xfId="7" applyFont="1"/>
    <xf numFmtId="0" fontId="9" fillId="4" borderId="0" xfId="9" applyFont="1" applyFill="1">
      <alignment vertical="center"/>
    </xf>
    <xf numFmtId="0" fontId="10" fillId="4" borderId="0" xfId="9" applyFont="1" applyFill="1">
      <alignment vertical="center"/>
    </xf>
    <xf numFmtId="0" fontId="11" fillId="4" borderId="0" xfId="9" applyFont="1" applyFill="1" applyAlignment="1">
      <alignment horizontal="left" vertical="center"/>
    </xf>
    <xf numFmtId="0" fontId="12" fillId="4" borderId="0" xfId="9" applyFont="1" applyFill="1" applyAlignment="1">
      <alignment horizontal="left" vertical="center"/>
    </xf>
    <xf numFmtId="0" fontId="11" fillId="4" borderId="0" xfId="9" applyFont="1" applyFill="1">
      <alignment vertical="center"/>
    </xf>
    <xf numFmtId="0" fontId="11" fillId="4" borderId="5" xfId="9" applyFont="1" applyFill="1" applyBorder="1">
      <alignment vertical="center"/>
    </xf>
    <xf numFmtId="2" fontId="14" fillId="4" borderId="6" xfId="9" applyNumberFormat="1" applyFont="1" applyFill="1" applyBorder="1" applyAlignment="1">
      <alignment horizontal="right" vertical="center"/>
    </xf>
    <xf numFmtId="2" fontId="14" fillId="4" borderId="7" xfId="9" applyNumberFormat="1" applyFont="1" applyFill="1" applyBorder="1" applyAlignment="1">
      <alignment horizontal="right" vertical="center"/>
    </xf>
    <xf numFmtId="49" fontId="11" fillId="5" borderId="8" xfId="9" applyNumberFormat="1" applyFont="1" applyFill="1" applyBorder="1" applyAlignment="1" applyProtection="1">
      <alignment horizontal="left" vertical="center"/>
      <protection locked="0"/>
    </xf>
    <xf numFmtId="2" fontId="14" fillId="4" borderId="0" xfId="9" applyNumberFormat="1" applyFont="1" applyFill="1" applyAlignment="1">
      <alignment horizontal="right" vertical="center"/>
    </xf>
    <xf numFmtId="2" fontId="14" fillId="4" borderId="9" xfId="9" applyNumberFormat="1" applyFont="1" applyFill="1" applyBorder="1" applyAlignment="1">
      <alignment horizontal="right" vertical="center"/>
    </xf>
    <xf numFmtId="49" fontId="11" fillId="5" borderId="0" xfId="9" applyNumberFormat="1" applyFont="1" applyFill="1" applyAlignment="1" applyProtection="1">
      <alignment horizontal="left" vertical="center"/>
      <protection locked="0"/>
    </xf>
    <xf numFmtId="2" fontId="15" fillId="4" borderId="0" xfId="9" applyNumberFormat="1" applyFont="1" applyFill="1" applyAlignment="1">
      <alignment horizontal="right" vertical="center"/>
    </xf>
    <xf numFmtId="2" fontId="15" fillId="4" borderId="9" xfId="9" applyNumberFormat="1" applyFont="1" applyFill="1" applyBorder="1" applyAlignment="1">
      <alignment horizontal="right" vertical="center"/>
    </xf>
    <xf numFmtId="49" fontId="16" fillId="5" borderId="0" xfId="9" applyNumberFormat="1" applyFont="1" applyFill="1" applyAlignment="1" applyProtection="1">
      <alignment horizontal="left" vertical="center"/>
      <protection locked="0"/>
    </xf>
    <xf numFmtId="0" fontId="14" fillId="4" borderId="10" xfId="9" applyFont="1" applyFill="1" applyBorder="1" applyAlignment="1">
      <alignment horizontal="right" vertical="center"/>
    </xf>
    <xf numFmtId="0" fontId="14" fillId="4" borderId="11" xfId="9" applyFont="1" applyFill="1" applyBorder="1" applyAlignment="1">
      <alignment horizontal="right" vertical="center"/>
    </xf>
    <xf numFmtId="49" fontId="11" fillId="5" borderId="10" xfId="9" applyNumberFormat="1" applyFont="1" applyFill="1" applyBorder="1" applyAlignment="1">
      <alignment horizontal="left" vertical="center"/>
    </xf>
    <xf numFmtId="0" fontId="11" fillId="6" borderId="12" xfId="9" applyFont="1" applyFill="1" applyBorder="1" applyAlignment="1">
      <alignment horizontal="center" vertical="center" wrapText="1"/>
    </xf>
    <xf numFmtId="0" fontId="11" fillId="6" borderId="13" xfId="9" applyFont="1" applyFill="1" applyBorder="1" applyAlignment="1">
      <alignment horizontal="center" vertical="center" wrapText="1"/>
    </xf>
    <xf numFmtId="0" fontId="12" fillId="6" borderId="14" xfId="9" applyFont="1" applyFill="1" applyBorder="1" applyAlignment="1">
      <alignment horizontal="center" vertical="center" wrapText="1"/>
    </xf>
    <xf numFmtId="0" fontId="11" fillId="6" borderId="15" xfId="9" applyFont="1" applyFill="1" applyBorder="1" applyAlignment="1">
      <alignment horizontal="center" vertical="center" wrapText="1"/>
    </xf>
    <xf numFmtId="0" fontId="10" fillId="4" borderId="0" xfId="9" applyFont="1" applyFill="1" applyAlignment="1">
      <alignment horizontal="right" vertical="center"/>
    </xf>
    <xf numFmtId="0" fontId="10" fillId="4" borderId="0" xfId="9" applyFont="1" applyFill="1" applyAlignment="1">
      <alignment horizontal="left" vertical="center"/>
    </xf>
    <xf numFmtId="0" fontId="17" fillId="4" borderId="0" xfId="9" applyFont="1" applyFill="1">
      <alignment vertical="center"/>
    </xf>
    <xf numFmtId="177" fontId="9" fillId="4" borderId="0" xfId="9" applyNumberFormat="1" applyFont="1" applyFill="1">
      <alignment vertical="center"/>
    </xf>
    <xf numFmtId="178" fontId="9" fillId="4" borderId="0" xfId="9" applyNumberFormat="1" applyFont="1" applyFill="1">
      <alignment vertical="center"/>
    </xf>
    <xf numFmtId="9" fontId="9" fillId="4" borderId="0" xfId="8" applyFont="1" applyFill="1">
      <alignment vertical="center"/>
    </xf>
    <xf numFmtId="0" fontId="18" fillId="0" borderId="0" xfId="0" applyFont="1"/>
    <xf numFmtId="0" fontId="17" fillId="4" borderId="0" xfId="9" applyFont="1" applyFill="1" applyAlignment="1">
      <alignment horizontal="left" vertical="center"/>
    </xf>
    <xf numFmtId="0" fontId="12" fillId="6" borderId="5" xfId="9" applyFont="1" applyFill="1" applyBorder="1" applyAlignment="1">
      <alignment horizontal="center" vertical="center" wrapText="1"/>
    </xf>
    <xf numFmtId="0" fontId="11" fillId="6" borderId="0" xfId="9" applyFont="1" applyFill="1" applyAlignment="1">
      <alignment horizontal="center" vertical="center" wrapText="1"/>
    </xf>
  </cellXfs>
  <cellStyles count="10">
    <cellStyle name="Body: normal cell" xfId="1" xr:uid="{00000000-0005-0000-0000-000000000000}"/>
    <cellStyle name="Font: Calibri, 9pt regular" xfId="2" xr:uid="{00000000-0005-0000-0000-000001000000}"/>
    <cellStyle name="Footnotes: top row" xfId="3" xr:uid="{00000000-0005-0000-0000-000002000000}"/>
    <cellStyle name="Header: bottom row" xfId="4" xr:uid="{00000000-0005-0000-0000-000003000000}"/>
    <cellStyle name="Parent row" xfId="5" xr:uid="{00000000-0005-0000-0000-000006000000}"/>
    <cellStyle name="Table title" xfId="6" xr:uid="{00000000-0005-0000-0000-000007000000}"/>
    <cellStyle name="百分比" xfId="8" builtinId="5"/>
    <cellStyle name="常规" xfId="0" builtinId="0"/>
    <cellStyle name="常规 2" xfId="9" xr:uid="{58F53248-BFB6-491F-82D3-962791000E5C}"/>
    <cellStyle name="超链接" xfId="7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ff-nonadmin\Dropbox%20(Energy%20Innovation)\EI-PlcyMdl\eps-1.2.1-WIP-B-indonesia\InputData\land\PLANAbPiaSY\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ff-nonadmin\Dropbox%20(Energy%20InNovation)\Desktop\Old%20U.S.%20land\VFC\Various%20Forestry%20Calculation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OneDrive\Land\CApULAbIFM\na-CO2%20Abated%20per%20Unit%20Land%20Area%20by%20Impr%20For%20Mgmt.csv" TargetMode="External"/><Relationship Id="rId1" Type="http://schemas.openxmlformats.org/officeDocument/2006/relationships/externalLinkPath" Target="file:///C:\Users\admin\OneDrive\Land\CApULAbIFM\na-CO2%20Abated%20per%20Unit%20Land%20Area%20by%20Impr%20For%20Mgmt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 refreshError="1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bout"/>
      <sheetName val="Calculations"/>
      <sheetName val="na-CO2 Abated per Unit Land Are"/>
    </sheetNames>
    <sheetDataSet>
      <sheetData sheetId="0">
        <row r="9">
          <cell r="J9">
            <v>250883.0340962171</v>
          </cell>
        </row>
        <row r="15">
          <cell r="J15">
            <v>81612.28743035956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cqvip.com/qk/91893x/199606/2294260.html" TargetMode="External"/><Relationship Id="rId1" Type="http://schemas.openxmlformats.org/officeDocument/2006/relationships/hyperlink" Target="http://www.dsjyj.com.cn/CN/abstract/abstract9121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opLeftCell="A7" workbookViewId="0">
      <selection activeCell="I42" sqref="I42"/>
    </sheetView>
  </sheetViews>
  <sheetFormatPr defaultColWidth="8.875" defaultRowHeight="13.5" x14ac:dyDescent="0.15"/>
  <cols>
    <col min="1" max="1" width="10.5" customWidth="1"/>
    <col min="2" max="2" width="66.625" customWidth="1"/>
  </cols>
  <sheetData>
    <row r="1" spans="1:2" x14ac:dyDescent="0.15">
      <c r="A1" s="1" t="s">
        <v>0</v>
      </c>
    </row>
    <row r="3" spans="1:2" x14ac:dyDescent="0.15">
      <c r="A3" s="1" t="s">
        <v>1</v>
      </c>
      <c r="B3" s="4" t="s">
        <v>38</v>
      </c>
    </row>
    <row r="4" spans="1:2" x14ac:dyDescent="0.15">
      <c r="A4" s="1"/>
      <c r="B4" t="s">
        <v>39</v>
      </c>
    </row>
    <row r="5" spans="1:2" x14ac:dyDescent="0.15">
      <c r="A5" s="1"/>
      <c r="B5" s="5">
        <v>1996</v>
      </c>
    </row>
    <row r="6" spans="1:2" x14ac:dyDescent="0.15">
      <c r="A6" s="1"/>
      <c r="B6" s="11" t="s">
        <v>43</v>
      </c>
    </row>
    <row r="7" spans="1:2" x14ac:dyDescent="0.15">
      <c r="A7" s="1"/>
      <c r="B7" t="s">
        <v>40</v>
      </c>
    </row>
    <row r="9" spans="1:2" x14ac:dyDescent="0.15">
      <c r="B9" s="4" t="s">
        <v>41</v>
      </c>
    </row>
    <row r="10" spans="1:2" x14ac:dyDescent="0.15">
      <c r="B10" t="s">
        <v>44</v>
      </c>
    </row>
    <row r="11" spans="1:2" x14ac:dyDescent="0.15">
      <c r="B11" s="5">
        <v>2004</v>
      </c>
    </row>
    <row r="12" spans="1:2" x14ac:dyDescent="0.15">
      <c r="B12" s="7" t="s">
        <v>42</v>
      </c>
    </row>
    <row r="13" spans="1:2" x14ac:dyDescent="0.15">
      <c r="B13" s="12" t="s">
        <v>45</v>
      </c>
    </row>
    <row r="16" spans="1:2" x14ac:dyDescent="0.15">
      <c r="B16" s="7"/>
    </row>
    <row r="19" spans="1:1" x14ac:dyDescent="0.15">
      <c r="A19" s="1" t="s">
        <v>2</v>
      </c>
    </row>
    <row r="21" spans="1:1" x14ac:dyDescent="0.15">
      <c r="A21" t="s">
        <v>15</v>
      </c>
    </row>
    <row r="23" spans="1:1" x14ac:dyDescent="0.15">
      <c r="A23" t="s">
        <v>37</v>
      </c>
    </row>
    <row r="24" spans="1:1" x14ac:dyDescent="0.15">
      <c r="A24" t="s">
        <v>16</v>
      </c>
    </row>
    <row r="26" spans="1:1" x14ac:dyDescent="0.15">
      <c r="A26" s="1" t="s">
        <v>19</v>
      </c>
    </row>
    <row r="27" spans="1:1" x14ac:dyDescent="0.15">
      <c r="A27" t="s">
        <v>17</v>
      </c>
    </row>
    <row r="28" spans="1:1" x14ac:dyDescent="0.15">
      <c r="A28" t="s">
        <v>18</v>
      </c>
    </row>
    <row r="30" spans="1:1" x14ac:dyDescent="0.15">
      <c r="A30" s="1" t="s">
        <v>10</v>
      </c>
    </row>
    <row r="31" spans="1:1" x14ac:dyDescent="0.15">
      <c r="A31" t="s">
        <v>46</v>
      </c>
    </row>
  </sheetData>
  <phoneticPr fontId="7" type="noConversion"/>
  <hyperlinks>
    <hyperlink ref="B12" r:id="rId1" xr:uid="{35C7A9F9-4CC2-8B4F-B95E-E22327A3D8ED}"/>
    <hyperlink ref="B6" r:id="rId2" xr:uid="{569100E4-B1EC-8F44-8757-D379A6AEA8C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zoomScale="101" workbookViewId="0">
      <selection activeCell="B19" sqref="B19"/>
    </sheetView>
  </sheetViews>
  <sheetFormatPr defaultColWidth="8.875" defaultRowHeight="13.5" x14ac:dyDescent="0.15"/>
  <cols>
    <col min="1" max="1" width="17.5" customWidth="1"/>
    <col min="2" max="2" width="14.375" customWidth="1"/>
  </cols>
  <sheetData>
    <row r="1" spans="1:5" ht="24" customHeight="1" x14ac:dyDescent="0.15">
      <c r="A1" s="9" t="s">
        <v>20</v>
      </c>
      <c r="B1" s="8"/>
      <c r="C1" s="8"/>
      <c r="D1" s="8"/>
      <c r="E1" s="8"/>
    </row>
    <row r="2" spans="1:5" x14ac:dyDescent="0.15">
      <c r="A2" s="6">
        <v>1.4</v>
      </c>
      <c r="B2" t="s">
        <v>23</v>
      </c>
    </row>
    <row r="3" spans="1:5" x14ac:dyDescent="0.15">
      <c r="A3" s="6">
        <f>(A2*44/12)/1.10231</f>
        <v>4.6568872035392346</v>
      </c>
      <c r="B3" t="s">
        <v>24</v>
      </c>
    </row>
    <row r="4" spans="1:5" x14ac:dyDescent="0.15">
      <c r="A4" s="6">
        <f>A3/2.47105</f>
        <v>1.8845782981077819</v>
      </c>
      <c r="B4" t="s">
        <v>25</v>
      </c>
    </row>
    <row r="5" spans="1:5" x14ac:dyDescent="0.15">
      <c r="A5" s="9" t="s">
        <v>22</v>
      </c>
      <c r="B5" s="8"/>
      <c r="C5" s="8"/>
      <c r="D5" s="8"/>
      <c r="E5" s="8"/>
    </row>
    <row r="6" spans="1:5" x14ac:dyDescent="0.15">
      <c r="A6">
        <f>A4*10^6</f>
        <v>1884578.2981077819</v>
      </c>
      <c r="B6" t="s">
        <v>21</v>
      </c>
    </row>
    <row r="7" spans="1:5" x14ac:dyDescent="0.15">
      <c r="A7" s="3"/>
    </row>
    <row r="9" spans="1:5" x14ac:dyDescent="0.15">
      <c r="A9" s="9" t="s">
        <v>47</v>
      </c>
      <c r="B9" s="8"/>
      <c r="C9" s="8"/>
      <c r="D9" s="8"/>
      <c r="E9" s="8"/>
    </row>
    <row r="10" spans="1:5" x14ac:dyDescent="0.15">
      <c r="B10" t="s">
        <v>29</v>
      </c>
      <c r="E10" t="s">
        <v>94</v>
      </c>
    </row>
    <row r="11" spans="1:5" x14ac:dyDescent="0.15">
      <c r="A11" t="s">
        <v>27</v>
      </c>
      <c r="B11">
        <v>0.31</v>
      </c>
      <c r="C11" t="s">
        <v>23</v>
      </c>
      <c r="E11">
        <f>Forest!L8</f>
        <v>0.17980917208834496</v>
      </c>
    </row>
    <row r="12" spans="1:5" x14ac:dyDescent="0.15">
      <c r="A12" t="s">
        <v>28</v>
      </c>
      <c r="B12">
        <v>0.64</v>
      </c>
      <c r="C12" t="s">
        <v>23</v>
      </c>
      <c r="E12">
        <f>Forest!L9</f>
        <v>0.38238698685829847</v>
      </c>
    </row>
    <row r="13" spans="1:5" x14ac:dyDescent="0.15">
      <c r="A13" t="s">
        <v>30</v>
      </c>
      <c r="B13">
        <v>0.62</v>
      </c>
      <c r="C13" t="s">
        <v>23</v>
      </c>
      <c r="E13">
        <f>Forest!L10</f>
        <v>0.23823759277775738</v>
      </c>
    </row>
    <row r="14" spans="1:5" x14ac:dyDescent="0.15">
      <c r="A14" t="s">
        <v>31</v>
      </c>
      <c r="B14">
        <v>0.43</v>
      </c>
      <c r="C14" t="s">
        <v>23</v>
      </c>
      <c r="E14">
        <f>Forest!L11</f>
        <v>0.10379311719603398</v>
      </c>
    </row>
    <row r="15" spans="1:5" x14ac:dyDescent="0.15">
      <c r="A15" t="s">
        <v>32</v>
      </c>
      <c r="B15">
        <v>0.43</v>
      </c>
      <c r="C15" t="s">
        <v>23</v>
      </c>
      <c r="E15">
        <f>Forest!L12</f>
        <v>6.7183869842159641E-2</v>
      </c>
    </row>
    <row r="16" spans="1:5" x14ac:dyDescent="0.15">
      <c r="A16" t="s">
        <v>33</v>
      </c>
      <c r="B16" s="41">
        <f>SUMPRODUCT(B11:B15,E11:E15)</f>
        <v>0.52169592688533073</v>
      </c>
      <c r="C16" t="s">
        <v>23</v>
      </c>
    </row>
    <row r="17" spans="1:3" x14ac:dyDescent="0.15">
      <c r="A17" t="s">
        <v>26</v>
      </c>
      <c r="B17">
        <f>(B16*44/12)/1.10231</f>
        <v>1.7353422043220266</v>
      </c>
      <c r="C17" t="s">
        <v>24</v>
      </c>
    </row>
    <row r="18" spans="1:3" x14ac:dyDescent="0.15">
      <c r="B18">
        <f>B17/2.47105</f>
        <v>0.70226915858522754</v>
      </c>
      <c r="C18" t="s">
        <v>25</v>
      </c>
    </row>
    <row r="19" spans="1:3" x14ac:dyDescent="0.15">
      <c r="B19">
        <f>B18*10^6</f>
        <v>702269.15858522756</v>
      </c>
      <c r="C19" t="s">
        <v>21</v>
      </c>
    </row>
    <row r="23" spans="1:3" x14ac:dyDescent="0.15">
      <c r="A23" s="1" t="s">
        <v>11</v>
      </c>
    </row>
    <row r="24" spans="1:3" x14ac:dyDescent="0.15">
      <c r="A24">
        <v>44</v>
      </c>
      <c r="B24" t="s">
        <v>12</v>
      </c>
    </row>
    <row r="25" spans="1:3" x14ac:dyDescent="0.15">
      <c r="A25">
        <v>12</v>
      </c>
      <c r="B25" t="s">
        <v>13</v>
      </c>
    </row>
    <row r="26" spans="1:3" x14ac:dyDescent="0.15">
      <c r="A26" s="10">
        <f>A24/A25</f>
        <v>3.6666666666666665</v>
      </c>
      <c r="B26" t="s">
        <v>14</v>
      </c>
    </row>
    <row r="28" spans="1:3" x14ac:dyDescent="0.15">
      <c r="A28" s="1" t="s">
        <v>34</v>
      </c>
    </row>
    <row r="29" spans="1:3" x14ac:dyDescent="0.15">
      <c r="A29" s="3">
        <v>1</v>
      </c>
      <c r="B29" t="s">
        <v>35</v>
      </c>
    </row>
    <row r="30" spans="1:3" x14ac:dyDescent="0.15">
      <c r="A30">
        <v>2.47105</v>
      </c>
      <c r="B30" t="s">
        <v>36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6128C-92CB-42EF-B483-12D879C6669E}">
  <dimension ref="A1:L47"/>
  <sheetViews>
    <sheetView zoomScaleNormal="100" workbookViewId="0">
      <selection activeCell="L8" sqref="L8:L12"/>
    </sheetView>
  </sheetViews>
  <sheetFormatPr defaultRowHeight="24" customHeight="1" x14ac:dyDescent="0.15"/>
  <cols>
    <col min="1" max="1" width="10.375" style="14" customWidth="1"/>
    <col min="2" max="7" width="14" style="14" customWidth="1"/>
    <col min="8" max="10" width="9" style="13"/>
    <col min="11" max="11" width="10.25" style="13" bestFit="1" customWidth="1"/>
    <col min="12" max="16384" width="9" style="13"/>
  </cols>
  <sheetData>
    <row r="1" spans="1:12" s="37" customFormat="1" ht="24" customHeight="1" x14ac:dyDescent="0.15">
      <c r="A1" s="42" t="s">
        <v>93</v>
      </c>
      <c r="B1" s="42"/>
      <c r="C1" s="42"/>
      <c r="D1" s="42"/>
      <c r="E1" s="42"/>
      <c r="F1" s="42"/>
      <c r="G1" s="42"/>
    </row>
    <row r="2" spans="1:12" ht="15" customHeight="1" thickBot="1" x14ac:dyDescent="0.2">
      <c r="A2" s="36"/>
      <c r="B2" s="15"/>
      <c r="C2" s="15"/>
      <c r="D2" s="15"/>
      <c r="E2" s="15"/>
      <c r="F2" s="15"/>
      <c r="G2" s="35"/>
    </row>
    <row r="3" spans="1:12" ht="17.25" customHeight="1" x14ac:dyDescent="0.15">
      <c r="A3" s="43" t="s">
        <v>92</v>
      </c>
      <c r="B3" s="33" t="s">
        <v>91</v>
      </c>
      <c r="C3" s="33" t="s">
        <v>90</v>
      </c>
      <c r="D3" s="34"/>
      <c r="E3" s="33" t="s">
        <v>89</v>
      </c>
      <c r="F3" s="33" t="s">
        <v>88</v>
      </c>
      <c r="G3" s="33" t="s">
        <v>87</v>
      </c>
    </row>
    <row r="4" spans="1:12" ht="17.25" customHeight="1" x14ac:dyDescent="0.15">
      <c r="A4" s="44"/>
      <c r="B4" s="31" t="s">
        <v>86</v>
      </c>
      <c r="C4" s="31" t="s">
        <v>86</v>
      </c>
      <c r="D4" s="32" t="s">
        <v>85</v>
      </c>
      <c r="E4" s="31" t="s">
        <v>84</v>
      </c>
      <c r="F4" s="31" t="s">
        <v>83</v>
      </c>
      <c r="G4" s="31" t="s">
        <v>83</v>
      </c>
    </row>
    <row r="5" spans="1:12" ht="24" customHeight="1" x14ac:dyDescent="0.15">
      <c r="A5" s="30" t="s">
        <v>55</v>
      </c>
      <c r="B5" s="29"/>
      <c r="C5" s="28"/>
      <c r="D5" s="28"/>
      <c r="E5" s="28"/>
      <c r="F5" s="28"/>
      <c r="G5" s="28"/>
    </row>
    <row r="6" spans="1:12" ht="24" customHeight="1" x14ac:dyDescent="0.15">
      <c r="A6" s="27" t="s">
        <v>82</v>
      </c>
      <c r="B6" s="26">
        <v>32591.119999999999</v>
      </c>
      <c r="C6" s="25">
        <v>22044.62</v>
      </c>
      <c r="D6" s="25">
        <v>8003.1</v>
      </c>
      <c r="E6" s="25">
        <v>22.96</v>
      </c>
      <c r="F6" s="25">
        <v>1900713.2</v>
      </c>
      <c r="G6" s="25">
        <v>1756022.99</v>
      </c>
    </row>
    <row r="7" spans="1:12" ht="24" customHeight="1" x14ac:dyDescent="0.15">
      <c r="A7" s="24" t="s">
        <v>55</v>
      </c>
      <c r="B7" s="23"/>
      <c r="C7" s="22"/>
      <c r="D7" s="22"/>
      <c r="E7" s="22"/>
      <c r="F7" s="22"/>
      <c r="G7" s="22"/>
    </row>
    <row r="8" spans="1:12" ht="24" customHeight="1" x14ac:dyDescent="0.15">
      <c r="A8" s="24" t="s">
        <v>81</v>
      </c>
      <c r="B8" s="23">
        <v>107.1</v>
      </c>
      <c r="C8" s="22">
        <v>71.819999999999993</v>
      </c>
      <c r="D8" s="22">
        <v>43.48</v>
      </c>
      <c r="E8" s="22">
        <v>43.77</v>
      </c>
      <c r="F8" s="22">
        <v>3000.81</v>
      </c>
      <c r="G8" s="22">
        <v>2437.36</v>
      </c>
      <c r="I8" t="s">
        <v>27</v>
      </c>
      <c r="K8" s="38">
        <f>G14+G15+G16</f>
        <v>315749.04000000004</v>
      </c>
      <c r="L8" s="40">
        <f>K8/G6</f>
        <v>0.17980917208834496</v>
      </c>
    </row>
    <row r="9" spans="1:12" ht="24" customHeight="1" x14ac:dyDescent="0.15">
      <c r="A9" s="24" t="s">
        <v>80</v>
      </c>
      <c r="B9" s="23">
        <v>20.39</v>
      </c>
      <c r="C9" s="22">
        <v>13.64</v>
      </c>
      <c r="D9" s="22">
        <v>12.98</v>
      </c>
      <c r="E9" s="22">
        <v>12.07</v>
      </c>
      <c r="F9" s="22">
        <v>620.55999999999995</v>
      </c>
      <c r="G9" s="22">
        <v>460.27</v>
      </c>
      <c r="I9" t="s">
        <v>28</v>
      </c>
      <c r="K9" s="38">
        <f>G33+G34+G35+G36+G37</f>
        <v>671480.34</v>
      </c>
      <c r="L9" s="40">
        <f>K9/G6</f>
        <v>0.38238698685829847</v>
      </c>
    </row>
    <row r="10" spans="1:12" ht="24" customHeight="1" x14ac:dyDescent="0.15">
      <c r="A10" s="24" t="s">
        <v>79</v>
      </c>
      <c r="B10" s="23">
        <v>775.64</v>
      </c>
      <c r="C10" s="22">
        <v>502.69</v>
      </c>
      <c r="D10" s="22">
        <v>263.54000000000002</v>
      </c>
      <c r="E10" s="22">
        <v>26.78</v>
      </c>
      <c r="F10" s="22">
        <v>15920.34</v>
      </c>
      <c r="G10" s="22">
        <v>13737.98</v>
      </c>
      <c r="I10" t="s">
        <v>30</v>
      </c>
      <c r="K10" s="38">
        <f>SUM(G18:G24)+SUM(G26:G31)</f>
        <v>418350.68999999994</v>
      </c>
      <c r="L10" s="40">
        <f>K10/G6</f>
        <v>0.23823759277775738</v>
      </c>
    </row>
    <row r="11" spans="1:12" ht="24" customHeight="1" x14ac:dyDescent="0.15">
      <c r="A11" s="24" t="s">
        <v>78</v>
      </c>
      <c r="B11" s="23">
        <v>787.25</v>
      </c>
      <c r="C11" s="22">
        <v>321.08999999999997</v>
      </c>
      <c r="D11" s="22">
        <v>167.63</v>
      </c>
      <c r="E11" s="22">
        <v>20.5</v>
      </c>
      <c r="F11" s="22">
        <v>14778.65</v>
      </c>
      <c r="G11" s="22">
        <v>12923.37</v>
      </c>
      <c r="I11" t="s">
        <v>31</v>
      </c>
      <c r="K11" s="39">
        <f>G8+G9+G10+G11+G12</f>
        <v>182263.1</v>
      </c>
      <c r="L11" s="40">
        <f>K11/G6</f>
        <v>0.10379311719603398</v>
      </c>
    </row>
    <row r="12" spans="1:12" ht="24" customHeight="1" x14ac:dyDescent="0.15">
      <c r="A12" s="24" t="s">
        <v>77</v>
      </c>
      <c r="B12" s="23">
        <v>4499.17</v>
      </c>
      <c r="C12" s="22">
        <v>2614.85</v>
      </c>
      <c r="D12" s="22">
        <v>600.01</v>
      </c>
      <c r="E12" s="22">
        <v>22.1</v>
      </c>
      <c r="F12" s="22">
        <v>166271.98000000001</v>
      </c>
      <c r="G12" s="22">
        <v>152704.12</v>
      </c>
      <c r="I12" t="s">
        <v>32</v>
      </c>
      <c r="K12" s="38">
        <f>G40+G41+G42+G43+G39</f>
        <v>117976.42</v>
      </c>
      <c r="L12" s="40">
        <f>K12/G6</f>
        <v>6.7183869842159641E-2</v>
      </c>
    </row>
    <row r="13" spans="1:12" ht="24" customHeight="1" x14ac:dyDescent="0.15">
      <c r="A13" s="24" t="s">
        <v>55</v>
      </c>
      <c r="B13" s="23"/>
      <c r="C13" s="22"/>
      <c r="D13" s="22"/>
      <c r="E13" s="22"/>
      <c r="F13" s="22"/>
      <c r="G13" s="22"/>
    </row>
    <row r="14" spans="1:12" ht="24" customHeight="1" x14ac:dyDescent="0.15">
      <c r="A14" s="24" t="s">
        <v>76</v>
      </c>
      <c r="B14" s="23">
        <v>735.92</v>
      </c>
      <c r="C14" s="22">
        <v>571.83000000000004</v>
      </c>
      <c r="D14" s="22">
        <v>315.32</v>
      </c>
      <c r="E14" s="22">
        <v>39.24</v>
      </c>
      <c r="F14" s="22">
        <v>30888.53</v>
      </c>
      <c r="G14" s="22">
        <v>29749.18</v>
      </c>
    </row>
    <row r="15" spans="1:12" ht="24" customHeight="1" x14ac:dyDescent="0.15">
      <c r="A15" s="24" t="s">
        <v>75</v>
      </c>
      <c r="B15" s="23">
        <v>904.79</v>
      </c>
      <c r="C15" s="22">
        <v>784.87</v>
      </c>
      <c r="D15" s="22">
        <v>175.94</v>
      </c>
      <c r="E15" s="22">
        <v>41.49</v>
      </c>
      <c r="F15" s="22">
        <v>105368.45</v>
      </c>
      <c r="G15" s="22">
        <v>101295.77</v>
      </c>
    </row>
    <row r="16" spans="1:12" ht="24" customHeight="1" x14ac:dyDescent="0.15">
      <c r="A16" s="24" t="s">
        <v>74</v>
      </c>
      <c r="B16" s="23">
        <v>2453.77</v>
      </c>
      <c r="C16" s="22">
        <v>1990.46</v>
      </c>
      <c r="D16" s="22">
        <v>243.26</v>
      </c>
      <c r="E16" s="22">
        <v>43.78</v>
      </c>
      <c r="F16" s="22">
        <v>199999.41</v>
      </c>
      <c r="G16" s="22">
        <v>184704.09</v>
      </c>
    </row>
    <row r="17" spans="1:7" ht="24" customHeight="1" x14ac:dyDescent="0.15">
      <c r="A17" s="24" t="s">
        <v>55</v>
      </c>
      <c r="B17" s="23"/>
      <c r="C17" s="22"/>
      <c r="D17" s="22"/>
      <c r="E17" s="22"/>
      <c r="F17" s="22"/>
      <c r="G17" s="22"/>
    </row>
    <row r="18" spans="1:7" ht="24" customHeight="1" x14ac:dyDescent="0.15">
      <c r="A18" s="24" t="s">
        <v>73</v>
      </c>
      <c r="B18" s="23">
        <v>10.19</v>
      </c>
      <c r="C18" s="22">
        <v>8.9</v>
      </c>
      <c r="D18" s="22">
        <v>8.9</v>
      </c>
      <c r="E18" s="22">
        <v>14.04</v>
      </c>
      <c r="F18" s="22">
        <v>664.32</v>
      </c>
      <c r="G18" s="22">
        <v>449.59</v>
      </c>
    </row>
    <row r="19" spans="1:7" ht="24" customHeight="1" x14ac:dyDescent="0.15">
      <c r="A19" s="24" t="s">
        <v>72</v>
      </c>
      <c r="B19" s="23">
        <v>174.98</v>
      </c>
      <c r="C19" s="22">
        <v>155.99</v>
      </c>
      <c r="D19" s="22">
        <v>150.83000000000001</v>
      </c>
      <c r="E19" s="22">
        <v>15.2</v>
      </c>
      <c r="F19" s="22">
        <v>9609.6200000000008</v>
      </c>
      <c r="G19" s="22">
        <v>7044.48</v>
      </c>
    </row>
    <row r="20" spans="1:7" ht="24" customHeight="1" x14ac:dyDescent="0.15">
      <c r="A20" s="24" t="s">
        <v>71</v>
      </c>
      <c r="B20" s="23">
        <v>659.77</v>
      </c>
      <c r="C20" s="22">
        <v>604.99</v>
      </c>
      <c r="D20" s="22">
        <v>244.65</v>
      </c>
      <c r="E20" s="22">
        <v>59.43</v>
      </c>
      <c r="F20" s="22">
        <v>31384.86</v>
      </c>
      <c r="G20" s="22">
        <v>28114.67</v>
      </c>
    </row>
    <row r="21" spans="1:7" ht="24" customHeight="1" x14ac:dyDescent="0.15">
      <c r="A21" s="24" t="s">
        <v>70</v>
      </c>
      <c r="B21" s="23">
        <v>449.33</v>
      </c>
      <c r="C21" s="22">
        <v>395.85</v>
      </c>
      <c r="D21" s="22">
        <v>232.91</v>
      </c>
      <c r="E21" s="22">
        <v>28.65</v>
      </c>
      <c r="F21" s="22">
        <v>26145.1</v>
      </c>
      <c r="G21" s="22">
        <v>22186.55</v>
      </c>
    </row>
    <row r="22" spans="1:7" ht="24" customHeight="1" x14ac:dyDescent="0.15">
      <c r="A22" s="24" t="s">
        <v>69</v>
      </c>
      <c r="B22" s="23">
        <v>924.4</v>
      </c>
      <c r="C22" s="22">
        <v>811.58</v>
      </c>
      <c r="D22" s="22">
        <v>385.59</v>
      </c>
      <c r="E22" s="22">
        <v>66.8</v>
      </c>
      <c r="F22" s="22">
        <v>79711.289999999994</v>
      </c>
      <c r="G22" s="22">
        <v>72937.63</v>
      </c>
    </row>
    <row r="23" spans="1:7" ht="24" customHeight="1" x14ac:dyDescent="0.15">
      <c r="A23" s="24" t="s">
        <v>68</v>
      </c>
      <c r="B23" s="23">
        <v>1079.9000000000001</v>
      </c>
      <c r="C23" s="22">
        <v>1021.02</v>
      </c>
      <c r="D23" s="22">
        <v>368.7</v>
      </c>
      <c r="E23" s="22">
        <v>61.16</v>
      </c>
      <c r="F23" s="22">
        <v>57564.29</v>
      </c>
      <c r="G23" s="22">
        <v>50665.83</v>
      </c>
    </row>
    <row r="24" spans="1:7" ht="24" customHeight="1" x14ac:dyDescent="0.15">
      <c r="A24" s="24" t="s">
        <v>67</v>
      </c>
      <c r="B24" s="23">
        <v>349.34</v>
      </c>
      <c r="C24" s="22">
        <v>266.51</v>
      </c>
      <c r="D24" s="22">
        <v>256.11</v>
      </c>
      <c r="E24" s="22">
        <v>17.510000000000002</v>
      </c>
      <c r="F24" s="22">
        <v>13040.49</v>
      </c>
      <c r="G24" s="22">
        <v>9161.49</v>
      </c>
    </row>
    <row r="25" spans="1:7" ht="24" customHeight="1" x14ac:dyDescent="0.15">
      <c r="A25" s="24" t="s">
        <v>55</v>
      </c>
      <c r="B25" s="23"/>
      <c r="C25" s="22"/>
      <c r="D25" s="22"/>
      <c r="E25" s="22"/>
      <c r="F25" s="22"/>
      <c r="G25" s="22"/>
    </row>
    <row r="26" spans="1:7" ht="24" customHeight="1" x14ac:dyDescent="0.15">
      <c r="A26" s="24" t="s">
        <v>66</v>
      </c>
      <c r="B26" s="23">
        <v>520.74</v>
      </c>
      <c r="C26" s="22">
        <v>403.18</v>
      </c>
      <c r="D26" s="22">
        <v>245.78</v>
      </c>
      <c r="E26" s="22">
        <v>24.14</v>
      </c>
      <c r="F26" s="22">
        <v>26564.48</v>
      </c>
      <c r="G26" s="22">
        <v>20719.12</v>
      </c>
    </row>
    <row r="27" spans="1:7" ht="24" customHeight="1" x14ac:dyDescent="0.15">
      <c r="A27" s="24" t="s">
        <v>65</v>
      </c>
      <c r="B27" s="23">
        <v>876.09</v>
      </c>
      <c r="C27" s="22">
        <v>736.27</v>
      </c>
      <c r="D27" s="22">
        <v>197.42</v>
      </c>
      <c r="E27" s="22">
        <v>39.61</v>
      </c>
      <c r="F27" s="22">
        <v>39579.82</v>
      </c>
      <c r="G27" s="22">
        <v>36507.910000000003</v>
      </c>
    </row>
    <row r="28" spans="1:7" ht="24" customHeight="1" x14ac:dyDescent="0.15">
      <c r="A28" s="24" t="s">
        <v>64</v>
      </c>
      <c r="B28" s="23">
        <v>1257.5899999999999</v>
      </c>
      <c r="C28" s="22">
        <v>1052.58</v>
      </c>
      <c r="D28" s="22">
        <v>501.51</v>
      </c>
      <c r="E28" s="22">
        <v>49.69</v>
      </c>
      <c r="F28" s="22">
        <v>46141.03</v>
      </c>
      <c r="G28" s="22">
        <v>40715.730000000003</v>
      </c>
    </row>
    <row r="29" spans="1:7" ht="24" customHeight="1" x14ac:dyDescent="0.15">
      <c r="A29" s="24" t="s">
        <v>63</v>
      </c>
      <c r="B29" s="23">
        <v>1080.29</v>
      </c>
      <c r="C29" s="22">
        <v>945.98</v>
      </c>
      <c r="D29" s="22">
        <v>615.51</v>
      </c>
      <c r="E29" s="22">
        <v>53.52</v>
      </c>
      <c r="F29" s="22">
        <v>50063.49</v>
      </c>
      <c r="G29" s="22">
        <v>46755.09</v>
      </c>
    </row>
    <row r="30" spans="1:7" ht="24" customHeight="1" x14ac:dyDescent="0.15">
      <c r="A30" s="24" t="s">
        <v>62</v>
      </c>
      <c r="B30" s="23">
        <v>1629.5</v>
      </c>
      <c r="C30" s="22">
        <v>1429.65</v>
      </c>
      <c r="D30" s="22">
        <v>733.53</v>
      </c>
      <c r="E30" s="22">
        <v>60.17</v>
      </c>
      <c r="F30" s="22">
        <v>74433.240000000005</v>
      </c>
      <c r="G30" s="22">
        <v>67752.45</v>
      </c>
    </row>
    <row r="31" spans="1:7" ht="24" customHeight="1" x14ac:dyDescent="0.15">
      <c r="A31" s="24" t="s">
        <v>61</v>
      </c>
      <c r="B31" s="23">
        <v>217.5</v>
      </c>
      <c r="C31" s="22">
        <v>194.49</v>
      </c>
      <c r="D31" s="22">
        <v>140.4</v>
      </c>
      <c r="E31" s="22">
        <v>57.36</v>
      </c>
      <c r="F31" s="22">
        <v>16347.14</v>
      </c>
      <c r="G31" s="22">
        <v>15340.15</v>
      </c>
    </row>
    <row r="32" spans="1:7" ht="24" customHeight="1" x14ac:dyDescent="0.15">
      <c r="A32" s="24" t="s">
        <v>55</v>
      </c>
      <c r="B32" s="23"/>
      <c r="C32" s="22"/>
      <c r="D32" s="22"/>
      <c r="E32" s="22"/>
      <c r="F32" s="22"/>
      <c r="G32" s="22"/>
    </row>
    <row r="33" spans="1:7" ht="24" customHeight="1" x14ac:dyDescent="0.15">
      <c r="A33" s="24" t="s">
        <v>60</v>
      </c>
      <c r="B33" s="23">
        <v>421.71</v>
      </c>
      <c r="C33" s="22">
        <v>354.97</v>
      </c>
      <c r="D33" s="22">
        <v>95.93</v>
      </c>
      <c r="E33" s="22">
        <v>43.11</v>
      </c>
      <c r="F33" s="22">
        <v>24412.17</v>
      </c>
      <c r="G33" s="22">
        <v>20678.18</v>
      </c>
    </row>
    <row r="34" spans="1:7" ht="24" customHeight="1" x14ac:dyDescent="0.15">
      <c r="A34" s="24" t="s">
        <v>59</v>
      </c>
      <c r="B34" s="23">
        <v>2454.52</v>
      </c>
      <c r="C34" s="22">
        <v>1839.77</v>
      </c>
      <c r="D34" s="22">
        <v>502.22</v>
      </c>
      <c r="E34" s="22">
        <v>38.03</v>
      </c>
      <c r="F34" s="22">
        <v>197201.77</v>
      </c>
      <c r="G34" s="22">
        <v>186099</v>
      </c>
    </row>
    <row r="35" spans="1:7" ht="24" customHeight="1" x14ac:dyDescent="0.15">
      <c r="A35" s="24" t="s">
        <v>58</v>
      </c>
      <c r="B35" s="23">
        <v>927.96</v>
      </c>
      <c r="C35" s="22">
        <v>771.03</v>
      </c>
      <c r="D35" s="22">
        <v>315.45</v>
      </c>
      <c r="E35" s="22">
        <v>43.77</v>
      </c>
      <c r="F35" s="22">
        <v>44464.57</v>
      </c>
      <c r="G35" s="22">
        <v>39182.9</v>
      </c>
    </row>
    <row r="36" spans="1:7" ht="24" customHeight="1" x14ac:dyDescent="0.15">
      <c r="A36" s="24" t="s">
        <v>57</v>
      </c>
      <c r="B36" s="23">
        <v>2599.44</v>
      </c>
      <c r="C36" s="22">
        <v>2106.16</v>
      </c>
      <c r="D36" s="22">
        <v>507.68</v>
      </c>
      <c r="E36" s="22">
        <v>55.04</v>
      </c>
      <c r="F36" s="22">
        <v>213244.99</v>
      </c>
      <c r="G36" s="22">
        <v>197265.84</v>
      </c>
    </row>
    <row r="37" spans="1:7" ht="24" customHeight="1" x14ac:dyDescent="0.15">
      <c r="A37" s="24" t="s">
        <v>56</v>
      </c>
      <c r="B37" s="23">
        <v>1798.19</v>
      </c>
      <c r="C37" s="22">
        <v>1490.99</v>
      </c>
      <c r="D37" s="22">
        <v>7.84</v>
      </c>
      <c r="E37" s="22">
        <v>12.14</v>
      </c>
      <c r="F37" s="22">
        <v>230519.15</v>
      </c>
      <c r="G37" s="22">
        <v>228254.42</v>
      </c>
    </row>
    <row r="38" spans="1:7" ht="24" customHeight="1" x14ac:dyDescent="0.15">
      <c r="A38" s="24" t="s">
        <v>55</v>
      </c>
      <c r="B38" s="23"/>
      <c r="C38" s="22"/>
      <c r="D38" s="22"/>
      <c r="E38" s="22"/>
      <c r="F38" s="22"/>
      <c r="G38" s="22"/>
    </row>
    <row r="39" spans="1:7" ht="24" customHeight="1" x14ac:dyDescent="0.15">
      <c r="A39" s="24" t="s">
        <v>54</v>
      </c>
      <c r="B39" s="23">
        <v>1236.79</v>
      </c>
      <c r="C39" s="22">
        <v>886.84</v>
      </c>
      <c r="D39" s="22">
        <v>310.52999999999997</v>
      </c>
      <c r="E39" s="22">
        <v>43.06</v>
      </c>
      <c r="F39" s="22">
        <v>51023.42</v>
      </c>
      <c r="G39" s="22">
        <v>47866.7</v>
      </c>
    </row>
    <row r="40" spans="1:7" ht="24" customHeight="1" x14ac:dyDescent="0.15">
      <c r="A40" s="24" t="s">
        <v>53</v>
      </c>
      <c r="B40" s="23">
        <v>1046.3499999999999</v>
      </c>
      <c r="C40" s="22">
        <v>509.73</v>
      </c>
      <c r="D40" s="22">
        <v>126.56</v>
      </c>
      <c r="E40" s="22">
        <v>11.33</v>
      </c>
      <c r="F40" s="22">
        <v>28386.880000000001</v>
      </c>
      <c r="G40" s="22">
        <v>25188.89</v>
      </c>
    </row>
    <row r="41" spans="1:7" ht="24" customHeight="1" x14ac:dyDescent="0.15">
      <c r="A41" s="24" t="s">
        <v>52</v>
      </c>
      <c r="B41" s="23">
        <v>819.16</v>
      </c>
      <c r="C41" s="22">
        <v>419.75</v>
      </c>
      <c r="D41" s="22">
        <v>19.100000000000001</v>
      </c>
      <c r="E41" s="22">
        <v>5.82</v>
      </c>
      <c r="F41" s="22">
        <v>5556.86</v>
      </c>
      <c r="G41" s="22">
        <v>4864.1499999999996</v>
      </c>
    </row>
    <row r="42" spans="1:7" ht="24" customHeight="1" x14ac:dyDescent="0.15">
      <c r="A42" s="24" t="s">
        <v>51</v>
      </c>
      <c r="B42" s="23">
        <v>179.52</v>
      </c>
      <c r="C42" s="22">
        <v>65.599999999999994</v>
      </c>
      <c r="D42" s="22">
        <v>43.55</v>
      </c>
      <c r="E42" s="22">
        <v>12.63</v>
      </c>
      <c r="F42" s="22">
        <v>1111.1400000000001</v>
      </c>
      <c r="G42" s="22">
        <v>835.18</v>
      </c>
    </row>
    <row r="43" spans="1:7" ht="24" customHeight="1" x14ac:dyDescent="0.15">
      <c r="A43" s="24" t="s">
        <v>50</v>
      </c>
      <c r="B43" s="23">
        <v>1371.26</v>
      </c>
      <c r="C43" s="22">
        <v>802.23</v>
      </c>
      <c r="D43" s="22">
        <v>121.42</v>
      </c>
      <c r="E43" s="22">
        <v>4.87</v>
      </c>
      <c r="F43" s="22">
        <v>46490.95</v>
      </c>
      <c r="G43" s="22">
        <v>39221.5</v>
      </c>
    </row>
    <row r="44" spans="1:7" ht="24" customHeight="1" thickBot="1" x14ac:dyDescent="0.2">
      <c r="A44" s="21"/>
      <c r="B44" s="20"/>
      <c r="C44" s="19"/>
      <c r="D44" s="19"/>
      <c r="E44" s="19"/>
      <c r="F44" s="19"/>
      <c r="G44" s="19"/>
    </row>
    <row r="45" spans="1:7" ht="24" customHeight="1" x14ac:dyDescent="0.15">
      <c r="A45" s="15"/>
      <c r="B45" s="18"/>
      <c r="C45" s="18"/>
      <c r="D45" s="18"/>
      <c r="E45" s="18"/>
      <c r="F45" s="18"/>
      <c r="G45" s="18"/>
    </row>
    <row r="46" spans="1:7" ht="24" customHeight="1" x14ac:dyDescent="0.15">
      <c r="A46" s="16" t="s">
        <v>49</v>
      </c>
      <c r="B46" s="17"/>
      <c r="C46" s="17"/>
      <c r="D46" s="17"/>
      <c r="E46" s="17"/>
      <c r="F46" s="17"/>
      <c r="G46" s="17"/>
    </row>
    <row r="47" spans="1:7" ht="24" customHeight="1" x14ac:dyDescent="0.15">
      <c r="A47" s="16" t="s">
        <v>48</v>
      </c>
      <c r="B47" s="15"/>
      <c r="C47" s="15"/>
      <c r="D47" s="15"/>
      <c r="E47" s="15"/>
      <c r="F47" s="15"/>
      <c r="G47" s="15"/>
    </row>
  </sheetData>
  <mergeCells count="2">
    <mergeCell ref="A1:G1"/>
    <mergeCell ref="A3:A4"/>
  </mergeCells>
  <phoneticPr fontId="7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8" sqref="B8"/>
    </sheetView>
  </sheetViews>
  <sheetFormatPr defaultColWidth="8.875" defaultRowHeight="13.5" x14ac:dyDescent="0.15"/>
  <cols>
    <col min="1" max="1" width="29.375" customWidth="1"/>
    <col min="2" max="2" width="17.5" customWidth="1"/>
  </cols>
  <sheetData>
    <row r="1" spans="1:36" x14ac:dyDescent="0.15">
      <c r="B1" s="2" t="s">
        <v>9</v>
      </c>
      <c r="D1" s="2"/>
      <c r="F1" s="2"/>
      <c r="H1" s="2"/>
      <c r="J1" s="2"/>
      <c r="L1" s="2"/>
      <c r="N1" s="2"/>
      <c r="P1" s="2"/>
      <c r="R1" s="2"/>
      <c r="T1" s="2"/>
      <c r="V1" s="2"/>
      <c r="X1" s="2"/>
      <c r="Z1" s="2"/>
      <c r="AB1" s="2"/>
      <c r="AD1" s="2"/>
      <c r="AF1" s="2"/>
      <c r="AH1" s="2"/>
      <c r="AJ1" s="2"/>
    </row>
    <row r="2" spans="1:36" x14ac:dyDescent="0.15">
      <c r="A2" t="s">
        <v>3</v>
      </c>
      <c r="B2" s="3">
        <f>Calculations!B19</f>
        <v>702269.15858522756</v>
      </c>
    </row>
    <row r="3" spans="1:36" x14ac:dyDescent="0.15">
      <c r="A3" t="s">
        <v>4</v>
      </c>
      <c r="B3" s="3">
        <f>[3]Sheet1!$J$15</f>
        <v>81612.28743035956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x14ac:dyDescent="0.15">
      <c r="A4" t="s">
        <v>5</v>
      </c>
      <c r="B4">
        <v>0</v>
      </c>
    </row>
    <row r="5" spans="1:36" x14ac:dyDescent="0.15">
      <c r="A5" t="s">
        <v>6</v>
      </c>
      <c r="B5" s="3">
        <v>5617478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15">
      <c r="A6" t="s">
        <v>7</v>
      </c>
      <c r="B6" s="3">
        <v>4936277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15">
      <c r="A7" t="s">
        <v>8</v>
      </c>
      <c r="B7" s="3">
        <f>[3]Sheet1!$J$9</f>
        <v>250883.0340962171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BD1DE36A36CC7845A4126EF01914151E" ma:contentTypeVersion="14" ma:contentTypeDescription="新建文档。" ma:contentTypeScope="" ma:versionID="310835f059701aa681930bc3a1715053">
  <xsd:schema xmlns:xsd="http://www.w3.org/2001/XMLSchema" xmlns:xs="http://www.w3.org/2001/XMLSchema" xmlns:p="http://schemas.microsoft.com/office/2006/metadata/properties" xmlns:ns1="http://schemas.microsoft.com/sharepoint/v3" xmlns:ns2="2e2398b5-f60e-4ca0-a4ba-6048b5e4e90c" xmlns:ns3="a06c533b-533a-4f75-b7db-110f073002e4" targetNamespace="http://schemas.microsoft.com/office/2006/metadata/properties" ma:root="true" ma:fieldsID="7ba933288dd05553e9ce0f804d4dc608" ns1:_="" ns2:_="" ns3:_="">
    <xsd:import namespace="http://schemas.microsoft.com/sharepoint/v3"/>
    <xsd:import namespace="2e2398b5-f60e-4ca0-a4ba-6048b5e4e90c"/>
    <xsd:import namespace="a06c533b-533a-4f75-b7db-110f073002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统一合规性策略属性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统一合规性策略 UI 操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398b5-f60e-4ca0-a4ba-6048b5e4e9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6c533b-533a-4f75-b7db-110f073002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享对象: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享对象详细信息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87E70D-36D4-4813-B132-0547119682E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B4A54D4F-A403-4885-89C5-492780163B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e2398b5-f60e-4ca0-a4ba-6048b5e4e90c"/>
    <ds:schemaRef ds:uri="a06c533b-533a-4f75-b7db-110f073002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DDB5C7-ECC4-4C51-99FE-CBD4F31EF8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About</vt:lpstr>
      <vt:lpstr>Calculations</vt:lpstr>
      <vt:lpstr>Forest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Rui Wang</cp:lastModifiedBy>
  <dcterms:created xsi:type="dcterms:W3CDTF">2017-01-27T07:38:37Z</dcterms:created>
  <dcterms:modified xsi:type="dcterms:W3CDTF">2026-05-08T07:13:55Z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0x010100BD1DE36A36CC7845A4126EF01914151E</vt:lpwstr>
  </property>
</Properties>
</file>