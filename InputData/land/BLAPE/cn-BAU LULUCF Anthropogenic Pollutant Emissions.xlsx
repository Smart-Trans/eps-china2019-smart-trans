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ming\EPS\Github Push\China\eps-china2019-smart-trans\InputData\land\BLAPE\"/>
    </mc:Choice>
  </mc:AlternateContent>
  <xr:revisionPtr revIDLastSave="0" documentId="13_ncr:1_{AAFD256B-05E4-4F93-B78C-664F6E23D491}" xr6:coauthVersionLast="47" xr6:coauthVersionMax="47" xr10:uidLastSave="{00000000-0000-0000-0000-000000000000}"/>
  <bookViews>
    <workbookView xWindow="-120" yWindow="-120" windowWidth="29040" windowHeight="15840" tabRatio="833" firstSheet="3" activeTab="10" xr2:uid="{00000000-000D-0000-FFFF-FFFF00000000}"/>
  </bookViews>
  <sheets>
    <sheet name="About" sheetId="4" r:id="rId1"/>
    <sheet name="2014 National LULUCF Inventory" sheetId="5" r:id="rId2"/>
    <sheet name="2009-2016 National Land Use" sheetId="1" r:id="rId3"/>
    <sheet name="2019 Land Use and Emission" sheetId="6" r:id="rId4"/>
    <sheet name="温室气体排放清单" sheetId="11" r:id="rId5"/>
    <sheet name="2019 Forestry Stock" sheetId="10" r:id="rId6"/>
    <sheet name="2021 Forestry Product" sheetId="8" r:id="rId7"/>
    <sheet name="2019 Regional CO2 LAPE" sheetId="7" r:id="rId8"/>
    <sheet name="data from RPEPUACE" sheetId="2" r:id="rId9"/>
    <sheet name="Policy Action" sheetId="12" r:id="rId10"/>
    <sheet name="BLAPE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B11" i="3"/>
  <c r="C18" i="12"/>
  <c r="C2" i="3" s="1"/>
  <c r="B2" i="3"/>
  <c r="C27" i="12"/>
  <c r="B27" i="12"/>
  <c r="B18" i="12"/>
  <c r="O28" i="5"/>
  <c r="M28" i="5"/>
  <c r="Q28" i="5"/>
  <c r="L5" i="10"/>
  <c r="J11" i="7"/>
  <c r="J12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" i="7"/>
  <c r="C4" i="7"/>
  <c r="J4" i="7" s="1"/>
  <c r="C5" i="7"/>
  <c r="J5" i="7" s="1"/>
  <c r="C6" i="7"/>
  <c r="J6" i="7" s="1"/>
  <c r="C7" i="7"/>
  <c r="J7" i="7" s="1"/>
  <c r="C8" i="7"/>
  <c r="J8" i="7" s="1"/>
  <c r="C9" i="7"/>
  <c r="J9" i="7" s="1"/>
  <c r="C10" i="7"/>
  <c r="J10" i="7" s="1"/>
  <c r="C11" i="7"/>
  <c r="C12" i="7"/>
  <c r="C13" i="7"/>
  <c r="J13" i="7" s="1"/>
  <c r="C14" i="7"/>
  <c r="J14" i="7" s="1"/>
  <c r="C15" i="7"/>
  <c r="J15" i="7" s="1"/>
  <c r="C16" i="7"/>
  <c r="J16" i="7" s="1"/>
  <c r="C17" i="7"/>
  <c r="J17" i="7" s="1"/>
  <c r="C18" i="7"/>
  <c r="J18" i="7" s="1"/>
  <c r="C19" i="7"/>
  <c r="J19" i="7" s="1"/>
  <c r="C20" i="7"/>
  <c r="J20" i="7" s="1"/>
  <c r="C21" i="7"/>
  <c r="J21" i="7" s="1"/>
  <c r="C22" i="7"/>
  <c r="J22" i="7" s="1"/>
  <c r="C23" i="7"/>
  <c r="J23" i="7" s="1"/>
  <c r="C24" i="7"/>
  <c r="J24" i="7" s="1"/>
  <c r="C25" i="7"/>
  <c r="J25" i="7" s="1"/>
  <c r="C26" i="7"/>
  <c r="J26" i="7" s="1"/>
  <c r="C27" i="7"/>
  <c r="J27" i="7" s="1"/>
  <c r="C28" i="7"/>
  <c r="J28" i="7" s="1"/>
  <c r="C29" i="7"/>
  <c r="J29" i="7" s="1"/>
  <c r="C30" i="7"/>
  <c r="J30" i="7" s="1"/>
  <c r="C31" i="7"/>
  <c r="J31" i="7" s="1"/>
  <c r="C32" i="7"/>
  <c r="J32" i="7" s="1"/>
  <c r="C33" i="7"/>
  <c r="J33" i="7" s="1"/>
  <c r="C34" i="7"/>
  <c r="J34" i="7" s="1"/>
  <c r="C3" i="7"/>
  <c r="J3" i="7" s="1"/>
  <c r="D4" i="7"/>
  <c r="E4" i="7"/>
  <c r="F4" i="7"/>
  <c r="G4" i="7"/>
  <c r="H4" i="7"/>
  <c r="D5" i="7"/>
  <c r="E5" i="7"/>
  <c r="F5" i="7"/>
  <c r="G5" i="7"/>
  <c r="H5" i="7"/>
  <c r="D6" i="7"/>
  <c r="E6" i="7"/>
  <c r="F6" i="7"/>
  <c r="G6" i="7"/>
  <c r="H6" i="7"/>
  <c r="D7" i="7"/>
  <c r="E7" i="7"/>
  <c r="F7" i="7"/>
  <c r="G7" i="7"/>
  <c r="H7" i="7"/>
  <c r="D8" i="7"/>
  <c r="E8" i="7"/>
  <c r="F8" i="7"/>
  <c r="G8" i="7"/>
  <c r="H8" i="7"/>
  <c r="D9" i="7"/>
  <c r="E9" i="7"/>
  <c r="F9" i="7"/>
  <c r="G9" i="7"/>
  <c r="H9" i="7"/>
  <c r="D10" i="7"/>
  <c r="E10" i="7"/>
  <c r="F10" i="7"/>
  <c r="G10" i="7"/>
  <c r="H10" i="7"/>
  <c r="D11" i="7"/>
  <c r="E11" i="7"/>
  <c r="F11" i="7"/>
  <c r="G11" i="7"/>
  <c r="H11" i="7"/>
  <c r="D12" i="7"/>
  <c r="E12" i="7"/>
  <c r="F12" i="7"/>
  <c r="G12" i="7"/>
  <c r="H12" i="7"/>
  <c r="D13" i="7"/>
  <c r="E13" i="7"/>
  <c r="F13" i="7"/>
  <c r="G13" i="7"/>
  <c r="H13" i="7"/>
  <c r="D14" i="7"/>
  <c r="E14" i="7"/>
  <c r="F14" i="7"/>
  <c r="G14" i="7"/>
  <c r="H14" i="7"/>
  <c r="D15" i="7"/>
  <c r="E15" i="7"/>
  <c r="F15" i="7"/>
  <c r="G15" i="7"/>
  <c r="H15" i="7"/>
  <c r="D16" i="7"/>
  <c r="E16" i="7"/>
  <c r="F16" i="7"/>
  <c r="G16" i="7"/>
  <c r="H16" i="7"/>
  <c r="D17" i="7"/>
  <c r="E17" i="7"/>
  <c r="F17" i="7"/>
  <c r="G17" i="7"/>
  <c r="H17" i="7"/>
  <c r="D18" i="7"/>
  <c r="E18" i="7"/>
  <c r="F18" i="7"/>
  <c r="G18" i="7"/>
  <c r="H18" i="7"/>
  <c r="D19" i="7"/>
  <c r="E19" i="7"/>
  <c r="F19" i="7"/>
  <c r="G19" i="7"/>
  <c r="H19" i="7"/>
  <c r="D20" i="7"/>
  <c r="E20" i="7"/>
  <c r="F20" i="7"/>
  <c r="G20" i="7"/>
  <c r="H20" i="7"/>
  <c r="D21" i="7"/>
  <c r="E21" i="7"/>
  <c r="F21" i="7"/>
  <c r="G21" i="7"/>
  <c r="H21" i="7"/>
  <c r="D22" i="7"/>
  <c r="E22" i="7"/>
  <c r="F22" i="7"/>
  <c r="G22" i="7"/>
  <c r="H22" i="7"/>
  <c r="D23" i="7"/>
  <c r="E23" i="7"/>
  <c r="F23" i="7"/>
  <c r="G23" i="7"/>
  <c r="H23" i="7"/>
  <c r="D24" i="7"/>
  <c r="E24" i="7"/>
  <c r="F24" i="7"/>
  <c r="G24" i="7"/>
  <c r="H24" i="7"/>
  <c r="D25" i="7"/>
  <c r="E25" i="7"/>
  <c r="F25" i="7"/>
  <c r="G25" i="7"/>
  <c r="H25" i="7"/>
  <c r="D26" i="7"/>
  <c r="E26" i="7"/>
  <c r="F26" i="7"/>
  <c r="G26" i="7"/>
  <c r="H26" i="7"/>
  <c r="D27" i="7"/>
  <c r="E27" i="7"/>
  <c r="F27" i="7"/>
  <c r="G27" i="7"/>
  <c r="H27" i="7"/>
  <c r="D28" i="7"/>
  <c r="E28" i="7"/>
  <c r="F28" i="7"/>
  <c r="G28" i="7"/>
  <c r="H28" i="7"/>
  <c r="D29" i="7"/>
  <c r="E29" i="7"/>
  <c r="F29" i="7"/>
  <c r="G29" i="7"/>
  <c r="H29" i="7"/>
  <c r="D30" i="7"/>
  <c r="E30" i="7"/>
  <c r="F30" i="7"/>
  <c r="G30" i="7"/>
  <c r="H30" i="7"/>
  <c r="D31" i="7"/>
  <c r="E31" i="7"/>
  <c r="F31" i="7"/>
  <c r="G31" i="7"/>
  <c r="H31" i="7"/>
  <c r="D32" i="7"/>
  <c r="E32" i="7"/>
  <c r="F32" i="7"/>
  <c r="G32" i="7"/>
  <c r="H32" i="7"/>
  <c r="D33" i="7"/>
  <c r="E33" i="7"/>
  <c r="F33" i="7"/>
  <c r="G33" i="7"/>
  <c r="H33" i="7"/>
  <c r="D34" i="7"/>
  <c r="E34" i="7"/>
  <c r="F34" i="7"/>
  <c r="G34" i="7"/>
  <c r="H34" i="7"/>
  <c r="H3" i="7"/>
  <c r="G3" i="7"/>
  <c r="F3" i="7"/>
  <c r="E3" i="7"/>
  <c r="D3" i="7"/>
  <c r="P34" i="5"/>
  <c r="Q34" i="5" s="1"/>
  <c r="R5" i="8" s="1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6" i="6"/>
  <c r="N33" i="5"/>
  <c r="Q33" i="5" s="1"/>
  <c r="Q30" i="5"/>
  <c r="Q31" i="5"/>
  <c r="Q32" i="5"/>
  <c r="Q29" i="5"/>
  <c r="N32" i="5"/>
  <c r="N31" i="5"/>
  <c r="N30" i="5"/>
  <c r="N29" i="5"/>
  <c r="M29" i="5"/>
  <c r="M30" i="5"/>
  <c r="M31" i="5"/>
  <c r="M32" i="5"/>
  <c r="M33" i="5"/>
  <c r="M34" i="5"/>
  <c r="M27" i="5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C6" i="5"/>
  <c r="C3" i="5"/>
  <c r="K27" i="1"/>
  <c r="I27" i="1"/>
  <c r="F27" i="1"/>
  <c r="E27" i="1"/>
  <c r="D27" i="1"/>
  <c r="C27" i="1"/>
  <c r="L26" i="1"/>
  <c r="K26" i="1"/>
  <c r="I26" i="1"/>
  <c r="F26" i="1"/>
  <c r="E26" i="1"/>
  <c r="D26" i="1"/>
  <c r="C26" i="1"/>
  <c r="K25" i="1"/>
  <c r="I25" i="1"/>
  <c r="F25" i="1"/>
  <c r="C5" i="5" s="1"/>
  <c r="E25" i="1"/>
  <c r="D25" i="1"/>
  <c r="C25" i="1"/>
  <c r="C4" i="5" s="1"/>
  <c r="K24" i="1"/>
  <c r="I24" i="1"/>
  <c r="F24" i="1"/>
  <c r="E24" i="1"/>
  <c r="D24" i="1"/>
  <c r="C24" i="1"/>
  <c r="L23" i="1"/>
  <c r="K23" i="1"/>
  <c r="I23" i="1"/>
  <c r="F23" i="1"/>
  <c r="E23" i="1"/>
  <c r="D23" i="1"/>
  <c r="C23" i="1"/>
  <c r="K22" i="1"/>
  <c r="I22" i="1"/>
  <c r="F22" i="1"/>
  <c r="E22" i="1"/>
  <c r="D22" i="1"/>
  <c r="C22" i="1"/>
  <c r="L21" i="1"/>
  <c r="K21" i="1"/>
  <c r="I21" i="1"/>
  <c r="H21" i="1"/>
  <c r="F21" i="1"/>
  <c r="E21" i="1"/>
  <c r="D21" i="1"/>
  <c r="C21" i="1"/>
  <c r="L20" i="1"/>
  <c r="K20" i="1"/>
  <c r="I20" i="1"/>
  <c r="F20" i="1"/>
  <c r="E20" i="1"/>
  <c r="D20" i="1"/>
  <c r="C20" i="1"/>
  <c r="AO11" i="1"/>
  <c r="L27" i="1" s="1"/>
  <c r="S11" i="1"/>
  <c r="H27" i="1" s="1"/>
  <c r="AO10" i="1"/>
  <c r="S10" i="1"/>
  <c r="H26" i="1" s="1"/>
  <c r="AO9" i="1"/>
  <c r="L25" i="1" s="1"/>
  <c r="S9" i="1"/>
  <c r="H25" i="1" s="1"/>
  <c r="J25" i="1" s="1"/>
  <c r="C7" i="5" s="1"/>
  <c r="AO8" i="1"/>
  <c r="L24" i="1" s="1"/>
  <c r="S8" i="1"/>
  <c r="H24" i="1" s="1"/>
  <c r="AO7" i="1"/>
  <c r="S7" i="1"/>
  <c r="H23" i="1" s="1"/>
  <c r="AO6" i="1"/>
  <c r="L22" i="1" s="1"/>
  <c r="S6" i="1"/>
  <c r="H22" i="1" s="1"/>
  <c r="AO5" i="1"/>
  <c r="S5" i="1"/>
  <c r="C5" i="1"/>
  <c r="AO4" i="1"/>
  <c r="S4" i="1"/>
  <c r="H20" i="1" s="1"/>
  <c r="C12" i="3" l="1"/>
  <c r="R19" i="8"/>
  <c r="R33" i="8"/>
  <c r="R25" i="8"/>
  <c r="R20" i="8"/>
  <c r="R4" i="8"/>
  <c r="R36" i="8"/>
  <c r="R35" i="8"/>
  <c r="R34" i="8"/>
  <c r="R32" i="8"/>
  <c r="R31" i="8"/>
  <c r="R28" i="8"/>
  <c r="R18" i="8"/>
  <c r="R17" i="8"/>
  <c r="R16" i="8"/>
  <c r="R9" i="8"/>
  <c r="R15" i="8"/>
  <c r="R30" i="8"/>
  <c r="R14" i="8"/>
  <c r="R29" i="8"/>
  <c r="R13" i="8"/>
  <c r="R12" i="8"/>
  <c r="R27" i="8"/>
  <c r="R11" i="8"/>
  <c r="R26" i="8"/>
  <c r="R10" i="8"/>
  <c r="R40" i="8"/>
  <c r="R24" i="8"/>
  <c r="R8" i="8"/>
  <c r="R39" i="8"/>
  <c r="R23" i="8"/>
  <c r="R7" i="8"/>
  <c r="R38" i="8"/>
  <c r="R22" i="8"/>
  <c r="R6" i="8"/>
  <c r="R37" i="8"/>
  <c r="R21" i="8"/>
  <c r="B145" i="1" l="1"/>
  <c r="D2" i="3" l="1"/>
  <c r="D11" i="3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  <c r="E2" i="3" l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D12" i="3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</calcChain>
</file>

<file path=xl/sharedStrings.xml><?xml version="1.0" encoding="utf-8"?>
<sst xmlns="http://schemas.openxmlformats.org/spreadsheetml/2006/main" count="1394" uniqueCount="839">
  <si>
    <t>单位：万亩</t>
  </si>
  <si>
    <t>土地用地面积</t>
  </si>
  <si>
    <t>行政
单位</t>
  </si>
  <si>
    <t>年份</t>
  </si>
  <si>
    <t>耕地</t>
  </si>
  <si>
    <t>园地</t>
  </si>
  <si>
    <t>林地</t>
  </si>
  <si>
    <t>草地</t>
  </si>
  <si>
    <t>城镇村及工矿用地</t>
  </si>
  <si>
    <t>交通运输用地</t>
  </si>
  <si>
    <t>水域及水利设施用地</t>
  </si>
  <si>
    <t>其他土地</t>
  </si>
  <si>
    <t>小计</t>
  </si>
  <si>
    <t>水田</t>
  </si>
  <si>
    <t>水浇地</t>
  </si>
  <si>
    <t>旱地</t>
  </si>
  <si>
    <t>果园</t>
  </si>
  <si>
    <t>茶园</t>
  </si>
  <si>
    <t>其它园地</t>
  </si>
  <si>
    <t>有林地</t>
  </si>
  <si>
    <t>灌木林地</t>
  </si>
  <si>
    <t>其他林地</t>
  </si>
  <si>
    <t>天然
牧草地</t>
  </si>
  <si>
    <t>人工
牧草地</t>
  </si>
  <si>
    <t>其他草地</t>
  </si>
  <si>
    <t>城市</t>
  </si>
  <si>
    <t>建制镇</t>
  </si>
  <si>
    <t>村庄</t>
  </si>
  <si>
    <t>采矿用地</t>
  </si>
  <si>
    <t>铁路用地</t>
  </si>
  <si>
    <t>公路用地</t>
  </si>
  <si>
    <t>农村道路</t>
  </si>
  <si>
    <t>机场用地</t>
  </si>
  <si>
    <t>港口码头用地</t>
  </si>
  <si>
    <t>管道运输用地</t>
  </si>
  <si>
    <t>河流水面</t>
  </si>
  <si>
    <t>湖泊水面</t>
  </si>
  <si>
    <t>水库水面</t>
  </si>
  <si>
    <t>坑塘水面</t>
  </si>
  <si>
    <t>沿海滩涂</t>
  </si>
  <si>
    <t>内陆滩涂</t>
  </si>
  <si>
    <t>沟渠</t>
  </si>
  <si>
    <t>水工建筑
用地</t>
  </si>
  <si>
    <t>冰川及
永久积雪</t>
  </si>
  <si>
    <t>设施
农用地</t>
  </si>
  <si>
    <t>田坎</t>
  </si>
  <si>
    <t>盐碱地</t>
  </si>
  <si>
    <t>沼泽地</t>
  </si>
  <si>
    <t>沙地</t>
  </si>
  <si>
    <t>全国</t>
  </si>
  <si>
    <t>2009</t>
  </si>
  <si>
    <t>203076.8</t>
  </si>
  <si>
    <t>49488.7</t>
  </si>
  <si>
    <t>42125.1</t>
  </si>
  <si>
    <t>111463.1</t>
  </si>
  <si>
    <t>22217.7</t>
  </si>
  <si>
    <t>13813.1</t>
  </si>
  <si>
    <t>2195.0</t>
  </si>
  <si>
    <t>6209.6</t>
  </si>
  <si>
    <t>380924.3</t>
  </si>
  <si>
    <t>281596.1</t>
  </si>
  <si>
    <t>65121.5</t>
  </si>
  <si>
    <t>34206.7</t>
  </si>
  <si>
    <t>430970.1</t>
  </si>
  <si>
    <t>326777.0</t>
  </si>
  <si>
    <t>2804.0</t>
  </si>
  <si>
    <t>101389.2</t>
  </si>
  <si>
    <t>11912.9</t>
  </si>
  <si>
    <t>590.6</t>
  </si>
  <si>
    <t>3499.0</t>
  </si>
  <si>
    <t>7678.1</t>
  </si>
  <si>
    <t>83.3</t>
  </si>
  <si>
    <t>49.6</t>
  </si>
  <si>
    <t>12.3</t>
  </si>
  <si>
    <t>64035.5</t>
  </si>
  <si>
    <t>12025.8</t>
  </si>
  <si>
    <t>11488.0</t>
  </si>
  <si>
    <t>4007.3</t>
  </si>
  <si>
    <t>8478.8</t>
  </si>
  <si>
    <t>2610.2</t>
  </si>
  <si>
    <t>9630.0</t>
  </si>
  <si>
    <t>6354.2</t>
  </si>
  <si>
    <t>1148.6</t>
  </si>
  <si>
    <t>8292.6</t>
  </si>
  <si>
    <t>2010</t>
  </si>
  <si>
    <t>49375.3</t>
  </si>
  <si>
    <t>42048.1</t>
  </si>
  <si>
    <t>111479.1</t>
  </si>
  <si>
    <t>22054.7</t>
  </si>
  <si>
    <t>13699.1</t>
  </si>
  <si>
    <t>2180.0</t>
  </si>
  <si>
    <t>6175.6</t>
  </si>
  <si>
    <t>380649.2</t>
  </si>
  <si>
    <t>281417.5</t>
  </si>
  <si>
    <t>65086.7</t>
  </si>
  <si>
    <t>34145.1</t>
  </si>
  <si>
    <t>430760.6</t>
  </si>
  <si>
    <t>326706.1</t>
  </si>
  <si>
    <t>2801.9</t>
  </si>
  <si>
    <t>101252.6</t>
  </si>
  <si>
    <t>12166.2</t>
  </si>
  <si>
    <t>648.6</t>
  </si>
  <si>
    <t>3674.8</t>
  </si>
  <si>
    <t>7693.5</t>
  </si>
  <si>
    <t>85.7</t>
  </si>
  <si>
    <t>51.1</t>
  </si>
  <si>
    <t>12.5</t>
  </si>
  <si>
    <t>63915.0</t>
  </si>
  <si>
    <t>12023.7</t>
  </si>
  <si>
    <t>11486.1</t>
  </si>
  <si>
    <t>4018.0</t>
  </si>
  <si>
    <t>8405.3</t>
  </si>
  <si>
    <t>2592.3</t>
  </si>
  <si>
    <t>9591.6</t>
  </si>
  <si>
    <t>6344.1</t>
  </si>
  <si>
    <t>1161.3</t>
  </si>
  <si>
    <t>2011</t>
  </si>
  <si>
    <t>49269.8</t>
  </si>
  <si>
    <t>42041.6</t>
  </si>
  <si>
    <t>111546.5</t>
  </si>
  <si>
    <t>21905.2</t>
  </si>
  <si>
    <t>13585.1</t>
  </si>
  <si>
    <t>2174.0</t>
  </si>
  <si>
    <t>6146.0</t>
  </si>
  <si>
    <t>380340.0</t>
  </si>
  <si>
    <t>281213.3</t>
  </si>
  <si>
    <t>65047.0</t>
  </si>
  <si>
    <t>34079.7</t>
  </si>
  <si>
    <t>430533.5</t>
  </si>
  <si>
    <t>326625.7</t>
  </si>
  <si>
    <t>2796.7</t>
  </si>
  <si>
    <t>101111.1</t>
  </si>
  <si>
    <t>12375.3</t>
  </si>
  <si>
    <t>677.7</t>
  </si>
  <si>
    <t>3823.1</t>
  </si>
  <si>
    <t>7714.1</t>
  </si>
  <si>
    <t>90.4</t>
  </si>
  <si>
    <t>56.6</t>
  </si>
  <si>
    <t>13.4</t>
  </si>
  <si>
    <t>63830.1</t>
  </si>
  <si>
    <t>12013.2</t>
  </si>
  <si>
    <t>11484.6</t>
  </si>
  <si>
    <t>4044.3</t>
  </si>
  <si>
    <t>8344.5</t>
  </si>
  <si>
    <t>2581.5</t>
  </si>
  <si>
    <t>9555.4</t>
  </si>
  <si>
    <t>6333.9</t>
  </si>
  <si>
    <t>1181.7</t>
  </si>
  <si>
    <t>8291.1</t>
  </si>
  <si>
    <t>2012</t>
  </si>
  <si>
    <t>202737.7</t>
  </si>
  <si>
    <t>49165.5</t>
  </si>
  <si>
    <t>42000.6</t>
  </si>
  <si>
    <t>111571.6</t>
  </si>
  <si>
    <t>21800.0</t>
  </si>
  <si>
    <t>13510.8</t>
  </si>
  <si>
    <t>2165.4</t>
  </si>
  <si>
    <t>6123.8</t>
  </si>
  <si>
    <t>380095.3</t>
  </si>
  <si>
    <t>281054.8</t>
  </si>
  <si>
    <t>65010.4</t>
  </si>
  <si>
    <t>34030.1</t>
  </si>
  <si>
    <t>430330.1</t>
  </si>
  <si>
    <t>326567.2</t>
  </si>
  <si>
    <t>2780.8</t>
  </si>
  <si>
    <t>100982.1</t>
  </si>
  <si>
    <t>12539.7</t>
  </si>
  <si>
    <t>696.7</t>
  </si>
  <si>
    <t>3952.7</t>
  </si>
  <si>
    <t>7725.4</t>
  </si>
  <si>
    <t>93.6</t>
  </si>
  <si>
    <t>57.9</t>
  </si>
  <si>
    <t>13.5</t>
  </si>
  <si>
    <t>63719.5</t>
  </si>
  <si>
    <t>11999.3</t>
  </si>
  <si>
    <t>11480.1</t>
  </si>
  <si>
    <t>4057.3</t>
  </si>
  <si>
    <t>8288.7</t>
  </si>
  <si>
    <t>2568.9</t>
  </si>
  <si>
    <t>9523.6</t>
  </si>
  <si>
    <t>6320.5</t>
  </si>
  <si>
    <t>1190.1</t>
  </si>
  <si>
    <t>2013</t>
  </si>
  <si>
    <t>202747.0</t>
  </si>
  <si>
    <t>50119.7</t>
  </si>
  <si>
    <t>41989.2</t>
  </si>
  <si>
    <t>110638.1</t>
  </si>
  <si>
    <t>21682.0</t>
  </si>
  <si>
    <t>13422.0</t>
  </si>
  <si>
    <t>2154.8</t>
  </si>
  <si>
    <t>6105.2</t>
  </si>
  <si>
    <t>379880.6</t>
  </si>
  <si>
    <t>280917.8</t>
  </si>
  <si>
    <t>64981.1</t>
  </si>
  <si>
    <t>33981.7</t>
  </si>
  <si>
    <t>430063.7</t>
  </si>
  <si>
    <t>326498.1</t>
  </si>
  <si>
    <t>2772.5</t>
  </si>
  <si>
    <t>100793.0</t>
  </si>
  <si>
    <t>12732.4</t>
  </si>
  <si>
    <t>720.7</t>
  </si>
  <si>
    <t>4122.4</t>
  </si>
  <si>
    <t>7715.5</t>
  </si>
  <si>
    <t>99.6</t>
  </si>
  <si>
    <t>60.5</t>
  </si>
  <si>
    <t>13.8</t>
  </si>
  <si>
    <t>63598.6</t>
  </si>
  <si>
    <t>11987.8</t>
  </si>
  <si>
    <t>11475.6</t>
  </si>
  <si>
    <t>4062.4</t>
  </si>
  <si>
    <t>8230.8</t>
  </si>
  <si>
    <t>2558.1</t>
  </si>
  <si>
    <t>9492.0</t>
  </si>
  <si>
    <t>6306.7</t>
  </si>
  <si>
    <t>1194.1</t>
  </si>
  <si>
    <t>2014</t>
  </si>
  <si>
    <t>202586.0</t>
  </si>
  <si>
    <t>49985.1</t>
  </si>
  <si>
    <t>41973.0</t>
  </si>
  <si>
    <t>110627.9</t>
  </si>
  <si>
    <t>21567.3</t>
  </si>
  <si>
    <t>13341.0</t>
  </si>
  <si>
    <t>2146.6</t>
  </si>
  <si>
    <t>6079.7</t>
  </si>
  <si>
    <t>379606.9</t>
  </si>
  <si>
    <t>280741.6</t>
  </si>
  <si>
    <t>64948.6</t>
  </si>
  <si>
    <t>33916.7</t>
  </si>
  <si>
    <t>429821.7</t>
  </si>
  <si>
    <t>326448.9</t>
  </si>
  <si>
    <t>2750.2</t>
  </si>
  <si>
    <t>100622.6</t>
  </si>
  <si>
    <t>12963.6</t>
  </si>
  <si>
    <t>755.1</t>
  </si>
  <si>
    <t>4312.1</t>
  </si>
  <si>
    <t>7716.9</t>
  </si>
  <si>
    <t>103.1</t>
  </si>
  <si>
    <t>62.3</t>
  </si>
  <si>
    <t>14.2</t>
  </si>
  <si>
    <t>63541.4</t>
  </si>
  <si>
    <t>11967.0</t>
  </si>
  <si>
    <t>11470.5</t>
  </si>
  <si>
    <t>4134.1</t>
  </si>
  <si>
    <t>8176.2</t>
  </si>
  <si>
    <t>2544.2</t>
  </si>
  <si>
    <t>9457.9</t>
  </si>
  <si>
    <t>6294.9</t>
  </si>
  <si>
    <t>1205.6</t>
  </si>
  <si>
    <t>2015</t>
  </si>
  <si>
    <t>202498.0</t>
  </si>
  <si>
    <t>49919.1</t>
  </si>
  <si>
    <t>42007.6</t>
  </si>
  <si>
    <t>110571.3</t>
  </si>
  <si>
    <t>21484.9</t>
  </si>
  <si>
    <t>13282.8</t>
  </si>
  <si>
    <t>2140.8</t>
  </si>
  <si>
    <t>6061.3</t>
  </si>
  <si>
    <t>379488.0</t>
  </si>
  <si>
    <t>280671.4</t>
  </si>
  <si>
    <t>64929.8</t>
  </si>
  <si>
    <t>33886.7</t>
  </si>
  <si>
    <t>429602.9</t>
  </si>
  <si>
    <t>326394.8</t>
  </si>
  <si>
    <t>2736.1</t>
  </si>
  <si>
    <t>100472.0</t>
  </si>
  <si>
    <t>13097.2</t>
  </si>
  <si>
    <t>771.8</t>
  </si>
  <si>
    <t>4427.3</t>
  </si>
  <si>
    <t>7710.1</t>
  </si>
  <si>
    <t>106.9</t>
  </si>
  <si>
    <t>66.7</t>
  </si>
  <si>
    <t>14.4</t>
  </si>
  <si>
    <t>63452.1</t>
  </si>
  <si>
    <t>11959.6</t>
  </si>
  <si>
    <t>11469.1</t>
  </si>
  <si>
    <t>4143.5</t>
  </si>
  <si>
    <t>8128.5</t>
  </si>
  <si>
    <t>2539.8</t>
  </si>
  <si>
    <t>9423.5</t>
  </si>
  <si>
    <t>6282.4</t>
  </si>
  <si>
    <t>1214.7</t>
  </si>
  <si>
    <t>2016</t>
  </si>
  <si>
    <t>202381.4</t>
  </si>
  <si>
    <t>49849.4</t>
  </si>
  <si>
    <t>42297.5</t>
  </si>
  <si>
    <t>110234.6</t>
  </si>
  <si>
    <t>21399.4</t>
  </si>
  <si>
    <t>13221.5</t>
  </si>
  <si>
    <t>2134.5</t>
  </si>
  <si>
    <t>6043.4</t>
  </si>
  <si>
    <t>379362.1</t>
  </si>
  <si>
    <t>280604.7</t>
  </si>
  <si>
    <t>64897.5</t>
  </si>
  <si>
    <t>33859.9</t>
  </si>
  <si>
    <t>429423.0</t>
  </si>
  <si>
    <t>326313.9</t>
  </si>
  <si>
    <t>2724.9</t>
  </si>
  <si>
    <t>100384.3</t>
  </si>
  <si>
    <t>13273.0</t>
  </si>
  <si>
    <t>805.3</t>
  </si>
  <si>
    <t>4567.2</t>
  </si>
  <si>
    <t>7707.7</t>
  </si>
  <si>
    <t>110.3</t>
  </si>
  <si>
    <t>68.1</t>
  </si>
  <si>
    <t>14.5</t>
  </si>
  <si>
    <t>63365.6</t>
  </si>
  <si>
    <t>11946.5</t>
  </si>
  <si>
    <t>11468.5</t>
  </si>
  <si>
    <t>4157.1</t>
  </si>
  <si>
    <t>8085.3</t>
  </si>
  <si>
    <t>2528.3</t>
  </si>
  <si>
    <t>9390.2</t>
  </si>
  <si>
    <t>6270.5</t>
  </si>
  <si>
    <t>1228.1</t>
  </si>
  <si>
    <t xml:space="preserve">unit conversion </t>
  </si>
  <si>
    <t>1.5万亩=1千公顷</t>
  </si>
  <si>
    <t>单位：千公顷</t>
  </si>
  <si>
    <t>湿地</t>
  </si>
  <si>
    <t>城镇及工矿用地</t>
  </si>
  <si>
    <t>建设用地</t>
  </si>
  <si>
    <t>山东省碳汇</t>
  </si>
  <si>
    <t>g</t>
  </si>
  <si>
    <t>Rebound Emis Factor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</si>
  <si>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</si>
  <si>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</si>
  <si>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</si>
  <si>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</si>
  <si>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</si>
  <si>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</si>
  <si>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</si>
  <si>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</si>
  <si>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</si>
  <si>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</si>
  <si>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</si>
  <si>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</si>
  <si>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Year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</si>
  <si>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</si>
  <si>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</si>
  <si>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</si>
  <si>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</si>
  <si>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</si>
  <si>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</si>
  <si>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</si>
  <si>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</si>
  <si>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</si>
  <si>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</si>
  <si>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</si>
  <si>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F gases (g CO2e)</t>
  </si>
  <si>
    <t>BLAPE BAU LULUCF Anthropogenic Pollutant Emissions</t>
  </si>
  <si>
    <t>source:</t>
  </si>
  <si>
    <t>6-2 各地区土地利用情况(2019年)</t>
  </si>
  <si>
    <t>http://zrzyj.dezhou.gov.cn/n54284823/n54284838/c69106044/part/69106048.pdf</t>
  </si>
  <si>
    <t>note：</t>
  </si>
  <si>
    <t>Based on data from the 8th National Forest Resource Inventory (2009-13) and 9th National Forest Resource Inventory (2014-18), Shandong's forest resource remains largely stable.</t>
  </si>
  <si>
    <t>Forest stock increases from 89,197,900 to 91,614,600 cubic meters and forest land area increases from 2,546,000 to 2,665,100 hectares</t>
  </si>
  <si>
    <t>In the Shandong Land Ecological Restoration Plan 2021-2035, the targeted forestry stock in 90 million cubic meters for both 2025 and 2035, essentially the same as current.</t>
  </si>
  <si>
    <t>Therefore, we expect the amount of CO2 adsorbtion remains stable in the BAU scenario.</t>
  </si>
  <si>
    <t>年份：2014</t>
  </si>
  <si>
    <t>温室气体排放源与吸收汇的种类/（万吨）</t>
  </si>
  <si>
    <t>每千公顷排放的CO2 /(万吨/千公顷）</t>
  </si>
  <si>
    <t>农地</t>
  </si>
  <si>
    <t>其他用地</t>
  </si>
  <si>
    <t>note:2014森林蓄积量</t>
  </si>
  <si>
    <t>163.72 亿立方米</t>
  </si>
  <si>
    <t>163.72*10^4</t>
  </si>
  <si>
    <t>万立方米</t>
  </si>
  <si>
    <t>Land Use by Region(2019)</t>
  </si>
  <si>
    <t>单位:千公顷</t>
  </si>
  <si>
    <t>(1 000 hectares)</t>
  </si>
  <si>
    <t>地 区</t>
  </si>
  <si>
    <t>Region</t>
  </si>
  <si>
    <t>耕 地
Cultivated
Land</t>
  </si>
  <si>
    <t>园 地
Garden
Land</t>
  </si>
  <si>
    <t>林地
Forest
Land</t>
  </si>
  <si>
    <t>草 地
Grassland</t>
  </si>
  <si>
    <t>湿 地
Wetland</t>
  </si>
  <si>
    <t>城镇村及工矿用地
Land for Urban,
Rural,Industrial
and Mining Activities</t>
  </si>
  <si>
    <t>交通运输用地
Land Used for
Transport</t>
  </si>
  <si>
    <t>水域及水利设施用地
Land Used for
Water and Water
Conservancy Facilities</t>
  </si>
  <si>
    <t>全 国</t>
  </si>
  <si>
    <t>National Total</t>
  </si>
  <si>
    <t>127861.9</t>
  </si>
  <si>
    <t>20171.6</t>
  </si>
  <si>
    <t>284125.9</t>
  </si>
  <si>
    <t>264530.1</t>
  </si>
  <si>
    <t>23469.3</t>
  </si>
  <si>
    <t>36287.9</t>
  </si>
  <si>
    <t>北 京</t>
  </si>
  <si>
    <t>Beijing</t>
  </si>
  <si>
    <t>93.5</t>
  </si>
  <si>
    <t>126.3</t>
  </si>
  <si>
    <t>967.6</t>
  </si>
  <si>
    <t>3.1</t>
  </si>
  <si>
    <t>61.7</t>
  </si>
  <si>
    <t>天 津</t>
  </si>
  <si>
    <t>Tianjin</t>
  </si>
  <si>
    <t>329.6</t>
  </si>
  <si>
    <t>36.9</t>
  </si>
  <si>
    <t>148.3</t>
  </si>
  <si>
    <t>15.0</t>
  </si>
  <si>
    <t>32.7</t>
  </si>
  <si>
    <t>237.3</t>
  </si>
  <si>
    <t>河 北</t>
  </si>
  <si>
    <t>Hebei</t>
  </si>
  <si>
    <t>6034.2</t>
  </si>
  <si>
    <t>1005.9</t>
  </si>
  <si>
    <t>6425.3</t>
  </si>
  <si>
    <t>1947.3</t>
  </si>
  <si>
    <t>142.7</t>
  </si>
  <si>
    <t>571.1</t>
  </si>
  <si>
    <t>山 西</t>
  </si>
  <si>
    <t>Shanxi</t>
  </si>
  <si>
    <t>3869.5</t>
  </si>
  <si>
    <t>640.9</t>
  </si>
  <si>
    <t>6095.7</t>
  </si>
  <si>
    <t>3105.1</t>
  </si>
  <si>
    <t>54.4</t>
  </si>
  <si>
    <t>173.1</t>
  </si>
  <si>
    <t>内蒙古</t>
  </si>
  <si>
    <t>Inner Mongolia</t>
  </si>
  <si>
    <t>11496.5</t>
  </si>
  <si>
    <t>47.2</t>
  </si>
  <si>
    <t>24360.0</t>
  </si>
  <si>
    <t>54171.9</t>
  </si>
  <si>
    <t>3809.4</t>
  </si>
  <si>
    <t>1061.8</t>
  </si>
  <si>
    <t>辽 宁</t>
  </si>
  <si>
    <t>Liaoning</t>
  </si>
  <si>
    <t>5182.1</t>
  </si>
  <si>
    <t>527.9</t>
  </si>
  <si>
    <t>6015.7</t>
  </si>
  <si>
    <t>487.2</t>
  </si>
  <si>
    <t>286.4</t>
  </si>
  <si>
    <t>691.6</t>
  </si>
  <si>
    <t>吉 林</t>
  </si>
  <si>
    <t>Jilin</t>
  </si>
  <si>
    <t>7498.5</t>
  </si>
  <si>
    <t>76.5</t>
  </si>
  <si>
    <t>8759.0</t>
  </si>
  <si>
    <t>674.7</t>
  </si>
  <si>
    <t>230.3</t>
  </si>
  <si>
    <t>598.1</t>
  </si>
  <si>
    <t>黑龙江</t>
  </si>
  <si>
    <t>Heilongjiang</t>
  </si>
  <si>
    <t>17195.4</t>
  </si>
  <si>
    <t>62.4</t>
  </si>
  <si>
    <t>21623.2</t>
  </si>
  <si>
    <t>1185.7</t>
  </si>
  <si>
    <t>3501.0</t>
  </si>
  <si>
    <t>1686.4</t>
  </si>
  <si>
    <t>上 海</t>
  </si>
  <si>
    <t>Shanghai</t>
  </si>
  <si>
    <t>162.0</t>
  </si>
  <si>
    <t>15.1</t>
  </si>
  <si>
    <t>81.8</t>
  </si>
  <si>
    <t>13.2</t>
  </si>
  <si>
    <t>72.7</t>
  </si>
  <si>
    <t>191.3</t>
  </si>
  <si>
    <t>江 苏</t>
  </si>
  <si>
    <t>Jiangsu</t>
  </si>
  <si>
    <t>4089.7</t>
  </si>
  <si>
    <t>787.0</t>
  </si>
  <si>
    <t>416.4</t>
  </si>
  <si>
    <t>2503.4</t>
  </si>
  <si>
    <t>浙 江</t>
  </si>
  <si>
    <t>Zhejiang</t>
  </si>
  <si>
    <t>1290.5</t>
  </si>
  <si>
    <t>760.3</t>
  </si>
  <si>
    <t>6093.6</t>
  </si>
  <si>
    <t>63.5</t>
  </si>
  <si>
    <t>165.2</t>
  </si>
  <si>
    <t>702.5</t>
  </si>
  <si>
    <t>安 徽</t>
  </si>
  <si>
    <t>Anhui</t>
  </si>
  <si>
    <t>5546.9</t>
  </si>
  <si>
    <t>372.7</t>
  </si>
  <si>
    <t>4091.5</t>
  </si>
  <si>
    <t>47.9</t>
  </si>
  <si>
    <t>47.7</t>
  </si>
  <si>
    <t>1728.5</t>
  </si>
  <si>
    <t>福 建</t>
  </si>
  <si>
    <t>Fujian</t>
  </si>
  <si>
    <t>932.0</t>
  </si>
  <si>
    <t>918.4</t>
  </si>
  <si>
    <t>8811.4</t>
  </si>
  <si>
    <t>74.9</t>
  </si>
  <si>
    <t>188.6</t>
  </si>
  <si>
    <t>373.1</t>
  </si>
  <si>
    <t>江 西</t>
  </si>
  <si>
    <t>Jiangxi</t>
  </si>
  <si>
    <t>2721.6</t>
  </si>
  <si>
    <t>572.4</t>
  </si>
  <si>
    <t>10413.7</t>
  </si>
  <si>
    <t>88.7</t>
  </si>
  <si>
    <t>28.7</t>
  </si>
  <si>
    <t>1289.6</t>
  </si>
  <si>
    <t>山 东</t>
  </si>
  <si>
    <t>Shandong</t>
  </si>
  <si>
    <t>6461.9</t>
  </si>
  <si>
    <t>1262.4</t>
  </si>
  <si>
    <t>2605.3</t>
  </si>
  <si>
    <t>235.2</t>
  </si>
  <si>
    <t>246.2</t>
  </si>
  <si>
    <t>1325.4</t>
  </si>
  <si>
    <t>河 南</t>
  </si>
  <si>
    <t>Henan</t>
  </si>
  <si>
    <t>7514.1</t>
  </si>
  <si>
    <t>427.8</t>
  </si>
  <si>
    <t>4396.3</t>
  </si>
  <si>
    <t>257.0</t>
  </si>
  <si>
    <t>39.1</t>
  </si>
  <si>
    <t>850.7</t>
  </si>
  <si>
    <t>湖 北</t>
  </si>
  <si>
    <t>Hubei</t>
  </si>
  <si>
    <t>4768.6</t>
  </si>
  <si>
    <t>487.0</t>
  </si>
  <si>
    <t>9280.1</t>
  </si>
  <si>
    <t>89.4</t>
  </si>
  <si>
    <t>61.2</t>
  </si>
  <si>
    <t>1983.7</t>
  </si>
  <si>
    <t>湖 南</t>
  </si>
  <si>
    <t>Hunan</t>
  </si>
  <si>
    <t>3629.2</t>
  </si>
  <si>
    <t>886.1</t>
  </si>
  <si>
    <t>12717.1</t>
  </si>
  <si>
    <t>140.5</t>
  </si>
  <si>
    <t>236.1</t>
  </si>
  <si>
    <t>1258.5</t>
  </si>
  <si>
    <t>广 东</t>
  </si>
  <si>
    <t>Guangdong</t>
  </si>
  <si>
    <t>1901.9</t>
  </si>
  <si>
    <t>1324.8</t>
  </si>
  <si>
    <t>10792.5</t>
  </si>
  <si>
    <t>238.5</t>
  </si>
  <si>
    <t>178.9</t>
  </si>
  <si>
    <t>1342.3</t>
  </si>
  <si>
    <t>广 西</t>
  </si>
  <si>
    <t>Guangxi</t>
  </si>
  <si>
    <t>3307.6</t>
  </si>
  <si>
    <t>1670.2</t>
  </si>
  <si>
    <t>16095.2</t>
  </si>
  <si>
    <t>276.2</t>
  </si>
  <si>
    <t>127.2</t>
  </si>
  <si>
    <t>749.0</t>
  </si>
  <si>
    <t>海 南</t>
  </si>
  <si>
    <t>Hainan</t>
  </si>
  <si>
    <t>486.9</t>
  </si>
  <si>
    <t>1217.7</t>
  </si>
  <si>
    <t>1174.1</t>
  </si>
  <si>
    <t>17.1</t>
  </si>
  <si>
    <t>121.2</t>
  </si>
  <si>
    <t>183.1</t>
  </si>
  <si>
    <t>重 庆</t>
  </si>
  <si>
    <t>Chongqing</t>
  </si>
  <si>
    <t>1870.2</t>
  </si>
  <si>
    <t>280.6</t>
  </si>
  <si>
    <t>4689.0</t>
  </si>
  <si>
    <t>23.6</t>
  </si>
  <si>
    <t>271.7</t>
  </si>
  <si>
    <t>四 川</t>
  </si>
  <si>
    <t>Sichuan</t>
  </si>
  <si>
    <t>5227.2</t>
  </si>
  <si>
    <t>1203.2</t>
  </si>
  <si>
    <t>25419.6</t>
  </si>
  <si>
    <t>9687.8</t>
  </si>
  <si>
    <t>1230.8</t>
  </si>
  <si>
    <t>1053.2</t>
  </si>
  <si>
    <t>贵 州</t>
  </si>
  <si>
    <t>Guizhou</t>
  </si>
  <si>
    <t>3472.6</t>
  </si>
  <si>
    <t>568.1</t>
  </si>
  <si>
    <t>11210.1</t>
  </si>
  <si>
    <t>188.3</t>
  </si>
  <si>
    <t>7.1</t>
  </si>
  <si>
    <t>255.4</t>
  </si>
  <si>
    <t>云南</t>
  </si>
  <si>
    <t>Yunnan</t>
  </si>
  <si>
    <t>5395.5</t>
  </si>
  <si>
    <t>2572.2</t>
  </si>
  <si>
    <t>24969.0</t>
  </si>
  <si>
    <t>1322.9</t>
  </si>
  <si>
    <t>39.8</t>
  </si>
  <si>
    <t>608.5</t>
  </si>
  <si>
    <t>西 藏</t>
  </si>
  <si>
    <t>Tibet</t>
  </si>
  <si>
    <t>442.1</t>
  </si>
  <si>
    <t>11.9</t>
  </si>
  <si>
    <t>17896.1</t>
  </si>
  <si>
    <t>80065.0</t>
  </si>
  <si>
    <t>4302.5</t>
  </si>
  <si>
    <t>5930.4</t>
  </si>
  <si>
    <t>陕 西</t>
  </si>
  <si>
    <t>Shaanxi</t>
  </si>
  <si>
    <t>2934.3</t>
  </si>
  <si>
    <t>1214.0</t>
  </si>
  <si>
    <t>12476.0</t>
  </si>
  <si>
    <t>2210.3</t>
  </si>
  <si>
    <t>48.7</t>
  </si>
  <si>
    <t>273.3</t>
  </si>
  <si>
    <t>甘 肃</t>
  </si>
  <si>
    <t>Gansu</t>
  </si>
  <si>
    <t>5209.5</t>
  </si>
  <si>
    <t>428.6</t>
  </si>
  <si>
    <t>7962.8</t>
  </si>
  <si>
    <t>14307.1</t>
  </si>
  <si>
    <t>1185.6</t>
  </si>
  <si>
    <t>409.4</t>
  </si>
  <si>
    <t>青 海</t>
  </si>
  <si>
    <t>Qinghai</t>
  </si>
  <si>
    <t>564.2</t>
  </si>
  <si>
    <t>4603.6</t>
  </si>
  <si>
    <t>39470.8</t>
  </si>
  <si>
    <t>5101.2</t>
  </si>
  <si>
    <t>2446.6</t>
  </si>
  <si>
    <t>宁 夏</t>
  </si>
  <si>
    <t>Ningxia</t>
  </si>
  <si>
    <t>1195.4</t>
  </si>
  <si>
    <t>91.5</t>
  </si>
  <si>
    <t>952.6</t>
  </si>
  <si>
    <t>2031.0</t>
  </si>
  <si>
    <t>24.9</t>
  </si>
  <si>
    <t>168.7</t>
  </si>
  <si>
    <t>新 疆</t>
  </si>
  <si>
    <t>Xinjiang</t>
  </si>
  <si>
    <t>7038.6</t>
  </si>
  <si>
    <t>1070.1</t>
  </si>
  <si>
    <t>12212.5</t>
  </si>
  <si>
    <t>51986.0</t>
  </si>
  <si>
    <t>1524.5</t>
  </si>
  <si>
    <t>5308.5</t>
  </si>
  <si>
    <t>2019各个地区土地的二氧化碳碳排放量（万吨）</t>
  </si>
  <si>
    <t>7-2 各地区森林资源情况</t>
  </si>
  <si>
    <t>Forest Resources by Region</t>
  </si>
  <si>
    <t>林业用地
面 积
(万公顷)
Area of
Afforested
Land
(10 000
hectares)</t>
  </si>
  <si>
    <t>森林面积
(万公顷)
Forest Aera
(10 000
hectares)</t>
  </si>
  <si>
    <t>森 林
覆盖率
(%)
Forest
Coverage
Rate
(%)</t>
  </si>
  <si>
    <t>活立木
总蓄积量
(万立方米)
Total Stock
Volume of
Living Trees
(10 000
cu.m)</t>
  </si>
  <si>
    <t>森 林
蓄积量
(万立方米)
Stock
Volume
of Forest
(10 000
cu.m)</t>
  </si>
  <si>
    <t>#人工林
Planted
Forest</t>
  </si>
  <si>
    <t>河北</t>
  </si>
  <si>
    <t>安徽</t>
  </si>
  <si>
    <t>江西</t>
  </si>
  <si>
    <r>
      <rPr>
        <b/>
        <sz val="10.5"/>
        <rFont val="Microsoft JhengHei"/>
        <family val="2"/>
      </rPr>
      <t>温室气体排放源与吸收汇的种类</t>
    </r>
  </si>
  <si>
    <r>
      <rPr>
        <b/>
        <vertAlign val="superscript"/>
        <sz val="10.5"/>
        <rFont val="Times New Roman"/>
        <family val="1"/>
      </rPr>
      <t>CO</t>
    </r>
    <r>
      <rPr>
        <b/>
        <sz val="7"/>
        <rFont val="Times New Roman"/>
        <family val="1"/>
      </rPr>
      <t>2</t>
    </r>
  </si>
  <si>
    <r>
      <rPr>
        <b/>
        <vertAlign val="superscript"/>
        <sz val="10.5"/>
        <rFont val="Times New Roman"/>
        <family val="1"/>
      </rPr>
      <t>CH</t>
    </r>
    <r>
      <rPr>
        <b/>
        <sz val="7"/>
        <rFont val="Times New Roman"/>
        <family val="1"/>
      </rPr>
      <t>4</t>
    </r>
  </si>
  <si>
    <r>
      <rPr>
        <b/>
        <vertAlign val="superscript"/>
        <sz val="10.5"/>
        <rFont val="Times New Roman"/>
        <family val="1"/>
      </rPr>
      <t>N</t>
    </r>
    <r>
      <rPr>
        <b/>
        <sz val="7"/>
        <rFont val="Times New Roman"/>
        <family val="1"/>
      </rPr>
      <t>2</t>
    </r>
    <r>
      <rPr>
        <b/>
        <vertAlign val="superscript"/>
        <sz val="10.5"/>
        <rFont val="Times New Roman"/>
        <family val="1"/>
      </rPr>
      <t>O</t>
    </r>
  </si>
  <si>
    <r>
      <rPr>
        <sz val="10.5"/>
        <rFont val="宋体"/>
        <family val="3"/>
        <charset val="134"/>
      </rPr>
      <t>总量（包括</t>
    </r>
    <r>
      <rPr>
        <sz val="10.5"/>
        <rFont val="Times New Roman"/>
        <family val="1"/>
      </rPr>
      <t>LULUCF</t>
    </r>
    <r>
      <rPr>
        <sz val="10.5"/>
        <rFont val="宋体"/>
        <family val="3"/>
        <charset val="134"/>
      </rPr>
      <t>）</t>
    </r>
  </si>
  <si>
    <r>
      <rPr>
        <sz val="10.5"/>
        <rFont val="Times New Roman"/>
        <family val="1"/>
      </rPr>
      <t xml:space="preserve">1.  </t>
    </r>
    <r>
      <rPr>
        <sz val="10.5"/>
        <rFont val="宋体"/>
        <family val="3"/>
        <charset val="134"/>
      </rPr>
      <t>能源活动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</si>
  <si>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燃料燃烧</t>
    </r>
  </si>
  <si>
    <r>
      <rPr>
        <sz val="10.5"/>
        <rFont val="Symbol"/>
        <family val="1"/>
      </rPr>
      <t></t>
    </r>
    <r>
      <rPr>
        <sz val="10.5"/>
        <rFont val="宋体"/>
        <family val="3"/>
        <charset val="134"/>
      </rPr>
      <t>能源工业</t>
    </r>
  </si>
  <si>
    <r>
      <rPr>
        <sz val="10.5"/>
        <rFont val="Symbol"/>
        <family val="1"/>
      </rPr>
      <t></t>
    </r>
    <r>
      <rPr>
        <sz val="10.5"/>
        <rFont val="宋体"/>
        <family val="3"/>
        <charset val="134"/>
      </rPr>
      <t>制造业和建筑业</t>
    </r>
  </si>
  <si>
    <r>
      <rPr>
        <sz val="10.5"/>
        <rFont val="Symbol"/>
        <family val="1"/>
      </rPr>
      <t></t>
    </r>
    <r>
      <rPr>
        <sz val="10.5"/>
        <rFont val="宋体"/>
        <family val="3"/>
        <charset val="134"/>
      </rPr>
      <t>交通运输</t>
    </r>
  </si>
  <si>
    <r>
      <rPr>
        <sz val="10.5"/>
        <rFont val="Symbol"/>
        <family val="1"/>
      </rPr>
      <t></t>
    </r>
    <r>
      <rPr>
        <sz val="10.5"/>
        <rFont val="宋体"/>
        <family val="3"/>
        <charset val="134"/>
      </rPr>
      <t>其他行业</t>
    </r>
  </si>
  <si>
    <r>
      <rPr>
        <sz val="10.5"/>
        <rFont val="Symbol"/>
        <family val="1"/>
      </rPr>
      <t></t>
    </r>
    <r>
      <rPr>
        <sz val="10.5"/>
        <rFont val="宋体"/>
        <family val="3"/>
        <charset val="134"/>
      </rPr>
      <t>其他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</si>
  <si>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逃逸排放</t>
    </r>
  </si>
  <si>
    <r>
      <rPr>
        <sz val="10.5"/>
        <rFont val="Symbol"/>
        <family val="1"/>
      </rPr>
      <t></t>
    </r>
    <r>
      <rPr>
        <sz val="10.5"/>
        <rFont val="宋体"/>
        <family val="3"/>
        <charset val="134"/>
      </rPr>
      <t>固体燃料</t>
    </r>
  </si>
  <si>
    <r>
      <rPr>
        <sz val="10.5"/>
        <rFont val="Symbol"/>
        <family val="1"/>
      </rPr>
      <t></t>
    </r>
    <r>
      <rPr>
        <sz val="10.5"/>
        <rFont val="宋体"/>
        <family val="3"/>
        <charset val="134"/>
      </rPr>
      <t>油气系统</t>
    </r>
  </si>
  <si>
    <r>
      <rPr>
        <sz val="10.5"/>
        <rFont val="Times New Roman"/>
        <family val="1"/>
      </rPr>
      <t xml:space="preserve">2.  </t>
    </r>
    <r>
      <rPr>
        <sz val="10.5"/>
        <rFont val="宋体"/>
        <family val="3"/>
        <charset val="134"/>
      </rPr>
      <t>工业生产过程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</si>
  <si>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非金属矿物制品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</si>
  <si>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化学工业</t>
    </r>
  </si>
  <si>
    <r>
      <rPr>
        <sz val="10.5"/>
        <rFont val="Times New Roman"/>
        <family val="1"/>
      </rPr>
      <t>NA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</si>
  <si>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金属冶炼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</si>
  <si>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卤烃和六氟化硫生产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</si>
  <si>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卤烃和六氟化硫消费</t>
    </r>
  </si>
  <si>
    <r>
      <rPr>
        <sz val="10.5"/>
        <rFont val="Times New Roman"/>
        <family val="1"/>
      </rPr>
      <t xml:space="preserve">3.  </t>
    </r>
    <r>
      <rPr>
        <sz val="10.5"/>
        <rFont val="宋体"/>
        <family val="3"/>
        <charset val="134"/>
      </rPr>
      <t>农业活动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</si>
  <si>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动物肠道发酵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</si>
  <si>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动物粪便管理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</si>
  <si>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水稻种植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</si>
  <si>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农业土壤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</si>
  <si>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限定性热带草原烧荒</t>
    </r>
  </si>
  <si>
    <r>
      <rPr>
        <sz val="10"/>
        <rFont val="Times New Roman"/>
        <family val="1"/>
      </rPr>
      <t>NO</t>
    </r>
  </si>
  <si>
    <r>
      <rPr>
        <sz val="10.5"/>
        <rFont val="Times New Roman"/>
        <family val="1"/>
      </rPr>
      <t>NO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</si>
  <si>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农业废弃物田间焚烧</t>
    </r>
  </si>
  <si>
    <r>
      <rPr>
        <sz val="10.5"/>
        <rFont val="Times New Roman"/>
        <family val="1"/>
      </rPr>
      <t xml:space="preserve">4.  </t>
    </r>
    <r>
      <rPr>
        <sz val="10.5"/>
        <rFont val="宋体"/>
        <family val="3"/>
        <charset val="134"/>
      </rPr>
      <t>土地利用、土地利用变化和林业</t>
    </r>
  </si>
  <si>
    <r>
      <rPr>
        <sz val="10.5"/>
        <rFont val="Times New Roman"/>
        <family val="1"/>
      </rPr>
      <t>IE,NE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</si>
  <si>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林地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</si>
  <si>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农地</t>
    </r>
  </si>
  <si>
    <r>
      <rPr>
        <sz val="10.5"/>
        <rFont val="Times New Roman"/>
        <family val="1"/>
      </rPr>
      <t>IE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</si>
  <si>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草地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</si>
  <si>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湿地</t>
    </r>
  </si>
  <si>
    <r>
      <rPr>
        <sz val="10.5"/>
        <rFont val="Times New Roman"/>
        <family val="1"/>
      </rPr>
      <t>NE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</si>
  <si>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建设用地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</si>
  <si>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其他用地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</si>
  <si>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林产品</t>
    </r>
  </si>
  <si>
    <r>
      <rPr>
        <sz val="10.5"/>
        <rFont val="Times New Roman"/>
        <family val="1"/>
      </rPr>
      <t xml:space="preserve">5.  </t>
    </r>
    <r>
      <rPr>
        <sz val="10.5"/>
        <rFont val="宋体"/>
        <family val="3"/>
        <charset val="134"/>
      </rPr>
      <t>废弃物处理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</si>
  <si>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固体废弃物处理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</si>
  <si>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废水处理</t>
    </r>
  </si>
  <si>
    <r>
      <rPr>
        <sz val="10.5"/>
        <rFont val="宋体"/>
        <family val="3"/>
        <charset val="134"/>
      </rPr>
      <t>信息项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</si>
  <si>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国际航空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</si>
  <si>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国际航海</t>
    </r>
  </si>
  <si>
    <r>
      <rPr>
        <sz val="10.5"/>
        <rFont val="Symbol"/>
        <family val="1"/>
      </rPr>
      <t></t>
    </r>
    <r>
      <rPr>
        <sz val="10.5"/>
        <rFont val="宋体"/>
        <family val="3"/>
        <charset val="134"/>
      </rPr>
      <t>生物质燃烧</t>
    </r>
  </si>
  <si>
    <t>2014 National GHG Emission Inventory</t>
    <phoneticPr fontId="16" type="noConversion"/>
  </si>
  <si>
    <r>
      <rPr>
        <sz val="10"/>
        <rFont val="宋体"/>
        <family val="3"/>
        <charset val="134"/>
      </rPr>
      <t>乔木林</t>
    </r>
  </si>
  <si>
    <r>
      <rPr>
        <sz val="10"/>
        <rFont val="宋体"/>
        <family val="3"/>
        <charset val="134"/>
      </rPr>
      <t>农地面积</t>
    </r>
  </si>
  <si>
    <r>
      <rPr>
        <sz val="10"/>
        <rFont val="宋体"/>
        <family val="3"/>
        <charset val="134"/>
      </rPr>
      <t>竹林面积</t>
    </r>
  </si>
  <si>
    <r>
      <rPr>
        <sz val="10"/>
        <rFont val="宋体"/>
        <family val="3"/>
        <charset val="134"/>
      </rPr>
      <t>草地面积</t>
    </r>
  </si>
  <si>
    <r>
      <rPr>
        <sz val="10"/>
        <rFont val="宋体"/>
        <family val="3"/>
        <charset val="134"/>
      </rPr>
      <t>疏林地面积</t>
    </r>
  </si>
  <si>
    <r>
      <rPr>
        <sz val="10"/>
        <rFont val="宋体"/>
        <family val="3"/>
        <charset val="134"/>
      </rPr>
      <t>湿地面积</t>
    </r>
  </si>
  <si>
    <r>
      <rPr>
        <sz val="10"/>
        <rFont val="宋体"/>
        <family val="3"/>
        <charset val="134"/>
      </rPr>
      <t>灌木林地面积</t>
    </r>
  </si>
  <si>
    <r>
      <rPr>
        <sz val="10"/>
        <rFont val="宋体"/>
        <family val="3"/>
        <charset val="134"/>
      </rPr>
      <t>建设用地面积</t>
    </r>
  </si>
  <si>
    <t>Forest Land</t>
    <phoneticPr fontId="16" type="noConversion"/>
  </si>
  <si>
    <t>Other Land</t>
    <phoneticPr fontId="16" type="noConversion"/>
  </si>
  <si>
    <t>Land Area (10^4 Hectare)</t>
    <phoneticPr fontId="16" type="noConversion"/>
  </si>
  <si>
    <t>2014 National Landuse Area</t>
    <phoneticPr fontId="16" type="noConversion"/>
  </si>
  <si>
    <t>2014 National Forest Stock Volume</t>
    <phoneticPr fontId="16" type="noConversion"/>
  </si>
  <si>
    <t>10^8 Cubic Meter</t>
    <phoneticPr fontId="16" type="noConversion"/>
  </si>
  <si>
    <t>LULUCF Factor</t>
    <phoneticPr fontId="16" type="noConversion"/>
  </si>
  <si>
    <t>Total</t>
    <phoneticPr fontId="16" type="noConversion"/>
  </si>
  <si>
    <t>Forestry</t>
    <phoneticPr fontId="16" type="noConversion"/>
  </si>
  <si>
    <t>Farmland</t>
    <phoneticPr fontId="16" type="noConversion"/>
  </si>
  <si>
    <t>Grassland</t>
    <phoneticPr fontId="16" type="noConversion"/>
  </si>
  <si>
    <t>Wetland</t>
    <phoneticPr fontId="16" type="noConversion"/>
  </si>
  <si>
    <t>Construction Land</t>
    <phoneticPr fontId="16" type="noConversion"/>
  </si>
  <si>
    <t>Other Landuse</t>
    <phoneticPr fontId="16" type="noConversion"/>
  </si>
  <si>
    <t>Forest Product</t>
    <phoneticPr fontId="16" type="noConversion"/>
  </si>
  <si>
    <t>CO2 (10^4 Ton)</t>
    <phoneticPr fontId="16" type="noConversion"/>
  </si>
  <si>
    <t>Forest Stock Volmue (10^4 Cubic Meter)</t>
    <phoneticPr fontId="16" type="noConversion"/>
  </si>
  <si>
    <t>Intensity</t>
    <phoneticPr fontId="16" type="noConversion"/>
  </si>
  <si>
    <t>CO2 Absorption</t>
    <phoneticPr fontId="16" type="noConversion"/>
  </si>
  <si>
    <t>CO2 Absorption from Forestry</t>
    <phoneticPr fontId="16" type="noConversion"/>
  </si>
  <si>
    <t>主要指标</t>
  </si>
  <si>
    <t>单位</t>
  </si>
  <si>
    <t>2015 年</t>
  </si>
  <si>
    <t>2014 年</t>
  </si>
  <si>
    <t>2015年比_x000D_
2014年增减(%)</t>
  </si>
  <si>
    <t>木材产量</t>
  </si>
  <si>
    <t xml:space="preserve">  1.原木</t>
  </si>
  <si>
    <t xml:space="preserve">  2.薪材</t>
  </si>
  <si>
    <t>竹材产量</t>
  </si>
  <si>
    <t>万根</t>
  </si>
  <si>
    <t>锯材产量</t>
  </si>
  <si>
    <t>人造板产量</t>
  </si>
  <si>
    <t xml:space="preserve">  1.胶合板</t>
  </si>
  <si>
    <t xml:space="preserve">  2.纤维板</t>
  </si>
  <si>
    <t xml:space="preserve">  3.刨花板</t>
  </si>
  <si>
    <t xml:space="preserve">  4.其他人造板</t>
  </si>
  <si>
    <t>木竹地板产量</t>
  </si>
  <si>
    <t>万平方米</t>
  </si>
  <si>
    <t>松香类产品产量</t>
  </si>
  <si>
    <t>吨</t>
  </si>
  <si>
    <t>栲胶类产品产量</t>
  </si>
  <si>
    <t>紫胶类产品产量</t>
  </si>
  <si>
    <t>2014 National Forestry Product</t>
    <phoneticPr fontId="16" type="noConversion"/>
  </si>
  <si>
    <t>Region</t>
    <phoneticPr fontId="16" type="noConversion"/>
  </si>
  <si>
    <t>Woood Product (cubic mieter)</t>
    <phoneticPr fontId="16" type="noConversion"/>
  </si>
  <si>
    <t>合计</t>
    <phoneticPr fontId="16" type="noConversion"/>
  </si>
  <si>
    <t>原木</t>
    <phoneticPr fontId="16" type="noConversion"/>
  </si>
  <si>
    <t>薪柴</t>
    <phoneticPr fontId="16" type="noConversion"/>
  </si>
  <si>
    <t>Bamboo Product (unit)</t>
    <phoneticPr fontId="16" type="noConversion"/>
  </si>
  <si>
    <t>毛竹</t>
    <phoneticPr fontId="16" type="noConversion"/>
  </si>
  <si>
    <t>其他</t>
    <phoneticPr fontId="16" type="noConversion"/>
  </si>
  <si>
    <t>小杂竹（万吨）</t>
    <phoneticPr fontId="16" type="noConversion"/>
  </si>
  <si>
    <r>
      <rPr>
        <sz val="11"/>
        <rFont val="宋体"/>
        <family val="3"/>
        <charset val="134"/>
        <scheme val="minor"/>
      </rPr>
      <t>全国合计</t>
    </r>
  </si>
  <si>
    <r>
      <rPr>
        <sz val="11"/>
        <rFont val="宋体"/>
        <family val="3"/>
        <charset val="134"/>
        <scheme val="minor"/>
      </rPr>
      <t>北京</t>
    </r>
  </si>
  <si>
    <r>
      <rPr>
        <sz val="11"/>
        <rFont val="宋体"/>
        <family val="3"/>
        <charset val="134"/>
        <scheme val="minor"/>
      </rPr>
      <t>—</t>
    </r>
  </si>
  <si>
    <r>
      <rPr>
        <sz val="11"/>
        <rFont val="宋体"/>
        <family val="3"/>
        <charset val="134"/>
        <scheme val="minor"/>
      </rPr>
      <t>天津</t>
    </r>
  </si>
  <si>
    <r>
      <rPr>
        <sz val="11"/>
        <rFont val="宋体"/>
        <family val="3"/>
        <charset val="134"/>
        <scheme val="minor"/>
      </rPr>
      <t>一</t>
    </r>
  </si>
  <si>
    <r>
      <rPr>
        <sz val="11"/>
        <rFont val="宋体"/>
        <family val="3"/>
        <charset val="134"/>
        <scheme val="minor"/>
      </rPr>
      <t>河北</t>
    </r>
  </si>
  <si>
    <r>
      <rPr>
        <sz val="11"/>
        <rFont val="宋体"/>
        <family val="3"/>
        <charset val="134"/>
        <scheme val="minor"/>
      </rPr>
      <t>山西</t>
    </r>
  </si>
  <si>
    <r>
      <rPr>
        <sz val="11"/>
        <rFont val="宋体"/>
        <family val="3"/>
        <charset val="134"/>
        <scheme val="minor"/>
      </rPr>
      <t>内蒙古</t>
    </r>
  </si>
  <si>
    <r>
      <rPr>
        <sz val="11"/>
        <rFont val="宋体"/>
        <family val="3"/>
        <charset val="134"/>
        <scheme val="minor"/>
      </rPr>
      <t>辽宁</t>
    </r>
  </si>
  <si>
    <r>
      <rPr>
        <sz val="11"/>
        <rFont val="宋体"/>
        <family val="3"/>
        <charset val="134"/>
        <scheme val="minor"/>
      </rPr>
      <t>吉林</t>
    </r>
  </si>
  <si>
    <r>
      <rPr>
        <sz val="11"/>
        <rFont val="宋体"/>
        <family val="3"/>
        <charset val="134"/>
        <scheme val="minor"/>
      </rPr>
      <t>吉林集团</t>
    </r>
  </si>
  <si>
    <r>
      <rPr>
        <sz val="11"/>
        <rFont val="宋体"/>
        <family val="3"/>
        <charset val="134"/>
        <scheme val="minor"/>
      </rPr>
      <t>长白山集团</t>
    </r>
  </si>
  <si>
    <r>
      <rPr>
        <sz val="11"/>
        <rFont val="宋体"/>
        <family val="3"/>
        <charset val="134"/>
        <scheme val="minor"/>
      </rPr>
      <t>黑龙江</t>
    </r>
  </si>
  <si>
    <r>
      <rPr>
        <sz val="11"/>
        <rFont val="宋体"/>
        <family val="3"/>
        <charset val="134"/>
        <scheme val="minor"/>
      </rPr>
      <t>龙江集团</t>
    </r>
  </si>
  <si>
    <r>
      <rPr>
        <sz val="11"/>
        <rFont val="宋体"/>
        <family val="3"/>
        <charset val="134"/>
        <scheme val="minor"/>
      </rPr>
      <t>伊春集团</t>
    </r>
  </si>
  <si>
    <r>
      <rPr>
        <sz val="11"/>
        <rFont val="宋体"/>
        <family val="3"/>
        <charset val="134"/>
        <scheme val="minor"/>
      </rPr>
      <t>上海</t>
    </r>
  </si>
  <si>
    <r>
      <rPr>
        <sz val="11"/>
        <rFont val="宋体"/>
        <family val="3"/>
        <charset val="134"/>
        <scheme val="minor"/>
      </rPr>
      <t>江苏</t>
    </r>
  </si>
  <si>
    <r>
      <rPr>
        <sz val="11"/>
        <rFont val="宋体"/>
        <family val="3"/>
        <charset val="134"/>
        <scheme val="minor"/>
      </rPr>
      <t>浙江</t>
    </r>
  </si>
  <si>
    <r>
      <rPr>
        <sz val="11"/>
        <rFont val="宋体"/>
        <family val="3"/>
        <charset val="134"/>
        <scheme val="minor"/>
      </rPr>
      <t>安徽</t>
    </r>
  </si>
  <si>
    <r>
      <rPr>
        <sz val="11"/>
        <rFont val="宋体"/>
        <family val="3"/>
        <charset val="134"/>
        <scheme val="minor"/>
      </rPr>
      <t>福建</t>
    </r>
  </si>
  <si>
    <r>
      <rPr>
        <sz val="11"/>
        <rFont val="宋体"/>
        <family val="3"/>
        <charset val="134"/>
        <scheme val="minor"/>
      </rPr>
      <t>江西</t>
    </r>
  </si>
  <si>
    <r>
      <rPr>
        <sz val="11"/>
        <rFont val="宋体"/>
        <family val="3"/>
        <charset val="134"/>
        <scheme val="minor"/>
      </rPr>
      <t>山东</t>
    </r>
  </si>
  <si>
    <r>
      <rPr>
        <sz val="11"/>
        <rFont val="宋体"/>
        <family val="3"/>
        <charset val="134"/>
        <scheme val="minor"/>
      </rPr>
      <t>河南</t>
    </r>
  </si>
  <si>
    <r>
      <rPr>
        <sz val="11"/>
        <rFont val="宋体"/>
        <family val="3"/>
        <charset val="134"/>
        <scheme val="minor"/>
      </rPr>
      <t>湖北</t>
    </r>
  </si>
  <si>
    <r>
      <rPr>
        <sz val="11"/>
        <rFont val="宋体"/>
        <family val="3"/>
        <charset val="134"/>
        <scheme val="minor"/>
      </rPr>
      <t>湖南</t>
    </r>
  </si>
  <si>
    <r>
      <rPr>
        <sz val="11"/>
        <rFont val="宋体"/>
        <family val="3"/>
        <charset val="134"/>
        <scheme val="minor"/>
      </rPr>
      <t>广东</t>
    </r>
  </si>
  <si>
    <r>
      <rPr>
        <sz val="11"/>
        <rFont val="宋体"/>
        <family val="3"/>
        <charset val="134"/>
        <scheme val="minor"/>
      </rPr>
      <t>广西</t>
    </r>
  </si>
  <si>
    <r>
      <rPr>
        <sz val="11"/>
        <rFont val="宋体"/>
        <family val="3"/>
        <charset val="134"/>
        <scheme val="minor"/>
      </rPr>
      <t>海南</t>
    </r>
  </si>
  <si>
    <r>
      <rPr>
        <sz val="11"/>
        <rFont val="宋体"/>
        <family val="3"/>
        <charset val="134"/>
        <scheme val="minor"/>
      </rPr>
      <t>重庆</t>
    </r>
  </si>
  <si>
    <r>
      <rPr>
        <sz val="11"/>
        <rFont val="宋体"/>
        <family val="3"/>
        <charset val="134"/>
        <scheme val="minor"/>
      </rPr>
      <t>四川</t>
    </r>
  </si>
  <si>
    <r>
      <rPr>
        <sz val="11"/>
        <rFont val="宋体"/>
        <family val="3"/>
        <charset val="134"/>
        <scheme val="minor"/>
      </rPr>
      <t>贵州</t>
    </r>
  </si>
  <si>
    <r>
      <rPr>
        <sz val="11"/>
        <rFont val="宋体"/>
        <family val="3"/>
        <charset val="134"/>
        <scheme val="minor"/>
      </rPr>
      <t>云南</t>
    </r>
  </si>
  <si>
    <r>
      <rPr>
        <sz val="11"/>
        <rFont val="宋体"/>
        <family val="3"/>
        <charset val="134"/>
        <scheme val="minor"/>
      </rPr>
      <t>西藏</t>
    </r>
  </si>
  <si>
    <r>
      <rPr>
        <sz val="11"/>
        <rFont val="宋体"/>
        <family val="3"/>
        <charset val="134"/>
        <scheme val="minor"/>
      </rPr>
      <t>陕西</t>
    </r>
  </si>
  <si>
    <r>
      <rPr>
        <sz val="11"/>
        <rFont val="宋体"/>
        <family val="3"/>
        <charset val="134"/>
        <scheme val="minor"/>
      </rPr>
      <t>新疆兵团</t>
    </r>
  </si>
  <si>
    <r>
      <rPr>
        <sz val="11"/>
        <rFont val="宋体"/>
        <family val="3"/>
        <charset val="134"/>
        <scheme val="minor"/>
      </rPr>
      <t>大兴安岭</t>
    </r>
  </si>
  <si>
    <t>内蒙古集团</t>
    <phoneticPr fontId="16" type="noConversion"/>
  </si>
  <si>
    <t>宁夏</t>
    <phoneticPr fontId="16" type="noConversion"/>
  </si>
  <si>
    <t>青海</t>
    <phoneticPr fontId="16" type="noConversion"/>
  </si>
  <si>
    <t>甘肃</t>
    <phoneticPr fontId="16" type="noConversion"/>
  </si>
  <si>
    <t>2021 Provincial Forestry Product</t>
    <phoneticPr fontId="16" type="noConversion"/>
  </si>
  <si>
    <t>新疆</t>
    <phoneticPr fontId="16" type="noConversion"/>
  </si>
  <si>
    <t>CO2 Absorption from Forestry Product</t>
    <phoneticPr fontId="16" type="noConversion"/>
  </si>
  <si>
    <t>6-2 Land Use by Region (2019)</t>
    <phoneticPr fontId="16" type="noConversion"/>
  </si>
  <si>
    <t>China Environmental Statistical Yearbook 2021</t>
    <phoneticPr fontId="16" type="noConversion"/>
  </si>
  <si>
    <t>2009-2016 National land use area</t>
    <phoneticPr fontId="16" type="noConversion"/>
  </si>
  <si>
    <t>Panel Data on Land Use Types at the National and Provincial Levels 2009-2016</t>
    <phoneticPr fontId="16" type="noConversion"/>
  </si>
  <si>
    <t>Types of greenhouse gas emission sources and sinks in 2014</t>
    <phoneticPr fontId="16" type="noConversion"/>
  </si>
  <si>
    <t>The Second Biennial Update Report of the People's Republic of China on Climate Change</t>
    <phoneticPr fontId="16" type="noConversion"/>
  </si>
  <si>
    <t>Log growth from 2014 to 2020</t>
    <phoneticPr fontId="16" type="noConversion"/>
  </si>
  <si>
    <t>China Forestry and Grassland Statistical Yearbook</t>
    <phoneticPr fontId="16" type="noConversion"/>
  </si>
  <si>
    <t>Territorial Ecological Restoration Plan of Shandong Province (2021-2035)</t>
    <phoneticPr fontId="16" type="noConversion"/>
  </si>
  <si>
    <t>2020b</t>
    <phoneticPr fontId="27" type="noConversion"/>
  </si>
  <si>
    <r>
      <rPr>
        <b/>
        <sz val="10"/>
        <rFont val="Times New Roman"/>
        <family val="1"/>
      </rPr>
      <t>CO</t>
    </r>
    <r>
      <rPr>
        <b/>
        <sz val="6"/>
        <rFont val="Times New Roman"/>
        <family val="1"/>
      </rPr>
      <t>2</t>
    </r>
  </si>
  <si>
    <r>
      <rPr>
        <b/>
        <sz val="10"/>
        <rFont val="Times New Roman"/>
        <family val="1"/>
      </rPr>
      <t>CH</t>
    </r>
    <r>
      <rPr>
        <b/>
        <sz val="6"/>
        <rFont val="Times New Roman"/>
        <family val="1"/>
      </rPr>
      <t>4</t>
    </r>
  </si>
  <si>
    <r>
      <rPr>
        <b/>
        <sz val="10"/>
        <rFont val="Times New Roman"/>
        <family val="1"/>
      </rPr>
      <t>N</t>
    </r>
    <r>
      <rPr>
        <b/>
        <sz val="6"/>
        <rFont val="Times New Roman"/>
        <family val="1"/>
      </rPr>
      <t>2</t>
    </r>
    <r>
      <rPr>
        <b/>
        <sz val="10"/>
        <rFont val="Times New Roman"/>
        <family val="1"/>
      </rPr>
      <t>O</t>
    </r>
  </si>
  <si>
    <r>
      <rPr>
        <b/>
        <sz val="10"/>
        <rFont val="Times New Roman"/>
        <family val="1"/>
      </rPr>
      <t>3</t>
    </r>
    <r>
      <rPr>
        <b/>
        <sz val="10"/>
        <rFont val="Times New Roman"/>
        <family val="1"/>
      </rPr>
      <t>.</t>
    </r>
    <r>
      <rPr>
        <b/>
        <sz val="10"/>
        <rFont val="SimSun"/>
        <charset val="134"/>
      </rPr>
      <t>农业活动</t>
    </r>
  </si>
  <si>
    <r>
      <rPr>
        <sz val="10"/>
        <rFont val="Times New Roman"/>
        <family val="1"/>
      </rPr>
      <t>3.A</t>
    </r>
    <r>
      <rPr>
        <sz val="10"/>
        <rFont val="SimSun"/>
        <charset val="134"/>
      </rPr>
      <t>动物肠道发酵</t>
    </r>
  </si>
  <si>
    <r>
      <rPr>
        <sz val="10"/>
        <rFont val="Times New Roman"/>
        <family val="1"/>
      </rPr>
      <t>3.B</t>
    </r>
    <r>
      <rPr>
        <sz val="10"/>
        <rFont val="SimSun"/>
        <charset val="134"/>
      </rPr>
      <t>动物粪便管理</t>
    </r>
  </si>
  <si>
    <r>
      <rPr>
        <sz val="10"/>
        <rFont val="Times New Roman"/>
        <family val="1"/>
      </rPr>
      <t>3.C</t>
    </r>
    <r>
      <rPr>
        <sz val="10"/>
        <rFont val="SimSun"/>
        <charset val="134"/>
      </rPr>
      <t>水稻种植</t>
    </r>
  </si>
  <si>
    <r>
      <rPr>
        <sz val="10"/>
        <rFont val="Times New Roman"/>
        <family val="1"/>
      </rPr>
      <t>3.D</t>
    </r>
    <r>
      <rPr>
        <sz val="10"/>
        <rFont val="SimSun"/>
        <charset val="134"/>
      </rPr>
      <t>农用地</t>
    </r>
  </si>
  <si>
    <r>
      <rPr>
        <sz val="10"/>
        <rFont val="Times New Roman"/>
        <family val="1"/>
      </rPr>
      <t>3.F</t>
    </r>
    <r>
      <rPr>
        <sz val="10"/>
        <rFont val="SimSun"/>
        <charset val="134"/>
      </rPr>
      <t>秸秆田间焚烧</t>
    </r>
  </si>
  <si>
    <r>
      <rPr>
        <b/>
        <sz val="10"/>
        <rFont val="Times New Roman"/>
        <family val="1"/>
      </rPr>
      <t>4</t>
    </r>
    <r>
      <rPr>
        <b/>
        <sz val="10"/>
        <rFont val="Times New Roman"/>
        <family val="1"/>
      </rPr>
      <t>.</t>
    </r>
    <r>
      <rPr>
        <b/>
        <sz val="10"/>
        <rFont val="SimSun"/>
        <charset val="134"/>
      </rPr>
      <t>土地利用、土地利用变 化和林业</t>
    </r>
  </si>
  <si>
    <r>
      <rPr>
        <sz val="10"/>
        <rFont val="Times New Roman"/>
        <family val="1"/>
      </rPr>
      <t>4.A</t>
    </r>
    <r>
      <rPr>
        <sz val="10"/>
        <rFont val="SimSun"/>
        <charset val="134"/>
      </rPr>
      <t>林地</t>
    </r>
  </si>
  <si>
    <r>
      <rPr>
        <sz val="10"/>
        <rFont val="Times New Roman"/>
        <family val="1"/>
      </rPr>
      <t>4.B</t>
    </r>
    <r>
      <rPr>
        <sz val="10"/>
        <rFont val="SimSun"/>
        <charset val="134"/>
      </rPr>
      <t>农地</t>
    </r>
  </si>
  <si>
    <t>IE</t>
  </si>
  <si>
    <r>
      <rPr>
        <sz val="10"/>
        <rFont val="Times New Roman"/>
        <family val="1"/>
      </rPr>
      <t>4.C</t>
    </r>
    <r>
      <rPr>
        <sz val="10"/>
        <rFont val="SimSun"/>
        <charset val="134"/>
      </rPr>
      <t>草地</t>
    </r>
  </si>
  <si>
    <r>
      <rPr>
        <sz val="10"/>
        <rFont val="Times New Roman"/>
        <family val="1"/>
      </rPr>
      <t>4.D</t>
    </r>
    <r>
      <rPr>
        <sz val="10"/>
        <rFont val="SimSun"/>
        <charset val="134"/>
      </rPr>
      <t>湿地</t>
    </r>
  </si>
  <si>
    <t>NE</t>
  </si>
  <si>
    <r>
      <rPr>
        <sz val="10"/>
        <rFont val="Times New Roman"/>
        <family val="1"/>
      </rPr>
      <t>4.E</t>
    </r>
    <r>
      <rPr>
        <sz val="10"/>
        <rFont val="SimSun"/>
        <charset val="134"/>
      </rPr>
      <t>建设用地</t>
    </r>
  </si>
  <si>
    <r>
      <rPr>
        <sz val="10"/>
        <rFont val="Times New Roman"/>
        <family val="1"/>
      </rPr>
      <t>4.F</t>
    </r>
    <r>
      <rPr>
        <sz val="10"/>
        <rFont val="SimSun"/>
        <charset val="134"/>
      </rPr>
      <t>其他土地</t>
    </r>
  </si>
  <si>
    <r>
      <rPr>
        <sz val="10"/>
        <rFont val="Times New Roman"/>
        <family val="1"/>
      </rPr>
      <t>4.G</t>
    </r>
    <r>
      <rPr>
        <sz val="10"/>
        <rFont val="SimSun"/>
        <charset val="134"/>
      </rPr>
      <t>木质林产品</t>
    </r>
  </si>
  <si>
    <r>
      <rPr>
        <sz val="10"/>
        <rFont val="Times New Roman"/>
        <family val="1"/>
      </rPr>
      <t>4.H</t>
    </r>
    <r>
      <rPr>
        <sz val="10"/>
        <rFont val="SimSun"/>
        <charset val="134"/>
      </rPr>
      <t>其他生物质</t>
    </r>
  </si>
  <si>
    <t>NE</t>
    <phoneticPr fontId="27" type="noConversion"/>
  </si>
  <si>
    <t>Time (Year)</t>
  </si>
  <si>
    <t>Change in LULUCF Emissions[CO2] : MostRecentRun</t>
  </si>
  <si>
    <t>Change in LULUCF Emissions[VOC] : MostRecentRun</t>
  </si>
  <si>
    <t>Change in LULUCF Emissions[CO] : MostRecentRun</t>
  </si>
  <si>
    <t>Change in LULUCF Emissions[NOx] : MostRecentRun</t>
  </si>
  <si>
    <t>Change in LULUCF Emissions[PM10] : MostRecentRun</t>
  </si>
  <si>
    <t>Change in LULUCF Emissions[PM25] : MostRecentRun</t>
  </si>
  <si>
    <t>Change in LULUCF Emissions[SOx] : MostRecentRun</t>
  </si>
  <si>
    <t>Change in LULUCF Emissions[BC] : MostRecentRun</t>
  </si>
  <si>
    <t>Change in LULUCF Emissions[OC] : MostRecentRun</t>
  </si>
  <si>
    <t>Change in LULUCF Emissions[CH4] : MostRecentRun</t>
  </si>
  <si>
    <t>Change in LULUCF Emissions[N2O] : MostRecentRun</t>
  </si>
  <si>
    <t>Change in LULUCF Emissions[F gases] : MostRecentRun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</si>
</sst>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_ "/>
    <numFmt numFmtId="178" formatCode="0_ "/>
    <numFmt numFmtId="179" formatCode="0.0_ "/>
  </numFmts>
  <fonts count="34">
    <font>
      <sz val="11"/>
      <color theme="1"/>
      <name val="宋体"/>
      <charset val="134"/>
      <scheme val="minor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.55"/>
      <color rgb="FF000000"/>
      <name val="宋体"/>
      <family val="3"/>
      <charset val="134"/>
      <scheme val="minor"/>
    </font>
    <font>
      <sz val="9.9499999999999993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0.55"/>
      <color rgb="FF000000"/>
      <name val="宋体"/>
      <family val="3"/>
      <charset val="134"/>
      <scheme val="minor"/>
    </font>
    <font>
      <sz val="11"/>
      <color theme="3" tint="-0.249977111117893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.5"/>
      <name val="Microsoft JhengHei"/>
      <family val="2"/>
      <charset val="136"/>
    </font>
    <font>
      <b/>
      <sz val="10.5"/>
      <name val="Microsoft JhengHei"/>
      <family val="2"/>
    </font>
    <font>
      <sz val="9"/>
      <name val="宋体"/>
      <family val="3"/>
      <charset val="134"/>
      <scheme val="minor"/>
    </font>
    <font>
      <b/>
      <vertAlign val="superscript"/>
      <sz val="10.5"/>
      <name val="Times New Roman"/>
      <family val="1"/>
    </font>
    <font>
      <b/>
      <sz val="7"/>
      <name val="Times New Roman"/>
      <family val="1"/>
    </font>
    <font>
      <sz val="10.5"/>
      <name val="宋体"/>
      <family val="3"/>
      <charset val="134"/>
    </font>
    <font>
      <sz val="10.5"/>
      <name val="Times New Roman"/>
      <family val="1"/>
    </font>
    <font>
      <sz val="10.5"/>
      <color rgb="FF000000"/>
      <name val="Times New Roman"/>
      <family val="2"/>
    </font>
    <font>
      <sz val="10.5"/>
      <name val="Symbol"/>
      <family val="1"/>
    </font>
    <font>
      <sz val="10"/>
      <color rgb="FF000000"/>
      <name val="Times New Roman"/>
      <family val="2"/>
    </font>
    <font>
      <sz val="10"/>
      <name val="Times New Roman"/>
      <family val="1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6"/>
      <name val="Times New Roman"/>
      <family val="1"/>
    </font>
    <font>
      <b/>
      <sz val="10"/>
      <name val="SimSun"/>
      <charset val="134"/>
    </font>
    <font>
      <sz val="10"/>
      <name val="SimSun"/>
      <charset val="134"/>
    </font>
    <font>
      <sz val="9"/>
      <name val="宋体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9FAD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BEBEBE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</cellStyleXfs>
  <cellXfs count="136">
    <xf numFmtId="0" fontId="0" fillId="0" borderId="0" xfId="0">
      <alignment vertical="center"/>
    </xf>
    <xf numFmtId="49" fontId="1" fillId="0" borderId="0" xfId="0" applyNumberFormat="1" applyFont="1" applyAlignme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2" fillId="0" borderId="1" xfId="0" applyNumberFormat="1" applyFont="1" applyBorder="1" applyAlignment="1"/>
    <xf numFmtId="0" fontId="2" fillId="0" borderId="1" xfId="0" applyFont="1" applyBorder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2" xfId="0" applyFont="1" applyBorder="1" applyAlignment="1">
      <alignment horizontal="right" vertical="center" wrapText="1"/>
    </xf>
    <xf numFmtId="0" fontId="7" fillId="2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4" borderId="0" xfId="0" applyFont="1" applyFill="1">
      <alignment vertical="center"/>
    </xf>
    <xf numFmtId="0" fontId="10" fillId="0" borderId="0" xfId="2">
      <alignment vertical="center"/>
    </xf>
    <xf numFmtId="0" fontId="11" fillId="0" borderId="0" xfId="0" applyFont="1" applyAlignment="1"/>
    <xf numFmtId="0" fontId="11" fillId="0" borderId="0" xfId="0" applyFont="1" applyAlignment="1">
      <alignment horizontal="right"/>
    </xf>
    <xf numFmtId="11" fontId="11" fillId="0" borderId="0" xfId="0" applyNumberFormat="1" applyFont="1" applyAlignment="1"/>
    <xf numFmtId="0" fontId="0" fillId="0" borderId="0" xfId="0" applyAlignment="1"/>
    <xf numFmtId="49" fontId="12" fillId="2" borderId="2" xfId="1" applyNumberFormat="1" applyFont="1" applyFill="1" applyBorder="1" applyAlignment="1" applyProtection="1">
      <alignment horizontal="center" vertical="center"/>
    </xf>
    <xf numFmtId="49" fontId="12" fillId="6" borderId="2" xfId="1" applyNumberFormat="1" applyFont="1" applyFill="1" applyBorder="1" applyAlignment="1" applyProtection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6" xfId="0" applyFill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49" fontId="0" fillId="5" borderId="2" xfId="3" applyNumberFormat="1" applyFont="1" applyFill="1" applyBorder="1" applyAlignment="1" applyProtection="1">
      <alignment vertical="center" wrapText="1"/>
    </xf>
    <xf numFmtId="0" fontId="2" fillId="7" borderId="2" xfId="0" applyFont="1" applyFill="1" applyBorder="1" applyAlignment="1">
      <alignment horizontal="center" vertical="center"/>
    </xf>
    <xf numFmtId="49" fontId="0" fillId="2" borderId="2" xfId="3" applyNumberFormat="1" applyFont="1" applyFill="1" applyBorder="1" applyAlignment="1" applyProtection="1">
      <alignment vertical="center" wrapText="1"/>
    </xf>
    <xf numFmtId="0" fontId="0" fillId="3" borderId="2" xfId="0" applyFill="1" applyBorder="1">
      <alignment vertical="center"/>
    </xf>
    <xf numFmtId="49" fontId="12" fillId="2" borderId="2" xfId="1" applyNumberFormat="1" applyFont="1" applyFill="1" applyBorder="1" applyAlignment="1" applyProtection="1">
      <alignment horizontal="center" vertical="center" wrapText="1"/>
    </xf>
    <xf numFmtId="0" fontId="0" fillId="8" borderId="0" xfId="0" applyFill="1">
      <alignment vertical="center"/>
    </xf>
    <xf numFmtId="0" fontId="14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176" fontId="21" fillId="0" borderId="7" xfId="0" applyNumberFormat="1" applyFont="1" applyBorder="1" applyAlignment="1">
      <alignment horizontal="right" vertical="top" shrinkToFit="1"/>
    </xf>
    <xf numFmtId="0" fontId="0" fillId="11" borderId="7" xfId="0" applyFill="1" applyBorder="1" applyAlignment="1">
      <alignment horizontal="left" wrapText="1"/>
    </xf>
    <xf numFmtId="0" fontId="20" fillId="0" borderId="7" xfId="0" applyFont="1" applyBorder="1" applyAlignment="1">
      <alignment horizontal="right" vertical="top" wrapText="1"/>
    </xf>
    <xf numFmtId="176" fontId="23" fillId="0" borderId="7" xfId="0" applyNumberFormat="1" applyFont="1" applyBorder="1" applyAlignment="1">
      <alignment horizontal="right" vertical="top" shrinkToFit="1"/>
    </xf>
    <xf numFmtId="0" fontId="24" fillId="0" borderId="7" xfId="0" applyFont="1" applyBorder="1" applyAlignment="1">
      <alignment horizontal="right" vertical="top" wrapText="1"/>
    </xf>
    <xf numFmtId="0" fontId="11" fillId="0" borderId="0" xfId="0" applyFont="1">
      <alignment vertical="center"/>
    </xf>
    <xf numFmtId="0" fontId="0" fillId="0" borderId="7" xfId="0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11" fillId="0" borderId="2" xfId="0" applyFont="1" applyBorder="1">
      <alignment vertical="center"/>
    </xf>
    <xf numFmtId="1" fontId="2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right" vertical="top" wrapText="1"/>
    </xf>
    <xf numFmtId="176" fontId="21" fillId="0" borderId="1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49" fontId="2" fillId="0" borderId="12" xfId="4" applyNumberFormat="1" applyFont="1" applyBorder="1" applyAlignment="1">
      <alignment horizontal="center" vertical="center"/>
    </xf>
    <xf numFmtId="49" fontId="2" fillId="0" borderId="2" xfId="4" applyNumberFormat="1" applyFont="1" applyBorder="1" applyAlignment="1">
      <alignment horizontal="center" vertical="center"/>
    </xf>
    <xf numFmtId="49" fontId="2" fillId="0" borderId="13" xfId="4" applyNumberFormat="1" applyFont="1" applyBorder="1" applyAlignment="1">
      <alignment horizontal="center" vertical="center" wrapText="1"/>
    </xf>
    <xf numFmtId="49" fontId="2" fillId="0" borderId="14" xfId="4" applyNumberFormat="1" applyFont="1" applyBorder="1">
      <alignment vertical="center"/>
    </xf>
    <xf numFmtId="49" fontId="2" fillId="0" borderId="3" xfId="4" applyNumberFormat="1" applyFont="1" applyBorder="1" applyAlignment="1">
      <alignment horizontal="center" vertical="center"/>
    </xf>
    <xf numFmtId="49" fontId="2" fillId="0" borderId="17" xfId="4" applyNumberFormat="1" applyFont="1" applyBorder="1">
      <alignment vertical="center"/>
    </xf>
    <xf numFmtId="49" fontId="2" fillId="0" borderId="18" xfId="4" applyNumberFormat="1" applyFont="1" applyBorder="1" applyAlignment="1">
      <alignment horizontal="center" vertical="center"/>
    </xf>
    <xf numFmtId="49" fontId="2" fillId="0" borderId="20" xfId="4" applyNumberFormat="1" applyFont="1" applyBorder="1">
      <alignment vertical="center"/>
    </xf>
    <xf numFmtId="49" fontId="2" fillId="0" borderId="4" xfId="4" applyNumberFormat="1" applyFont="1" applyBorder="1" applyAlignment="1">
      <alignment horizontal="center" vertical="center"/>
    </xf>
    <xf numFmtId="0" fontId="2" fillId="0" borderId="15" xfId="4" applyFont="1" applyBorder="1" applyAlignment="1">
      <alignment horizontal="right" vertical="center"/>
    </xf>
    <xf numFmtId="0" fontId="2" fillId="0" borderId="16" xfId="4" applyFont="1" applyBorder="1" applyAlignment="1">
      <alignment horizontal="right" vertical="center"/>
    </xf>
    <xf numFmtId="0" fontId="2" fillId="0" borderId="19" xfId="4" applyFont="1" applyBorder="1" applyAlignment="1">
      <alignment horizontal="right" vertical="center"/>
    </xf>
    <xf numFmtId="0" fontId="2" fillId="3" borderId="0" xfId="4" applyFont="1" applyFill="1" applyAlignment="1">
      <alignment horizontal="right" vertical="center"/>
    </xf>
    <xf numFmtId="0" fontId="2" fillId="0" borderId="0" xfId="4" applyFont="1" applyAlignment="1">
      <alignment horizontal="right" vertical="center"/>
    </xf>
    <xf numFmtId="0" fontId="2" fillId="0" borderId="21" xfId="4" applyFont="1" applyBorder="1" applyAlignment="1">
      <alignment horizontal="right" vertical="center"/>
    </xf>
    <xf numFmtId="0" fontId="2" fillId="0" borderId="1" xfId="4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0" fontId="11" fillId="0" borderId="2" xfId="0" applyFont="1" applyBorder="1" applyAlignment="1">
      <alignment horizontal="center" vertical="center"/>
    </xf>
    <xf numFmtId="178" fontId="0" fillId="0" borderId="2" xfId="0" applyNumberFormat="1" applyBorder="1" applyAlignment="1">
      <alignment horizontal="right" vertical="center"/>
    </xf>
    <xf numFmtId="178" fontId="0" fillId="0" borderId="2" xfId="0" applyNumberFormat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179" fontId="11" fillId="0" borderId="4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79" fontId="0" fillId="0" borderId="2" xfId="0" applyNumberForma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17" xfId="0" applyFont="1" applyBorder="1" applyAlignment="1">
      <alignment horizontal="center" vertical="top"/>
    </xf>
    <xf numFmtId="0" fontId="11" fillId="0" borderId="1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0" borderId="3" xfId="0" applyFont="1" applyBorder="1" applyAlignment="1">
      <alignment horizontal="justify" vertical="top"/>
    </xf>
    <xf numFmtId="0" fontId="11" fillId="0" borderId="18" xfId="0" applyFont="1" applyBorder="1" applyAlignment="1">
      <alignment horizontal="justify" vertical="center"/>
    </xf>
    <xf numFmtId="0" fontId="9" fillId="0" borderId="18" xfId="0" applyFont="1" applyBorder="1" applyAlignment="1">
      <alignment horizontal="left" vertical="center" indent="2"/>
    </xf>
    <xf numFmtId="0" fontId="11" fillId="0" borderId="18" xfId="0" applyFont="1" applyBorder="1" applyAlignment="1">
      <alignment horizontal="left" vertical="center" indent="2"/>
    </xf>
    <xf numFmtId="0" fontId="11" fillId="0" borderId="18" xfId="0" applyFont="1" applyBorder="1" applyAlignment="1">
      <alignment horizontal="justify" vertical="top"/>
    </xf>
    <xf numFmtId="0" fontId="11" fillId="0" borderId="18" xfId="0" applyFont="1" applyBorder="1" applyAlignment="1">
      <alignment horizontal="justify"/>
    </xf>
    <xf numFmtId="0" fontId="9" fillId="0" borderId="18" xfId="0" applyFont="1" applyBorder="1" applyAlignment="1">
      <alignment horizontal="justify" vertical="center" wrapText="1"/>
    </xf>
    <xf numFmtId="0" fontId="11" fillId="0" borderId="18" xfId="0" applyFont="1" applyBorder="1">
      <alignment vertical="center"/>
    </xf>
    <xf numFmtId="0" fontId="11" fillId="0" borderId="4" xfId="0" applyFont="1" applyBorder="1" applyAlignment="1">
      <alignment horizontal="left" vertical="center" indent="1"/>
    </xf>
    <xf numFmtId="0" fontId="11" fillId="4" borderId="0" xfId="0" applyFont="1" applyFill="1">
      <alignment vertical="center"/>
    </xf>
    <xf numFmtId="0" fontId="25" fillId="0" borderId="2" xfId="4" applyBorder="1" applyAlignment="1">
      <alignment horizontal="center" vertical="center"/>
    </xf>
    <xf numFmtId="0" fontId="25" fillId="0" borderId="2" xfId="4" applyBorder="1" applyAlignment="1">
      <alignment horizontal="left" vertical="center"/>
    </xf>
    <xf numFmtId="178" fontId="28" fillId="0" borderId="2" xfId="4" applyNumberFormat="1" applyFont="1" applyBorder="1" applyAlignment="1">
      <alignment horizontal="center" vertical="center"/>
    </xf>
    <xf numFmtId="0" fontId="25" fillId="0" borderId="2" xfId="4" applyBorder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8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49" fontId="0" fillId="5" borderId="2" xfId="3" applyNumberFormat="1" applyFont="1" applyFill="1" applyBorder="1" applyAlignment="1" applyProtection="1">
      <alignment horizontal="center" vertical="center" wrapText="1"/>
    </xf>
    <xf numFmtId="49" fontId="0" fillId="5" borderId="3" xfId="3" applyNumberFormat="1" applyFont="1" applyFill="1" applyBorder="1" applyAlignment="1" applyProtection="1">
      <alignment horizontal="center" vertical="center" wrapText="1"/>
    </xf>
    <xf numFmtId="49" fontId="0" fillId="5" borderId="4" xfId="3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1" fontId="0" fillId="0" borderId="0" xfId="0" applyNumberFormat="1">
      <alignment vertical="center"/>
    </xf>
  </cellXfs>
  <cellStyles count="6">
    <cellStyle name="20% - 着色 5" xfId="1" builtinId="46"/>
    <cellStyle name="40% - 着色 5" xfId="3" builtinId="47"/>
    <cellStyle name="常规" xfId="0" builtinId="0"/>
    <cellStyle name="常规 2" xfId="4" xr:uid="{555CD2C9-6C9C-4F39-B50A-5CA23BA15273}"/>
    <cellStyle name="超链接" xfId="2" builtinId="8"/>
    <cellStyle name="超链接 2" xfId="5" xr:uid="{9B9106AB-0BA7-4DB2-BE28-D1D7D45430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zrzyj.dezhou.gov.cn/n54284823/n54284838/c69106044/part/69106048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zoomScale="84" zoomScaleNormal="84" workbookViewId="0">
      <selection activeCell="B19" sqref="B19"/>
    </sheetView>
  </sheetViews>
  <sheetFormatPr defaultColWidth="9.25" defaultRowHeight="13.5"/>
  <cols>
    <col min="2" max="2" width="45.375" customWidth="1"/>
  </cols>
  <sheetData>
    <row r="1" spans="1:2">
      <c r="A1" t="s">
        <v>348</v>
      </c>
    </row>
    <row r="4" spans="1:2">
      <c r="A4" t="s">
        <v>349</v>
      </c>
      <c r="B4" s="114" t="s">
        <v>795</v>
      </c>
    </row>
    <row r="5" spans="1:2">
      <c r="B5" s="53" t="s">
        <v>796</v>
      </c>
    </row>
    <row r="7" spans="1:2">
      <c r="B7" s="114" t="s">
        <v>797</v>
      </c>
    </row>
    <row r="8" spans="1:2">
      <c r="B8" s="53" t="s">
        <v>798</v>
      </c>
    </row>
    <row r="10" spans="1:2">
      <c r="B10" s="27" t="s">
        <v>799</v>
      </c>
    </row>
    <row r="11" spans="1:2">
      <c r="B11" s="53" t="s">
        <v>800</v>
      </c>
    </row>
    <row r="13" spans="1:2">
      <c r="B13" s="114" t="s">
        <v>801</v>
      </c>
    </row>
    <row r="14" spans="1:2">
      <c r="B14" s="53" t="s">
        <v>802</v>
      </c>
    </row>
    <row r="16" spans="1:2">
      <c r="B16" s="114" t="s">
        <v>803</v>
      </c>
    </row>
    <row r="17" spans="1:2">
      <c r="B17" s="28" t="s">
        <v>351</v>
      </c>
    </row>
    <row r="19" spans="1:2">
      <c r="A19" t="s">
        <v>352</v>
      </c>
      <c r="B19" t="s">
        <v>353</v>
      </c>
    </row>
    <row r="20" spans="1:2">
      <c r="B20" t="s">
        <v>354</v>
      </c>
    </row>
    <row r="21" spans="1:2">
      <c r="B21" t="s">
        <v>355</v>
      </c>
    </row>
    <row r="22" spans="1:2">
      <c r="B22" t="s">
        <v>356</v>
      </c>
    </row>
  </sheetData>
  <phoneticPr fontId="16" type="noConversion"/>
  <hyperlinks>
    <hyperlink ref="B17" r:id="rId1" xr:uid="{00000000-0004-0000-03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topLeftCell="B1" zoomScale="108" zoomScaleNormal="108" workbookViewId="0">
      <selection activeCell="K9" sqref="K9"/>
    </sheetView>
  </sheetViews>
  <sheetFormatPr defaultColWidth="9.25" defaultRowHeight="15" customHeight="1"/>
  <cols>
    <col min="3" max="3" width="14.125"/>
    <col min="6" max="6" width="28.25" customWidth="1"/>
    <col min="11" max="11" width="14.375" customWidth="1"/>
    <col min="12" max="12" width="23.875" customWidth="1"/>
    <col min="13" max="13" width="11.375" customWidth="1"/>
    <col min="14" max="14" width="22.875" customWidth="1"/>
  </cols>
  <sheetData>
    <row r="1" spans="1:14" ht="15" customHeight="1">
      <c r="A1" t="s">
        <v>357</v>
      </c>
      <c r="F1" s="53" t="s">
        <v>691</v>
      </c>
      <c r="K1" s="53" t="s">
        <v>703</v>
      </c>
    </row>
    <row r="2" spans="1:14" ht="15" customHeight="1">
      <c r="A2" s="23" t="s">
        <v>358</v>
      </c>
      <c r="B2" s="11" t="s">
        <v>323</v>
      </c>
      <c r="C2" s="24" t="s">
        <v>359</v>
      </c>
      <c r="F2" s="45" t="s">
        <v>642</v>
      </c>
      <c r="G2" s="46" t="s">
        <v>643</v>
      </c>
      <c r="H2" s="46" t="s">
        <v>644</v>
      </c>
      <c r="I2" s="46" t="s">
        <v>645</v>
      </c>
      <c r="K2" s="55" t="s">
        <v>700</v>
      </c>
      <c r="L2" s="56" t="s">
        <v>702</v>
      </c>
      <c r="M2" s="56" t="s">
        <v>701</v>
      </c>
      <c r="N2" s="56" t="s">
        <v>702</v>
      </c>
    </row>
    <row r="3" spans="1:14" ht="15" customHeight="1">
      <c r="A3" s="25" t="s">
        <v>6</v>
      </c>
      <c r="B3" s="25">
        <v>-83973</v>
      </c>
      <c r="C3">
        <f>B3/(163.72*10^4)</f>
        <v>-5.1290618128512093E-2</v>
      </c>
      <c r="F3" s="47" t="s">
        <v>646</v>
      </c>
      <c r="G3" s="48">
        <v>912394</v>
      </c>
      <c r="H3" s="48">
        <v>5529.2</v>
      </c>
      <c r="I3" s="48">
        <v>196.7</v>
      </c>
      <c r="K3" s="55" t="s">
        <v>692</v>
      </c>
      <c r="L3" s="57">
        <v>17015</v>
      </c>
      <c r="M3" s="55" t="s">
        <v>693</v>
      </c>
      <c r="N3" s="57">
        <v>13506</v>
      </c>
    </row>
    <row r="4" spans="1:14" ht="15" customHeight="1">
      <c r="A4" s="25" t="s">
        <v>360</v>
      </c>
      <c r="B4" s="25">
        <v>-4946</v>
      </c>
      <c r="C4">
        <f>B4/'2009-2016 National Land Use'!C25</f>
        <v>-3.662148420917536E-2</v>
      </c>
      <c r="F4" s="47" t="s">
        <v>647</v>
      </c>
      <c r="G4" s="48">
        <v>892492.9</v>
      </c>
      <c r="H4" s="48">
        <v>2475.6999999999998</v>
      </c>
      <c r="I4" s="48">
        <v>36.700000000000003</v>
      </c>
      <c r="K4" s="55" t="s">
        <v>694</v>
      </c>
      <c r="L4" s="57">
        <v>632</v>
      </c>
      <c r="M4" s="55" t="s">
        <v>695</v>
      </c>
      <c r="N4" s="57">
        <v>28656</v>
      </c>
    </row>
    <row r="5" spans="1:14" ht="15" customHeight="1">
      <c r="A5" s="25" t="s">
        <v>7</v>
      </c>
      <c r="B5" s="25">
        <v>-10916</v>
      </c>
      <c r="C5">
        <f>B5/'2009-2016 National Land Use'!F25</f>
        <v>-3.8094865847862036E-2</v>
      </c>
      <c r="F5" s="47" t="s">
        <v>648</v>
      </c>
      <c r="G5" s="48">
        <v>892492.9</v>
      </c>
      <c r="H5" s="48">
        <v>261.39999999999998</v>
      </c>
      <c r="I5" s="48">
        <v>36.700000000000003</v>
      </c>
      <c r="K5" s="55" t="s">
        <v>696</v>
      </c>
      <c r="L5" s="57">
        <v>357</v>
      </c>
      <c r="M5" s="55" t="s">
        <v>697</v>
      </c>
      <c r="N5" s="57">
        <v>3973</v>
      </c>
    </row>
    <row r="6" spans="1:14" ht="15" customHeight="1">
      <c r="A6" s="25" t="s">
        <v>317</v>
      </c>
      <c r="B6" s="25">
        <v>-4454</v>
      </c>
      <c r="C6">
        <f>B6/'2009-2016 National Land Use'!G25</f>
        <v>-0.11210672036244651</v>
      </c>
      <c r="F6" s="54" t="s">
        <v>649</v>
      </c>
      <c r="G6" s="48">
        <v>399534.4</v>
      </c>
      <c r="H6" s="48">
        <v>5</v>
      </c>
      <c r="I6" s="48">
        <v>22.3</v>
      </c>
      <c r="K6" s="55" t="s">
        <v>698</v>
      </c>
      <c r="L6" s="58">
        <v>7363</v>
      </c>
      <c r="M6" s="55" t="s">
        <v>699</v>
      </c>
      <c r="N6" s="57">
        <v>3723</v>
      </c>
    </row>
    <row r="7" spans="1:14" ht="15" customHeight="1">
      <c r="A7" s="25" t="s">
        <v>319</v>
      </c>
      <c r="B7" s="25">
        <v>253</v>
      </c>
      <c r="C7">
        <f>B7/'2009-2016 National Land Use'!J25</f>
        <v>6.5028307447668908E-3</v>
      </c>
      <c r="F7" s="54" t="s">
        <v>650</v>
      </c>
      <c r="G7" s="48">
        <v>342350.6</v>
      </c>
      <c r="H7" s="48">
        <v>32.4</v>
      </c>
      <c r="I7" s="48">
        <v>6.5</v>
      </c>
    </row>
    <row r="8" spans="1:14" ht="15" customHeight="1">
      <c r="A8" s="25" t="s">
        <v>361</v>
      </c>
      <c r="B8">
        <v>0</v>
      </c>
      <c r="C8">
        <v>0</v>
      </c>
      <c r="F8" s="54" t="s">
        <v>651</v>
      </c>
      <c r="G8" s="48">
        <v>81974</v>
      </c>
      <c r="H8" s="48">
        <v>7.9</v>
      </c>
      <c r="I8" s="48">
        <v>2.1</v>
      </c>
      <c r="K8" s="60" t="s">
        <v>704</v>
      </c>
    </row>
    <row r="9" spans="1:14" ht="15" customHeight="1">
      <c r="F9" s="54" t="s">
        <v>652</v>
      </c>
      <c r="G9" s="48">
        <v>62317.8</v>
      </c>
      <c r="H9" s="48">
        <v>77.7</v>
      </c>
      <c r="I9" s="48">
        <v>0.7</v>
      </c>
      <c r="K9" s="59">
        <v>163.72</v>
      </c>
      <c r="L9" s="53" t="s">
        <v>705</v>
      </c>
    </row>
    <row r="10" spans="1:14" ht="15" customHeight="1">
      <c r="F10" s="54" t="s">
        <v>653</v>
      </c>
      <c r="G10" s="48">
        <v>6316.1</v>
      </c>
      <c r="H10" s="48">
        <v>138.4</v>
      </c>
      <c r="I10" s="48">
        <v>5.0999999999999996</v>
      </c>
    </row>
    <row r="11" spans="1:14" ht="15" customHeight="1">
      <c r="F11" s="47" t="s">
        <v>654</v>
      </c>
      <c r="G11" s="49"/>
      <c r="H11" s="48">
        <v>2214.1999999999998</v>
      </c>
      <c r="I11" s="49"/>
    </row>
    <row r="12" spans="1:14" ht="15" customHeight="1">
      <c r="A12" s="26" t="s">
        <v>362</v>
      </c>
      <c r="B12" s="26"/>
      <c r="F12" s="54" t="s">
        <v>655</v>
      </c>
      <c r="G12" s="49"/>
      <c r="H12" s="48">
        <v>2101.5</v>
      </c>
      <c r="I12" s="49"/>
    </row>
    <row r="13" spans="1:14" ht="15" customHeight="1">
      <c r="A13" s="26" t="s">
        <v>363</v>
      </c>
      <c r="B13" s="26"/>
      <c r="F13" s="54" t="s">
        <v>656</v>
      </c>
      <c r="G13" s="49"/>
      <c r="H13" s="48">
        <v>112.7</v>
      </c>
      <c r="I13" s="49"/>
    </row>
    <row r="14" spans="1:14" ht="15" customHeight="1">
      <c r="A14" s="26" t="s">
        <v>364</v>
      </c>
      <c r="B14" s="26" t="s">
        <v>365</v>
      </c>
      <c r="F14" s="47" t="s">
        <v>657</v>
      </c>
      <c r="G14" s="48">
        <v>132986.6</v>
      </c>
      <c r="H14" s="48">
        <v>0.6</v>
      </c>
      <c r="I14" s="48">
        <v>31.1</v>
      </c>
    </row>
    <row r="15" spans="1:14" ht="15" customHeight="1">
      <c r="F15" s="47" t="s">
        <v>658</v>
      </c>
      <c r="G15" s="48">
        <v>91520.2</v>
      </c>
      <c r="H15" s="49"/>
      <c r="I15" s="49"/>
    </row>
    <row r="16" spans="1:14" ht="15" customHeight="1">
      <c r="F16" s="47" t="s">
        <v>659</v>
      </c>
      <c r="G16" s="48">
        <v>14196.3</v>
      </c>
      <c r="H16" s="50" t="s">
        <v>660</v>
      </c>
      <c r="I16" s="51">
        <v>31.1</v>
      </c>
    </row>
    <row r="17" spans="6:17" ht="15" customHeight="1">
      <c r="F17" s="47" t="s">
        <v>661</v>
      </c>
      <c r="G17" s="48">
        <v>27270.2</v>
      </c>
      <c r="H17" s="51">
        <v>0.6</v>
      </c>
      <c r="I17" s="50" t="s">
        <v>660</v>
      </c>
    </row>
    <row r="18" spans="6:17" ht="15" customHeight="1">
      <c r="F18" s="47" t="s">
        <v>662</v>
      </c>
      <c r="G18" s="49"/>
      <c r="H18" s="49"/>
      <c r="I18" s="49"/>
    </row>
    <row r="19" spans="6:17" ht="15" customHeight="1">
      <c r="F19" s="47" t="s">
        <v>663</v>
      </c>
      <c r="G19" s="49"/>
      <c r="H19" s="49"/>
      <c r="I19" s="49"/>
    </row>
    <row r="20" spans="6:17" ht="15" customHeight="1">
      <c r="F20" s="47" t="s">
        <v>664</v>
      </c>
      <c r="G20" s="49"/>
      <c r="H20" s="48">
        <v>2224.5</v>
      </c>
      <c r="I20" s="48">
        <v>117</v>
      </c>
    </row>
    <row r="21" spans="6:17" ht="15" customHeight="1">
      <c r="F21" s="47" t="s">
        <v>665</v>
      </c>
      <c r="G21" s="49"/>
      <c r="H21" s="48">
        <v>985.6</v>
      </c>
      <c r="I21" s="49"/>
    </row>
    <row r="22" spans="6:17" ht="15" customHeight="1">
      <c r="F22" s="47" t="s">
        <v>666</v>
      </c>
      <c r="G22" s="49"/>
      <c r="H22" s="48">
        <v>315.5</v>
      </c>
      <c r="I22" s="51">
        <v>23.3</v>
      </c>
    </row>
    <row r="23" spans="6:17" ht="15" customHeight="1">
      <c r="F23" s="47" t="s">
        <v>667</v>
      </c>
      <c r="G23" s="49"/>
      <c r="H23" s="48">
        <v>891.1</v>
      </c>
      <c r="I23" s="49"/>
    </row>
    <row r="24" spans="6:17" ht="15" customHeight="1">
      <c r="F24" s="47" t="s">
        <v>668</v>
      </c>
      <c r="G24" s="49"/>
      <c r="H24" s="50" t="s">
        <v>660</v>
      </c>
      <c r="I24" s="48">
        <v>93</v>
      </c>
    </row>
    <row r="25" spans="6:17" ht="15" customHeight="1">
      <c r="F25" s="47" t="s">
        <v>669</v>
      </c>
      <c r="G25" s="49"/>
      <c r="H25" s="52" t="s">
        <v>670</v>
      </c>
      <c r="I25" s="50" t="s">
        <v>671</v>
      </c>
    </row>
    <row r="26" spans="6:17" ht="15" customHeight="1">
      <c r="F26" s="47" t="s">
        <v>672</v>
      </c>
      <c r="G26" s="49"/>
      <c r="H26" s="51">
        <v>32.299999999999997</v>
      </c>
      <c r="I26" s="48">
        <v>0.7</v>
      </c>
      <c r="M26" s="53" t="s">
        <v>715</v>
      </c>
      <c r="N26" s="53" t="s">
        <v>702</v>
      </c>
      <c r="O26" s="53" t="s">
        <v>716</v>
      </c>
      <c r="Q26" s="53" t="s">
        <v>717</v>
      </c>
    </row>
    <row r="27" spans="6:17" ht="15" customHeight="1">
      <c r="F27" s="47" t="s">
        <v>673</v>
      </c>
      <c r="G27" s="48">
        <v>-115091</v>
      </c>
      <c r="H27" s="51">
        <v>172</v>
      </c>
      <c r="I27" s="50" t="s">
        <v>674</v>
      </c>
      <c r="K27" s="119" t="s">
        <v>706</v>
      </c>
      <c r="L27" s="53" t="s">
        <v>707</v>
      </c>
      <c r="M27" s="62">
        <f>G27</f>
        <v>-115091</v>
      </c>
      <c r="Q27" s="83"/>
    </row>
    <row r="28" spans="6:17" ht="15" customHeight="1">
      <c r="F28" s="47" t="s">
        <v>675</v>
      </c>
      <c r="G28" s="48">
        <v>-83973</v>
      </c>
      <c r="H28" s="49"/>
      <c r="I28" s="49"/>
      <c r="K28" s="120"/>
      <c r="L28" s="53" t="s">
        <v>708</v>
      </c>
      <c r="M28" s="62">
        <f>G28</f>
        <v>-83973</v>
      </c>
      <c r="O28">
        <f>K9*10^4</f>
        <v>1637200</v>
      </c>
      <c r="Q28" s="83">
        <f>M28/O28</f>
        <v>-5.1290618128512093E-2</v>
      </c>
    </row>
    <row r="29" spans="6:17" ht="15" customHeight="1">
      <c r="F29" s="47" t="s">
        <v>676</v>
      </c>
      <c r="G29" s="48">
        <v>-4946</v>
      </c>
      <c r="H29" s="50" t="s">
        <v>677</v>
      </c>
      <c r="I29" s="50" t="s">
        <v>677</v>
      </c>
      <c r="K29" s="120"/>
      <c r="L29" s="53" t="s">
        <v>709</v>
      </c>
      <c r="M29" s="62">
        <f t="shared" ref="M29:M34" si="0">G29</f>
        <v>-4946</v>
      </c>
      <c r="N29" s="63">
        <f>N3</f>
        <v>13506</v>
      </c>
      <c r="Q29" s="83">
        <f>M29/N29</f>
        <v>-0.36620761143195618</v>
      </c>
    </row>
    <row r="30" spans="6:17" ht="15" customHeight="1">
      <c r="F30" s="47" t="s">
        <v>678</v>
      </c>
      <c r="G30" s="48">
        <v>-10916</v>
      </c>
      <c r="H30" s="50" t="s">
        <v>677</v>
      </c>
      <c r="I30" s="50" t="s">
        <v>677</v>
      </c>
      <c r="K30" s="120"/>
      <c r="L30" s="53" t="s">
        <v>710</v>
      </c>
      <c r="M30" s="62">
        <f t="shared" si="0"/>
        <v>-10916</v>
      </c>
      <c r="N30" s="63">
        <f>N4</f>
        <v>28656</v>
      </c>
      <c r="Q30" s="83">
        <f t="shared" ref="Q30:Q33" si="1">M30/N30</f>
        <v>-0.38093243997766613</v>
      </c>
    </row>
    <row r="31" spans="6:17" ht="15" customHeight="1">
      <c r="F31" s="47" t="s">
        <v>679</v>
      </c>
      <c r="G31" s="48">
        <v>-4454</v>
      </c>
      <c r="H31" s="51">
        <v>172</v>
      </c>
      <c r="I31" s="50" t="s">
        <v>680</v>
      </c>
      <c r="K31" s="120"/>
      <c r="L31" s="53" t="s">
        <v>711</v>
      </c>
      <c r="M31" s="62">
        <f t="shared" si="0"/>
        <v>-4454</v>
      </c>
      <c r="N31" s="63">
        <f>N5</f>
        <v>3973</v>
      </c>
      <c r="Q31" s="83">
        <f t="shared" si="1"/>
        <v>-1.1210672036244651</v>
      </c>
    </row>
    <row r="32" spans="6:17" ht="15" customHeight="1">
      <c r="F32" s="47" t="s">
        <v>681</v>
      </c>
      <c r="G32" s="48">
        <v>253</v>
      </c>
      <c r="H32" s="49"/>
      <c r="I32" s="49"/>
      <c r="K32" s="120"/>
      <c r="L32" s="53" t="s">
        <v>712</v>
      </c>
      <c r="M32" s="62">
        <f t="shared" si="0"/>
        <v>253</v>
      </c>
      <c r="N32" s="63">
        <f>N6</f>
        <v>3723</v>
      </c>
      <c r="Q32" s="83">
        <f t="shared" si="1"/>
        <v>6.7955949503088905E-2</v>
      </c>
    </row>
    <row r="33" spans="6:17" ht="15" customHeight="1">
      <c r="F33" s="47" t="s">
        <v>682</v>
      </c>
      <c r="G33" s="51">
        <v>0</v>
      </c>
      <c r="H33" s="49"/>
      <c r="I33" s="49"/>
      <c r="K33" s="120"/>
      <c r="L33" s="53" t="s">
        <v>713</v>
      </c>
      <c r="M33" s="62">
        <f t="shared" si="0"/>
        <v>0</v>
      </c>
      <c r="N33" s="63">
        <f>('2009-2016 National Land Use'!K25+'2009-2016 National Land Use'!L25)/10</f>
        <v>11988.24</v>
      </c>
      <c r="Q33" s="83">
        <f t="shared" si="1"/>
        <v>0</v>
      </c>
    </row>
    <row r="34" spans="6:17" ht="15" customHeight="1">
      <c r="F34" s="47" t="s">
        <v>683</v>
      </c>
      <c r="G34" s="51">
        <v>-11055</v>
      </c>
      <c r="H34" s="49"/>
      <c r="I34" s="49"/>
      <c r="K34" s="120"/>
      <c r="L34" s="53" t="s">
        <v>714</v>
      </c>
      <c r="M34" s="62">
        <f t="shared" si="0"/>
        <v>-11055</v>
      </c>
      <c r="P34">
        <f>'2021 Forestry Product'!D4</f>
        <v>7553.46</v>
      </c>
      <c r="Q34" s="83">
        <f>M34/P34</f>
        <v>-1.4635676895091785</v>
      </c>
    </row>
    <row r="35" spans="6:17" ht="15" customHeight="1">
      <c r="F35" s="47" t="s">
        <v>684</v>
      </c>
      <c r="G35" s="48">
        <v>2005.5</v>
      </c>
      <c r="H35" s="48">
        <v>656.4</v>
      </c>
      <c r="I35" s="48">
        <v>12</v>
      </c>
    </row>
    <row r="36" spans="6:17" ht="15" customHeight="1">
      <c r="F36" s="47" t="s">
        <v>685</v>
      </c>
      <c r="G36" s="48">
        <v>2005.5</v>
      </c>
      <c r="H36" s="48">
        <v>384.2</v>
      </c>
      <c r="I36" s="48">
        <v>0.9</v>
      </c>
    </row>
    <row r="37" spans="6:17" ht="15" customHeight="1">
      <c r="F37" s="47" t="s">
        <v>686</v>
      </c>
      <c r="G37" s="49"/>
      <c r="H37" s="48">
        <v>272.10000000000002</v>
      </c>
      <c r="I37" s="48">
        <v>11</v>
      </c>
    </row>
    <row r="38" spans="6:17" ht="15" customHeight="1">
      <c r="F38" s="121" t="s">
        <v>687</v>
      </c>
      <c r="G38" s="122"/>
      <c r="H38" s="122"/>
      <c r="I38" s="123"/>
    </row>
    <row r="39" spans="6:17" ht="15" customHeight="1">
      <c r="F39" s="47" t="s">
        <v>688</v>
      </c>
      <c r="G39" s="51">
        <v>2933.6</v>
      </c>
      <c r="H39" s="51">
        <v>0</v>
      </c>
      <c r="I39" s="51">
        <v>0.1</v>
      </c>
    </row>
    <row r="40" spans="6:17" ht="15" customHeight="1">
      <c r="F40" s="47" t="s">
        <v>689</v>
      </c>
      <c r="G40" s="51">
        <v>2191.1999999999998</v>
      </c>
      <c r="H40" s="51">
        <v>0.2</v>
      </c>
      <c r="I40" s="51">
        <v>0.1</v>
      </c>
    </row>
    <row r="41" spans="6:17" ht="15" customHeight="1">
      <c r="F41" s="47" t="s">
        <v>690</v>
      </c>
      <c r="G41" s="51">
        <v>77581.7</v>
      </c>
      <c r="H41" s="49"/>
      <c r="I41" s="49"/>
    </row>
  </sheetData>
  <mergeCells count="2">
    <mergeCell ref="K27:K34"/>
    <mergeCell ref="F38:I38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5"/>
  <sheetViews>
    <sheetView zoomScale="76" zoomScaleNormal="76" workbookViewId="0">
      <selection activeCell="L25" sqref="L25"/>
    </sheetView>
  </sheetViews>
  <sheetFormatPr defaultColWidth="9.25" defaultRowHeight="13.5"/>
  <cols>
    <col min="1" max="1" width="12.875"/>
    <col min="2" max="4" width="14.125"/>
    <col min="5" max="5" width="12.625" customWidth="1"/>
    <col min="6" max="8" width="14.125"/>
    <col min="9" max="12" width="12.875"/>
    <col min="41" max="41" width="9.75"/>
    <col min="43" max="43" width="9.75"/>
  </cols>
  <sheetData>
    <row r="1" spans="1:53" s="32" customFormat="1" ht="40.15" customHeight="1">
      <c r="A1" s="32" t="s">
        <v>0</v>
      </c>
      <c r="B1" s="32" t="s">
        <v>1</v>
      </c>
      <c r="AW1"/>
      <c r="AX1"/>
      <c r="AY1"/>
      <c r="AZ1"/>
      <c r="BA1"/>
    </row>
    <row r="2" spans="1:53" s="32" customFormat="1" ht="20.100000000000001" customHeight="1">
      <c r="A2" s="124" t="s">
        <v>2</v>
      </c>
      <c r="B2" s="125" t="s">
        <v>3</v>
      </c>
      <c r="C2" s="124" t="s">
        <v>4</v>
      </c>
      <c r="D2" s="124"/>
      <c r="E2" s="124"/>
      <c r="F2" s="124"/>
      <c r="G2" s="124" t="s">
        <v>5</v>
      </c>
      <c r="H2" s="124"/>
      <c r="I2" s="124"/>
      <c r="J2" s="124"/>
      <c r="K2" s="124" t="s">
        <v>6</v>
      </c>
      <c r="L2" s="124"/>
      <c r="M2" s="124"/>
      <c r="N2" s="124"/>
      <c r="O2" s="124" t="s">
        <v>7</v>
      </c>
      <c r="P2" s="124"/>
      <c r="Q2" s="124"/>
      <c r="R2" s="124"/>
      <c r="S2" s="124" t="s">
        <v>8</v>
      </c>
      <c r="T2" s="124"/>
      <c r="U2" s="124"/>
      <c r="V2" s="124"/>
      <c r="W2" s="124"/>
      <c r="X2" s="124" t="s">
        <v>9</v>
      </c>
      <c r="Y2" s="124"/>
      <c r="Z2" s="124"/>
      <c r="AA2" s="124"/>
      <c r="AB2" s="124"/>
      <c r="AC2" s="124"/>
      <c r="AD2" s="124"/>
      <c r="AE2" s="124" t="s">
        <v>10</v>
      </c>
      <c r="AF2" s="124"/>
      <c r="AG2" s="124"/>
      <c r="AH2" s="124"/>
      <c r="AI2" s="124"/>
      <c r="AJ2" s="124"/>
      <c r="AK2" s="124"/>
      <c r="AL2" s="124"/>
      <c r="AM2" s="124"/>
      <c r="AN2" s="124"/>
      <c r="AO2" s="124" t="s">
        <v>11</v>
      </c>
      <c r="AP2" s="124"/>
      <c r="AQ2" s="124"/>
      <c r="AR2" s="124"/>
      <c r="AS2" s="124"/>
      <c r="AT2" s="124"/>
      <c r="AW2"/>
      <c r="AX2"/>
      <c r="AY2"/>
      <c r="AZ2"/>
      <c r="BA2"/>
    </row>
    <row r="3" spans="1:53" ht="24">
      <c r="A3" s="124"/>
      <c r="B3" s="126"/>
      <c r="C3" s="33" t="s">
        <v>12</v>
      </c>
      <c r="D3" s="34" t="s">
        <v>13</v>
      </c>
      <c r="E3" s="34" t="s">
        <v>14</v>
      </c>
      <c r="F3" s="34" t="s">
        <v>15</v>
      </c>
      <c r="G3" s="33" t="s">
        <v>12</v>
      </c>
      <c r="H3" s="34" t="s">
        <v>16</v>
      </c>
      <c r="I3" s="34" t="s">
        <v>17</v>
      </c>
      <c r="J3" s="34" t="s">
        <v>18</v>
      </c>
      <c r="K3" s="33" t="s">
        <v>12</v>
      </c>
      <c r="L3" s="34" t="s">
        <v>19</v>
      </c>
      <c r="M3" s="34" t="s">
        <v>20</v>
      </c>
      <c r="N3" s="34" t="s">
        <v>21</v>
      </c>
      <c r="O3" s="33" t="s">
        <v>12</v>
      </c>
      <c r="P3" s="34" t="s">
        <v>22</v>
      </c>
      <c r="Q3" s="34" t="s">
        <v>23</v>
      </c>
      <c r="R3" s="34" t="s">
        <v>24</v>
      </c>
      <c r="S3" s="43" t="s">
        <v>12</v>
      </c>
      <c r="T3" s="34" t="s">
        <v>25</v>
      </c>
      <c r="U3" s="34" t="s">
        <v>26</v>
      </c>
      <c r="V3" s="34" t="s">
        <v>27</v>
      </c>
      <c r="W3" s="34" t="s">
        <v>28</v>
      </c>
      <c r="X3" s="33" t="s">
        <v>12</v>
      </c>
      <c r="Y3" s="34" t="s">
        <v>29</v>
      </c>
      <c r="Z3" s="34" t="s">
        <v>30</v>
      </c>
      <c r="AA3" s="34" t="s">
        <v>31</v>
      </c>
      <c r="AB3" s="34" t="s">
        <v>32</v>
      </c>
      <c r="AC3" s="34" t="s">
        <v>33</v>
      </c>
      <c r="AD3" s="34" t="s">
        <v>34</v>
      </c>
      <c r="AE3" s="33" t="s">
        <v>12</v>
      </c>
      <c r="AF3" s="34" t="s">
        <v>35</v>
      </c>
      <c r="AG3" s="34" t="s">
        <v>36</v>
      </c>
      <c r="AH3" s="34" t="s">
        <v>37</v>
      </c>
      <c r="AI3" s="34" t="s">
        <v>38</v>
      </c>
      <c r="AJ3" s="34" t="s">
        <v>39</v>
      </c>
      <c r="AK3" s="34" t="s">
        <v>40</v>
      </c>
      <c r="AL3" s="34" t="s">
        <v>41</v>
      </c>
      <c r="AM3" s="34" t="s">
        <v>42</v>
      </c>
      <c r="AN3" s="34" t="s">
        <v>43</v>
      </c>
      <c r="AO3" s="43" t="s">
        <v>12</v>
      </c>
      <c r="AP3" s="34" t="s">
        <v>44</v>
      </c>
      <c r="AQ3" s="34" t="s">
        <v>45</v>
      </c>
      <c r="AR3" s="34" t="s">
        <v>46</v>
      </c>
      <c r="AS3" s="34" t="s">
        <v>47</v>
      </c>
      <c r="AT3" s="34" t="s">
        <v>48</v>
      </c>
    </row>
    <row r="4" spans="1:53">
      <c r="A4" s="35" t="s">
        <v>49</v>
      </c>
      <c r="B4" s="36" t="s">
        <v>50</v>
      </c>
      <c r="C4" s="37" t="s">
        <v>51</v>
      </c>
      <c r="D4" s="38" t="s">
        <v>52</v>
      </c>
      <c r="E4" s="38" t="s">
        <v>53</v>
      </c>
      <c r="F4" s="38" t="s">
        <v>54</v>
      </c>
      <c r="G4" s="37" t="s">
        <v>55</v>
      </c>
      <c r="H4" s="38" t="s">
        <v>56</v>
      </c>
      <c r="I4" s="38" t="s">
        <v>57</v>
      </c>
      <c r="J4" s="38" t="s">
        <v>58</v>
      </c>
      <c r="K4" s="37" t="s">
        <v>59</v>
      </c>
      <c r="L4" s="38" t="s">
        <v>60</v>
      </c>
      <c r="M4" s="38" t="s">
        <v>61</v>
      </c>
      <c r="N4" s="38" t="s">
        <v>62</v>
      </c>
      <c r="O4" s="37" t="s">
        <v>63</v>
      </c>
      <c r="P4" s="38" t="s">
        <v>64</v>
      </c>
      <c r="Q4" s="38" t="s">
        <v>65</v>
      </c>
      <c r="R4" s="38" t="s">
        <v>66</v>
      </c>
      <c r="S4" s="37">
        <f>SUM(T4:W4)</f>
        <v>41966.5</v>
      </c>
      <c r="T4" s="38">
        <v>5291.4</v>
      </c>
      <c r="U4" s="38">
        <v>5584.1</v>
      </c>
      <c r="V4" s="38">
        <v>27709.200000000001</v>
      </c>
      <c r="W4" s="38">
        <v>3381.8</v>
      </c>
      <c r="X4" s="37" t="s">
        <v>67</v>
      </c>
      <c r="Y4" s="38" t="s">
        <v>68</v>
      </c>
      <c r="Z4" s="38" t="s">
        <v>69</v>
      </c>
      <c r="AA4" s="38" t="s">
        <v>70</v>
      </c>
      <c r="AB4" s="38" t="s">
        <v>71</v>
      </c>
      <c r="AC4" s="38" t="s">
        <v>72</v>
      </c>
      <c r="AD4" s="38" t="s">
        <v>73</v>
      </c>
      <c r="AE4" s="37" t="s">
        <v>74</v>
      </c>
      <c r="AF4" s="38" t="s">
        <v>75</v>
      </c>
      <c r="AG4" s="38" t="s">
        <v>76</v>
      </c>
      <c r="AH4" s="38" t="s">
        <v>77</v>
      </c>
      <c r="AI4" s="38" t="s">
        <v>78</v>
      </c>
      <c r="AJ4" s="38" t="s">
        <v>79</v>
      </c>
      <c r="AK4" s="38" t="s">
        <v>80</v>
      </c>
      <c r="AL4" s="38" t="s">
        <v>81</v>
      </c>
      <c r="AM4" s="38" t="s">
        <v>82</v>
      </c>
      <c r="AN4" s="38" t="s">
        <v>83</v>
      </c>
      <c r="AO4" s="37">
        <f>SUM(AP4:AT4)</f>
        <v>116470.1</v>
      </c>
      <c r="AP4" s="38">
        <v>1024</v>
      </c>
      <c r="AQ4" s="38">
        <v>12328</v>
      </c>
      <c r="AR4" s="38">
        <v>18221.7</v>
      </c>
      <c r="AS4" s="38">
        <v>5581.2</v>
      </c>
      <c r="AT4" s="38">
        <v>79315.199999999997</v>
      </c>
    </row>
    <row r="5" spans="1:53">
      <c r="A5" s="35" t="s">
        <v>49</v>
      </c>
      <c r="B5" s="36" t="s">
        <v>84</v>
      </c>
      <c r="C5" s="37">
        <f>202902.4</f>
        <v>202902.39999999999</v>
      </c>
      <c r="D5" s="38" t="s">
        <v>85</v>
      </c>
      <c r="E5" s="38" t="s">
        <v>86</v>
      </c>
      <c r="F5" s="38" t="s">
        <v>87</v>
      </c>
      <c r="G5" s="37" t="s">
        <v>88</v>
      </c>
      <c r="H5" s="38" t="s">
        <v>89</v>
      </c>
      <c r="I5" s="38" t="s">
        <v>90</v>
      </c>
      <c r="J5" s="38" t="s">
        <v>91</v>
      </c>
      <c r="K5" s="37" t="s">
        <v>92</v>
      </c>
      <c r="L5" s="38" t="s">
        <v>93</v>
      </c>
      <c r="M5" s="38" t="s">
        <v>94</v>
      </c>
      <c r="N5" s="38" t="s">
        <v>95</v>
      </c>
      <c r="O5" s="37" t="s">
        <v>96</v>
      </c>
      <c r="P5" s="38" t="s">
        <v>97</v>
      </c>
      <c r="Q5" s="38" t="s">
        <v>98</v>
      </c>
      <c r="R5" s="38" t="s">
        <v>99</v>
      </c>
      <c r="S5" s="37">
        <f>SUM(T5:W5)</f>
        <v>42711.500000000007</v>
      </c>
      <c r="T5" s="38">
        <v>5506.8</v>
      </c>
      <c r="U5" s="38">
        <v>5879.1</v>
      </c>
      <c r="V5" s="38">
        <v>27888.7</v>
      </c>
      <c r="W5" s="38">
        <v>3436.9</v>
      </c>
      <c r="X5" s="37" t="s">
        <v>100</v>
      </c>
      <c r="Y5" s="38" t="s">
        <v>101</v>
      </c>
      <c r="Z5" s="38" t="s">
        <v>102</v>
      </c>
      <c r="AA5" s="38" t="s">
        <v>103</v>
      </c>
      <c r="AB5" s="38" t="s">
        <v>104</v>
      </c>
      <c r="AC5" s="38" t="s">
        <v>105</v>
      </c>
      <c r="AD5" s="38" t="s">
        <v>106</v>
      </c>
      <c r="AE5" s="37" t="s">
        <v>107</v>
      </c>
      <c r="AF5" s="38" t="s">
        <v>108</v>
      </c>
      <c r="AG5" s="38" t="s">
        <v>109</v>
      </c>
      <c r="AH5" s="38" t="s">
        <v>110</v>
      </c>
      <c r="AI5" s="38" t="s">
        <v>111</v>
      </c>
      <c r="AJ5" s="38" t="s">
        <v>112</v>
      </c>
      <c r="AK5" s="38" t="s">
        <v>113</v>
      </c>
      <c r="AL5" s="38" t="s">
        <v>114</v>
      </c>
      <c r="AM5" s="38" t="s">
        <v>115</v>
      </c>
      <c r="AN5" s="38" t="s">
        <v>83</v>
      </c>
      <c r="AO5" s="37">
        <f t="shared" ref="AO5:AO10" si="0">SUM(AP5:AT5)</f>
        <v>116434.29999999999</v>
      </c>
      <c r="AP5" s="38">
        <v>1069.8</v>
      </c>
      <c r="AQ5" s="38">
        <v>12292.6</v>
      </c>
      <c r="AR5" s="38">
        <v>18188.400000000001</v>
      </c>
      <c r="AS5" s="38">
        <v>5573.1</v>
      </c>
      <c r="AT5" s="38">
        <v>79310.399999999994</v>
      </c>
    </row>
    <row r="6" spans="1:53">
      <c r="A6" s="35" t="s">
        <v>49</v>
      </c>
      <c r="B6" s="36" t="s">
        <v>116</v>
      </c>
      <c r="C6" s="37">
        <v>202857.8</v>
      </c>
      <c r="D6" s="38" t="s">
        <v>117</v>
      </c>
      <c r="E6" s="38" t="s">
        <v>118</v>
      </c>
      <c r="F6" s="38" t="s">
        <v>119</v>
      </c>
      <c r="G6" s="37" t="s">
        <v>120</v>
      </c>
      <c r="H6" s="38" t="s">
        <v>121</v>
      </c>
      <c r="I6" s="38" t="s">
        <v>122</v>
      </c>
      <c r="J6" s="38" t="s">
        <v>123</v>
      </c>
      <c r="K6" s="37" t="s">
        <v>124</v>
      </c>
      <c r="L6" s="38" t="s">
        <v>125</v>
      </c>
      <c r="M6" s="38" t="s">
        <v>126</v>
      </c>
      <c r="N6" s="38" t="s">
        <v>127</v>
      </c>
      <c r="O6" s="37" t="s">
        <v>128</v>
      </c>
      <c r="P6" s="38" t="s">
        <v>129</v>
      </c>
      <c r="Q6" s="38" t="s">
        <v>130</v>
      </c>
      <c r="R6" s="38" t="s">
        <v>131</v>
      </c>
      <c r="S6" s="37">
        <f t="shared" ref="S6:S11" si="1">SUM(T6:W6)</f>
        <v>43424.6</v>
      </c>
      <c r="T6" s="38">
        <v>5712.2</v>
      </c>
      <c r="U6" s="38">
        <v>6190</v>
      </c>
      <c r="V6" s="38">
        <v>28053.3</v>
      </c>
      <c r="W6" s="38">
        <v>3469.1</v>
      </c>
      <c r="X6" s="37" t="s">
        <v>132</v>
      </c>
      <c r="Y6" s="38" t="s">
        <v>133</v>
      </c>
      <c r="Z6" s="38" t="s">
        <v>134</v>
      </c>
      <c r="AA6" s="38" t="s">
        <v>135</v>
      </c>
      <c r="AB6" s="38" t="s">
        <v>136</v>
      </c>
      <c r="AC6" s="38" t="s">
        <v>137</v>
      </c>
      <c r="AD6" s="38" t="s">
        <v>138</v>
      </c>
      <c r="AE6" s="37" t="s">
        <v>139</v>
      </c>
      <c r="AF6" s="38" t="s">
        <v>140</v>
      </c>
      <c r="AG6" s="38" t="s">
        <v>141</v>
      </c>
      <c r="AH6" s="38" t="s">
        <v>142</v>
      </c>
      <c r="AI6" s="38" t="s">
        <v>143</v>
      </c>
      <c r="AJ6" s="38" t="s">
        <v>144</v>
      </c>
      <c r="AK6" s="38" t="s">
        <v>145</v>
      </c>
      <c r="AL6" s="38" t="s">
        <v>146</v>
      </c>
      <c r="AM6" s="38" t="s">
        <v>147</v>
      </c>
      <c r="AN6" s="38" t="s">
        <v>148</v>
      </c>
      <c r="AO6" s="37">
        <f t="shared" si="0"/>
        <v>116382.3</v>
      </c>
      <c r="AP6" s="38">
        <v>1139</v>
      </c>
      <c r="AQ6" s="38">
        <v>12241</v>
      </c>
      <c r="AR6" s="38">
        <v>18151.099999999999</v>
      </c>
      <c r="AS6" s="38">
        <v>5566.6</v>
      </c>
      <c r="AT6" s="38">
        <v>79284.600000000006</v>
      </c>
    </row>
    <row r="7" spans="1:53">
      <c r="A7" s="35" t="s">
        <v>49</v>
      </c>
      <c r="B7" s="36" t="s">
        <v>149</v>
      </c>
      <c r="C7" s="37" t="s">
        <v>150</v>
      </c>
      <c r="D7" s="38" t="s">
        <v>151</v>
      </c>
      <c r="E7" s="38" t="s">
        <v>152</v>
      </c>
      <c r="F7" s="38" t="s">
        <v>153</v>
      </c>
      <c r="G7" s="37" t="s">
        <v>154</v>
      </c>
      <c r="H7" s="38" t="s">
        <v>155</v>
      </c>
      <c r="I7" s="38" t="s">
        <v>156</v>
      </c>
      <c r="J7" s="38" t="s">
        <v>157</v>
      </c>
      <c r="K7" s="37" t="s">
        <v>158</v>
      </c>
      <c r="L7" s="38" t="s">
        <v>159</v>
      </c>
      <c r="M7" s="38" t="s">
        <v>160</v>
      </c>
      <c r="N7" s="38" t="s">
        <v>161</v>
      </c>
      <c r="O7" s="37" t="s">
        <v>162</v>
      </c>
      <c r="P7" s="38" t="s">
        <v>163</v>
      </c>
      <c r="Q7" s="38" t="s">
        <v>164</v>
      </c>
      <c r="R7" s="38" t="s">
        <v>165</v>
      </c>
      <c r="S7" s="37">
        <f t="shared" si="1"/>
        <v>44126.5</v>
      </c>
      <c r="T7" s="38">
        <v>5905.9</v>
      </c>
      <c r="U7" s="38">
        <v>6516</v>
      </c>
      <c r="V7" s="38">
        <v>28212</v>
      </c>
      <c r="W7" s="38">
        <v>3492.6</v>
      </c>
      <c r="X7" s="37" t="s">
        <v>166</v>
      </c>
      <c r="Y7" s="38" t="s">
        <v>167</v>
      </c>
      <c r="Z7" s="38" t="s">
        <v>168</v>
      </c>
      <c r="AA7" s="38" t="s">
        <v>169</v>
      </c>
      <c r="AB7" s="38" t="s">
        <v>170</v>
      </c>
      <c r="AC7" s="38" t="s">
        <v>171</v>
      </c>
      <c r="AD7" s="38" t="s">
        <v>172</v>
      </c>
      <c r="AE7" s="37" t="s">
        <v>173</v>
      </c>
      <c r="AF7" s="38" t="s">
        <v>174</v>
      </c>
      <c r="AG7" s="38" t="s">
        <v>175</v>
      </c>
      <c r="AH7" s="38" t="s">
        <v>176</v>
      </c>
      <c r="AI7" s="38" t="s">
        <v>177</v>
      </c>
      <c r="AJ7" s="38" t="s">
        <v>178</v>
      </c>
      <c r="AK7" s="38" t="s">
        <v>179</v>
      </c>
      <c r="AL7" s="38" t="s">
        <v>180</v>
      </c>
      <c r="AM7" s="38" t="s">
        <v>181</v>
      </c>
      <c r="AN7" s="38" t="s">
        <v>148</v>
      </c>
      <c r="AO7" s="37">
        <f t="shared" si="0"/>
        <v>116328.9</v>
      </c>
      <c r="AP7" s="38">
        <v>1182.2</v>
      </c>
      <c r="AQ7" s="38">
        <v>12200.7</v>
      </c>
      <c r="AR7" s="38">
        <v>18110.8</v>
      </c>
      <c r="AS7" s="38">
        <v>5566.5</v>
      </c>
      <c r="AT7" s="38">
        <v>79268.7</v>
      </c>
    </row>
    <row r="8" spans="1:53">
      <c r="A8" s="35" t="s">
        <v>49</v>
      </c>
      <c r="B8" s="36" t="s">
        <v>182</v>
      </c>
      <c r="C8" s="37" t="s">
        <v>183</v>
      </c>
      <c r="D8" s="38" t="s">
        <v>184</v>
      </c>
      <c r="E8" s="38" t="s">
        <v>185</v>
      </c>
      <c r="F8" s="38" t="s">
        <v>186</v>
      </c>
      <c r="G8" s="37" t="s">
        <v>187</v>
      </c>
      <c r="H8" s="38" t="s">
        <v>188</v>
      </c>
      <c r="I8" s="38" t="s">
        <v>189</v>
      </c>
      <c r="J8" s="38" t="s">
        <v>190</v>
      </c>
      <c r="K8" s="37" t="s">
        <v>191</v>
      </c>
      <c r="L8" s="38" t="s">
        <v>192</v>
      </c>
      <c r="M8" s="38" t="s">
        <v>193</v>
      </c>
      <c r="N8" s="38" t="s">
        <v>194</v>
      </c>
      <c r="O8" s="37" t="s">
        <v>195</v>
      </c>
      <c r="P8" s="38" t="s">
        <v>196</v>
      </c>
      <c r="Q8" s="38" t="s">
        <v>197</v>
      </c>
      <c r="R8" s="38" t="s">
        <v>198</v>
      </c>
      <c r="S8" s="37">
        <f t="shared" si="1"/>
        <v>44731.700000000004</v>
      </c>
      <c r="T8" s="38">
        <v>6060.5</v>
      </c>
      <c r="U8" s="38">
        <v>6809.2</v>
      </c>
      <c r="V8" s="38">
        <v>28355.599999999999</v>
      </c>
      <c r="W8" s="38">
        <v>3506.4</v>
      </c>
      <c r="X8" s="37" t="s">
        <v>199</v>
      </c>
      <c r="Y8" s="38" t="s">
        <v>200</v>
      </c>
      <c r="Z8" s="38" t="s">
        <v>201</v>
      </c>
      <c r="AA8" s="38" t="s">
        <v>202</v>
      </c>
      <c r="AB8" s="38" t="s">
        <v>203</v>
      </c>
      <c r="AC8" s="38" t="s">
        <v>204</v>
      </c>
      <c r="AD8" s="38" t="s">
        <v>205</v>
      </c>
      <c r="AE8" s="37" t="s">
        <v>206</v>
      </c>
      <c r="AF8" s="38" t="s">
        <v>207</v>
      </c>
      <c r="AG8" s="38" t="s">
        <v>208</v>
      </c>
      <c r="AH8" s="38" t="s">
        <v>209</v>
      </c>
      <c r="AI8" s="38" t="s">
        <v>210</v>
      </c>
      <c r="AJ8" s="38" t="s">
        <v>211</v>
      </c>
      <c r="AK8" s="38" t="s">
        <v>212</v>
      </c>
      <c r="AL8" s="38" t="s">
        <v>213</v>
      </c>
      <c r="AM8" s="38" t="s">
        <v>214</v>
      </c>
      <c r="AN8" s="38" t="s">
        <v>148</v>
      </c>
      <c r="AO8" s="37">
        <f t="shared" si="0"/>
        <v>116295.1</v>
      </c>
      <c r="AP8" s="38">
        <v>1257.9000000000001</v>
      </c>
      <c r="AQ8" s="38">
        <v>12162.1</v>
      </c>
      <c r="AR8" s="38">
        <v>18069</v>
      </c>
      <c r="AS8" s="38">
        <v>5560.1</v>
      </c>
      <c r="AT8" s="38">
        <v>79246</v>
      </c>
    </row>
    <row r="9" spans="1:53">
      <c r="A9" s="35" t="s">
        <v>49</v>
      </c>
      <c r="B9" s="36" t="s">
        <v>215</v>
      </c>
      <c r="C9" s="37" t="s">
        <v>216</v>
      </c>
      <c r="D9" s="38" t="s">
        <v>217</v>
      </c>
      <c r="E9" s="38" t="s">
        <v>218</v>
      </c>
      <c r="F9" s="38" t="s">
        <v>219</v>
      </c>
      <c r="G9" s="37" t="s">
        <v>220</v>
      </c>
      <c r="H9" s="38" t="s">
        <v>221</v>
      </c>
      <c r="I9" s="38" t="s">
        <v>222</v>
      </c>
      <c r="J9" s="38" t="s">
        <v>223</v>
      </c>
      <c r="K9" s="37" t="s">
        <v>224</v>
      </c>
      <c r="L9" s="38" t="s">
        <v>225</v>
      </c>
      <c r="M9" s="38" t="s">
        <v>226</v>
      </c>
      <c r="N9" s="38" t="s">
        <v>227</v>
      </c>
      <c r="O9" s="37" t="s">
        <v>228</v>
      </c>
      <c r="P9" s="38" t="s">
        <v>229</v>
      </c>
      <c r="Q9" s="38" t="s">
        <v>230</v>
      </c>
      <c r="R9" s="38" t="s">
        <v>231</v>
      </c>
      <c r="S9" s="37">
        <f t="shared" si="1"/>
        <v>45395.600000000006</v>
      </c>
      <c r="T9" s="38">
        <v>6243.6</v>
      </c>
      <c r="U9" s="38">
        <v>7106.8</v>
      </c>
      <c r="V9" s="38">
        <v>28522.2</v>
      </c>
      <c r="W9" s="38">
        <v>3523</v>
      </c>
      <c r="X9" s="37" t="s">
        <v>232</v>
      </c>
      <c r="Y9" s="38" t="s">
        <v>233</v>
      </c>
      <c r="Z9" s="38" t="s">
        <v>234</v>
      </c>
      <c r="AA9" s="38" t="s">
        <v>235</v>
      </c>
      <c r="AB9" s="38" t="s">
        <v>236</v>
      </c>
      <c r="AC9" s="38" t="s">
        <v>237</v>
      </c>
      <c r="AD9" s="38" t="s">
        <v>238</v>
      </c>
      <c r="AE9" s="37" t="s">
        <v>239</v>
      </c>
      <c r="AF9" s="38" t="s">
        <v>240</v>
      </c>
      <c r="AG9" s="38" t="s">
        <v>241</v>
      </c>
      <c r="AH9" s="38" t="s">
        <v>242</v>
      </c>
      <c r="AI9" s="38" t="s">
        <v>243</v>
      </c>
      <c r="AJ9" s="38" t="s">
        <v>244</v>
      </c>
      <c r="AK9" s="38" t="s">
        <v>245</v>
      </c>
      <c r="AL9" s="38" t="s">
        <v>246</v>
      </c>
      <c r="AM9" s="38" t="s">
        <v>247</v>
      </c>
      <c r="AN9" s="38" t="s">
        <v>148</v>
      </c>
      <c r="AO9" s="37">
        <f t="shared" si="0"/>
        <v>116282.2</v>
      </c>
      <c r="AP9" s="38">
        <v>1350.2</v>
      </c>
      <c r="AQ9" s="38">
        <v>12114.3</v>
      </c>
      <c r="AR9" s="38">
        <v>18028.8</v>
      </c>
      <c r="AS9" s="38">
        <v>5557.7</v>
      </c>
      <c r="AT9" s="38">
        <v>79231.199999999997</v>
      </c>
    </row>
    <row r="10" spans="1:53">
      <c r="A10" s="35" t="s">
        <v>49</v>
      </c>
      <c r="B10" s="36" t="s">
        <v>248</v>
      </c>
      <c r="C10" s="37" t="s">
        <v>249</v>
      </c>
      <c r="D10" s="38" t="s">
        <v>250</v>
      </c>
      <c r="E10" s="38" t="s">
        <v>251</v>
      </c>
      <c r="F10" s="38" t="s">
        <v>252</v>
      </c>
      <c r="G10" s="37" t="s">
        <v>253</v>
      </c>
      <c r="H10" s="38" t="s">
        <v>254</v>
      </c>
      <c r="I10" s="38" t="s">
        <v>255</v>
      </c>
      <c r="J10" s="38" t="s">
        <v>256</v>
      </c>
      <c r="K10" s="37" t="s">
        <v>257</v>
      </c>
      <c r="L10" s="38" t="s">
        <v>258</v>
      </c>
      <c r="M10" s="38" t="s">
        <v>259</v>
      </c>
      <c r="N10" s="38" t="s">
        <v>260</v>
      </c>
      <c r="O10" s="37" t="s">
        <v>261</v>
      </c>
      <c r="P10" s="38" t="s">
        <v>262</v>
      </c>
      <c r="Q10" s="38" t="s">
        <v>263</v>
      </c>
      <c r="R10" s="38" t="s">
        <v>264</v>
      </c>
      <c r="S10" s="37">
        <f t="shared" si="1"/>
        <v>45949.1</v>
      </c>
      <c r="T10" s="38">
        <v>6393.1</v>
      </c>
      <c r="U10" s="38">
        <v>7348.6</v>
      </c>
      <c r="V10" s="38">
        <v>28673.7</v>
      </c>
      <c r="W10" s="38">
        <v>3533.7</v>
      </c>
      <c r="X10" s="37" t="s">
        <v>265</v>
      </c>
      <c r="Y10" s="38" t="s">
        <v>266</v>
      </c>
      <c r="Z10" s="38" t="s">
        <v>267</v>
      </c>
      <c r="AA10" s="38" t="s">
        <v>268</v>
      </c>
      <c r="AB10" s="38" t="s">
        <v>269</v>
      </c>
      <c r="AC10" s="38" t="s">
        <v>270</v>
      </c>
      <c r="AD10" s="38" t="s">
        <v>271</v>
      </c>
      <c r="AE10" s="37" t="s">
        <v>272</v>
      </c>
      <c r="AF10" s="38" t="s">
        <v>273</v>
      </c>
      <c r="AG10" s="38" t="s">
        <v>274</v>
      </c>
      <c r="AH10" s="38" t="s">
        <v>275</v>
      </c>
      <c r="AI10" s="38" t="s">
        <v>276</v>
      </c>
      <c r="AJ10" s="38" t="s">
        <v>277</v>
      </c>
      <c r="AK10" s="38" t="s">
        <v>278</v>
      </c>
      <c r="AL10" s="38" t="s">
        <v>279</v>
      </c>
      <c r="AM10" s="38" t="s">
        <v>280</v>
      </c>
      <c r="AN10" s="38" t="s">
        <v>148</v>
      </c>
      <c r="AO10" s="37">
        <f t="shared" si="0"/>
        <v>116233.1</v>
      </c>
      <c r="AP10" s="38">
        <v>1389.6</v>
      </c>
      <c r="AQ10" s="38">
        <v>12072.6</v>
      </c>
      <c r="AR10" s="38">
        <v>18000.099999999999</v>
      </c>
      <c r="AS10" s="38">
        <v>5554.6</v>
      </c>
      <c r="AT10" s="38">
        <v>79216.2</v>
      </c>
    </row>
    <row r="11" spans="1:53">
      <c r="A11" s="35" t="s">
        <v>49</v>
      </c>
      <c r="B11" s="36" t="s">
        <v>281</v>
      </c>
      <c r="C11" s="37" t="s">
        <v>282</v>
      </c>
      <c r="D11" s="38" t="s">
        <v>283</v>
      </c>
      <c r="E11" s="38" t="s">
        <v>284</v>
      </c>
      <c r="F11" s="38" t="s">
        <v>285</v>
      </c>
      <c r="G11" s="37" t="s">
        <v>286</v>
      </c>
      <c r="H11" s="38" t="s">
        <v>287</v>
      </c>
      <c r="I11" s="38" t="s">
        <v>288</v>
      </c>
      <c r="J11" s="38" t="s">
        <v>289</v>
      </c>
      <c r="K11" s="37" t="s">
        <v>290</v>
      </c>
      <c r="L11" s="38" t="s">
        <v>291</v>
      </c>
      <c r="M11" s="38" t="s">
        <v>292</v>
      </c>
      <c r="N11" s="38" t="s">
        <v>293</v>
      </c>
      <c r="O11" s="37" t="s">
        <v>294</v>
      </c>
      <c r="P11" s="38" t="s">
        <v>295</v>
      </c>
      <c r="Q11" s="38" t="s">
        <v>296</v>
      </c>
      <c r="R11" s="38" t="s">
        <v>297</v>
      </c>
      <c r="S11" s="37">
        <f t="shared" si="1"/>
        <v>46489.1</v>
      </c>
      <c r="T11" s="38">
        <v>6508.7</v>
      </c>
      <c r="U11" s="38">
        <v>7638.3</v>
      </c>
      <c r="V11" s="38">
        <v>28800.5</v>
      </c>
      <c r="W11" s="38">
        <v>3541.6</v>
      </c>
      <c r="X11" s="37" t="s">
        <v>298</v>
      </c>
      <c r="Y11" s="38" t="s">
        <v>299</v>
      </c>
      <c r="Z11" s="38" t="s">
        <v>300</v>
      </c>
      <c r="AA11" s="38" t="s">
        <v>301</v>
      </c>
      <c r="AB11" s="38" t="s">
        <v>302</v>
      </c>
      <c r="AC11" s="38" t="s">
        <v>303</v>
      </c>
      <c r="AD11" s="38" t="s">
        <v>304</v>
      </c>
      <c r="AE11" s="37" t="s">
        <v>305</v>
      </c>
      <c r="AF11" s="38" t="s">
        <v>306</v>
      </c>
      <c r="AG11" s="38" t="s">
        <v>307</v>
      </c>
      <c r="AH11" s="38" t="s">
        <v>308</v>
      </c>
      <c r="AI11" s="38" t="s">
        <v>309</v>
      </c>
      <c r="AJ11" s="38" t="s">
        <v>310</v>
      </c>
      <c r="AK11" s="38" t="s">
        <v>311</v>
      </c>
      <c r="AL11" s="38" t="s">
        <v>312</v>
      </c>
      <c r="AM11" s="38" t="s">
        <v>313</v>
      </c>
      <c r="AN11" s="38" t="s">
        <v>148</v>
      </c>
      <c r="AO11" s="37">
        <f>SUM(AP11:AT11)</f>
        <v>116141</v>
      </c>
      <c r="AP11" s="38">
        <v>1427.8</v>
      </c>
      <c r="AQ11" s="38">
        <v>12017</v>
      </c>
      <c r="AR11" s="38">
        <v>17950.8</v>
      </c>
      <c r="AS11" s="38">
        <v>5552.2</v>
      </c>
      <c r="AT11" s="38">
        <v>79193.2</v>
      </c>
    </row>
    <row r="14" spans="1:53">
      <c r="A14" t="s">
        <v>314</v>
      </c>
    </row>
    <row r="15" spans="1:53">
      <c r="A15" t="s">
        <v>315</v>
      </c>
    </row>
    <row r="18" spans="1:12">
      <c r="A18" t="s">
        <v>316</v>
      </c>
    </row>
    <row r="19" spans="1:12" ht="27">
      <c r="A19" s="39" t="s">
        <v>2</v>
      </c>
      <c r="B19" s="39" t="s">
        <v>3</v>
      </c>
      <c r="C19" s="39" t="s">
        <v>4</v>
      </c>
      <c r="D19" s="39" t="s">
        <v>5</v>
      </c>
      <c r="E19" s="39" t="s">
        <v>6</v>
      </c>
      <c r="F19" s="39" t="s">
        <v>7</v>
      </c>
      <c r="G19" s="39" t="s">
        <v>317</v>
      </c>
      <c r="H19" s="41" t="s">
        <v>318</v>
      </c>
      <c r="I19" s="41" t="s">
        <v>9</v>
      </c>
      <c r="J19" s="39" t="s">
        <v>319</v>
      </c>
      <c r="K19" s="39" t="s">
        <v>10</v>
      </c>
      <c r="L19" s="39" t="s">
        <v>11</v>
      </c>
    </row>
    <row r="20" spans="1:12">
      <c r="A20" s="40" t="s">
        <v>49</v>
      </c>
      <c r="B20" s="7" t="s">
        <v>50</v>
      </c>
      <c r="C20" s="17">
        <f>C4/1.5</f>
        <v>135384.53333333333</v>
      </c>
      <c r="D20" s="17">
        <f>G4/1.5</f>
        <v>14811.800000000001</v>
      </c>
      <c r="E20" s="17">
        <f>K4/1.5</f>
        <v>253949.53333333333</v>
      </c>
      <c r="F20" s="17">
        <f>O4/1.5</f>
        <v>287313.39999999997</v>
      </c>
      <c r="G20" s="17"/>
      <c r="H20" s="42">
        <f>S4/1.5</f>
        <v>27977.666666666668</v>
      </c>
      <c r="I20" s="42">
        <f>X4/1.5</f>
        <v>7941.9333333333334</v>
      </c>
      <c r="J20" s="17"/>
      <c r="K20" s="17">
        <f>AE4/1.5</f>
        <v>42690.333333333336</v>
      </c>
      <c r="L20" s="17">
        <f>AO4/1.5</f>
        <v>77646.733333333337</v>
      </c>
    </row>
    <row r="21" spans="1:12">
      <c r="A21" s="40" t="s">
        <v>49</v>
      </c>
      <c r="B21" s="7" t="s">
        <v>84</v>
      </c>
      <c r="C21" s="17">
        <f>C5/1.5</f>
        <v>135268.26666666666</v>
      </c>
      <c r="D21" s="17">
        <f t="shared" ref="D21:D26" si="2">G5/1.5</f>
        <v>14703.133333333333</v>
      </c>
      <c r="E21" s="17">
        <f t="shared" ref="E21:E27" si="3">K5/1.5</f>
        <v>253766.13333333333</v>
      </c>
      <c r="F21" s="17">
        <f t="shared" ref="F21:F27" si="4">O5/1.5</f>
        <v>287173.73333333334</v>
      </c>
      <c r="G21" s="17"/>
      <c r="H21" s="42">
        <f t="shared" ref="H21:H27" si="5">S5/1.5</f>
        <v>28474.333333333339</v>
      </c>
      <c r="I21" s="42">
        <f t="shared" ref="I21:I26" si="6">X5/1.5</f>
        <v>8110.8</v>
      </c>
      <c r="J21" s="17"/>
      <c r="K21" s="17">
        <f t="shared" ref="K21:K27" si="7">AE5/1.5</f>
        <v>42610</v>
      </c>
      <c r="L21" s="17">
        <f t="shared" ref="L21:L27" si="8">AO5/1.5</f>
        <v>77622.866666666654</v>
      </c>
    </row>
    <row r="22" spans="1:12">
      <c r="A22" s="40" t="s">
        <v>49</v>
      </c>
      <c r="B22" s="7" t="s">
        <v>116</v>
      </c>
      <c r="C22" s="17">
        <f>C6/1.5</f>
        <v>135238.53333333333</v>
      </c>
      <c r="D22" s="17">
        <f t="shared" si="2"/>
        <v>14603.466666666667</v>
      </c>
      <c r="E22" s="17">
        <f t="shared" si="3"/>
        <v>253560</v>
      </c>
      <c r="F22" s="17">
        <f t="shared" si="4"/>
        <v>287022.33333333331</v>
      </c>
      <c r="G22" s="17"/>
      <c r="H22" s="42">
        <f t="shared" si="5"/>
        <v>28949.733333333334</v>
      </c>
      <c r="I22" s="42">
        <f t="shared" si="6"/>
        <v>8250.1999999999989</v>
      </c>
      <c r="J22" s="17"/>
      <c r="K22" s="17">
        <f t="shared" si="7"/>
        <v>42553.4</v>
      </c>
      <c r="L22" s="17">
        <f>AO6/1.5</f>
        <v>77588.2</v>
      </c>
    </row>
    <row r="23" spans="1:12">
      <c r="A23" s="40" t="s">
        <v>49</v>
      </c>
      <c r="B23" s="7" t="s">
        <v>149</v>
      </c>
      <c r="C23" s="17">
        <f t="shared" ref="C23:C27" si="9">C7/1.5</f>
        <v>135158.46666666667</v>
      </c>
      <c r="D23" s="17">
        <f t="shared" si="2"/>
        <v>14533.333333333334</v>
      </c>
      <c r="E23" s="17">
        <f t="shared" si="3"/>
        <v>253396.86666666667</v>
      </c>
      <c r="F23" s="17">
        <f t="shared" si="4"/>
        <v>286886.73333333334</v>
      </c>
      <c r="G23" s="17"/>
      <c r="H23" s="42">
        <f t="shared" si="5"/>
        <v>29417.666666666668</v>
      </c>
      <c r="I23" s="42">
        <f t="shared" si="6"/>
        <v>8359.8000000000011</v>
      </c>
      <c r="J23" s="17"/>
      <c r="K23" s="17">
        <f t="shared" si="7"/>
        <v>42479.666666666664</v>
      </c>
      <c r="L23" s="17">
        <f t="shared" si="8"/>
        <v>77552.599999999991</v>
      </c>
    </row>
    <row r="24" spans="1:12">
      <c r="A24" s="40" t="s">
        <v>49</v>
      </c>
      <c r="B24" s="7" t="s">
        <v>182</v>
      </c>
      <c r="C24" s="17">
        <f t="shared" si="9"/>
        <v>135164.66666666666</v>
      </c>
      <c r="D24" s="17">
        <f t="shared" si="2"/>
        <v>14454.666666666666</v>
      </c>
      <c r="E24" s="17">
        <f t="shared" si="3"/>
        <v>253253.73333333331</v>
      </c>
      <c r="F24" s="17">
        <f t="shared" si="4"/>
        <v>286709.13333333336</v>
      </c>
      <c r="G24" s="17"/>
      <c r="H24" s="42">
        <f t="shared" si="5"/>
        <v>29821.133333333335</v>
      </c>
      <c r="I24" s="42">
        <f t="shared" si="6"/>
        <v>8488.2666666666664</v>
      </c>
      <c r="J24" s="17"/>
      <c r="K24" s="17">
        <f t="shared" si="7"/>
        <v>42399.066666666666</v>
      </c>
      <c r="L24" s="17">
        <f t="shared" si="8"/>
        <v>77530.066666666666</v>
      </c>
    </row>
    <row r="25" spans="1:12">
      <c r="A25" s="40" t="s">
        <v>49</v>
      </c>
      <c r="B25" s="7" t="s">
        <v>215</v>
      </c>
      <c r="C25" s="17">
        <f t="shared" si="9"/>
        <v>135057.33333333334</v>
      </c>
      <c r="D25" s="17">
        <f t="shared" si="2"/>
        <v>14378.199999999999</v>
      </c>
      <c r="E25" s="17">
        <f t="shared" si="3"/>
        <v>253071.26666666669</v>
      </c>
      <c r="F25" s="17">
        <f t="shared" si="4"/>
        <v>286547.8</v>
      </c>
      <c r="G25" s="12">
        <v>39730</v>
      </c>
      <c r="H25" s="42">
        <f t="shared" si="5"/>
        <v>30263.733333333337</v>
      </c>
      <c r="I25" s="42">
        <f t="shared" si="6"/>
        <v>8642.4</v>
      </c>
      <c r="J25" s="17">
        <f>SUM(H25:I25)</f>
        <v>38906.133333333339</v>
      </c>
      <c r="K25" s="17">
        <f t="shared" si="7"/>
        <v>42360.933333333334</v>
      </c>
      <c r="L25" s="17">
        <f t="shared" si="8"/>
        <v>77521.46666666666</v>
      </c>
    </row>
    <row r="26" spans="1:12">
      <c r="A26" s="40" t="s">
        <v>49</v>
      </c>
      <c r="B26" s="7" t="s">
        <v>248</v>
      </c>
      <c r="C26" s="17">
        <f t="shared" si="9"/>
        <v>134998.66666666666</v>
      </c>
      <c r="D26" s="17">
        <f t="shared" si="2"/>
        <v>14323.266666666668</v>
      </c>
      <c r="E26" s="17">
        <f t="shared" si="3"/>
        <v>252992</v>
      </c>
      <c r="F26" s="17">
        <f t="shared" si="4"/>
        <v>286401.93333333335</v>
      </c>
      <c r="G26" s="17"/>
      <c r="H26" s="42">
        <f t="shared" si="5"/>
        <v>30632.733333333334</v>
      </c>
      <c r="I26" s="42">
        <f t="shared" si="6"/>
        <v>8731.4666666666672</v>
      </c>
      <c r="J26" s="17"/>
      <c r="K26" s="17">
        <f t="shared" si="7"/>
        <v>42301.4</v>
      </c>
      <c r="L26" s="17">
        <f t="shared" si="8"/>
        <v>77488.733333333337</v>
      </c>
    </row>
    <row r="27" spans="1:12">
      <c r="A27" s="40" t="s">
        <v>49</v>
      </c>
      <c r="B27" s="7" t="s">
        <v>281</v>
      </c>
      <c r="C27" s="17">
        <f t="shared" si="9"/>
        <v>134920.93333333332</v>
      </c>
      <c r="D27" s="17">
        <f>G11/1.5</f>
        <v>14266.266666666668</v>
      </c>
      <c r="E27" s="17">
        <f t="shared" si="3"/>
        <v>252908.06666666665</v>
      </c>
      <c r="F27" s="17">
        <f t="shared" si="4"/>
        <v>286282</v>
      </c>
      <c r="G27" s="17"/>
      <c r="H27" s="42">
        <f t="shared" si="5"/>
        <v>30992.733333333334</v>
      </c>
      <c r="I27" s="42">
        <f>X11/1.5</f>
        <v>8848.6666666666661</v>
      </c>
      <c r="J27" s="17"/>
      <c r="K27" s="17">
        <f t="shared" si="7"/>
        <v>42243.73333333333</v>
      </c>
      <c r="L27" s="17">
        <f t="shared" si="8"/>
        <v>77427.333333333328</v>
      </c>
    </row>
    <row r="145" spans="1:3">
      <c r="A145" s="44" t="s">
        <v>320</v>
      </c>
      <c r="B145" t="e">
        <f>(SUM('2019 Regional CO2 LAPE'!C18:G18)+'2021 Forestry Product'!#REF!)*10^10</f>
        <v>#REF!</v>
      </c>
      <c r="C145" t="s">
        <v>321</v>
      </c>
    </row>
  </sheetData>
  <mergeCells count="10">
    <mergeCell ref="X2:AD2"/>
    <mergeCell ref="AE2:AN2"/>
    <mergeCell ref="AO2:AT2"/>
    <mergeCell ref="A2:A3"/>
    <mergeCell ref="B2:B3"/>
    <mergeCell ref="C2:F2"/>
    <mergeCell ref="G2:J2"/>
    <mergeCell ref="K2:N2"/>
    <mergeCell ref="O2:R2"/>
    <mergeCell ref="S2:W2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7"/>
  <sheetViews>
    <sheetView zoomScale="86" zoomScaleNormal="86" workbookViewId="0">
      <selection activeCell="Q41" sqref="Q41"/>
    </sheetView>
  </sheetViews>
  <sheetFormatPr defaultColWidth="9.25" defaultRowHeight="13.5"/>
  <cols>
    <col min="13" max="18" width="10.75" customWidth="1"/>
  </cols>
  <sheetData>
    <row r="1" spans="1:19">
      <c r="A1" s="19" t="s">
        <v>350</v>
      </c>
      <c r="B1" s="2"/>
      <c r="C1" s="2"/>
      <c r="D1" s="3"/>
      <c r="E1" s="3"/>
      <c r="F1" s="3"/>
      <c r="G1" s="3"/>
    </row>
    <row r="2" spans="1:19">
      <c r="A2" s="20" t="s">
        <v>366</v>
      </c>
      <c r="B2" s="3"/>
      <c r="C2" s="3"/>
      <c r="D2" s="3"/>
      <c r="E2" s="3"/>
      <c r="F2" s="3"/>
      <c r="G2" s="3"/>
    </row>
    <row r="3" spans="1:19">
      <c r="A3" s="20" t="s">
        <v>367</v>
      </c>
      <c r="B3" s="3"/>
      <c r="C3" s="3"/>
      <c r="D3" s="3"/>
      <c r="E3" s="3"/>
      <c r="F3" s="3"/>
      <c r="G3" s="3"/>
    </row>
    <row r="4" spans="1:19">
      <c r="A4" s="21" t="s">
        <v>368</v>
      </c>
      <c r="B4" s="5"/>
      <c r="C4" s="5"/>
      <c r="D4" s="5"/>
      <c r="E4" s="5"/>
      <c r="F4" s="5"/>
      <c r="G4" s="5"/>
      <c r="M4" s="127" t="s">
        <v>718</v>
      </c>
      <c r="N4" s="128"/>
      <c r="O4" s="128"/>
      <c r="P4" s="128"/>
      <c r="Q4" s="128"/>
      <c r="R4" s="128"/>
    </row>
    <row r="5" spans="1:19" ht="120">
      <c r="A5" s="14" t="s">
        <v>369</v>
      </c>
      <c r="B5" s="14" t="s">
        <v>370</v>
      </c>
      <c r="C5" s="14" t="s">
        <v>371</v>
      </c>
      <c r="D5" s="14" t="s">
        <v>372</v>
      </c>
      <c r="E5" s="14" t="s">
        <v>373</v>
      </c>
      <c r="F5" s="14" t="s">
        <v>374</v>
      </c>
      <c r="G5" s="14" t="s">
        <v>375</v>
      </c>
      <c r="H5" s="14" t="s">
        <v>376</v>
      </c>
      <c r="I5" s="14" t="s">
        <v>377</v>
      </c>
      <c r="J5" s="17" t="s">
        <v>319</v>
      </c>
      <c r="K5" s="14" t="s">
        <v>378</v>
      </c>
      <c r="M5" s="14" t="s">
        <v>369</v>
      </c>
      <c r="N5" s="14" t="s">
        <v>370</v>
      </c>
      <c r="O5" s="14" t="s">
        <v>709</v>
      </c>
      <c r="P5" s="14" t="s">
        <v>710</v>
      </c>
      <c r="Q5" s="14" t="s">
        <v>711</v>
      </c>
      <c r="R5" s="14" t="s">
        <v>712</v>
      </c>
      <c r="S5" s="14" t="s">
        <v>701</v>
      </c>
    </row>
    <row r="6" spans="1:19" ht="24">
      <c r="A6" s="15" t="s">
        <v>379</v>
      </c>
      <c r="B6" s="16" t="s">
        <v>380</v>
      </c>
      <c r="C6" s="22" t="s">
        <v>381</v>
      </c>
      <c r="D6" s="22" t="s">
        <v>382</v>
      </c>
      <c r="E6" s="22" t="s">
        <v>383</v>
      </c>
      <c r="F6" s="22" t="s">
        <v>384</v>
      </c>
      <c r="G6" s="22" t="s">
        <v>385</v>
      </c>
      <c r="H6" s="22">
        <v>35306.400000000001</v>
      </c>
      <c r="I6" s="22">
        <v>9553.1</v>
      </c>
      <c r="J6" s="17">
        <f t="shared" ref="J6:J37" si="0">SUM(H6:I6)</f>
        <v>44859.5</v>
      </c>
      <c r="K6" s="22" t="s">
        <v>386</v>
      </c>
      <c r="M6" s="15" t="s">
        <v>379</v>
      </c>
      <c r="N6" s="16" t="s">
        <v>380</v>
      </c>
      <c r="O6" s="86">
        <f>C6/10*'2014 National LULUCF Inventory'!$Q$29</f>
        <v>-4682.4000992151632</v>
      </c>
      <c r="P6" s="86">
        <f>F6/10*'2014 National LULUCF Inventory'!$Q$30</f>
        <v>-10076.809644053601</v>
      </c>
      <c r="Q6" s="86">
        <f>G6/10*'2014 National LULUCF Inventory'!$Q$31</f>
        <v>-2631.0662522023658</v>
      </c>
      <c r="R6" s="86">
        <f>J6/10*'2014 National LULUCF Inventory'!$Q$32</f>
        <v>304.84699167338164</v>
      </c>
      <c r="S6" s="86">
        <v>0</v>
      </c>
    </row>
    <row r="7" spans="1:19">
      <c r="A7" s="14" t="s">
        <v>387</v>
      </c>
      <c r="B7" s="18" t="s">
        <v>388</v>
      </c>
      <c r="C7" s="22" t="s">
        <v>389</v>
      </c>
      <c r="D7" s="22" t="s">
        <v>390</v>
      </c>
      <c r="E7" s="22" t="s">
        <v>391</v>
      </c>
      <c r="F7" s="22" t="s">
        <v>304</v>
      </c>
      <c r="G7" s="22" t="s">
        <v>392</v>
      </c>
      <c r="H7" s="22">
        <v>313.60000000000002</v>
      </c>
      <c r="I7" s="22">
        <v>49.3</v>
      </c>
      <c r="J7" s="17">
        <f t="shared" si="0"/>
        <v>362.90000000000003</v>
      </c>
      <c r="K7" s="22" t="s">
        <v>393</v>
      </c>
      <c r="M7" s="14" t="s">
        <v>387</v>
      </c>
      <c r="N7" s="18" t="s">
        <v>388</v>
      </c>
      <c r="O7" s="86">
        <f>C7/10*'2014 National LULUCF Inventory'!$Q$29</f>
        <v>-3.4240411668887902</v>
      </c>
      <c r="P7" s="86">
        <f>F7/10*'2014 National LULUCF Inventory'!$Q$30</f>
        <v>-0.55235203796761589</v>
      </c>
      <c r="Q7" s="86">
        <f>G7/10*'2014 National LULUCF Inventory'!$Q$31</f>
        <v>-0.34753083312358418</v>
      </c>
      <c r="R7" s="86">
        <f>J7/10*'2014 National LULUCF Inventory'!$Q$32</f>
        <v>2.4661214074670967</v>
      </c>
      <c r="S7" s="86">
        <v>0</v>
      </c>
    </row>
    <row r="8" spans="1:19">
      <c r="A8" s="14" t="s">
        <v>394</v>
      </c>
      <c r="B8" s="18" t="s">
        <v>395</v>
      </c>
      <c r="C8" s="22" t="s">
        <v>396</v>
      </c>
      <c r="D8" s="22" t="s">
        <v>397</v>
      </c>
      <c r="E8" s="22" t="s">
        <v>398</v>
      </c>
      <c r="F8" s="22" t="s">
        <v>399</v>
      </c>
      <c r="G8" s="22" t="s">
        <v>400</v>
      </c>
      <c r="H8" s="22">
        <v>332.2</v>
      </c>
      <c r="I8" s="22">
        <v>45.3</v>
      </c>
      <c r="J8" s="17">
        <f t="shared" si="0"/>
        <v>377.5</v>
      </c>
      <c r="K8" s="22" t="s">
        <v>401</v>
      </c>
      <c r="M8" s="14" t="s">
        <v>394</v>
      </c>
      <c r="N8" s="18" t="s">
        <v>395</v>
      </c>
      <c r="O8" s="86">
        <f>C8/10*'2014 National LULUCF Inventory'!$Q$29</f>
        <v>-12.070202872797276</v>
      </c>
      <c r="P8" s="86">
        <f>F8/10*'2014 National LULUCF Inventory'!$Q$30</f>
        <v>-0.57139865996649919</v>
      </c>
      <c r="Q8" s="86">
        <f>G8/10*'2014 National LULUCF Inventory'!$Q$31</f>
        <v>-3.6658897558520014</v>
      </c>
      <c r="R8" s="86">
        <f>J8/10*'2014 National LULUCF Inventory'!$Q$32</f>
        <v>2.565337093741606</v>
      </c>
      <c r="S8" s="86">
        <v>0</v>
      </c>
    </row>
    <row r="9" spans="1:19">
      <c r="A9" s="14" t="s">
        <v>402</v>
      </c>
      <c r="B9" s="18" t="s">
        <v>403</v>
      </c>
      <c r="C9" s="22" t="s">
        <v>404</v>
      </c>
      <c r="D9" s="22" t="s">
        <v>405</v>
      </c>
      <c r="E9" s="22" t="s">
        <v>406</v>
      </c>
      <c r="F9" s="22" t="s">
        <v>407</v>
      </c>
      <c r="G9" s="22" t="s">
        <v>408</v>
      </c>
      <c r="H9" s="22">
        <v>2102.9</v>
      </c>
      <c r="I9" s="22">
        <v>407.1</v>
      </c>
      <c r="J9" s="17">
        <f t="shared" si="0"/>
        <v>2510</v>
      </c>
      <c r="K9" s="22" t="s">
        <v>409</v>
      </c>
      <c r="M9" s="14" t="s">
        <v>402</v>
      </c>
      <c r="N9" s="18" t="s">
        <v>403</v>
      </c>
      <c r="O9" s="86">
        <f>C9/10*'2014 National LULUCF Inventory'!$Q$29</f>
        <v>-220.97699689027098</v>
      </c>
      <c r="P9" s="86">
        <f>F9/10*'2014 National LULUCF Inventory'!$Q$30</f>
        <v>-74.178974036850917</v>
      </c>
      <c r="Q9" s="86">
        <f>G9/10*'2014 National LULUCF Inventory'!$Q$31</f>
        <v>-15.997628995721117</v>
      </c>
      <c r="R9" s="86">
        <f>J9/10*'2014 National LULUCF Inventory'!$Q$32</f>
        <v>17.056943325275316</v>
      </c>
      <c r="S9" s="86">
        <v>0</v>
      </c>
    </row>
    <row r="10" spans="1:19">
      <c r="A10" s="14" t="s">
        <v>410</v>
      </c>
      <c r="B10" s="18" t="s">
        <v>411</v>
      </c>
      <c r="C10" s="22" t="s">
        <v>412</v>
      </c>
      <c r="D10" s="22" t="s">
        <v>413</v>
      </c>
      <c r="E10" s="22" t="s">
        <v>414</v>
      </c>
      <c r="F10" s="22" t="s">
        <v>415</v>
      </c>
      <c r="G10" s="22" t="s">
        <v>416</v>
      </c>
      <c r="H10" s="22">
        <v>1017.6</v>
      </c>
      <c r="I10" s="22">
        <v>269.8</v>
      </c>
      <c r="J10" s="17">
        <f t="shared" si="0"/>
        <v>1287.4000000000001</v>
      </c>
      <c r="K10" s="22" t="s">
        <v>417</v>
      </c>
      <c r="M10" s="14" t="s">
        <v>410</v>
      </c>
      <c r="N10" s="18" t="s">
        <v>411</v>
      </c>
      <c r="O10" s="86">
        <f>C10/10*'2014 National LULUCF Inventory'!$Q$29</f>
        <v>-141.70403524359543</v>
      </c>
      <c r="P10" s="86">
        <f>F10/10*'2014 National LULUCF Inventory'!$Q$30</f>
        <v>-118.28333193746511</v>
      </c>
      <c r="Q10" s="86">
        <f>G10/10*'2014 National LULUCF Inventory'!$Q$31</f>
        <v>-6.0986055877170893</v>
      </c>
      <c r="R10" s="86">
        <f>J10/10*'2014 National LULUCF Inventory'!$Q$32</f>
        <v>8.7486489390276656</v>
      </c>
      <c r="S10" s="86">
        <v>0</v>
      </c>
    </row>
    <row r="11" spans="1:19" ht="24">
      <c r="A11" s="14" t="s">
        <v>418</v>
      </c>
      <c r="B11" s="18" t="s">
        <v>419</v>
      </c>
      <c r="C11" s="22" t="s">
        <v>420</v>
      </c>
      <c r="D11" s="22" t="s">
        <v>421</v>
      </c>
      <c r="E11" s="22" t="s">
        <v>422</v>
      </c>
      <c r="F11" s="22" t="s">
        <v>423</v>
      </c>
      <c r="G11" s="22" t="s">
        <v>424</v>
      </c>
      <c r="H11" s="22">
        <v>1493.3</v>
      </c>
      <c r="I11" s="22">
        <v>799.4</v>
      </c>
      <c r="J11" s="17">
        <f t="shared" si="0"/>
        <v>2292.6999999999998</v>
      </c>
      <c r="K11" s="22" t="s">
        <v>425</v>
      </c>
      <c r="M11" s="14" t="s">
        <v>418</v>
      </c>
      <c r="N11" s="18" t="s">
        <v>419</v>
      </c>
      <c r="O11" s="86">
        <f>C11/10*'2014 National LULUCF Inventory'!$Q$29</f>
        <v>-421.01058048274848</v>
      </c>
      <c r="P11" s="86">
        <f>F11/10*'2014 National LULUCF Inventory'!$Q$30</f>
        <v>-2063.5834045226134</v>
      </c>
      <c r="Q11" s="86">
        <f>G11/10*'2014 National LULUCF Inventory'!$Q$31</f>
        <v>-427.05934054870374</v>
      </c>
      <c r="R11" s="86">
        <f>J11/10*'2014 National LULUCF Inventory'!$Q$32</f>
        <v>15.580260542573193</v>
      </c>
      <c r="S11" s="86">
        <v>0</v>
      </c>
    </row>
    <row r="12" spans="1:19">
      <c r="A12" s="14" t="s">
        <v>426</v>
      </c>
      <c r="B12" s="18" t="s">
        <v>427</v>
      </c>
      <c r="C12" s="22" t="s">
        <v>428</v>
      </c>
      <c r="D12" s="22" t="s">
        <v>429</v>
      </c>
      <c r="E12" s="22" t="s">
        <v>430</v>
      </c>
      <c r="F12" s="22" t="s">
        <v>431</v>
      </c>
      <c r="G12" s="22" t="s">
        <v>432</v>
      </c>
      <c r="H12" s="22">
        <v>1316.2</v>
      </c>
      <c r="I12" s="22">
        <v>308.89999999999998</v>
      </c>
      <c r="J12" s="17">
        <f t="shared" si="0"/>
        <v>1625.1</v>
      </c>
      <c r="K12" s="22" t="s">
        <v>433</v>
      </c>
      <c r="M12" s="14" t="s">
        <v>426</v>
      </c>
      <c r="N12" s="18" t="s">
        <v>427</v>
      </c>
      <c r="O12" s="86">
        <f>C12/10*'2014 National LULUCF Inventory'!$Q$29</f>
        <v>-189.77244632015402</v>
      </c>
      <c r="P12" s="86">
        <f>F12/10*'2014 National LULUCF Inventory'!$Q$30</f>
        <v>-18.559028475711894</v>
      </c>
      <c r="Q12" s="86">
        <f>G12/10*'2014 National LULUCF Inventory'!$Q$31</f>
        <v>-32.107364711804678</v>
      </c>
      <c r="R12" s="86">
        <f>J12/10*'2014 National LULUCF Inventory'!$Q$32</f>
        <v>11.043521353746977</v>
      </c>
      <c r="S12" s="86">
        <v>0</v>
      </c>
    </row>
    <row r="13" spans="1:19">
      <c r="A13" s="14" t="s">
        <v>434</v>
      </c>
      <c r="B13" s="18" t="s">
        <v>435</v>
      </c>
      <c r="C13" s="22" t="s">
        <v>436</v>
      </c>
      <c r="D13" s="22" t="s">
        <v>437</v>
      </c>
      <c r="E13" s="22" t="s">
        <v>438</v>
      </c>
      <c r="F13" s="22" t="s">
        <v>439</v>
      </c>
      <c r="G13" s="22" t="s">
        <v>440</v>
      </c>
      <c r="H13" s="22">
        <v>850.9</v>
      </c>
      <c r="I13" s="22">
        <v>264.60000000000002</v>
      </c>
      <c r="J13" s="17">
        <f t="shared" si="0"/>
        <v>1115.5</v>
      </c>
      <c r="K13" s="22" t="s">
        <v>441</v>
      </c>
      <c r="M13" s="14" t="s">
        <v>434</v>
      </c>
      <c r="N13" s="18" t="s">
        <v>435</v>
      </c>
      <c r="O13" s="86">
        <f>C13/10*'2014 National LULUCF Inventory'!$Q$29</f>
        <v>-274.60077743225236</v>
      </c>
      <c r="P13" s="86">
        <f>F13/10*'2014 National LULUCF Inventory'!$Q$30</f>
        <v>-25.701511725293134</v>
      </c>
      <c r="Q13" s="86">
        <f>G13/10*'2014 National LULUCF Inventory'!$Q$31</f>
        <v>-25.818177699471434</v>
      </c>
      <c r="R13" s="86">
        <f>J13/10*'2014 National LULUCF Inventory'!$Q$32</f>
        <v>7.5804861670695676</v>
      </c>
      <c r="S13" s="86">
        <v>0</v>
      </c>
    </row>
    <row r="14" spans="1:19" ht="24">
      <c r="A14" s="14" t="s">
        <v>442</v>
      </c>
      <c r="B14" s="18" t="s">
        <v>443</v>
      </c>
      <c r="C14" s="22" t="s">
        <v>444</v>
      </c>
      <c r="D14" s="22" t="s">
        <v>445</v>
      </c>
      <c r="E14" s="22" t="s">
        <v>446</v>
      </c>
      <c r="F14" s="22" t="s">
        <v>447</v>
      </c>
      <c r="G14" s="22" t="s">
        <v>448</v>
      </c>
      <c r="H14" s="22">
        <v>1164.4000000000001</v>
      </c>
      <c r="I14" s="22">
        <v>544.29999999999995</v>
      </c>
      <c r="J14" s="17">
        <f t="shared" si="0"/>
        <v>1708.7</v>
      </c>
      <c r="K14" s="22" t="s">
        <v>449</v>
      </c>
      <c r="M14" s="14" t="s">
        <v>442</v>
      </c>
      <c r="N14" s="18" t="s">
        <v>443</v>
      </c>
      <c r="O14" s="86">
        <f>C14/10*'2014 National LULUCF Inventory'!$Q$29</f>
        <v>-629.70863616170595</v>
      </c>
      <c r="P14" s="86">
        <f>F14/10*'2014 National LULUCF Inventory'!$Q$30</f>
        <v>-45.167159408151875</v>
      </c>
      <c r="Q14" s="86">
        <f>G14/10*'2014 National LULUCF Inventory'!$Q$31</f>
        <v>-392.48562798892527</v>
      </c>
      <c r="R14" s="86">
        <f>J14/10*'2014 National LULUCF Inventory'!$Q$32</f>
        <v>11.611633091592802</v>
      </c>
      <c r="S14" s="86">
        <v>0</v>
      </c>
    </row>
    <row r="15" spans="1:19">
      <c r="A15" s="14" t="s">
        <v>450</v>
      </c>
      <c r="B15" s="18" t="s">
        <v>451</v>
      </c>
      <c r="C15" s="22" t="s">
        <v>452</v>
      </c>
      <c r="D15" s="22" t="s">
        <v>453</v>
      </c>
      <c r="E15" s="22" t="s">
        <v>454</v>
      </c>
      <c r="F15" s="22" t="s">
        <v>455</v>
      </c>
      <c r="G15" s="22" t="s">
        <v>456</v>
      </c>
      <c r="H15" s="22">
        <v>289.5</v>
      </c>
      <c r="I15" s="22">
        <v>34.1</v>
      </c>
      <c r="J15" s="17">
        <f t="shared" si="0"/>
        <v>323.60000000000002</v>
      </c>
      <c r="K15" s="22" t="s">
        <v>457</v>
      </c>
      <c r="M15" s="14" t="s">
        <v>450</v>
      </c>
      <c r="N15" s="18" t="s">
        <v>451</v>
      </c>
      <c r="O15" s="86">
        <f>C15/10*'2014 National LULUCF Inventory'!$Q$29</f>
        <v>-5.9325633051976903</v>
      </c>
      <c r="P15" s="86">
        <f>F15/10*'2014 National LULUCF Inventory'!$Q$30</f>
        <v>-0.50283082077051922</v>
      </c>
      <c r="Q15" s="86">
        <f>G15/10*'2014 National LULUCF Inventory'!$Q$31</f>
        <v>-8.1501585703498627</v>
      </c>
      <c r="R15" s="86">
        <f>J15/10*'2014 National LULUCF Inventory'!$Q$32</f>
        <v>2.1990545259199568</v>
      </c>
      <c r="S15" s="86">
        <v>0</v>
      </c>
    </row>
    <row r="16" spans="1:19">
      <c r="A16" s="14" t="s">
        <v>458</v>
      </c>
      <c r="B16" s="18" t="s">
        <v>459</v>
      </c>
      <c r="C16" s="22" t="s">
        <v>460</v>
      </c>
      <c r="D16" s="22" t="s">
        <v>440</v>
      </c>
      <c r="E16" s="22" t="s">
        <v>461</v>
      </c>
      <c r="F16" s="22" t="s">
        <v>170</v>
      </c>
      <c r="G16" s="22" t="s">
        <v>462</v>
      </c>
      <c r="H16" s="22">
        <v>2097.3000000000002</v>
      </c>
      <c r="I16" s="22">
        <v>365.1</v>
      </c>
      <c r="J16" s="17">
        <f t="shared" si="0"/>
        <v>2462.4</v>
      </c>
      <c r="K16" s="22" t="s">
        <v>463</v>
      </c>
      <c r="M16" s="14" t="s">
        <v>458</v>
      </c>
      <c r="N16" s="18" t="s">
        <v>459</v>
      </c>
      <c r="O16" s="86">
        <f>C16/10*'2014 National LULUCF Inventory'!$Q$29</f>
        <v>-149.76792684732712</v>
      </c>
      <c r="P16" s="86">
        <f>F16/10*'2014 National LULUCF Inventory'!$Q$30</f>
        <v>-3.5655276381909546</v>
      </c>
      <c r="Q16" s="86">
        <f>G16/10*'2014 National LULUCF Inventory'!$Q$31</f>
        <v>-46.681238358922727</v>
      </c>
      <c r="R16" s="86">
        <f>J16/10*'2014 National LULUCF Inventory'!$Q$32</f>
        <v>16.733473005640612</v>
      </c>
      <c r="S16" s="86">
        <v>0</v>
      </c>
    </row>
    <row r="17" spans="1:19">
      <c r="A17" s="14" t="s">
        <v>464</v>
      </c>
      <c r="B17" s="18" t="s">
        <v>465</v>
      </c>
      <c r="C17" s="22" t="s">
        <v>466</v>
      </c>
      <c r="D17" s="22" t="s">
        <v>467</v>
      </c>
      <c r="E17" s="22" t="s">
        <v>468</v>
      </c>
      <c r="F17" s="22" t="s">
        <v>469</v>
      </c>
      <c r="G17" s="22" t="s">
        <v>470</v>
      </c>
      <c r="H17" s="22">
        <v>1146.8</v>
      </c>
      <c r="I17" s="22">
        <v>246.9</v>
      </c>
      <c r="J17" s="17">
        <f t="shared" si="0"/>
        <v>1393.7</v>
      </c>
      <c r="K17" s="22" t="s">
        <v>471</v>
      </c>
      <c r="M17" s="14" t="s">
        <v>464</v>
      </c>
      <c r="N17" s="18" t="s">
        <v>465</v>
      </c>
      <c r="O17" s="86">
        <f>C17/10*'2014 National LULUCF Inventory'!$Q$29</f>
        <v>-47.25909225529395</v>
      </c>
      <c r="P17" s="86">
        <f>F17/10*'2014 National LULUCF Inventory'!$Q$30</f>
        <v>-2.4189209938581797</v>
      </c>
      <c r="Q17" s="86">
        <f>G17/10*'2014 National LULUCF Inventory'!$Q$31</f>
        <v>-18.520030203876164</v>
      </c>
      <c r="R17" s="86">
        <f>J17/10*'2014 National LULUCF Inventory'!$Q$32</f>
        <v>9.4710206822455003</v>
      </c>
      <c r="S17" s="86">
        <v>0</v>
      </c>
    </row>
    <row r="18" spans="1:19">
      <c r="A18" s="14" t="s">
        <v>472</v>
      </c>
      <c r="B18" s="18" t="s">
        <v>473</v>
      </c>
      <c r="C18" s="22" t="s">
        <v>474</v>
      </c>
      <c r="D18" s="22" t="s">
        <v>475</v>
      </c>
      <c r="E18" s="22" t="s">
        <v>476</v>
      </c>
      <c r="F18" s="22" t="s">
        <v>477</v>
      </c>
      <c r="G18" s="22" t="s">
        <v>478</v>
      </c>
      <c r="H18" s="22">
        <v>1755.7</v>
      </c>
      <c r="I18" s="22">
        <v>305.5</v>
      </c>
      <c r="J18" s="17">
        <f t="shared" si="0"/>
        <v>2061.1999999999998</v>
      </c>
      <c r="K18" s="22" t="s">
        <v>479</v>
      </c>
      <c r="M18" s="14" t="s">
        <v>472</v>
      </c>
      <c r="N18" s="18" t="s">
        <v>473</v>
      </c>
      <c r="O18" s="86">
        <f>C18/10*'2014 National LULUCF Inventory'!$Q$29</f>
        <v>-203.13169998519174</v>
      </c>
      <c r="P18" s="86">
        <f>F18/10*'2014 National LULUCF Inventory'!$Q$30</f>
        <v>-1.8246663874930207</v>
      </c>
      <c r="Q18" s="86">
        <f>G18/10*'2014 National LULUCF Inventory'!$Q$31</f>
        <v>-5.3474905612886987</v>
      </c>
      <c r="R18" s="86">
        <f>J18/10*'2014 National LULUCF Inventory'!$Q$32</f>
        <v>14.007080311576683</v>
      </c>
      <c r="S18" s="86">
        <v>0</v>
      </c>
    </row>
    <row r="19" spans="1:19">
      <c r="A19" s="14" t="s">
        <v>480</v>
      </c>
      <c r="B19" s="18" t="s">
        <v>481</v>
      </c>
      <c r="C19" s="22" t="s">
        <v>482</v>
      </c>
      <c r="D19" s="22" t="s">
        <v>483</v>
      </c>
      <c r="E19" s="22" t="s">
        <v>484</v>
      </c>
      <c r="F19" s="22" t="s">
        <v>485</v>
      </c>
      <c r="G19" s="22" t="s">
        <v>486</v>
      </c>
      <c r="H19" s="22">
        <v>704.9</v>
      </c>
      <c r="I19" s="22">
        <v>217.5</v>
      </c>
      <c r="J19" s="17">
        <f t="shared" si="0"/>
        <v>922.4</v>
      </c>
      <c r="K19" s="22" t="s">
        <v>487</v>
      </c>
      <c r="M19" s="14" t="s">
        <v>480</v>
      </c>
      <c r="N19" s="18" t="s">
        <v>481</v>
      </c>
      <c r="O19" s="86">
        <f>C19/10*'2014 National LULUCF Inventory'!$Q$29</f>
        <v>-34.130549385458316</v>
      </c>
      <c r="P19" s="86">
        <f>F19/10*'2014 National LULUCF Inventory'!$Q$30</f>
        <v>-2.8531839754327195</v>
      </c>
      <c r="Q19" s="86">
        <f>G19/10*'2014 National LULUCF Inventory'!$Q$31</f>
        <v>-21.143327460357412</v>
      </c>
      <c r="R19" s="86">
        <f>J19/10*'2014 National LULUCF Inventory'!$Q$32</f>
        <v>6.2682567821649204</v>
      </c>
      <c r="S19" s="86">
        <v>0</v>
      </c>
    </row>
    <row r="20" spans="1:19">
      <c r="A20" s="14" t="s">
        <v>488</v>
      </c>
      <c r="B20" s="18" t="s">
        <v>489</v>
      </c>
      <c r="C20" s="22" t="s">
        <v>490</v>
      </c>
      <c r="D20" s="22" t="s">
        <v>491</v>
      </c>
      <c r="E20" s="22" t="s">
        <v>492</v>
      </c>
      <c r="F20" s="22" t="s">
        <v>493</v>
      </c>
      <c r="G20" s="22" t="s">
        <v>494</v>
      </c>
      <c r="H20" s="22">
        <v>1103.5999999999999</v>
      </c>
      <c r="I20" s="22">
        <v>349.8</v>
      </c>
      <c r="J20" s="17">
        <f t="shared" si="0"/>
        <v>1453.3999999999999</v>
      </c>
      <c r="K20" s="22" t="s">
        <v>495</v>
      </c>
      <c r="M20" s="14" t="s">
        <v>488</v>
      </c>
      <c r="N20" s="18" t="s">
        <v>489</v>
      </c>
      <c r="O20" s="86">
        <f>C20/10*'2014 National LULUCF Inventory'!$Q$29</f>
        <v>-99.667063527321176</v>
      </c>
      <c r="P20" s="86">
        <f>F20/10*'2014 National LULUCF Inventory'!$Q$30</f>
        <v>-3.3788707426018991</v>
      </c>
      <c r="Q20" s="86">
        <f>G20/10*'2014 National LULUCF Inventory'!$Q$31</f>
        <v>-3.2174628744022149</v>
      </c>
      <c r="R20" s="86">
        <f>J20/10*'2014 National LULUCF Inventory'!$Q$32</f>
        <v>9.87671770077894</v>
      </c>
      <c r="S20" s="86">
        <v>0</v>
      </c>
    </row>
    <row r="21" spans="1:19">
      <c r="A21" s="14" t="s">
        <v>496</v>
      </c>
      <c r="B21" s="18" t="s">
        <v>497</v>
      </c>
      <c r="C21" s="22" t="s">
        <v>498</v>
      </c>
      <c r="D21" s="22" t="s">
        <v>499</v>
      </c>
      <c r="E21" s="22" t="s">
        <v>500</v>
      </c>
      <c r="F21" s="22" t="s">
        <v>501</v>
      </c>
      <c r="G21" s="22" t="s">
        <v>502</v>
      </c>
      <c r="H21" s="22">
        <v>2806.5</v>
      </c>
      <c r="I21" s="22">
        <v>446.4</v>
      </c>
      <c r="J21" s="17">
        <f t="shared" si="0"/>
        <v>3252.9</v>
      </c>
      <c r="K21" s="22" t="s">
        <v>503</v>
      </c>
      <c r="M21" s="14" t="s">
        <v>496</v>
      </c>
      <c r="N21" s="18" t="s">
        <v>497</v>
      </c>
      <c r="O21" s="86">
        <f>C21/10*'2014 National LULUCF Inventory'!$Q$29</f>
        <v>-236.63969643121575</v>
      </c>
      <c r="P21" s="86">
        <f>F21/10*'2014 National LULUCF Inventory'!$Q$30</f>
        <v>-8.9595309882747074</v>
      </c>
      <c r="Q21" s="86">
        <f>G21/10*'2014 National LULUCF Inventory'!$Q$31</f>
        <v>-27.600674553234327</v>
      </c>
      <c r="R21" s="86">
        <f>J21/10*'2014 National LULUCF Inventory'!$Q$32</f>
        <v>22.105390813859792</v>
      </c>
      <c r="S21" s="86">
        <v>0</v>
      </c>
    </row>
    <row r="22" spans="1:19">
      <c r="A22" s="14" t="s">
        <v>504</v>
      </c>
      <c r="B22" s="18" t="s">
        <v>505</v>
      </c>
      <c r="C22" s="22" t="s">
        <v>506</v>
      </c>
      <c r="D22" s="22" t="s">
        <v>507</v>
      </c>
      <c r="E22" s="22" t="s">
        <v>508</v>
      </c>
      <c r="F22" s="22" t="s">
        <v>509</v>
      </c>
      <c r="G22" s="22" t="s">
        <v>510</v>
      </c>
      <c r="H22" s="22">
        <v>2449.5</v>
      </c>
      <c r="I22" s="22">
        <v>381.7</v>
      </c>
      <c r="J22" s="17">
        <f t="shared" si="0"/>
        <v>2831.2</v>
      </c>
      <c r="K22" s="22" t="s">
        <v>511</v>
      </c>
      <c r="M22" s="14" t="s">
        <v>504</v>
      </c>
      <c r="N22" s="18" t="s">
        <v>505</v>
      </c>
      <c r="O22" s="86">
        <f>C22/10*'2014 National LULUCF Inventory'!$Q$29</f>
        <v>-275.17206130608622</v>
      </c>
      <c r="P22" s="86">
        <f>F22/10*'2014 National LULUCF Inventory'!$Q$30</f>
        <v>-9.7899637074260184</v>
      </c>
      <c r="Q22" s="86">
        <f>G22/10*'2014 National LULUCF Inventory'!$Q$31</f>
        <v>-4.3833727661716591</v>
      </c>
      <c r="R22" s="86">
        <f>J22/10*'2014 National LULUCF Inventory'!$Q$32</f>
        <v>19.239688423314533</v>
      </c>
      <c r="S22" s="86">
        <v>0</v>
      </c>
    </row>
    <row r="23" spans="1:19">
      <c r="A23" s="14" t="s">
        <v>512</v>
      </c>
      <c r="B23" s="18" t="s">
        <v>513</v>
      </c>
      <c r="C23" s="22" t="s">
        <v>514</v>
      </c>
      <c r="D23" s="22" t="s">
        <v>515</v>
      </c>
      <c r="E23" s="22" t="s">
        <v>516</v>
      </c>
      <c r="F23" s="22" t="s">
        <v>517</v>
      </c>
      <c r="G23" s="22" t="s">
        <v>518</v>
      </c>
      <c r="H23" s="22">
        <v>1411.5</v>
      </c>
      <c r="I23" s="22">
        <v>329.9</v>
      </c>
      <c r="J23" s="17">
        <f t="shared" si="0"/>
        <v>1741.4</v>
      </c>
      <c r="K23" s="22" t="s">
        <v>519</v>
      </c>
      <c r="M23" s="14" t="s">
        <v>512</v>
      </c>
      <c r="N23" s="18" t="s">
        <v>513</v>
      </c>
      <c r="O23" s="86">
        <f>C23/10*'2014 National LULUCF Inventory'!$Q$29</f>
        <v>-174.62976158744263</v>
      </c>
      <c r="P23" s="86">
        <f>F23/10*'2014 National LULUCF Inventory'!$Q$30</f>
        <v>-3.4055360134003356</v>
      </c>
      <c r="Q23" s="86">
        <f>G23/10*'2014 National LULUCF Inventory'!$Q$31</f>
        <v>-6.8609312861817262</v>
      </c>
      <c r="R23" s="86">
        <f>J23/10*'2014 National LULUCF Inventory'!$Q$32</f>
        <v>11.833849046467902</v>
      </c>
      <c r="S23" s="86">
        <v>0</v>
      </c>
    </row>
    <row r="24" spans="1:19">
      <c r="A24" s="14" t="s">
        <v>520</v>
      </c>
      <c r="B24" s="18" t="s">
        <v>521</v>
      </c>
      <c r="C24" s="22" t="s">
        <v>522</v>
      </c>
      <c r="D24" s="22" t="s">
        <v>523</v>
      </c>
      <c r="E24" s="22" t="s">
        <v>524</v>
      </c>
      <c r="F24" s="22" t="s">
        <v>525</v>
      </c>
      <c r="G24" s="22" t="s">
        <v>526</v>
      </c>
      <c r="H24" s="22">
        <v>1630.3</v>
      </c>
      <c r="I24" s="22">
        <v>364.8</v>
      </c>
      <c r="J24" s="17">
        <f t="shared" si="0"/>
        <v>1995.1</v>
      </c>
      <c r="K24" s="22" t="s">
        <v>527</v>
      </c>
      <c r="M24" s="14" t="s">
        <v>520</v>
      </c>
      <c r="N24" s="18" t="s">
        <v>521</v>
      </c>
      <c r="O24" s="86">
        <f>C24/10*'2014 National LULUCF Inventory'!$Q$29</f>
        <v>-132.90406634088552</v>
      </c>
      <c r="P24" s="86">
        <f>F24/10*'2014 National LULUCF Inventory'!$Q$30</f>
        <v>-5.3521007816862092</v>
      </c>
      <c r="Q24" s="86">
        <f>G24/10*'2014 National LULUCF Inventory'!$Q$31</f>
        <v>-26.468396677573619</v>
      </c>
      <c r="R24" s="86">
        <f>J24/10*'2014 National LULUCF Inventory'!$Q$32</f>
        <v>13.557891485361267</v>
      </c>
      <c r="S24" s="86">
        <v>0</v>
      </c>
    </row>
    <row r="25" spans="1:19">
      <c r="A25" s="14" t="s">
        <v>528</v>
      </c>
      <c r="B25" s="18" t="s">
        <v>529</v>
      </c>
      <c r="C25" s="22" t="s">
        <v>530</v>
      </c>
      <c r="D25" s="22" t="s">
        <v>531</v>
      </c>
      <c r="E25" s="22" t="s">
        <v>532</v>
      </c>
      <c r="F25" s="22" t="s">
        <v>533</v>
      </c>
      <c r="G25" s="22" t="s">
        <v>534</v>
      </c>
      <c r="H25" s="22">
        <v>1763.8</v>
      </c>
      <c r="I25" s="22">
        <v>327.39999999999998</v>
      </c>
      <c r="J25" s="17">
        <f t="shared" si="0"/>
        <v>2091.1999999999998</v>
      </c>
      <c r="K25" s="22" t="s">
        <v>535</v>
      </c>
      <c r="M25" s="14" t="s">
        <v>528</v>
      </c>
      <c r="N25" s="18" t="s">
        <v>529</v>
      </c>
      <c r="O25" s="86">
        <f>C25/10*'2014 National LULUCF Inventory'!$Q$29</f>
        <v>-69.649025618243741</v>
      </c>
      <c r="P25" s="86">
        <f>F25/10*'2014 National LULUCF Inventory'!$Q$30</f>
        <v>-9.0852386934673373</v>
      </c>
      <c r="Q25" s="86">
        <f>G25/10*'2014 National LULUCF Inventory'!$Q$31</f>
        <v>-20.055892272841682</v>
      </c>
      <c r="R25" s="86">
        <f>J25/10*'2014 National LULUCF Inventory'!$Q$32</f>
        <v>14.21094816008595</v>
      </c>
      <c r="S25" s="86">
        <v>0</v>
      </c>
    </row>
    <row r="26" spans="1:19">
      <c r="A26" s="14" t="s">
        <v>536</v>
      </c>
      <c r="B26" s="18" t="s">
        <v>537</v>
      </c>
      <c r="C26" s="22" t="s">
        <v>538</v>
      </c>
      <c r="D26" s="22" t="s">
        <v>539</v>
      </c>
      <c r="E26" s="22" t="s">
        <v>540</v>
      </c>
      <c r="F26" s="22" t="s">
        <v>541</v>
      </c>
      <c r="G26" s="22" t="s">
        <v>542</v>
      </c>
      <c r="H26" s="22">
        <v>979.9</v>
      </c>
      <c r="I26" s="22">
        <v>352.3</v>
      </c>
      <c r="J26" s="17">
        <f t="shared" si="0"/>
        <v>1332.2</v>
      </c>
      <c r="K26" s="22" t="s">
        <v>543</v>
      </c>
      <c r="M26" s="14" t="s">
        <v>536</v>
      </c>
      <c r="N26" s="18" t="s">
        <v>537</v>
      </c>
      <c r="O26" s="86">
        <f>C26/10*'2014 National LULUCF Inventory'!$Q$29</f>
        <v>-121.12682955723382</v>
      </c>
      <c r="P26" s="86">
        <f>F26/10*'2014 National LULUCF Inventory'!$Q$30</f>
        <v>-10.521353992183137</v>
      </c>
      <c r="Q26" s="86">
        <f>G26/10*'2014 National LULUCF Inventory'!$Q$31</f>
        <v>-14.259974830103197</v>
      </c>
      <c r="R26" s="86">
        <f>J26/10*'2014 National LULUCF Inventory'!$Q$32</f>
        <v>9.0530915928015041</v>
      </c>
      <c r="S26" s="86">
        <v>0</v>
      </c>
    </row>
    <row r="27" spans="1:19">
      <c r="A27" s="14" t="s">
        <v>544</v>
      </c>
      <c r="B27" s="18" t="s">
        <v>545</v>
      </c>
      <c r="C27" s="22" t="s">
        <v>546</v>
      </c>
      <c r="D27" s="22" t="s">
        <v>547</v>
      </c>
      <c r="E27" s="22" t="s">
        <v>548</v>
      </c>
      <c r="F27" s="22" t="s">
        <v>549</v>
      </c>
      <c r="G27" s="22" t="s">
        <v>550</v>
      </c>
      <c r="H27" s="22">
        <v>243.1</v>
      </c>
      <c r="I27" s="22">
        <v>58.9</v>
      </c>
      <c r="J27" s="17">
        <f t="shared" si="0"/>
        <v>302</v>
      </c>
      <c r="K27" s="22" t="s">
        <v>551</v>
      </c>
      <c r="M27" s="14" t="s">
        <v>544</v>
      </c>
      <c r="N27" s="18" t="s">
        <v>545</v>
      </c>
      <c r="O27" s="86">
        <f>C27/10*'2014 National LULUCF Inventory'!$Q$29</f>
        <v>-17.830648600621945</v>
      </c>
      <c r="P27" s="86">
        <f>F27/10*'2014 National LULUCF Inventory'!$Q$30</f>
        <v>-0.65139447236180914</v>
      </c>
      <c r="Q27" s="86">
        <f>G27/10*'2014 National LULUCF Inventory'!$Q$31</f>
        <v>-13.587334507928519</v>
      </c>
      <c r="R27" s="86">
        <f>J27/10*'2014 National LULUCF Inventory'!$Q$32</f>
        <v>2.0522696749932847</v>
      </c>
      <c r="S27" s="86">
        <v>0</v>
      </c>
    </row>
    <row r="28" spans="1:19">
      <c r="A28" s="14" t="s">
        <v>552</v>
      </c>
      <c r="B28" s="18" t="s">
        <v>553</v>
      </c>
      <c r="C28" s="22" t="s">
        <v>554</v>
      </c>
      <c r="D28" s="22" t="s">
        <v>555</v>
      </c>
      <c r="E28" s="22" t="s">
        <v>556</v>
      </c>
      <c r="F28" s="22" t="s">
        <v>557</v>
      </c>
      <c r="G28" s="22" t="s">
        <v>399</v>
      </c>
      <c r="H28" s="22">
        <v>637.70000000000005</v>
      </c>
      <c r="I28" s="22">
        <v>155.80000000000001</v>
      </c>
      <c r="J28" s="17">
        <f t="shared" si="0"/>
        <v>793.5</v>
      </c>
      <c r="K28" s="22" t="s">
        <v>558</v>
      </c>
      <c r="M28" s="14" t="s">
        <v>552</v>
      </c>
      <c r="N28" s="18" t="s">
        <v>553</v>
      </c>
      <c r="O28" s="86">
        <f>C28/10*'2014 National LULUCF Inventory'!$Q$29</f>
        <v>-68.488147490004451</v>
      </c>
      <c r="P28" s="86">
        <f>F28/10*'2014 National LULUCF Inventory'!$Q$30</f>
        <v>-0.8990005583472922</v>
      </c>
      <c r="Q28" s="86">
        <f>G28/10*'2014 National LULUCF Inventory'!$Q$31</f>
        <v>-1.6816008054366978</v>
      </c>
      <c r="R28" s="86">
        <f>J28/10*'2014 National LULUCF Inventory'!$Q$32</f>
        <v>5.3923045930701043</v>
      </c>
      <c r="S28" s="86">
        <v>0</v>
      </c>
    </row>
    <row r="29" spans="1:19">
      <c r="A29" s="14" t="s">
        <v>559</v>
      </c>
      <c r="B29" s="18" t="s">
        <v>560</v>
      </c>
      <c r="C29" s="22" t="s">
        <v>561</v>
      </c>
      <c r="D29" s="22" t="s">
        <v>562</v>
      </c>
      <c r="E29" s="22" t="s">
        <v>563</v>
      </c>
      <c r="F29" s="22" t="s">
        <v>564</v>
      </c>
      <c r="G29" s="22" t="s">
        <v>565</v>
      </c>
      <c r="H29" s="22">
        <v>1841.2</v>
      </c>
      <c r="I29" s="22">
        <v>473.9</v>
      </c>
      <c r="J29" s="17">
        <f t="shared" si="0"/>
        <v>2315.1</v>
      </c>
      <c r="K29" s="22" t="s">
        <v>566</v>
      </c>
      <c r="M29" s="14" t="s">
        <v>559</v>
      </c>
      <c r="N29" s="18" t="s">
        <v>560</v>
      </c>
      <c r="O29" s="86">
        <f>C29/10*'2014 National LULUCF Inventory'!$Q$29</f>
        <v>-191.42404264771216</v>
      </c>
      <c r="P29" s="86">
        <f>F29/10*'2014 National LULUCF Inventory'!$Q$30</f>
        <v>-369.03972920156338</v>
      </c>
      <c r="Q29" s="86">
        <f>G29/10*'2014 National LULUCF Inventory'!$Q$31</f>
        <v>-137.98095142209917</v>
      </c>
      <c r="R29" s="86">
        <f>J29/10*'2014 National LULUCF Inventory'!$Q$32</f>
        <v>15.732481869460113</v>
      </c>
      <c r="S29" s="86">
        <v>0</v>
      </c>
    </row>
    <row r="30" spans="1:19">
      <c r="A30" s="14" t="s">
        <v>567</v>
      </c>
      <c r="B30" s="18" t="s">
        <v>568</v>
      </c>
      <c r="C30" s="22" t="s">
        <v>569</v>
      </c>
      <c r="D30" s="22" t="s">
        <v>570</v>
      </c>
      <c r="E30" s="22" t="s">
        <v>571</v>
      </c>
      <c r="F30" s="22" t="s">
        <v>572</v>
      </c>
      <c r="G30" s="22" t="s">
        <v>573</v>
      </c>
      <c r="H30" s="22">
        <v>772.5</v>
      </c>
      <c r="I30" s="22">
        <v>331</v>
      </c>
      <c r="J30" s="17">
        <f t="shared" si="0"/>
        <v>1103.5</v>
      </c>
      <c r="K30" s="22" t="s">
        <v>574</v>
      </c>
      <c r="M30" s="14" t="s">
        <v>567</v>
      </c>
      <c r="N30" s="18" t="s">
        <v>568</v>
      </c>
      <c r="O30" s="86">
        <f>C30/10*'2014 National LULUCF Inventory'!$Q$29</f>
        <v>-127.1692551458611</v>
      </c>
      <c r="P30" s="86">
        <f>F30/10*'2014 National LULUCF Inventory'!$Q$30</f>
        <v>-7.1729578447794538</v>
      </c>
      <c r="Q30" s="86">
        <f>G30/10*'2014 National LULUCF Inventory'!$Q$31</f>
        <v>-0.79595771457337017</v>
      </c>
      <c r="R30" s="86">
        <f>J30/10*'2014 National LULUCF Inventory'!$Q$32</f>
        <v>7.4989390276658607</v>
      </c>
      <c r="S30" s="86">
        <v>0</v>
      </c>
    </row>
    <row r="31" spans="1:19">
      <c r="A31" s="14" t="s">
        <v>575</v>
      </c>
      <c r="B31" s="18" t="s">
        <v>576</v>
      </c>
      <c r="C31" s="22" t="s">
        <v>577</v>
      </c>
      <c r="D31" s="22" t="s">
        <v>578</v>
      </c>
      <c r="E31" s="22" t="s">
        <v>579</v>
      </c>
      <c r="F31" s="22" t="s">
        <v>580</v>
      </c>
      <c r="G31" s="22" t="s">
        <v>581</v>
      </c>
      <c r="H31" s="22">
        <v>1073.7</v>
      </c>
      <c r="I31" s="22">
        <v>526.4</v>
      </c>
      <c r="J31" s="17">
        <f t="shared" si="0"/>
        <v>1600.1</v>
      </c>
      <c r="K31" s="22" t="s">
        <v>582</v>
      </c>
      <c r="M31" s="14" t="s">
        <v>575</v>
      </c>
      <c r="N31" s="18" t="s">
        <v>576</v>
      </c>
      <c r="O31" s="86">
        <f>C31/10*'2014 National LULUCF Inventory'!$Q$29</f>
        <v>-197.58731674811193</v>
      </c>
      <c r="P31" s="86">
        <f>F31/10*'2014 National LULUCF Inventory'!$Q$30</f>
        <v>-50.393552484645461</v>
      </c>
      <c r="Q31" s="86">
        <f>G31/10*'2014 National LULUCF Inventory'!$Q$31</f>
        <v>-4.4618474704253703</v>
      </c>
      <c r="R31" s="86">
        <f>J31/10*'2014 National LULUCF Inventory'!$Q$32</f>
        <v>10.873631479989255</v>
      </c>
      <c r="S31" s="86">
        <v>0</v>
      </c>
    </row>
    <row r="32" spans="1:19">
      <c r="A32" s="14" t="s">
        <v>583</v>
      </c>
      <c r="B32" s="18" t="s">
        <v>584</v>
      </c>
      <c r="C32" s="22" t="s">
        <v>585</v>
      </c>
      <c r="D32" s="22" t="s">
        <v>586</v>
      </c>
      <c r="E32" s="22" t="s">
        <v>587</v>
      </c>
      <c r="F32" s="22" t="s">
        <v>588</v>
      </c>
      <c r="G32" s="22" t="s">
        <v>589</v>
      </c>
      <c r="H32" s="22">
        <v>162.30000000000001</v>
      </c>
      <c r="I32" s="22">
        <v>166.6</v>
      </c>
      <c r="J32" s="17">
        <f t="shared" si="0"/>
        <v>328.9</v>
      </c>
      <c r="K32" s="22" t="s">
        <v>590</v>
      </c>
      <c r="M32" s="14" t="s">
        <v>583</v>
      </c>
      <c r="N32" s="18" t="s">
        <v>584</v>
      </c>
      <c r="O32" s="86">
        <f>C32/10*'2014 National LULUCF Inventory'!$Q$29</f>
        <v>-16.190038501406782</v>
      </c>
      <c r="P32" s="86">
        <f>F32/10*'2014 National LULUCF Inventory'!$Q$30</f>
        <v>-3049.9355806811836</v>
      </c>
      <c r="Q32" s="86">
        <f>G32/10*'2014 National LULUCF Inventory'!$Q$31</f>
        <v>-482.33916435942609</v>
      </c>
      <c r="R32" s="86">
        <f>J32/10*'2014 National LULUCF Inventory'!$Q$32</f>
        <v>2.235071179156594</v>
      </c>
      <c r="S32" s="86">
        <v>0</v>
      </c>
    </row>
    <row r="33" spans="1:19">
      <c r="A33" s="14" t="s">
        <v>591</v>
      </c>
      <c r="B33" s="18" t="s">
        <v>592</v>
      </c>
      <c r="C33" s="22" t="s">
        <v>593</v>
      </c>
      <c r="D33" s="22" t="s">
        <v>594</v>
      </c>
      <c r="E33" s="22" t="s">
        <v>595</v>
      </c>
      <c r="F33" s="22" t="s">
        <v>596</v>
      </c>
      <c r="G33" s="22" t="s">
        <v>597</v>
      </c>
      <c r="H33" s="22">
        <v>917.8</v>
      </c>
      <c r="I33" s="22">
        <v>302.60000000000002</v>
      </c>
      <c r="J33" s="17">
        <f t="shared" si="0"/>
        <v>1220.4000000000001</v>
      </c>
      <c r="K33" s="22" t="s">
        <v>598</v>
      </c>
      <c r="M33" s="14" t="s">
        <v>591</v>
      </c>
      <c r="N33" s="18" t="s">
        <v>592</v>
      </c>
      <c r="O33" s="86">
        <f>C33/10*'2014 National LULUCF Inventory'!$Q$29</f>
        <v>-107.45629942247891</v>
      </c>
      <c r="P33" s="86">
        <f>F33/10*'2014 National LULUCF Inventory'!$Q$30</f>
        <v>-84.197497208263556</v>
      </c>
      <c r="Q33" s="86">
        <f>G33/10*'2014 National LULUCF Inventory'!$Q$31</f>
        <v>-5.4595972816511456</v>
      </c>
      <c r="R33" s="86">
        <f>J33/10*'2014 National LULUCF Inventory'!$Q$32</f>
        <v>8.29334407735697</v>
      </c>
      <c r="S33" s="86">
        <v>0</v>
      </c>
    </row>
    <row r="34" spans="1:19">
      <c r="A34" s="14" t="s">
        <v>599</v>
      </c>
      <c r="B34" s="18" t="s">
        <v>600</v>
      </c>
      <c r="C34" s="22" t="s">
        <v>601</v>
      </c>
      <c r="D34" s="22" t="s">
        <v>602</v>
      </c>
      <c r="E34" s="22" t="s">
        <v>603</v>
      </c>
      <c r="F34" s="22" t="s">
        <v>604</v>
      </c>
      <c r="G34" s="22" t="s">
        <v>605</v>
      </c>
      <c r="H34" s="22">
        <v>852.6</v>
      </c>
      <c r="I34" s="22">
        <v>331.2</v>
      </c>
      <c r="J34" s="17">
        <f t="shared" si="0"/>
        <v>1183.8</v>
      </c>
      <c r="K34" s="22" t="s">
        <v>606</v>
      </c>
      <c r="M34" s="14" t="s">
        <v>599</v>
      </c>
      <c r="N34" s="18" t="s">
        <v>600</v>
      </c>
      <c r="O34" s="86">
        <f>C34/10*'2014 National LULUCF Inventory'!$Q$29</f>
        <v>-190.7758551754776</v>
      </c>
      <c r="P34" s="86">
        <f>F34/10*'2014 National LULUCF Inventory'!$Q$30</f>
        <v>-545.00385120044666</v>
      </c>
      <c r="Q34" s="86">
        <f>G34/10*'2014 National LULUCF Inventory'!$Q$31</f>
        <v>-132.91372766171656</v>
      </c>
      <c r="R34" s="86">
        <f>J34/10*'2014 National LULUCF Inventory'!$Q$32</f>
        <v>8.044625302175664</v>
      </c>
      <c r="S34" s="86">
        <v>0</v>
      </c>
    </row>
    <row r="35" spans="1:19">
      <c r="A35" s="14" t="s">
        <v>607</v>
      </c>
      <c r="B35" s="18" t="s">
        <v>608</v>
      </c>
      <c r="C35" s="22" t="s">
        <v>609</v>
      </c>
      <c r="D35" s="22" t="s">
        <v>237</v>
      </c>
      <c r="E35" s="22" t="s">
        <v>610</v>
      </c>
      <c r="F35" s="22" t="s">
        <v>611</v>
      </c>
      <c r="G35" s="22" t="s">
        <v>612</v>
      </c>
      <c r="H35" s="22">
        <v>367.8</v>
      </c>
      <c r="I35" s="22">
        <v>140.5</v>
      </c>
      <c r="J35" s="17">
        <f t="shared" si="0"/>
        <v>508.3</v>
      </c>
      <c r="K35" s="22" t="s">
        <v>613</v>
      </c>
      <c r="M35" s="14" t="s">
        <v>607</v>
      </c>
      <c r="N35" s="18" t="s">
        <v>608</v>
      </c>
      <c r="O35" s="86">
        <f>C35/10*'2014 National LULUCF Inventory'!$Q$29</f>
        <v>-20.661433436990968</v>
      </c>
      <c r="P35" s="86">
        <f>F35/10*'2014 National LULUCF Inventory'!$Q$30</f>
        <v>-1503.5708151870465</v>
      </c>
      <c r="Q35" s="86">
        <f>G35/10*'2014 National LULUCF Inventory'!$Q$31</f>
        <v>-571.87880191291219</v>
      </c>
      <c r="R35" s="86">
        <f>J35/10*'2014 National LULUCF Inventory'!$Q$32</f>
        <v>3.4542009132420088</v>
      </c>
      <c r="S35" s="86">
        <v>0</v>
      </c>
    </row>
    <row r="36" spans="1:19">
      <c r="A36" s="14" t="s">
        <v>614</v>
      </c>
      <c r="B36" s="18" t="s">
        <v>615</v>
      </c>
      <c r="C36" s="22" t="s">
        <v>616</v>
      </c>
      <c r="D36" s="22" t="s">
        <v>617</v>
      </c>
      <c r="E36" s="22" t="s">
        <v>618</v>
      </c>
      <c r="F36" s="22" t="s">
        <v>619</v>
      </c>
      <c r="G36" s="22" t="s">
        <v>620</v>
      </c>
      <c r="H36" s="22">
        <v>297.10000000000002</v>
      </c>
      <c r="I36" s="22">
        <v>94</v>
      </c>
      <c r="J36" s="17">
        <f t="shared" si="0"/>
        <v>391.1</v>
      </c>
      <c r="K36" s="22" t="s">
        <v>621</v>
      </c>
      <c r="M36" s="14" t="s">
        <v>614</v>
      </c>
      <c r="N36" s="18" t="s">
        <v>615</v>
      </c>
      <c r="O36" s="86">
        <f>C36/10*'2014 National LULUCF Inventory'!$Q$29</f>
        <v>-43.776457870576046</v>
      </c>
      <c r="P36" s="86">
        <f>F36/10*'2014 National LULUCF Inventory'!$Q$30</f>
        <v>-77.367378559463987</v>
      </c>
      <c r="Q36" s="86">
        <f>G36/10*'2014 National LULUCF Inventory'!$Q$31</f>
        <v>-2.7914573370249181</v>
      </c>
      <c r="R36" s="86">
        <f>J36/10*'2014 National LULUCF Inventory'!$Q$32</f>
        <v>2.6577571850658073</v>
      </c>
      <c r="S36" s="86">
        <v>0</v>
      </c>
    </row>
    <row r="37" spans="1:19">
      <c r="A37" s="14" t="s">
        <v>622</v>
      </c>
      <c r="B37" s="18" t="s">
        <v>623</v>
      </c>
      <c r="C37" s="22" t="s">
        <v>624</v>
      </c>
      <c r="D37" s="22" t="s">
        <v>625</v>
      </c>
      <c r="E37" s="22" t="s">
        <v>626</v>
      </c>
      <c r="F37" s="22" t="s">
        <v>627</v>
      </c>
      <c r="G37" s="22" t="s">
        <v>628</v>
      </c>
      <c r="H37" s="22">
        <v>1410</v>
      </c>
      <c r="I37" s="22">
        <v>561.9</v>
      </c>
      <c r="J37" s="17">
        <f t="shared" si="0"/>
        <v>1971.9</v>
      </c>
      <c r="K37" s="22" t="s">
        <v>629</v>
      </c>
      <c r="M37" s="14" t="s">
        <v>622</v>
      </c>
      <c r="N37" s="18" t="s">
        <v>623</v>
      </c>
      <c r="O37" s="86">
        <f>C37/10*'2014 National LULUCF Inventory'!$Q$29</f>
        <v>-257.7588893824967</v>
      </c>
      <c r="P37" s="86">
        <f>F37/10*'2014 National LULUCF Inventory'!$Q$30</f>
        <v>-1980.3153824678952</v>
      </c>
      <c r="Q37" s="86">
        <f>G37/10*'2014 National LULUCF Inventory'!$Q$31</f>
        <v>-170.90669519254971</v>
      </c>
      <c r="R37" s="86">
        <f>J37/10*'2014 National LULUCF Inventory'!$Q$32</f>
        <v>13.4002336825141</v>
      </c>
      <c r="S37" s="86">
        <v>0</v>
      </c>
    </row>
  </sheetData>
  <mergeCells count="1">
    <mergeCell ref="M4:R4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32B2-125A-4EC5-B7EE-D8C69A079B2B}">
  <dimension ref="A1:S17"/>
  <sheetViews>
    <sheetView workbookViewId="0">
      <selection activeCell="N9" sqref="N9"/>
    </sheetView>
  </sheetViews>
  <sheetFormatPr defaultRowHeight="13.5"/>
  <cols>
    <col min="1" max="1" width="14" bestFit="1" customWidth="1"/>
    <col min="2" max="19" width="10" customWidth="1"/>
  </cols>
  <sheetData>
    <row r="1" spans="1:19">
      <c r="A1" s="17"/>
      <c r="B1" s="129">
        <v>2005</v>
      </c>
      <c r="C1" s="129"/>
      <c r="D1" s="129"/>
      <c r="E1" s="129">
        <v>2010</v>
      </c>
      <c r="F1" s="129"/>
      <c r="G1" s="129"/>
      <c r="H1" s="129">
        <v>2017</v>
      </c>
      <c r="I1" s="129"/>
      <c r="J1" s="129"/>
      <c r="K1" s="129">
        <v>2018</v>
      </c>
      <c r="L1" s="129"/>
      <c r="M1" s="129"/>
      <c r="N1" s="129" t="s">
        <v>804</v>
      </c>
      <c r="O1" s="129"/>
      <c r="P1" s="129"/>
      <c r="Q1" s="129">
        <v>2021</v>
      </c>
      <c r="R1" s="129"/>
      <c r="S1" s="129"/>
    </row>
    <row r="2" spans="1:19" ht="14.25">
      <c r="A2" s="17"/>
      <c r="B2" s="115" t="s">
        <v>805</v>
      </c>
      <c r="C2" s="115" t="s">
        <v>806</v>
      </c>
      <c r="D2" s="115" t="s">
        <v>807</v>
      </c>
      <c r="E2" s="115" t="s">
        <v>805</v>
      </c>
      <c r="F2" s="115" t="s">
        <v>806</v>
      </c>
      <c r="G2" s="115" t="s">
        <v>807</v>
      </c>
      <c r="H2" s="115" t="s">
        <v>805</v>
      </c>
      <c r="I2" s="115" t="s">
        <v>806</v>
      </c>
      <c r="J2" s="115" t="s">
        <v>807</v>
      </c>
      <c r="K2" s="115" t="s">
        <v>805</v>
      </c>
      <c r="L2" s="115" t="s">
        <v>806</v>
      </c>
      <c r="M2" s="115" t="s">
        <v>807</v>
      </c>
      <c r="N2" s="115" t="s">
        <v>805</v>
      </c>
      <c r="O2" s="115" t="s">
        <v>806</v>
      </c>
      <c r="P2" s="115" t="s">
        <v>807</v>
      </c>
      <c r="Q2" s="115" t="s">
        <v>805</v>
      </c>
      <c r="R2" s="115" t="s">
        <v>806</v>
      </c>
      <c r="S2" s="115" t="s">
        <v>807</v>
      </c>
    </row>
    <row r="3" spans="1:19" ht="14.25">
      <c r="A3" s="116" t="s">
        <v>808</v>
      </c>
      <c r="B3" s="117"/>
      <c r="C3" s="117">
        <v>2136.5</v>
      </c>
      <c r="D3" s="117">
        <v>98.3</v>
      </c>
      <c r="E3" s="117"/>
      <c r="F3" s="117">
        <v>2241.4</v>
      </c>
      <c r="G3" s="117">
        <v>115.4</v>
      </c>
      <c r="H3" s="117"/>
      <c r="I3" s="117">
        <v>2470.8000000000002</v>
      </c>
      <c r="J3" s="117">
        <v>98.2</v>
      </c>
      <c r="K3" s="117"/>
      <c r="L3" s="117">
        <v>2384.6</v>
      </c>
      <c r="M3" s="117">
        <v>94.3</v>
      </c>
      <c r="N3" s="117"/>
      <c r="O3" s="117">
        <v>2372</v>
      </c>
      <c r="P3" s="117">
        <v>94.6</v>
      </c>
      <c r="Q3" s="117"/>
      <c r="R3" s="117">
        <v>2427.9</v>
      </c>
      <c r="S3" s="117">
        <v>94.9</v>
      </c>
    </row>
    <row r="4" spans="1:19" ht="14.25">
      <c r="A4" s="116" t="s">
        <v>809</v>
      </c>
      <c r="B4" s="117"/>
      <c r="C4" s="117">
        <v>1120.4000000000001</v>
      </c>
      <c r="D4" s="117"/>
      <c r="E4" s="117"/>
      <c r="F4" s="117">
        <v>1032.9000000000001</v>
      </c>
      <c r="G4" s="117"/>
      <c r="H4" s="117"/>
      <c r="I4" s="117">
        <v>1112.3</v>
      </c>
      <c r="J4" s="117"/>
      <c r="K4" s="117"/>
      <c r="L4" s="117">
        <v>1084.0999999999999</v>
      </c>
      <c r="M4" s="117"/>
      <c r="N4" s="117"/>
      <c r="O4" s="117">
        <v>1124.2</v>
      </c>
      <c r="P4" s="117"/>
      <c r="Q4" s="117"/>
      <c r="R4" s="117">
        <v>1151.8</v>
      </c>
      <c r="S4" s="117"/>
    </row>
    <row r="5" spans="1:19" ht="14.25">
      <c r="A5" s="116" t="s">
        <v>810</v>
      </c>
      <c r="B5" s="117"/>
      <c r="C5" s="117">
        <v>240.4</v>
      </c>
      <c r="D5" s="117">
        <v>27.2</v>
      </c>
      <c r="E5" s="117"/>
      <c r="F5" s="117">
        <v>304.8</v>
      </c>
      <c r="G5" s="117">
        <v>23.6</v>
      </c>
      <c r="H5" s="117"/>
      <c r="I5" s="117">
        <v>354.8</v>
      </c>
      <c r="J5" s="117">
        <v>22</v>
      </c>
      <c r="K5" s="117"/>
      <c r="L5" s="117">
        <v>346.1</v>
      </c>
      <c r="M5" s="117">
        <v>21.7</v>
      </c>
      <c r="N5" s="117"/>
      <c r="O5" s="117">
        <v>344.7</v>
      </c>
      <c r="P5" s="117">
        <v>22.2</v>
      </c>
      <c r="Q5" s="117"/>
      <c r="R5" s="117">
        <v>375.3</v>
      </c>
      <c r="S5" s="117">
        <v>22.7</v>
      </c>
    </row>
    <row r="6" spans="1:19" ht="14.25">
      <c r="A6" s="116" t="s">
        <v>811</v>
      </c>
      <c r="B6" s="117"/>
      <c r="C6" s="117">
        <v>755</v>
      </c>
      <c r="D6" s="117"/>
      <c r="E6" s="117"/>
      <c r="F6" s="117">
        <v>872.9</v>
      </c>
      <c r="G6" s="117"/>
      <c r="H6" s="117"/>
      <c r="I6" s="117">
        <v>962.8</v>
      </c>
      <c r="J6" s="117"/>
      <c r="K6" s="117"/>
      <c r="L6" s="117">
        <v>932.9</v>
      </c>
      <c r="M6" s="117"/>
      <c r="N6" s="117"/>
      <c r="O6" s="117">
        <v>884.9</v>
      </c>
      <c r="P6" s="117"/>
      <c r="Q6" s="117"/>
      <c r="R6" s="117">
        <v>885.1</v>
      </c>
      <c r="S6" s="117"/>
    </row>
    <row r="7" spans="1:19" ht="14.25">
      <c r="A7" s="116" t="s">
        <v>812</v>
      </c>
      <c r="B7" s="117"/>
      <c r="C7" s="117"/>
      <c r="D7" s="117">
        <v>70.599999999999994</v>
      </c>
      <c r="E7" s="117"/>
      <c r="F7" s="117"/>
      <c r="G7" s="117">
        <v>91.1</v>
      </c>
      <c r="H7" s="117"/>
      <c r="I7" s="117"/>
      <c r="J7" s="117">
        <v>75.2</v>
      </c>
      <c r="K7" s="117"/>
      <c r="L7" s="117"/>
      <c r="M7" s="117">
        <v>72</v>
      </c>
      <c r="N7" s="117"/>
      <c r="O7" s="117"/>
      <c r="P7" s="117">
        <v>71.900000000000006</v>
      </c>
      <c r="Q7" s="117"/>
      <c r="R7" s="117"/>
      <c r="S7" s="117">
        <v>71.8</v>
      </c>
    </row>
    <row r="8" spans="1:19" ht="14.25">
      <c r="A8" s="116" t="s">
        <v>813</v>
      </c>
      <c r="B8" s="117"/>
      <c r="C8" s="117">
        <v>20.7</v>
      </c>
      <c r="D8" s="117">
        <v>0.5</v>
      </c>
      <c r="E8" s="117"/>
      <c r="F8" s="117">
        <v>30.7</v>
      </c>
      <c r="G8" s="117">
        <v>0.7</v>
      </c>
      <c r="H8" s="117"/>
      <c r="I8" s="117">
        <v>41</v>
      </c>
      <c r="J8" s="117">
        <v>1.1000000000000001</v>
      </c>
      <c r="K8" s="117"/>
      <c r="L8" s="117">
        <v>21.6</v>
      </c>
      <c r="M8" s="117">
        <v>0.6</v>
      </c>
      <c r="N8" s="117"/>
      <c r="O8" s="117">
        <v>18.2</v>
      </c>
      <c r="P8" s="117">
        <v>0.5</v>
      </c>
      <c r="Q8" s="117"/>
      <c r="R8" s="117">
        <v>15.7</v>
      </c>
      <c r="S8" s="117">
        <v>0.4</v>
      </c>
    </row>
    <row r="9" spans="1:19" ht="36.75">
      <c r="A9" s="118" t="s">
        <v>814</v>
      </c>
      <c r="B9" s="117">
        <v>-72866.7</v>
      </c>
      <c r="C9" s="117">
        <v>63.2</v>
      </c>
      <c r="D9" s="117">
        <v>0</v>
      </c>
      <c r="E9" s="117">
        <v>-102972</v>
      </c>
      <c r="F9" s="117">
        <v>174</v>
      </c>
      <c r="G9" s="117">
        <v>0.1</v>
      </c>
      <c r="H9" s="117">
        <v>-134171.4</v>
      </c>
      <c r="I9" s="117"/>
      <c r="J9" s="117"/>
      <c r="K9" s="117">
        <v>-134047.29999999999</v>
      </c>
      <c r="L9" s="117">
        <v>398.1</v>
      </c>
      <c r="M9" s="117">
        <v>0.1</v>
      </c>
      <c r="N9" s="117">
        <v>-134262.9</v>
      </c>
      <c r="O9" s="117">
        <v>139.80000000000001</v>
      </c>
      <c r="P9" s="117">
        <v>0</v>
      </c>
      <c r="Q9" s="117">
        <v>-134649.9</v>
      </c>
      <c r="R9" s="117">
        <v>111</v>
      </c>
      <c r="S9" s="117">
        <v>0</v>
      </c>
    </row>
    <row r="10" spans="1:19" ht="14.25">
      <c r="A10" s="116" t="s">
        <v>815</v>
      </c>
      <c r="B10" s="117">
        <v>-55120.5</v>
      </c>
      <c r="C10" s="117">
        <v>0.2</v>
      </c>
      <c r="D10" s="117">
        <v>0</v>
      </c>
      <c r="E10" s="117">
        <v>-77923</v>
      </c>
      <c r="F10" s="117">
        <v>0.1</v>
      </c>
      <c r="G10" s="117">
        <v>0</v>
      </c>
      <c r="H10" s="117">
        <v>-92842</v>
      </c>
      <c r="I10" s="117"/>
      <c r="J10" s="117"/>
      <c r="K10" s="117">
        <v>-96579.199999999997</v>
      </c>
      <c r="L10" s="117">
        <v>0.1</v>
      </c>
      <c r="M10" s="117">
        <v>0</v>
      </c>
      <c r="N10" s="117">
        <v>-89559.2</v>
      </c>
      <c r="O10" s="117">
        <v>0</v>
      </c>
      <c r="P10" s="117">
        <v>0</v>
      </c>
      <c r="Q10" s="117">
        <v>-87682.7</v>
      </c>
      <c r="R10" s="117">
        <v>0</v>
      </c>
      <c r="S10" s="117">
        <v>0</v>
      </c>
    </row>
    <row r="11" spans="1:19" ht="14.25">
      <c r="A11" s="116" t="s">
        <v>816</v>
      </c>
      <c r="B11" s="117">
        <v>-4107.7</v>
      </c>
      <c r="C11" s="117"/>
      <c r="D11" s="117"/>
      <c r="E11" s="117">
        <v>-6604</v>
      </c>
      <c r="F11" s="117" t="s">
        <v>817</v>
      </c>
      <c r="G11" s="117" t="s">
        <v>817</v>
      </c>
      <c r="H11" s="117">
        <v>-9643.2999999999993</v>
      </c>
      <c r="I11" s="117"/>
      <c r="J11" s="117"/>
      <c r="K11" s="117">
        <v>-7810</v>
      </c>
      <c r="L11" s="117" t="s">
        <v>817</v>
      </c>
      <c r="M11" s="117" t="s">
        <v>817</v>
      </c>
      <c r="N11" s="117">
        <v>-9801.7999999999993</v>
      </c>
      <c r="O11" s="117"/>
      <c r="P11" s="117"/>
      <c r="Q11" s="117">
        <v>-10616.2</v>
      </c>
      <c r="R11" s="117"/>
      <c r="S11" s="117"/>
    </row>
    <row r="12" spans="1:19" ht="14.25">
      <c r="A12" s="116" t="s">
        <v>818</v>
      </c>
      <c r="B12" s="117">
        <v>-4776.8999999999996</v>
      </c>
      <c r="C12" s="117">
        <v>0.1</v>
      </c>
      <c r="D12" s="117">
        <v>0</v>
      </c>
      <c r="E12" s="117">
        <v>-4513</v>
      </c>
      <c r="F12" s="117">
        <v>0.1</v>
      </c>
      <c r="G12" s="117">
        <v>0.1</v>
      </c>
      <c r="H12" s="117">
        <v>-12101.3</v>
      </c>
      <c r="I12" s="117">
        <v>0.1</v>
      </c>
      <c r="J12" s="117">
        <v>0.1</v>
      </c>
      <c r="K12" s="117">
        <v>-10175.200000000001</v>
      </c>
      <c r="L12" s="117">
        <v>0.1</v>
      </c>
      <c r="M12" s="117">
        <v>0.1</v>
      </c>
      <c r="N12" s="117">
        <v>-7270.7</v>
      </c>
      <c r="O12" s="117">
        <v>0</v>
      </c>
      <c r="P12" s="117">
        <v>0</v>
      </c>
      <c r="Q12" s="117">
        <v>-6408.2</v>
      </c>
      <c r="R12" s="117">
        <v>0</v>
      </c>
      <c r="S12" s="117">
        <v>0</v>
      </c>
    </row>
    <row r="13" spans="1:19" ht="14.25">
      <c r="A13" s="116" t="s">
        <v>819</v>
      </c>
      <c r="B13" s="117">
        <v>-1373</v>
      </c>
      <c r="C13" s="117">
        <v>62.9</v>
      </c>
      <c r="D13" s="117" t="s">
        <v>825</v>
      </c>
      <c r="E13" s="117">
        <v>-4508</v>
      </c>
      <c r="F13" s="117">
        <v>174</v>
      </c>
      <c r="G13" s="117" t="s">
        <v>820</v>
      </c>
      <c r="H13" s="117">
        <v>-8586.2999999999993</v>
      </c>
      <c r="I13" s="117">
        <v>398.3</v>
      </c>
      <c r="J13" s="117"/>
      <c r="K13" s="117">
        <v>-8641.7000000000007</v>
      </c>
      <c r="L13" s="117">
        <v>398</v>
      </c>
      <c r="M13" s="117" t="s">
        <v>820</v>
      </c>
      <c r="N13" s="117">
        <v>-2978.8</v>
      </c>
      <c r="O13" s="117">
        <v>139.80000000000001</v>
      </c>
      <c r="P13" s="117" t="s">
        <v>820</v>
      </c>
      <c r="Q13" s="117">
        <v>-2459.9</v>
      </c>
      <c r="R13" s="117">
        <v>111</v>
      </c>
      <c r="S13" s="117" t="s">
        <v>820</v>
      </c>
    </row>
    <row r="14" spans="1:19" ht="14.25">
      <c r="A14" s="116" t="s">
        <v>821</v>
      </c>
      <c r="B14" s="117">
        <v>16.3</v>
      </c>
      <c r="C14" s="117"/>
      <c r="D14" s="117"/>
      <c r="E14" s="117">
        <v>162</v>
      </c>
      <c r="F14" s="117"/>
      <c r="G14" s="117"/>
      <c r="H14" s="117">
        <v>-102.8</v>
      </c>
      <c r="I14" s="117"/>
      <c r="J14" s="117"/>
      <c r="K14" s="117">
        <v>-91.8</v>
      </c>
      <c r="L14" s="117"/>
      <c r="M14" s="117"/>
      <c r="N14" s="117">
        <v>-239.6</v>
      </c>
      <c r="O14" s="117"/>
      <c r="P14" s="117"/>
      <c r="Q14" s="117">
        <v>-63.4</v>
      </c>
      <c r="R14" s="117"/>
      <c r="S14" s="117"/>
    </row>
    <row r="15" spans="1:19" ht="14.25">
      <c r="A15" s="116" t="s">
        <v>822</v>
      </c>
      <c r="B15" s="117">
        <v>543.6</v>
      </c>
      <c r="C15" s="117"/>
      <c r="D15" s="117"/>
      <c r="E15" s="117">
        <v>0</v>
      </c>
      <c r="F15" s="117"/>
      <c r="G15" s="117"/>
      <c r="H15" s="117">
        <v>118.3</v>
      </c>
      <c r="I15" s="117"/>
      <c r="J15" s="117"/>
      <c r="K15" s="117">
        <v>109.5</v>
      </c>
      <c r="L15" s="117"/>
      <c r="M15" s="117"/>
      <c r="N15" s="117">
        <v>264.10000000000002</v>
      </c>
      <c r="O15" s="117"/>
      <c r="P15" s="117"/>
      <c r="Q15" s="117">
        <v>155.6</v>
      </c>
      <c r="R15" s="117"/>
      <c r="S15" s="117"/>
    </row>
    <row r="16" spans="1:19" ht="14.25">
      <c r="A16" s="116" t="s">
        <v>823</v>
      </c>
      <c r="B16" s="117">
        <v>-6121.5</v>
      </c>
      <c r="C16" s="117"/>
      <c r="D16" s="117"/>
      <c r="E16" s="117">
        <v>-9586</v>
      </c>
      <c r="F16" s="117"/>
      <c r="G16" s="117"/>
      <c r="H16" s="117">
        <v>-11014</v>
      </c>
      <c r="I16" s="117"/>
      <c r="J16" s="117"/>
      <c r="K16" s="117">
        <v>-10859</v>
      </c>
      <c r="L16" s="117"/>
      <c r="M16" s="117"/>
      <c r="N16" s="117">
        <v>-10386.299999999999</v>
      </c>
      <c r="O16" s="117"/>
      <c r="P16" s="117"/>
      <c r="Q16" s="117">
        <v>-10382</v>
      </c>
      <c r="R16" s="117"/>
      <c r="S16" s="117"/>
    </row>
    <row r="17" spans="1:19" ht="14.25">
      <c r="A17" s="116" t="s">
        <v>824</v>
      </c>
      <c r="B17" s="117">
        <v>-1927.1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>
        <v>-14290.6</v>
      </c>
      <c r="O17" s="117"/>
      <c r="P17" s="117"/>
      <c r="Q17" s="117">
        <v>-17193.099999999999</v>
      </c>
      <c r="R17" s="117"/>
      <c r="S17" s="117"/>
    </row>
  </sheetData>
  <mergeCells count="6">
    <mergeCell ref="Q1:S1"/>
    <mergeCell ref="B1:D1"/>
    <mergeCell ref="H1:J1"/>
    <mergeCell ref="K1:M1"/>
    <mergeCell ref="E1:G1"/>
    <mergeCell ref="N1:P1"/>
  </mergeCells>
  <phoneticPr fontId="16" type="noConversion"/>
  <conditionalFormatting sqref="B3:S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6"/>
  <sheetViews>
    <sheetView zoomScaleNormal="100" workbookViewId="0">
      <selection activeCell="L5" sqref="L5"/>
    </sheetView>
  </sheetViews>
  <sheetFormatPr defaultColWidth="9.25" defaultRowHeight="13.5"/>
  <cols>
    <col min="2" max="2" width="16.375" customWidth="1"/>
    <col min="10" max="10" width="6.375" bestFit="1" customWidth="1"/>
    <col min="11" max="12" width="16.125" bestFit="1" customWidth="1"/>
  </cols>
  <sheetData>
    <row r="1" spans="1:12">
      <c r="A1" s="1" t="s">
        <v>631</v>
      </c>
      <c r="B1" s="2"/>
      <c r="C1" s="2"/>
      <c r="D1" s="3"/>
      <c r="E1" s="3"/>
      <c r="F1" s="3"/>
      <c r="G1" s="3"/>
      <c r="H1" s="3"/>
    </row>
    <row r="2" spans="1:12">
      <c r="A2" s="4" t="s">
        <v>632</v>
      </c>
      <c r="B2" s="5"/>
      <c r="C2" s="5"/>
      <c r="D2" s="5"/>
      <c r="E2" s="5"/>
      <c r="F2" s="5"/>
      <c r="G2" s="5"/>
      <c r="H2" s="5"/>
    </row>
    <row r="3" spans="1:12">
      <c r="A3" s="130" t="s">
        <v>369</v>
      </c>
      <c r="B3" s="130" t="s">
        <v>370</v>
      </c>
      <c r="C3" s="130" t="s">
        <v>633</v>
      </c>
      <c r="D3" s="130" t="s">
        <v>634</v>
      </c>
      <c r="E3" s="7"/>
      <c r="F3" s="130" t="s">
        <v>635</v>
      </c>
      <c r="G3" s="130" t="s">
        <v>636</v>
      </c>
      <c r="H3" s="130" t="s">
        <v>637</v>
      </c>
    </row>
    <row r="4" spans="1:12" ht="36">
      <c r="A4" s="131"/>
      <c r="B4" s="131"/>
      <c r="C4" s="131"/>
      <c r="D4" s="131"/>
      <c r="E4" s="6" t="s">
        <v>638</v>
      </c>
      <c r="F4" s="131"/>
      <c r="G4" s="131"/>
      <c r="H4" s="131"/>
      <c r="J4" s="14" t="s">
        <v>369</v>
      </c>
      <c r="K4" s="14" t="s">
        <v>370</v>
      </c>
      <c r="L4" s="65" t="s">
        <v>719</v>
      </c>
    </row>
    <row r="5" spans="1:12">
      <c r="A5" s="8" t="s">
        <v>379</v>
      </c>
      <c r="B5" s="9" t="s">
        <v>380</v>
      </c>
      <c r="C5" s="22">
        <v>32368.55</v>
      </c>
      <c r="D5" s="22">
        <v>22044.62</v>
      </c>
      <c r="E5" s="22">
        <v>8003.1</v>
      </c>
      <c r="F5" s="22">
        <v>22.96</v>
      </c>
      <c r="G5" s="22">
        <v>1900713.2</v>
      </c>
      <c r="H5" s="22">
        <v>1756022.99</v>
      </c>
      <c r="J5" s="15" t="s">
        <v>379</v>
      </c>
      <c r="K5" s="16" t="s">
        <v>380</v>
      </c>
      <c r="L5" s="17">
        <f>H5*'2014 National LULUCF Inventory'!$Q$28</f>
        <v>-90067.504604978007</v>
      </c>
    </row>
    <row r="6" spans="1:12">
      <c r="A6" s="6" t="s">
        <v>387</v>
      </c>
      <c r="B6" s="10" t="s">
        <v>388</v>
      </c>
      <c r="C6" s="22">
        <v>107.1</v>
      </c>
      <c r="D6" s="22">
        <v>71.819999999999993</v>
      </c>
      <c r="E6" s="22">
        <v>43.48</v>
      </c>
      <c r="F6" s="22">
        <v>43.77</v>
      </c>
      <c r="G6" s="22">
        <v>3000.81</v>
      </c>
      <c r="H6" s="22">
        <v>2437.36</v>
      </c>
      <c r="J6" s="14" t="s">
        <v>387</v>
      </c>
      <c r="K6" s="18" t="s">
        <v>388</v>
      </c>
      <c r="L6" s="17">
        <f>H6*'2014 National LULUCF Inventory'!$Q$28</f>
        <v>-125.01370100171025</v>
      </c>
    </row>
    <row r="7" spans="1:12">
      <c r="A7" s="6" t="s">
        <v>394</v>
      </c>
      <c r="B7" s="10" t="s">
        <v>395</v>
      </c>
      <c r="C7" s="22">
        <v>20.39</v>
      </c>
      <c r="D7" s="22">
        <v>13.64</v>
      </c>
      <c r="E7" s="22">
        <v>12.98</v>
      </c>
      <c r="F7" s="22">
        <v>12.07</v>
      </c>
      <c r="G7" s="22">
        <v>620.55999999999995</v>
      </c>
      <c r="H7" s="22">
        <v>460.27</v>
      </c>
      <c r="J7" s="14" t="s">
        <v>394</v>
      </c>
      <c r="K7" s="18" t="s">
        <v>395</v>
      </c>
      <c r="L7" s="17">
        <f>H7*'2014 National LULUCF Inventory'!$Q$28</f>
        <v>-23.607532806010258</v>
      </c>
    </row>
    <row r="8" spans="1:12">
      <c r="A8" s="6" t="s">
        <v>639</v>
      </c>
      <c r="B8" s="10" t="s">
        <v>403</v>
      </c>
      <c r="C8" s="22">
        <v>775.64</v>
      </c>
      <c r="D8" s="22">
        <v>502.69</v>
      </c>
      <c r="E8" s="22">
        <v>263.54000000000002</v>
      </c>
      <c r="F8" s="22">
        <v>26.78</v>
      </c>
      <c r="G8" s="22">
        <v>15920.34</v>
      </c>
      <c r="H8" s="22">
        <v>13737.98</v>
      </c>
      <c r="J8" s="14" t="s">
        <v>402</v>
      </c>
      <c r="K8" s="18" t="s">
        <v>403</v>
      </c>
      <c r="L8" s="17">
        <f>H8*'2014 National LULUCF Inventory'!$Q$28</f>
        <v>-704.62948603713653</v>
      </c>
    </row>
    <row r="9" spans="1:12">
      <c r="A9" s="6" t="s">
        <v>410</v>
      </c>
      <c r="B9" s="10" t="s">
        <v>411</v>
      </c>
      <c r="C9" s="22">
        <v>787.25</v>
      </c>
      <c r="D9" s="22">
        <v>321.08999999999997</v>
      </c>
      <c r="E9" s="22">
        <v>167.63</v>
      </c>
      <c r="F9" s="22">
        <v>20.5</v>
      </c>
      <c r="G9" s="22">
        <v>14778.65</v>
      </c>
      <c r="H9" s="22">
        <v>12923.37</v>
      </c>
      <c r="J9" s="14" t="s">
        <v>410</v>
      </c>
      <c r="K9" s="18" t="s">
        <v>411</v>
      </c>
      <c r="L9" s="17">
        <f>H9*'2014 National LULUCF Inventory'!$Q$28</f>
        <v>-662.84763560346937</v>
      </c>
    </row>
    <row r="10" spans="1:12">
      <c r="A10" s="6" t="s">
        <v>418</v>
      </c>
      <c r="B10" s="10" t="s">
        <v>419</v>
      </c>
      <c r="C10" s="22">
        <v>4499.17</v>
      </c>
      <c r="D10" s="22">
        <v>2614.85</v>
      </c>
      <c r="E10" s="22">
        <v>600.01</v>
      </c>
      <c r="F10" s="22">
        <v>22.1</v>
      </c>
      <c r="G10" s="22">
        <v>166271.98000000001</v>
      </c>
      <c r="H10" s="22">
        <v>152704.12</v>
      </c>
      <c r="J10" s="14" t="s">
        <v>418</v>
      </c>
      <c r="K10" s="18" t="s">
        <v>419</v>
      </c>
      <c r="L10" s="17">
        <f>H10*'2014 National LULUCF Inventory'!$Q$28</f>
        <v>-7832.2887055704859</v>
      </c>
    </row>
    <row r="11" spans="1:12">
      <c r="A11" s="6" t="s">
        <v>426</v>
      </c>
      <c r="B11" s="10" t="s">
        <v>427</v>
      </c>
      <c r="C11" s="22">
        <v>735.92</v>
      </c>
      <c r="D11" s="22">
        <v>571.83000000000004</v>
      </c>
      <c r="E11" s="22">
        <v>315.32</v>
      </c>
      <c r="F11" s="22">
        <v>39.24</v>
      </c>
      <c r="G11" s="22">
        <v>30888.53</v>
      </c>
      <c r="H11" s="22">
        <v>29749.18</v>
      </c>
      <c r="J11" s="14" t="s">
        <v>426</v>
      </c>
      <c r="K11" s="18" t="s">
        <v>427</v>
      </c>
      <c r="L11" s="17">
        <f>H11*'2014 National LULUCF Inventory'!$Q$28</f>
        <v>-1525.8538310163694</v>
      </c>
    </row>
    <row r="12" spans="1:12">
      <c r="A12" s="6" t="s">
        <v>434</v>
      </c>
      <c r="B12" s="10" t="s">
        <v>435</v>
      </c>
      <c r="C12" s="22">
        <v>904.79</v>
      </c>
      <c r="D12" s="22">
        <v>784.87</v>
      </c>
      <c r="E12" s="22">
        <v>175.94</v>
      </c>
      <c r="F12" s="22">
        <v>41.49</v>
      </c>
      <c r="G12" s="22">
        <v>105368.45</v>
      </c>
      <c r="H12" s="22">
        <v>101295.77</v>
      </c>
      <c r="J12" s="14" t="s">
        <v>434</v>
      </c>
      <c r="K12" s="18" t="s">
        <v>435</v>
      </c>
      <c r="L12" s="17">
        <f>H12*'2014 National LULUCF Inventory'!$Q$28</f>
        <v>-5195.5226571035919</v>
      </c>
    </row>
    <row r="13" spans="1:12">
      <c r="A13" s="6" t="s">
        <v>442</v>
      </c>
      <c r="B13" s="10" t="s">
        <v>443</v>
      </c>
      <c r="C13" s="22">
        <v>2453.77</v>
      </c>
      <c r="D13" s="22">
        <v>1990.46</v>
      </c>
      <c r="E13" s="22">
        <v>243.26</v>
      </c>
      <c r="F13" s="22">
        <v>43.78</v>
      </c>
      <c r="G13" s="22">
        <v>199999.41</v>
      </c>
      <c r="H13" s="22">
        <v>184704.09</v>
      </c>
      <c r="J13" s="14" t="s">
        <v>442</v>
      </c>
      <c r="K13" s="18" t="s">
        <v>443</v>
      </c>
      <c r="L13" s="17">
        <f>H13*'2014 National LULUCF Inventory'!$Q$28</f>
        <v>-9473.5869469643294</v>
      </c>
    </row>
    <row r="14" spans="1:12">
      <c r="A14" s="6" t="s">
        <v>450</v>
      </c>
      <c r="B14" s="10" t="s">
        <v>451</v>
      </c>
      <c r="C14" s="22">
        <v>10.19</v>
      </c>
      <c r="D14" s="22">
        <v>8.9</v>
      </c>
      <c r="E14" s="22">
        <v>8.9</v>
      </c>
      <c r="F14" s="22">
        <v>14.04</v>
      </c>
      <c r="G14" s="22">
        <v>664.32</v>
      </c>
      <c r="H14" s="22">
        <v>449.59</v>
      </c>
      <c r="J14" s="14" t="s">
        <v>450</v>
      </c>
      <c r="K14" s="18" t="s">
        <v>451</v>
      </c>
      <c r="L14" s="17">
        <f>H14*'2014 National LULUCF Inventory'!$Q$28</f>
        <v>-23.059749004397752</v>
      </c>
    </row>
    <row r="15" spans="1:12">
      <c r="A15" s="6" t="s">
        <v>458</v>
      </c>
      <c r="B15" s="10" t="s">
        <v>459</v>
      </c>
      <c r="C15" s="22">
        <v>174.98</v>
      </c>
      <c r="D15" s="22">
        <v>155.99</v>
      </c>
      <c r="E15" s="22">
        <v>150.83000000000001</v>
      </c>
      <c r="F15" s="22">
        <v>15.2</v>
      </c>
      <c r="G15" s="22">
        <v>9609.6200000000008</v>
      </c>
      <c r="H15" s="22">
        <v>7044.48</v>
      </c>
      <c r="J15" s="14" t="s">
        <v>458</v>
      </c>
      <c r="K15" s="18" t="s">
        <v>459</v>
      </c>
      <c r="L15" s="17">
        <f>H15*'2014 National LULUCF Inventory'!$Q$28</f>
        <v>-361.31573359394082</v>
      </c>
    </row>
    <row r="16" spans="1:12">
      <c r="A16" s="6" t="s">
        <v>464</v>
      </c>
      <c r="B16" s="10" t="s">
        <v>465</v>
      </c>
      <c r="C16" s="22">
        <v>659.77</v>
      </c>
      <c r="D16" s="22">
        <v>604.99</v>
      </c>
      <c r="E16" s="22">
        <v>244.65</v>
      </c>
      <c r="F16" s="22">
        <v>59.43</v>
      </c>
      <c r="G16" s="22">
        <v>31384.86</v>
      </c>
      <c r="H16" s="22">
        <v>28114.67</v>
      </c>
      <c r="J16" s="14" t="s">
        <v>464</v>
      </c>
      <c r="K16" s="18" t="s">
        <v>465</v>
      </c>
      <c r="L16" s="17">
        <f>H16*'2014 National LULUCF Inventory'!$Q$28</f>
        <v>-1442.0188027791351</v>
      </c>
    </row>
    <row r="17" spans="1:12">
      <c r="A17" s="6" t="s">
        <v>640</v>
      </c>
      <c r="B17" s="10" t="s">
        <v>473</v>
      </c>
      <c r="C17" s="22">
        <v>449.33</v>
      </c>
      <c r="D17" s="22">
        <v>395.85</v>
      </c>
      <c r="E17" s="22">
        <v>232.91</v>
      </c>
      <c r="F17" s="22">
        <v>28.65</v>
      </c>
      <c r="G17" s="22">
        <v>26145.1</v>
      </c>
      <c r="H17" s="22">
        <v>22186.55</v>
      </c>
      <c r="J17" s="14" t="s">
        <v>472</v>
      </c>
      <c r="K17" s="18" t="s">
        <v>473</v>
      </c>
      <c r="L17" s="17">
        <f>H17*'2014 National LULUCF Inventory'!$Q$28</f>
        <v>-1137.9618636391399</v>
      </c>
    </row>
    <row r="18" spans="1:12">
      <c r="A18" s="6" t="s">
        <v>480</v>
      </c>
      <c r="B18" s="10" t="s">
        <v>481</v>
      </c>
      <c r="C18" s="22">
        <v>924.4</v>
      </c>
      <c r="D18" s="22">
        <v>811.58</v>
      </c>
      <c r="E18" s="22">
        <v>385.59</v>
      </c>
      <c r="F18" s="22">
        <v>66.8</v>
      </c>
      <c r="G18" s="22">
        <v>79711.289999999994</v>
      </c>
      <c r="H18" s="22">
        <v>72937.63</v>
      </c>
      <c r="J18" s="14" t="s">
        <v>480</v>
      </c>
      <c r="K18" s="18" t="s">
        <v>481</v>
      </c>
      <c r="L18" s="17">
        <f>H18*'2014 National LULUCF Inventory'!$Q$28</f>
        <v>-3741.0161275287078</v>
      </c>
    </row>
    <row r="19" spans="1:12">
      <c r="A19" s="6" t="s">
        <v>641</v>
      </c>
      <c r="B19" s="10" t="s">
        <v>489</v>
      </c>
      <c r="C19" s="22">
        <v>1079.9000000000001</v>
      </c>
      <c r="D19" s="22">
        <v>1021.02</v>
      </c>
      <c r="E19" s="22">
        <v>368.7</v>
      </c>
      <c r="F19" s="22">
        <v>61.16</v>
      </c>
      <c r="G19" s="22">
        <v>57564.29</v>
      </c>
      <c r="H19" s="22">
        <v>50665.83</v>
      </c>
      <c r="J19" s="14" t="s">
        <v>488</v>
      </c>
      <c r="K19" s="18" t="s">
        <v>489</v>
      </c>
      <c r="L19" s="17">
        <f>H19*'2014 National LULUCF Inventory'!$Q$28</f>
        <v>-2598.681738694112</v>
      </c>
    </row>
    <row r="20" spans="1:12">
      <c r="A20" s="6" t="s">
        <v>496</v>
      </c>
      <c r="B20" s="10" t="s">
        <v>497</v>
      </c>
      <c r="C20" s="22">
        <v>349.34</v>
      </c>
      <c r="D20" s="22">
        <v>266.51</v>
      </c>
      <c r="E20" s="22">
        <v>256.11</v>
      </c>
      <c r="F20" s="22">
        <v>17.510000000000002</v>
      </c>
      <c r="G20" s="22">
        <v>13040.49</v>
      </c>
      <c r="H20" s="22">
        <v>9161.49</v>
      </c>
      <c r="J20" s="14" t="s">
        <v>496</v>
      </c>
      <c r="K20" s="18" t="s">
        <v>497</v>
      </c>
      <c r="L20" s="17">
        <f>H20*'2014 National LULUCF Inventory'!$Q$28</f>
        <v>-469.89848507818226</v>
      </c>
    </row>
    <row r="21" spans="1:12">
      <c r="A21" s="6" t="s">
        <v>504</v>
      </c>
      <c r="B21" s="10" t="s">
        <v>505</v>
      </c>
      <c r="C21" s="22">
        <v>520.74</v>
      </c>
      <c r="D21" s="22">
        <v>403.18</v>
      </c>
      <c r="E21" s="22">
        <v>245.78</v>
      </c>
      <c r="F21" s="22">
        <v>24.14</v>
      </c>
      <c r="G21" s="22">
        <v>26564.48</v>
      </c>
      <c r="H21" s="22">
        <v>20719.12</v>
      </c>
      <c r="J21" s="14" t="s">
        <v>504</v>
      </c>
      <c r="K21" s="18" t="s">
        <v>505</v>
      </c>
      <c r="L21" s="17">
        <f>H21*'2014 National LULUCF Inventory'!$Q$28</f>
        <v>-1062.6964718788174</v>
      </c>
    </row>
    <row r="22" spans="1:12">
      <c r="A22" s="6" t="s">
        <v>512</v>
      </c>
      <c r="B22" s="10" t="s">
        <v>513</v>
      </c>
      <c r="C22" s="22">
        <v>876.09</v>
      </c>
      <c r="D22" s="22">
        <v>736.27</v>
      </c>
      <c r="E22" s="22">
        <v>197.42</v>
      </c>
      <c r="F22" s="22">
        <v>39.61</v>
      </c>
      <c r="G22" s="22">
        <v>39579.82</v>
      </c>
      <c r="H22" s="22">
        <v>36507.910000000003</v>
      </c>
      <c r="J22" s="14" t="s">
        <v>512</v>
      </c>
      <c r="K22" s="18" t="s">
        <v>513</v>
      </c>
      <c r="L22" s="17">
        <f>H22*'2014 National LULUCF Inventory'!$Q$28</f>
        <v>-1872.5132704800881</v>
      </c>
    </row>
    <row r="23" spans="1:12">
      <c r="A23" s="6" t="s">
        <v>520</v>
      </c>
      <c r="B23" s="10" t="s">
        <v>521</v>
      </c>
      <c r="C23" s="22">
        <v>1257.5899999999999</v>
      </c>
      <c r="D23" s="22">
        <v>1052.58</v>
      </c>
      <c r="E23" s="22">
        <v>501.51</v>
      </c>
      <c r="F23" s="22">
        <v>49.69</v>
      </c>
      <c r="G23" s="22">
        <v>46141.03</v>
      </c>
      <c r="H23" s="22">
        <v>40715.730000000003</v>
      </c>
      <c r="J23" s="14" t="s">
        <v>520</v>
      </c>
      <c r="K23" s="18" t="s">
        <v>521</v>
      </c>
      <c r="L23" s="17">
        <f>H23*'2014 National LULUCF Inventory'!$Q$28</f>
        <v>-2088.3349592536038</v>
      </c>
    </row>
    <row r="24" spans="1:12">
      <c r="A24" s="6" t="s">
        <v>528</v>
      </c>
      <c r="B24" s="10" t="s">
        <v>529</v>
      </c>
      <c r="C24" s="22">
        <v>1080.29</v>
      </c>
      <c r="D24" s="22">
        <v>945.98</v>
      </c>
      <c r="E24" s="22">
        <v>615.51</v>
      </c>
      <c r="F24" s="22">
        <v>53.52</v>
      </c>
      <c r="G24" s="22">
        <v>50063.49</v>
      </c>
      <c r="H24" s="22">
        <v>46755.09</v>
      </c>
      <c r="J24" s="14" t="s">
        <v>528</v>
      </c>
      <c r="K24" s="18" t="s">
        <v>529</v>
      </c>
      <c r="L24" s="17">
        <f>H24*'2014 National LULUCF Inventory'!$Q$28</f>
        <v>-2398.0974667542141</v>
      </c>
    </row>
    <row r="25" spans="1:12">
      <c r="A25" s="6" t="s">
        <v>536</v>
      </c>
      <c r="B25" s="10" t="s">
        <v>537</v>
      </c>
      <c r="C25" s="22">
        <v>1629.5</v>
      </c>
      <c r="D25" s="22">
        <v>1429.65</v>
      </c>
      <c r="E25" s="22">
        <v>733.53</v>
      </c>
      <c r="F25" s="22">
        <v>60.17</v>
      </c>
      <c r="G25" s="22">
        <v>74433.240000000005</v>
      </c>
      <c r="H25" s="22">
        <v>67752.45</v>
      </c>
      <c r="J25" s="14" t="s">
        <v>536</v>
      </c>
      <c r="K25" s="18" t="s">
        <v>537</v>
      </c>
      <c r="L25" s="17">
        <f>H25*'2014 National LULUCF Inventory'!$Q$28</f>
        <v>-3475.065040221109</v>
      </c>
    </row>
    <row r="26" spans="1:12">
      <c r="A26" s="6" t="s">
        <v>544</v>
      </c>
      <c r="B26" s="10" t="s">
        <v>545</v>
      </c>
      <c r="C26" s="22">
        <v>217.5</v>
      </c>
      <c r="D26" s="22">
        <v>194.49</v>
      </c>
      <c r="E26" s="22">
        <v>140.4</v>
      </c>
      <c r="F26" s="22">
        <v>57.36</v>
      </c>
      <c r="G26" s="22">
        <v>16347.14</v>
      </c>
      <c r="H26" s="22">
        <v>15340.15</v>
      </c>
      <c r="J26" s="14" t="s">
        <v>544</v>
      </c>
      <c r="K26" s="18" t="s">
        <v>545</v>
      </c>
      <c r="L26" s="17">
        <f>H26*'2014 National LULUCF Inventory'!$Q$28</f>
        <v>-786.80577568409478</v>
      </c>
    </row>
    <row r="27" spans="1:12">
      <c r="A27" s="6" t="s">
        <v>552</v>
      </c>
      <c r="B27" s="10" t="s">
        <v>553</v>
      </c>
      <c r="C27" s="22">
        <v>421.71</v>
      </c>
      <c r="D27" s="22">
        <v>354.97</v>
      </c>
      <c r="E27" s="22">
        <v>95.93</v>
      </c>
      <c r="F27" s="22">
        <v>43.11</v>
      </c>
      <c r="G27" s="22">
        <v>24412.17</v>
      </c>
      <c r="H27" s="22">
        <v>20678.18</v>
      </c>
      <c r="J27" s="14" t="s">
        <v>552</v>
      </c>
      <c r="K27" s="18" t="s">
        <v>553</v>
      </c>
      <c r="L27" s="17">
        <f>H27*'2014 National LULUCF Inventory'!$Q$28</f>
        <v>-1060.5966339726363</v>
      </c>
    </row>
    <row r="28" spans="1:12">
      <c r="A28" s="6" t="s">
        <v>559</v>
      </c>
      <c r="B28" s="10" t="s">
        <v>560</v>
      </c>
      <c r="C28" s="22">
        <v>2454.52</v>
      </c>
      <c r="D28" s="22">
        <v>1839.77</v>
      </c>
      <c r="E28" s="22">
        <v>502.22</v>
      </c>
      <c r="F28" s="22">
        <v>38.03</v>
      </c>
      <c r="G28" s="22">
        <v>197201.77</v>
      </c>
      <c r="H28" s="22">
        <v>186099</v>
      </c>
      <c r="J28" s="14" t="s">
        <v>559</v>
      </c>
      <c r="K28" s="18" t="s">
        <v>560</v>
      </c>
      <c r="L28" s="17">
        <f>H28*'2014 National LULUCF Inventory'!$Q$28</f>
        <v>-9545.1327430979727</v>
      </c>
    </row>
    <row r="29" spans="1:12">
      <c r="A29" s="6" t="s">
        <v>567</v>
      </c>
      <c r="B29" s="10" t="s">
        <v>568</v>
      </c>
      <c r="C29" s="22">
        <v>927.96</v>
      </c>
      <c r="D29" s="22">
        <v>771.03</v>
      </c>
      <c r="E29" s="22">
        <v>315.45</v>
      </c>
      <c r="F29" s="22">
        <v>43.77</v>
      </c>
      <c r="G29" s="22">
        <v>44464.57</v>
      </c>
      <c r="H29" s="22">
        <v>39182.9</v>
      </c>
      <c r="J29" s="14" t="s">
        <v>567</v>
      </c>
      <c r="K29" s="18" t="s">
        <v>568</v>
      </c>
      <c r="L29" s="17">
        <f>H29*'2014 National LULUCF Inventory'!$Q$28</f>
        <v>-2009.7151610676765</v>
      </c>
    </row>
    <row r="30" spans="1:12">
      <c r="A30" s="6" t="s">
        <v>575</v>
      </c>
      <c r="B30" s="10" t="s">
        <v>576</v>
      </c>
      <c r="C30" s="22">
        <v>2599.44</v>
      </c>
      <c r="D30" s="22">
        <v>2106.16</v>
      </c>
      <c r="E30" s="22">
        <v>507.68</v>
      </c>
      <c r="F30" s="22">
        <v>55.04</v>
      </c>
      <c r="G30" s="22">
        <v>213244.99</v>
      </c>
      <c r="H30" s="22">
        <v>197265.84</v>
      </c>
      <c r="J30" s="14" t="s">
        <v>575</v>
      </c>
      <c r="K30" s="18" t="s">
        <v>576</v>
      </c>
      <c r="L30" s="17">
        <f>H30*'2014 National LULUCF Inventory'!$Q$28</f>
        <v>-10117.886869240167</v>
      </c>
    </row>
    <row r="31" spans="1:12">
      <c r="A31" s="6" t="s">
        <v>583</v>
      </c>
      <c r="B31" s="10" t="s">
        <v>584</v>
      </c>
      <c r="C31" s="22">
        <v>1798.19</v>
      </c>
      <c r="D31" s="22">
        <v>1490.99</v>
      </c>
      <c r="E31" s="22">
        <v>7.84</v>
      </c>
      <c r="F31" s="22">
        <v>12.14</v>
      </c>
      <c r="G31" s="22">
        <v>230519.15</v>
      </c>
      <c r="H31" s="22">
        <v>228254.42</v>
      </c>
      <c r="J31" s="14" t="s">
        <v>583</v>
      </c>
      <c r="K31" s="18" t="s">
        <v>584</v>
      </c>
      <c r="L31" s="17">
        <f>H31*'2014 National LULUCF Inventory'!$Q$28</f>
        <v>-11707.310292365013</v>
      </c>
    </row>
    <row r="32" spans="1:12">
      <c r="A32" s="6" t="s">
        <v>591</v>
      </c>
      <c r="B32" s="10" t="s">
        <v>592</v>
      </c>
      <c r="C32" s="22">
        <v>1236.79</v>
      </c>
      <c r="D32" s="22">
        <v>886.84</v>
      </c>
      <c r="E32" s="22">
        <v>310.52999999999997</v>
      </c>
      <c r="F32" s="22">
        <v>43.06</v>
      </c>
      <c r="G32" s="22">
        <v>51023.42</v>
      </c>
      <c r="H32" s="22">
        <v>47866.7</v>
      </c>
      <c r="J32" s="14" t="s">
        <v>591</v>
      </c>
      <c r="K32" s="18" t="s">
        <v>592</v>
      </c>
      <c r="L32" s="17">
        <f>H32*'2014 National LULUCF Inventory'!$Q$28</f>
        <v>-2455.1126307720497</v>
      </c>
    </row>
    <row r="33" spans="1:12">
      <c r="A33" s="6" t="s">
        <v>599</v>
      </c>
      <c r="B33" s="10" t="s">
        <v>600</v>
      </c>
      <c r="C33" s="22">
        <v>1046.3499999999999</v>
      </c>
      <c r="D33" s="22">
        <v>509.73</v>
      </c>
      <c r="E33" s="22">
        <v>126.56</v>
      </c>
      <c r="F33" s="22">
        <v>11.33</v>
      </c>
      <c r="G33" s="22">
        <v>28386.880000000001</v>
      </c>
      <c r="H33" s="22">
        <v>25188.89</v>
      </c>
      <c r="J33" s="14" t="s">
        <v>599</v>
      </c>
      <c r="K33" s="18" t="s">
        <v>600</v>
      </c>
      <c r="L33" s="17">
        <f>H33*'2014 National LULUCF Inventory'!$Q$28</f>
        <v>-1291.953738071097</v>
      </c>
    </row>
    <row r="34" spans="1:12">
      <c r="A34" s="6" t="s">
        <v>607</v>
      </c>
      <c r="B34" s="10" t="s">
        <v>608</v>
      </c>
      <c r="C34" s="22">
        <v>819.16</v>
      </c>
      <c r="D34" s="22">
        <v>419.75</v>
      </c>
      <c r="E34" s="22">
        <v>19.100000000000001</v>
      </c>
      <c r="F34" s="22">
        <v>5.82</v>
      </c>
      <c r="G34" s="22">
        <v>5556.86</v>
      </c>
      <c r="H34" s="22">
        <v>4864.1499999999996</v>
      </c>
      <c r="J34" s="14" t="s">
        <v>607</v>
      </c>
      <c r="K34" s="18" t="s">
        <v>608</v>
      </c>
      <c r="L34" s="17">
        <f>H34*'2014 National LULUCF Inventory'!$Q$28</f>
        <v>-249.48526016980207</v>
      </c>
    </row>
    <row r="35" spans="1:12">
      <c r="A35" s="6" t="s">
        <v>614</v>
      </c>
      <c r="B35" s="10" t="s">
        <v>615</v>
      </c>
      <c r="C35" s="22">
        <v>179.52</v>
      </c>
      <c r="D35" s="22">
        <v>65.599999999999994</v>
      </c>
      <c r="E35" s="22">
        <v>43.55</v>
      </c>
      <c r="F35" s="22">
        <v>12.63</v>
      </c>
      <c r="G35" s="22">
        <v>1111.1400000000001</v>
      </c>
      <c r="H35" s="22">
        <v>835.18</v>
      </c>
      <c r="J35" s="14" t="s">
        <v>614</v>
      </c>
      <c r="K35" s="18" t="s">
        <v>615</v>
      </c>
      <c r="L35" s="17">
        <f>H35*'2014 National LULUCF Inventory'!$Q$28</f>
        <v>-42.836898448570729</v>
      </c>
    </row>
    <row r="36" spans="1:12">
      <c r="A36" s="6" t="s">
        <v>622</v>
      </c>
      <c r="B36" s="10" t="s">
        <v>623</v>
      </c>
      <c r="C36" s="22">
        <v>1371.26</v>
      </c>
      <c r="D36" s="22">
        <v>802.23</v>
      </c>
      <c r="E36" s="22">
        <v>121.42</v>
      </c>
      <c r="F36" s="22">
        <v>4.87</v>
      </c>
      <c r="G36" s="22">
        <v>46490.95</v>
      </c>
      <c r="H36" s="22">
        <v>39221.5</v>
      </c>
      <c r="J36" s="14" t="s">
        <v>622</v>
      </c>
      <c r="K36" s="18" t="s">
        <v>623</v>
      </c>
      <c r="L36" s="17">
        <f>H36*'2014 National LULUCF Inventory'!$Q$28</f>
        <v>-2011.694978927437</v>
      </c>
    </row>
  </sheetData>
  <mergeCells count="7">
    <mergeCell ref="G3:G4"/>
    <mergeCell ref="H3:H4"/>
    <mergeCell ref="A3:A4"/>
    <mergeCell ref="B3:B4"/>
    <mergeCell ref="C3:C4"/>
    <mergeCell ref="D3:D4"/>
    <mergeCell ref="F3:F4"/>
  </mergeCells>
  <phoneticPr fontId="1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5"/>
  <sheetViews>
    <sheetView topLeftCell="B1" workbookViewId="0">
      <selection activeCell="B1" sqref="B1"/>
    </sheetView>
  </sheetViews>
  <sheetFormatPr defaultColWidth="9.25" defaultRowHeight="13.5"/>
  <cols>
    <col min="1" max="1" width="22.25" customWidth="1"/>
    <col min="3" max="3" width="14.125"/>
    <col min="5" max="5" width="27.75" customWidth="1"/>
    <col min="7" max="7" width="15.5" bestFit="1" customWidth="1"/>
    <col min="18" max="18" width="21" customWidth="1"/>
  </cols>
  <sheetData>
    <row r="1" spans="1:18">
      <c r="A1" s="53" t="s">
        <v>742</v>
      </c>
      <c r="G1" s="53" t="s">
        <v>792</v>
      </c>
    </row>
    <row r="2" spans="1:18" ht="24">
      <c r="A2" s="66" t="s">
        <v>720</v>
      </c>
      <c r="B2" s="67" t="s">
        <v>721</v>
      </c>
      <c r="C2" s="67" t="s">
        <v>722</v>
      </c>
      <c r="D2" s="67" t="s">
        <v>723</v>
      </c>
      <c r="E2" s="68" t="s">
        <v>724</v>
      </c>
      <c r="G2" s="84" t="s">
        <v>743</v>
      </c>
      <c r="H2" s="132" t="s">
        <v>744</v>
      </c>
      <c r="I2" s="132"/>
      <c r="J2" s="132"/>
      <c r="K2" s="132" t="s">
        <v>748</v>
      </c>
      <c r="L2" s="132"/>
      <c r="M2" s="132"/>
      <c r="N2" s="132"/>
      <c r="P2" s="133" t="s">
        <v>369</v>
      </c>
      <c r="Q2" s="133" t="s">
        <v>370</v>
      </c>
      <c r="R2" s="134" t="s">
        <v>794</v>
      </c>
    </row>
    <row r="3" spans="1:18">
      <c r="A3" s="69" t="s">
        <v>725</v>
      </c>
      <c r="B3" s="70" t="s">
        <v>365</v>
      </c>
      <c r="C3" s="75">
        <v>7218.21</v>
      </c>
      <c r="D3" s="76">
        <v>8233.2999999999993</v>
      </c>
      <c r="E3" s="76">
        <v>-12.33</v>
      </c>
      <c r="G3" s="104"/>
      <c r="H3" s="104" t="s">
        <v>745</v>
      </c>
      <c r="I3" s="104" t="s">
        <v>746</v>
      </c>
      <c r="J3" s="104" t="s">
        <v>747</v>
      </c>
      <c r="K3" s="104" t="s">
        <v>707</v>
      </c>
      <c r="L3" s="104" t="s">
        <v>749</v>
      </c>
      <c r="M3" s="104" t="s">
        <v>750</v>
      </c>
      <c r="N3" s="104" t="s">
        <v>751</v>
      </c>
      <c r="P3" s="133"/>
      <c r="Q3" s="133"/>
      <c r="R3" s="134"/>
    </row>
    <row r="4" spans="1:18" ht="24">
      <c r="A4" s="71" t="s">
        <v>726</v>
      </c>
      <c r="B4" s="72" t="s">
        <v>365</v>
      </c>
      <c r="C4" s="77">
        <v>6546.35</v>
      </c>
      <c r="D4" s="78">
        <v>7553.46</v>
      </c>
      <c r="E4" s="79">
        <v>-13.33</v>
      </c>
      <c r="G4" s="105" t="s">
        <v>752</v>
      </c>
      <c r="H4" s="95">
        <v>11589</v>
      </c>
      <c r="I4" s="103">
        <v>10331</v>
      </c>
      <c r="J4" s="96">
        <v>1259</v>
      </c>
      <c r="K4" s="96">
        <v>325568</v>
      </c>
      <c r="L4" s="96">
        <v>192710</v>
      </c>
      <c r="M4" s="96">
        <v>132858</v>
      </c>
      <c r="N4" s="97">
        <v>3101</v>
      </c>
      <c r="P4" s="15" t="s">
        <v>379</v>
      </c>
      <c r="Q4" s="16" t="s">
        <v>380</v>
      </c>
      <c r="R4" s="85">
        <f>IFERROR(I4*'2014 National LULUCF Inventory'!$Q$34,"")</f>
        <v>-15120.117800319324</v>
      </c>
    </row>
    <row r="5" spans="1:18">
      <c r="A5" s="71" t="s">
        <v>727</v>
      </c>
      <c r="B5" s="72" t="s">
        <v>365</v>
      </c>
      <c r="C5" s="77">
        <v>671.86</v>
      </c>
      <c r="D5" s="79">
        <v>679.84</v>
      </c>
      <c r="E5" s="79">
        <v>-1.17</v>
      </c>
      <c r="G5" s="106" t="s">
        <v>753</v>
      </c>
      <c r="H5" s="93">
        <v>17</v>
      </c>
      <c r="I5" s="61">
        <v>16</v>
      </c>
      <c r="J5" s="61">
        <v>1</v>
      </c>
      <c r="K5" s="61" t="s">
        <v>754</v>
      </c>
      <c r="L5" s="61" t="s">
        <v>754</v>
      </c>
      <c r="M5" s="61" t="s">
        <v>754</v>
      </c>
      <c r="N5" s="94" t="s">
        <v>754</v>
      </c>
      <c r="P5" s="14" t="s">
        <v>387</v>
      </c>
      <c r="Q5" s="18" t="s">
        <v>388</v>
      </c>
      <c r="R5" s="85">
        <f>IFERROR(I5*'2014 National LULUCF Inventory'!$Q$34,"")</f>
        <v>-23.417083032146856</v>
      </c>
    </row>
    <row r="6" spans="1:18">
      <c r="A6" s="71" t="s">
        <v>728</v>
      </c>
      <c r="B6" s="72" t="s">
        <v>729</v>
      </c>
      <c r="C6" s="77">
        <v>235466.04</v>
      </c>
      <c r="D6" s="79">
        <v>222439.93</v>
      </c>
      <c r="E6" s="79">
        <v>5.86</v>
      </c>
      <c r="G6" s="106" t="s">
        <v>755</v>
      </c>
      <c r="H6" s="93">
        <v>19</v>
      </c>
      <c r="I6" s="61">
        <v>19</v>
      </c>
      <c r="J6" s="61" t="s">
        <v>756</v>
      </c>
      <c r="K6" s="61" t="s">
        <v>756</v>
      </c>
      <c r="L6" s="61" t="s">
        <v>756</v>
      </c>
      <c r="M6" s="61" t="s">
        <v>756</v>
      </c>
      <c r="N6" s="94" t="s">
        <v>756</v>
      </c>
      <c r="P6" s="14" t="s">
        <v>394</v>
      </c>
      <c r="Q6" s="18" t="s">
        <v>395</v>
      </c>
      <c r="R6" s="85">
        <f>IFERROR(I6*'2014 National LULUCF Inventory'!$Q$34,"")</f>
        <v>-27.807786100674392</v>
      </c>
    </row>
    <row r="7" spans="1:18">
      <c r="A7" s="71" t="s">
        <v>730</v>
      </c>
      <c r="B7" s="72" t="s">
        <v>365</v>
      </c>
      <c r="C7" s="77">
        <v>7430.38</v>
      </c>
      <c r="D7" s="79">
        <v>6836.98</v>
      </c>
      <c r="E7" s="79">
        <v>8.68</v>
      </c>
      <c r="G7" s="106" t="s">
        <v>757</v>
      </c>
      <c r="H7" s="93">
        <v>111</v>
      </c>
      <c r="I7" s="61">
        <v>97</v>
      </c>
      <c r="J7" s="61">
        <v>13</v>
      </c>
      <c r="K7" s="61" t="s">
        <v>754</v>
      </c>
      <c r="L7" s="61" t="s">
        <v>754</v>
      </c>
      <c r="M7" s="61" t="s">
        <v>754</v>
      </c>
      <c r="N7" s="94" t="s">
        <v>754</v>
      </c>
      <c r="P7" s="14" t="s">
        <v>402</v>
      </c>
      <c r="Q7" s="18" t="s">
        <v>403</v>
      </c>
      <c r="R7" s="85">
        <f>IFERROR(I7*'2014 National LULUCF Inventory'!$Q$34,"")</f>
        <v>-141.96606588239032</v>
      </c>
    </row>
    <row r="8" spans="1:18">
      <c r="A8" s="71" t="s">
        <v>731</v>
      </c>
      <c r="B8" s="72" t="s">
        <v>365</v>
      </c>
      <c r="C8" s="77">
        <v>28679.52</v>
      </c>
      <c r="D8" s="79">
        <v>27371.79</v>
      </c>
      <c r="E8" s="79">
        <v>4.78</v>
      </c>
      <c r="G8" s="106" t="s">
        <v>758</v>
      </c>
      <c r="H8" s="93">
        <v>39</v>
      </c>
      <c r="I8" s="61">
        <v>25</v>
      </c>
      <c r="J8" s="61">
        <v>14</v>
      </c>
      <c r="K8" s="61" t="s">
        <v>754</v>
      </c>
      <c r="L8" s="61" t="s">
        <v>754</v>
      </c>
      <c r="M8" s="61" t="s">
        <v>754</v>
      </c>
      <c r="N8" s="94" t="s">
        <v>754</v>
      </c>
      <c r="P8" s="14" t="s">
        <v>410</v>
      </c>
      <c r="Q8" s="18" t="s">
        <v>411</v>
      </c>
      <c r="R8" s="85">
        <f>IFERROR(I8*'2014 National LULUCF Inventory'!$Q$34,"")</f>
        <v>-36.589192237729463</v>
      </c>
    </row>
    <row r="9" spans="1:18" ht="24">
      <c r="A9" s="71" t="s">
        <v>732</v>
      </c>
      <c r="B9" s="72" t="s">
        <v>365</v>
      </c>
      <c r="C9" s="77">
        <v>16546.25</v>
      </c>
      <c r="D9" s="79">
        <v>14970.03</v>
      </c>
      <c r="E9" s="79">
        <v>10.53</v>
      </c>
      <c r="G9" s="106" t="s">
        <v>759</v>
      </c>
      <c r="H9" s="93">
        <v>109</v>
      </c>
      <c r="I9" s="61">
        <v>108</v>
      </c>
      <c r="J9" s="61">
        <v>1</v>
      </c>
      <c r="K9" s="61" t="s">
        <v>754</v>
      </c>
      <c r="L9" s="61" t="s">
        <v>754</v>
      </c>
      <c r="M9" s="61" t="s">
        <v>754</v>
      </c>
      <c r="N9" s="94" t="s">
        <v>754</v>
      </c>
      <c r="O9" s="82"/>
      <c r="P9" s="14" t="s">
        <v>418</v>
      </c>
      <c r="Q9" s="18" t="s">
        <v>419</v>
      </c>
      <c r="R9" s="85">
        <f>IFERROR(I9*'2014 National LULUCF Inventory'!$Q$34,"")</f>
        <v>-158.06531046699126</v>
      </c>
    </row>
    <row r="10" spans="1:18">
      <c r="A10" s="71" t="s">
        <v>733</v>
      </c>
      <c r="B10" s="72" t="s">
        <v>365</v>
      </c>
      <c r="C10" s="77">
        <v>6618.53</v>
      </c>
      <c r="D10" s="79">
        <v>6462.63</v>
      </c>
      <c r="E10" s="79">
        <v>2.41</v>
      </c>
      <c r="G10" s="107" t="s">
        <v>788</v>
      </c>
      <c r="H10" s="93">
        <v>2</v>
      </c>
      <c r="I10" s="61">
        <v>2</v>
      </c>
      <c r="J10" s="61" t="s">
        <v>754</v>
      </c>
      <c r="K10" s="61" t="s">
        <v>754</v>
      </c>
      <c r="L10" s="61" t="s">
        <v>754</v>
      </c>
      <c r="M10" s="61" t="s">
        <v>754</v>
      </c>
      <c r="N10" s="94" t="s">
        <v>754</v>
      </c>
      <c r="O10" s="82"/>
      <c r="P10" s="17"/>
      <c r="Q10" s="17"/>
      <c r="R10" s="85">
        <f>IFERROR(I10*'2014 National LULUCF Inventory'!$Q$34,"")</f>
        <v>-2.927135379018357</v>
      </c>
    </row>
    <row r="11" spans="1:18">
      <c r="A11" s="71" t="s">
        <v>734</v>
      </c>
      <c r="B11" s="72" t="s">
        <v>365</v>
      </c>
      <c r="C11" s="77">
        <v>2030.19</v>
      </c>
      <c r="D11" s="79">
        <v>2087.5300000000002</v>
      </c>
      <c r="E11" s="79">
        <v>-2.75</v>
      </c>
      <c r="G11" s="106" t="s">
        <v>760</v>
      </c>
      <c r="H11" s="93">
        <v>133</v>
      </c>
      <c r="I11" s="61">
        <v>113</v>
      </c>
      <c r="J11" s="61">
        <v>20</v>
      </c>
      <c r="K11" s="61" t="s">
        <v>756</v>
      </c>
      <c r="L11" s="61" t="s">
        <v>756</v>
      </c>
      <c r="M11" s="61" t="s">
        <v>756</v>
      </c>
      <c r="N11" s="94" t="s">
        <v>756</v>
      </c>
      <c r="O11" s="82"/>
      <c r="P11" s="14" t="s">
        <v>426</v>
      </c>
      <c r="Q11" s="18" t="s">
        <v>427</v>
      </c>
      <c r="R11" s="85">
        <f>IFERROR(I11*'2014 National LULUCF Inventory'!$Q$34,"")</f>
        <v>-165.38314891453717</v>
      </c>
    </row>
    <row r="12" spans="1:18">
      <c r="A12" s="71" t="s">
        <v>735</v>
      </c>
      <c r="B12" s="72" t="s">
        <v>365</v>
      </c>
      <c r="C12" s="77">
        <v>3484.56</v>
      </c>
      <c r="D12" s="79">
        <v>3851.59</v>
      </c>
      <c r="E12" s="79">
        <v>-9.5299999999999994</v>
      </c>
      <c r="G12" s="106" t="s">
        <v>761</v>
      </c>
      <c r="H12" s="93">
        <v>245</v>
      </c>
      <c r="I12" s="61">
        <v>242</v>
      </c>
      <c r="J12" s="61">
        <v>3</v>
      </c>
      <c r="K12" s="61" t="s">
        <v>754</v>
      </c>
      <c r="L12" s="61" t="s">
        <v>754</v>
      </c>
      <c r="M12" s="61" t="s">
        <v>754</v>
      </c>
      <c r="N12" s="94" t="s">
        <v>754</v>
      </c>
      <c r="O12" s="82"/>
      <c r="P12" s="14" t="s">
        <v>434</v>
      </c>
      <c r="Q12" s="18" t="s">
        <v>435</v>
      </c>
      <c r="R12" s="85">
        <f>IFERROR(I12*'2014 National LULUCF Inventory'!$Q$34,"")</f>
        <v>-354.18338086122117</v>
      </c>
    </row>
    <row r="13" spans="1:18">
      <c r="A13" s="71" t="s">
        <v>736</v>
      </c>
      <c r="B13" s="72" t="s">
        <v>737</v>
      </c>
      <c r="C13" s="77">
        <v>77355.850000000006</v>
      </c>
      <c r="D13" s="79">
        <v>76022.399999999994</v>
      </c>
      <c r="E13" s="79">
        <v>1.75</v>
      </c>
      <c r="G13" s="108" t="s">
        <v>762</v>
      </c>
      <c r="H13" s="93">
        <v>13</v>
      </c>
      <c r="I13" s="61">
        <v>12</v>
      </c>
      <c r="J13" s="61">
        <v>1</v>
      </c>
      <c r="K13" s="61" t="s">
        <v>754</v>
      </c>
      <c r="L13" s="61" t="s">
        <v>754</v>
      </c>
      <c r="M13" s="61" t="s">
        <v>754</v>
      </c>
      <c r="N13" s="94" t="s">
        <v>754</v>
      </c>
      <c r="O13" s="82"/>
      <c r="P13" s="17"/>
      <c r="Q13" s="17"/>
      <c r="R13" s="85">
        <f>IFERROR(I13*'2014 National LULUCF Inventory'!$Q$34,"")</f>
        <v>-17.562812274110144</v>
      </c>
    </row>
    <row r="14" spans="1:18">
      <c r="A14" s="71" t="s">
        <v>738</v>
      </c>
      <c r="B14" s="72" t="s">
        <v>739</v>
      </c>
      <c r="C14" s="77">
        <v>1742521</v>
      </c>
      <c r="D14" s="79">
        <v>1700727</v>
      </c>
      <c r="E14" s="79">
        <v>2.46</v>
      </c>
      <c r="G14" s="108" t="s">
        <v>763</v>
      </c>
      <c r="H14" s="93">
        <v>6</v>
      </c>
      <c r="I14" s="61">
        <v>6</v>
      </c>
      <c r="J14" s="61" t="s">
        <v>756</v>
      </c>
      <c r="K14" s="61" t="s">
        <v>756</v>
      </c>
      <c r="L14" s="61" t="s">
        <v>756</v>
      </c>
      <c r="M14" s="61" t="s">
        <v>756</v>
      </c>
      <c r="N14" s="94" t="s">
        <v>756</v>
      </c>
      <c r="O14" s="82"/>
      <c r="P14" s="17"/>
      <c r="Q14" s="17"/>
      <c r="R14" s="85">
        <f>IFERROR(I14*'2014 National LULUCF Inventory'!$Q$34,"")</f>
        <v>-8.7814061370550718</v>
      </c>
    </row>
    <row r="15" spans="1:18" ht="24">
      <c r="A15" s="71" t="s">
        <v>740</v>
      </c>
      <c r="B15" s="72" t="s">
        <v>739</v>
      </c>
      <c r="C15" s="77">
        <v>7584</v>
      </c>
      <c r="D15" s="79">
        <v>5013</v>
      </c>
      <c r="E15" s="79">
        <v>51.29</v>
      </c>
      <c r="G15" s="106" t="s">
        <v>764</v>
      </c>
      <c r="H15" s="93">
        <v>174</v>
      </c>
      <c r="I15" s="61">
        <v>153</v>
      </c>
      <c r="J15" s="61">
        <v>21</v>
      </c>
      <c r="K15" s="61" t="s">
        <v>754</v>
      </c>
      <c r="L15" s="61" t="s">
        <v>754</v>
      </c>
      <c r="M15" s="61" t="s">
        <v>754</v>
      </c>
      <c r="N15" s="94" t="s">
        <v>754</v>
      </c>
      <c r="O15" s="82"/>
      <c r="P15" s="14" t="s">
        <v>442</v>
      </c>
      <c r="Q15" s="18" t="s">
        <v>443</v>
      </c>
      <c r="R15" s="85">
        <f>IFERROR(I15*'2014 National LULUCF Inventory'!$Q$34,"")</f>
        <v>-223.92585649490431</v>
      </c>
    </row>
    <row r="16" spans="1:18">
      <c r="A16" s="73" t="s">
        <v>741</v>
      </c>
      <c r="B16" s="74" t="s">
        <v>739</v>
      </c>
      <c r="C16" s="80">
        <v>3344</v>
      </c>
      <c r="D16" s="81">
        <v>4645</v>
      </c>
      <c r="E16" s="81">
        <v>-28.01</v>
      </c>
      <c r="G16" s="108" t="s">
        <v>765</v>
      </c>
      <c r="H16" s="93">
        <v>5</v>
      </c>
      <c r="I16" s="61">
        <v>5</v>
      </c>
      <c r="J16" s="61" t="s">
        <v>756</v>
      </c>
      <c r="K16" s="61" t="s">
        <v>756</v>
      </c>
      <c r="L16" s="61" t="s">
        <v>756</v>
      </c>
      <c r="M16" s="61" t="s">
        <v>756</v>
      </c>
      <c r="N16" s="94" t="s">
        <v>756</v>
      </c>
      <c r="O16" s="82"/>
      <c r="P16" s="17"/>
      <c r="Q16" s="17"/>
      <c r="R16" s="85">
        <f>IFERROR(I16*'2014 National LULUCF Inventory'!$Q$34,"")</f>
        <v>-7.317838447545892</v>
      </c>
    </row>
    <row r="17" spans="7:18">
      <c r="G17" s="108" t="s">
        <v>766</v>
      </c>
      <c r="H17" s="93">
        <v>2</v>
      </c>
      <c r="I17" s="61">
        <v>2</v>
      </c>
      <c r="J17" s="61" t="s">
        <v>754</v>
      </c>
      <c r="K17" s="61" t="s">
        <v>754</v>
      </c>
      <c r="L17" s="61" t="s">
        <v>754</v>
      </c>
      <c r="M17" s="61" t="s">
        <v>754</v>
      </c>
      <c r="N17" s="94" t="s">
        <v>754</v>
      </c>
      <c r="O17" s="82"/>
      <c r="P17" s="17"/>
      <c r="Q17" s="17"/>
      <c r="R17" s="85">
        <f>IFERROR(I17*'2014 National LULUCF Inventory'!$Q$34,"")</f>
        <v>-2.927135379018357</v>
      </c>
    </row>
    <row r="18" spans="7:18">
      <c r="G18" s="106" t="s">
        <v>767</v>
      </c>
      <c r="H18" s="93" t="s">
        <v>754</v>
      </c>
      <c r="I18" s="61" t="s">
        <v>754</v>
      </c>
      <c r="J18" s="61" t="s">
        <v>754</v>
      </c>
      <c r="K18" s="61" t="s">
        <v>754</v>
      </c>
      <c r="L18" s="61" t="s">
        <v>754</v>
      </c>
      <c r="M18" s="61" t="s">
        <v>754</v>
      </c>
      <c r="N18" s="94">
        <v>1</v>
      </c>
      <c r="O18" s="82"/>
      <c r="P18" s="14" t="s">
        <v>450</v>
      </c>
      <c r="Q18" s="18" t="s">
        <v>451</v>
      </c>
      <c r="R18" s="85" t="str">
        <f>IFERROR(I18*'2014 National LULUCF Inventory'!$Q$34,"")</f>
        <v/>
      </c>
    </row>
    <row r="19" spans="7:18">
      <c r="G19" s="106" t="s">
        <v>768</v>
      </c>
      <c r="H19" s="93">
        <v>233</v>
      </c>
      <c r="I19" s="61">
        <v>210</v>
      </c>
      <c r="J19" s="61">
        <v>23</v>
      </c>
      <c r="K19" s="61">
        <v>448</v>
      </c>
      <c r="L19" s="61">
        <v>445</v>
      </c>
      <c r="M19" s="61">
        <v>3</v>
      </c>
      <c r="N19" s="94" t="s">
        <v>756</v>
      </c>
      <c r="O19" s="82"/>
      <c r="P19" s="14" t="s">
        <v>458</v>
      </c>
      <c r="Q19" s="18" t="s">
        <v>459</v>
      </c>
      <c r="R19" s="85">
        <f>IFERROR(I19*'2014 National LULUCF Inventory'!$Q$34,"")</f>
        <v>-307.34921479692747</v>
      </c>
    </row>
    <row r="20" spans="7:18">
      <c r="G20" s="106" t="s">
        <v>769</v>
      </c>
      <c r="H20" s="93">
        <v>100</v>
      </c>
      <c r="I20" s="61">
        <v>98</v>
      </c>
      <c r="J20" s="61">
        <v>1</v>
      </c>
      <c r="K20" s="61">
        <v>21649</v>
      </c>
      <c r="L20" s="61">
        <v>21205</v>
      </c>
      <c r="M20" s="61">
        <v>444</v>
      </c>
      <c r="N20" s="94">
        <v>48</v>
      </c>
      <c r="O20" s="82"/>
      <c r="P20" s="14" t="s">
        <v>464</v>
      </c>
      <c r="Q20" s="18" t="s">
        <v>465</v>
      </c>
      <c r="R20" s="85">
        <f>IFERROR(I20*'2014 National LULUCF Inventory'!$Q$34,"")</f>
        <v>-143.4296335718995</v>
      </c>
    </row>
    <row r="21" spans="7:18">
      <c r="G21" s="109" t="s">
        <v>770</v>
      </c>
      <c r="H21" s="95">
        <v>612</v>
      </c>
      <c r="I21" s="96">
        <v>475</v>
      </c>
      <c r="J21" s="96">
        <v>136</v>
      </c>
      <c r="K21" s="96">
        <v>19797</v>
      </c>
      <c r="L21" s="96">
        <v>17099</v>
      </c>
      <c r="M21" s="96">
        <v>2698</v>
      </c>
      <c r="N21" s="97">
        <v>259</v>
      </c>
      <c r="O21" s="82"/>
      <c r="P21" s="14" t="s">
        <v>472</v>
      </c>
      <c r="Q21" s="18" t="s">
        <v>473</v>
      </c>
      <c r="R21" s="85">
        <f>IFERROR(I21*'2014 National LULUCF Inventory'!$Q$34,"")</f>
        <v>-695.19465251685983</v>
      </c>
    </row>
    <row r="22" spans="7:18">
      <c r="G22" s="110" t="s">
        <v>771</v>
      </c>
      <c r="H22" s="98">
        <v>805</v>
      </c>
      <c r="I22" s="99">
        <v>737</v>
      </c>
      <c r="J22" s="99">
        <v>68</v>
      </c>
      <c r="K22" s="99">
        <v>96260</v>
      </c>
      <c r="L22" s="99">
        <v>63334</v>
      </c>
      <c r="M22" s="99">
        <v>32926</v>
      </c>
      <c r="N22" s="100">
        <v>140</v>
      </c>
      <c r="O22" s="82"/>
      <c r="P22" s="14" t="s">
        <v>480</v>
      </c>
      <c r="Q22" s="18" t="s">
        <v>481</v>
      </c>
      <c r="R22" s="85">
        <f>IFERROR(I22*'2014 National LULUCF Inventory'!$Q$34,"")</f>
        <v>-1078.6493871682646</v>
      </c>
    </row>
    <row r="23" spans="7:18">
      <c r="G23" s="110" t="s">
        <v>772</v>
      </c>
      <c r="H23" s="98">
        <v>408</v>
      </c>
      <c r="I23" s="99">
        <v>386</v>
      </c>
      <c r="J23" s="99">
        <v>22</v>
      </c>
      <c r="K23" s="99">
        <v>22083</v>
      </c>
      <c r="L23" s="99">
        <v>20580</v>
      </c>
      <c r="M23" s="99">
        <v>1503</v>
      </c>
      <c r="N23" s="100">
        <v>122</v>
      </c>
      <c r="O23" s="82"/>
      <c r="P23" s="14" t="s">
        <v>488</v>
      </c>
      <c r="Q23" s="18" t="s">
        <v>489</v>
      </c>
      <c r="R23" s="85">
        <f>IFERROR(I23*'2014 National LULUCF Inventory'!$Q$34,"")</f>
        <v>-564.93712815054289</v>
      </c>
    </row>
    <row r="24" spans="7:18">
      <c r="G24" s="106" t="s">
        <v>773</v>
      </c>
      <c r="H24" s="93">
        <v>399</v>
      </c>
      <c r="I24" s="61">
        <v>344</v>
      </c>
      <c r="J24" s="61">
        <v>55</v>
      </c>
      <c r="K24" s="61" t="s">
        <v>756</v>
      </c>
      <c r="L24" s="61" t="s">
        <v>756</v>
      </c>
      <c r="M24" s="61" t="s">
        <v>756</v>
      </c>
      <c r="N24" s="94" t="s">
        <v>756</v>
      </c>
      <c r="O24" s="82"/>
      <c r="P24" s="14" t="s">
        <v>496</v>
      </c>
      <c r="Q24" s="18" t="s">
        <v>497</v>
      </c>
      <c r="R24" s="85">
        <f>IFERROR(I24*'2014 National LULUCF Inventory'!$Q$34,"")</f>
        <v>-503.46728519115737</v>
      </c>
    </row>
    <row r="25" spans="7:18">
      <c r="G25" s="110" t="s">
        <v>774</v>
      </c>
      <c r="H25" s="98">
        <v>273</v>
      </c>
      <c r="I25" s="99">
        <v>225</v>
      </c>
      <c r="J25" s="99">
        <v>48</v>
      </c>
      <c r="K25" s="99">
        <v>105</v>
      </c>
      <c r="L25" s="99">
        <v>103</v>
      </c>
      <c r="M25" s="99">
        <v>2</v>
      </c>
      <c r="N25" s="100">
        <v>5</v>
      </c>
      <c r="O25" s="82"/>
      <c r="P25" s="14" t="s">
        <v>504</v>
      </c>
      <c r="Q25" s="18" t="s">
        <v>505</v>
      </c>
      <c r="R25" s="85">
        <f>IFERROR(I25*'2014 National LULUCF Inventory'!$Q$34,"")</f>
        <v>-329.30273013956514</v>
      </c>
    </row>
    <row r="26" spans="7:18">
      <c r="G26" s="110" t="s">
        <v>775</v>
      </c>
      <c r="H26" s="98">
        <v>249</v>
      </c>
      <c r="I26" s="99">
        <v>198</v>
      </c>
      <c r="J26" s="99">
        <v>51</v>
      </c>
      <c r="K26" s="99">
        <v>4021</v>
      </c>
      <c r="L26" s="99">
        <v>3034</v>
      </c>
      <c r="M26" s="99">
        <v>987</v>
      </c>
      <c r="N26" s="100">
        <v>12</v>
      </c>
      <c r="O26" s="82"/>
      <c r="P26" s="14" t="s">
        <v>512</v>
      </c>
      <c r="Q26" s="18" t="s">
        <v>513</v>
      </c>
      <c r="R26" s="85">
        <f>IFERROR(I26*'2014 National LULUCF Inventory'!$Q$34,"")</f>
        <v>-289.78640252281735</v>
      </c>
    </row>
    <row r="27" spans="7:18">
      <c r="G27" s="110" t="s">
        <v>776</v>
      </c>
      <c r="H27" s="98">
        <v>483</v>
      </c>
      <c r="I27" s="99">
        <v>427</v>
      </c>
      <c r="J27" s="99">
        <v>57</v>
      </c>
      <c r="K27" s="99">
        <v>25829</v>
      </c>
      <c r="L27" s="99">
        <v>22902</v>
      </c>
      <c r="M27" s="99">
        <v>2927</v>
      </c>
      <c r="N27" s="100">
        <v>114</v>
      </c>
      <c r="O27" s="82"/>
      <c r="P27" s="14" t="s">
        <v>520</v>
      </c>
      <c r="Q27" s="18" t="s">
        <v>521</v>
      </c>
      <c r="R27" s="85">
        <f>IFERROR(I27*'2014 National LULUCF Inventory'!$Q$34,"")</f>
        <v>-624.94340342041926</v>
      </c>
    </row>
    <row r="28" spans="7:18">
      <c r="G28" s="109" t="s">
        <v>777</v>
      </c>
      <c r="H28" s="95">
        <v>1264</v>
      </c>
      <c r="I28" s="96">
        <v>1123</v>
      </c>
      <c r="J28" s="96">
        <v>141</v>
      </c>
      <c r="K28" s="96">
        <v>30907</v>
      </c>
      <c r="L28" s="96">
        <v>8021</v>
      </c>
      <c r="M28" s="96">
        <v>22886</v>
      </c>
      <c r="N28" s="97">
        <v>623</v>
      </c>
      <c r="O28" s="82"/>
      <c r="P28" s="14" t="s">
        <v>528</v>
      </c>
      <c r="Q28" s="18" t="s">
        <v>529</v>
      </c>
      <c r="R28" s="85">
        <f>IFERROR(I28*'2014 National LULUCF Inventory'!$Q$34,"")</f>
        <v>-1643.5865153188074</v>
      </c>
    </row>
    <row r="29" spans="7:18">
      <c r="G29" s="109" t="s">
        <v>778</v>
      </c>
      <c r="H29" s="95">
        <v>3905</v>
      </c>
      <c r="I29" s="96">
        <v>3602</v>
      </c>
      <c r="J29" s="96">
        <v>303</v>
      </c>
      <c r="K29" s="96">
        <v>60367</v>
      </c>
      <c r="L29" s="96">
        <v>20138</v>
      </c>
      <c r="M29" s="96">
        <v>40229</v>
      </c>
      <c r="N29" s="97">
        <v>50</v>
      </c>
      <c r="O29" s="82"/>
      <c r="P29" s="14" t="s">
        <v>536</v>
      </c>
      <c r="Q29" s="18" t="s">
        <v>537</v>
      </c>
      <c r="R29" s="85">
        <f>IFERROR(I29*'2014 National LULUCF Inventory'!$Q$34,"")</f>
        <v>-5271.7708176120605</v>
      </c>
    </row>
    <row r="30" spans="7:18">
      <c r="G30" s="106" t="s">
        <v>779</v>
      </c>
      <c r="H30" s="93">
        <v>223</v>
      </c>
      <c r="I30" s="61">
        <v>219</v>
      </c>
      <c r="J30" s="61">
        <v>4</v>
      </c>
      <c r="K30" s="61">
        <v>318</v>
      </c>
      <c r="L30" s="61">
        <v>198</v>
      </c>
      <c r="M30" s="61">
        <v>120</v>
      </c>
      <c r="N30" s="94" t="s">
        <v>754</v>
      </c>
      <c r="O30" s="82"/>
      <c r="P30" s="14" t="s">
        <v>544</v>
      </c>
      <c r="Q30" s="18" t="s">
        <v>545</v>
      </c>
      <c r="R30" s="85">
        <f>IFERROR(I30*'2014 National LULUCF Inventory'!$Q$34,"")</f>
        <v>-320.52132400251008</v>
      </c>
    </row>
    <row r="31" spans="7:18">
      <c r="G31" s="109" t="s">
        <v>780</v>
      </c>
      <c r="H31" s="95">
        <v>46</v>
      </c>
      <c r="I31" s="96">
        <v>36</v>
      </c>
      <c r="J31" s="96">
        <v>10</v>
      </c>
      <c r="K31" s="96">
        <v>4300</v>
      </c>
      <c r="L31" s="96">
        <v>2155</v>
      </c>
      <c r="M31" s="96">
        <v>2145</v>
      </c>
      <c r="N31" s="97">
        <v>118</v>
      </c>
      <c r="O31" s="82"/>
      <c r="P31" s="14" t="s">
        <v>552</v>
      </c>
      <c r="Q31" s="18" t="s">
        <v>553</v>
      </c>
      <c r="R31" s="85">
        <f>IFERROR(I31*'2014 National LULUCF Inventory'!$Q$34,"")</f>
        <v>-52.688436822330424</v>
      </c>
    </row>
    <row r="32" spans="7:18">
      <c r="G32" s="109" t="s">
        <v>781</v>
      </c>
      <c r="H32" s="95">
        <v>303</v>
      </c>
      <c r="I32" s="96">
        <v>288</v>
      </c>
      <c r="J32" s="96">
        <v>15</v>
      </c>
      <c r="K32" s="96">
        <v>23008</v>
      </c>
      <c r="L32" s="96">
        <v>4056</v>
      </c>
      <c r="M32" s="96">
        <v>18953</v>
      </c>
      <c r="N32" s="97">
        <v>618</v>
      </c>
      <c r="O32" s="82"/>
      <c r="P32" s="14" t="s">
        <v>559</v>
      </c>
      <c r="Q32" s="18" t="s">
        <v>560</v>
      </c>
      <c r="R32" s="85">
        <f>IFERROR(I32*'2014 National LULUCF Inventory'!$Q$34,"")</f>
        <v>-421.50749457864339</v>
      </c>
    </row>
    <row r="33" spans="7:18">
      <c r="G33" s="109" t="s">
        <v>782</v>
      </c>
      <c r="H33" s="95">
        <v>419</v>
      </c>
      <c r="I33" s="96">
        <v>394</v>
      </c>
      <c r="J33" s="96">
        <v>24</v>
      </c>
      <c r="K33" s="96">
        <v>2159</v>
      </c>
      <c r="L33" s="96">
        <v>1631</v>
      </c>
      <c r="M33" s="96">
        <v>528</v>
      </c>
      <c r="N33" s="97">
        <v>91</v>
      </c>
      <c r="O33" s="82"/>
      <c r="P33" s="14" t="s">
        <v>567</v>
      </c>
      <c r="Q33" s="18" t="s">
        <v>568</v>
      </c>
      <c r="R33" s="85">
        <f>IFERROR(I33*'2014 National LULUCF Inventory'!$Q$34,"")</f>
        <v>-576.6456696666163</v>
      </c>
    </row>
    <row r="34" spans="7:18">
      <c r="G34" s="110" t="s">
        <v>783</v>
      </c>
      <c r="H34" s="98">
        <v>903</v>
      </c>
      <c r="I34" s="99">
        <v>705</v>
      </c>
      <c r="J34" s="99">
        <v>199</v>
      </c>
      <c r="K34" s="99">
        <v>13256</v>
      </c>
      <c r="L34" s="99">
        <v>7113</v>
      </c>
      <c r="M34" s="99">
        <v>6143</v>
      </c>
      <c r="N34" s="100">
        <v>898</v>
      </c>
      <c r="O34" s="82"/>
      <c r="P34" s="14" t="s">
        <v>575</v>
      </c>
      <c r="Q34" s="18" t="s">
        <v>576</v>
      </c>
      <c r="R34" s="85">
        <f>IFERROR(I34*'2014 National LULUCF Inventory'!$Q$34,"")</f>
        <v>-1031.8152211039708</v>
      </c>
    </row>
    <row r="35" spans="7:18">
      <c r="G35" s="106" t="s">
        <v>784</v>
      </c>
      <c r="H35" s="93">
        <v>3</v>
      </c>
      <c r="I35" s="61">
        <v>1</v>
      </c>
      <c r="J35" s="61">
        <v>3</v>
      </c>
      <c r="K35" s="61" t="s">
        <v>754</v>
      </c>
      <c r="L35" s="61" t="s">
        <v>754</v>
      </c>
      <c r="M35" s="61" t="s">
        <v>754</v>
      </c>
      <c r="N35" s="94" t="s">
        <v>754</v>
      </c>
      <c r="O35" s="82"/>
      <c r="P35" s="14" t="s">
        <v>583</v>
      </c>
      <c r="Q35" s="18" t="s">
        <v>584</v>
      </c>
      <c r="R35" s="85">
        <f>IFERROR(I35*'2014 National LULUCF Inventory'!$Q$34,"")</f>
        <v>-1.4635676895091785</v>
      </c>
    </row>
    <row r="36" spans="7:18">
      <c r="G36" s="110" t="s">
        <v>785</v>
      </c>
      <c r="H36" s="98">
        <v>30</v>
      </c>
      <c r="I36" s="99">
        <v>12</v>
      </c>
      <c r="J36" s="99">
        <v>18</v>
      </c>
      <c r="K36" s="99">
        <v>1060</v>
      </c>
      <c r="L36" s="99">
        <v>695</v>
      </c>
      <c r="M36" s="99">
        <v>365</v>
      </c>
      <c r="N36" s="100" t="s">
        <v>756</v>
      </c>
      <c r="O36" s="82"/>
      <c r="P36" s="14" t="s">
        <v>591</v>
      </c>
      <c r="Q36" s="18" t="s">
        <v>592</v>
      </c>
      <c r="R36" s="85">
        <f>IFERROR(I36*'2014 National LULUCF Inventory'!$Q$34,"")</f>
        <v>-17.562812274110144</v>
      </c>
    </row>
    <row r="37" spans="7:18">
      <c r="G37" s="111" t="s">
        <v>791</v>
      </c>
      <c r="H37" s="95">
        <v>6</v>
      </c>
      <c r="I37" s="96">
        <v>4</v>
      </c>
      <c r="J37" s="96">
        <v>2</v>
      </c>
      <c r="K37" s="96" t="s">
        <v>754</v>
      </c>
      <c r="L37" s="96" t="s">
        <v>754</v>
      </c>
      <c r="M37" s="96" t="s">
        <v>754</v>
      </c>
      <c r="N37" s="97" t="s">
        <v>754</v>
      </c>
      <c r="O37" s="82"/>
      <c r="P37" s="14" t="s">
        <v>599</v>
      </c>
      <c r="Q37" s="18" t="s">
        <v>600</v>
      </c>
      <c r="R37" s="85">
        <f>IFERROR(I37*'2014 National LULUCF Inventory'!$Q$34,"")</f>
        <v>-5.8542707580367139</v>
      </c>
    </row>
    <row r="38" spans="7:18">
      <c r="G38" s="112" t="s">
        <v>790</v>
      </c>
      <c r="H38" s="93" t="s">
        <v>754</v>
      </c>
      <c r="I38" s="61" t="s">
        <v>754</v>
      </c>
      <c r="J38" s="61" t="s">
        <v>754</v>
      </c>
      <c r="K38" s="61" t="s">
        <v>754</v>
      </c>
      <c r="L38" s="61" t="s">
        <v>754</v>
      </c>
      <c r="M38" s="61" t="s">
        <v>754</v>
      </c>
      <c r="N38" s="94" t="s">
        <v>754</v>
      </c>
      <c r="O38" s="82"/>
      <c r="P38" s="14" t="s">
        <v>607</v>
      </c>
      <c r="Q38" s="18" t="s">
        <v>608</v>
      </c>
      <c r="R38" s="85" t="str">
        <f>IFERROR(I38*'2014 National LULUCF Inventory'!$Q$34,"")</f>
        <v/>
      </c>
    </row>
    <row r="39" spans="7:18">
      <c r="G39" s="112" t="s">
        <v>789</v>
      </c>
      <c r="H39" s="93" t="s">
        <v>754</v>
      </c>
      <c r="I39" s="61" t="s">
        <v>754</v>
      </c>
      <c r="J39" s="61" t="s">
        <v>754</v>
      </c>
      <c r="K39" s="61" t="s">
        <v>754</v>
      </c>
      <c r="L39" s="61" t="s">
        <v>754</v>
      </c>
      <c r="M39" s="61" t="s">
        <v>754</v>
      </c>
      <c r="N39" s="94" t="s">
        <v>754</v>
      </c>
      <c r="O39" s="82"/>
      <c r="P39" s="14" t="s">
        <v>614</v>
      </c>
      <c r="Q39" s="18" t="s">
        <v>615</v>
      </c>
      <c r="R39" s="85" t="str">
        <f>IFERROR(I39*'2014 National LULUCF Inventory'!$Q$34,"")</f>
        <v/>
      </c>
    </row>
    <row r="40" spans="7:18">
      <c r="G40" s="111" t="s">
        <v>793</v>
      </c>
      <c r="H40" s="98">
        <v>77</v>
      </c>
      <c r="I40" s="99">
        <v>73</v>
      </c>
      <c r="J40" s="99">
        <v>4</v>
      </c>
      <c r="K40" s="96" t="s">
        <v>754</v>
      </c>
      <c r="L40" s="96" t="s">
        <v>754</v>
      </c>
      <c r="M40" s="96" t="s">
        <v>754</v>
      </c>
      <c r="N40" s="97" t="s">
        <v>754</v>
      </c>
      <c r="O40" s="82"/>
      <c r="P40" s="14" t="s">
        <v>622</v>
      </c>
      <c r="Q40" s="18" t="s">
        <v>623</v>
      </c>
      <c r="R40" s="85">
        <f>IFERROR(I40*'2014 National LULUCF Inventory'!$Q$34,"")</f>
        <v>-106.84044133417002</v>
      </c>
    </row>
    <row r="41" spans="7:18">
      <c r="G41" s="108" t="s">
        <v>786</v>
      </c>
      <c r="H41" s="93">
        <v>24</v>
      </c>
      <c r="I41" s="61">
        <v>24</v>
      </c>
      <c r="J41" s="61" t="s">
        <v>756</v>
      </c>
      <c r="K41" s="61" t="s">
        <v>756</v>
      </c>
      <c r="L41" s="61" t="s">
        <v>756</v>
      </c>
      <c r="M41" s="61" t="s">
        <v>756</v>
      </c>
      <c r="N41" s="94" t="s">
        <v>756</v>
      </c>
      <c r="O41" s="82"/>
    </row>
    <row r="42" spans="7:18">
      <c r="G42" s="113" t="s">
        <v>787</v>
      </c>
      <c r="H42" s="101" t="s">
        <v>754</v>
      </c>
      <c r="I42" s="64" t="s">
        <v>754</v>
      </c>
      <c r="J42" s="64" t="s">
        <v>754</v>
      </c>
      <c r="K42" s="64" t="s">
        <v>754</v>
      </c>
      <c r="L42" s="64" t="s">
        <v>754</v>
      </c>
      <c r="M42" s="64" t="s">
        <v>754</v>
      </c>
      <c r="N42" s="102" t="s">
        <v>754</v>
      </c>
      <c r="O42" s="82"/>
    </row>
    <row r="43" spans="7:18">
      <c r="O43" s="82"/>
    </row>
    <row r="44" spans="7:18">
      <c r="O44" s="82"/>
    </row>
    <row r="45" spans="7:18">
      <c r="O45" s="82"/>
    </row>
  </sheetData>
  <mergeCells count="5">
    <mergeCell ref="H2:J2"/>
    <mergeCell ref="K2:N2"/>
    <mergeCell ref="P2:P3"/>
    <mergeCell ref="Q2:Q3"/>
    <mergeCell ref="R2:R3"/>
  </mergeCells>
  <phoneticPr fontId="1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zoomScale="96" zoomScaleNormal="96" workbookViewId="0">
      <selection activeCell="C3" sqref="C3"/>
    </sheetView>
  </sheetViews>
  <sheetFormatPr defaultColWidth="9.25" defaultRowHeight="13.5"/>
  <cols>
    <col min="2" max="2" width="16.5" customWidth="1"/>
    <col min="3" max="4" width="14.25" bestFit="1" customWidth="1"/>
    <col min="5" max="5" width="10.5" bestFit="1" customWidth="1"/>
    <col min="6" max="6" width="9.5" bestFit="1" customWidth="1"/>
    <col min="7" max="7" width="16.5" customWidth="1"/>
    <col min="8" max="8" width="9.375" bestFit="1" customWidth="1"/>
    <col min="9" max="9" width="10.5" bestFit="1" customWidth="1"/>
    <col min="10" max="10" width="11.625" bestFit="1" customWidth="1"/>
  </cols>
  <sheetData>
    <row r="1" spans="1:10">
      <c r="A1" s="13" t="s">
        <v>630</v>
      </c>
    </row>
    <row r="2" spans="1:10" s="91" customFormat="1" ht="27">
      <c r="A2" s="14" t="s">
        <v>369</v>
      </c>
      <c r="B2" s="14" t="s">
        <v>370</v>
      </c>
      <c r="C2" s="65" t="s">
        <v>708</v>
      </c>
      <c r="D2" s="65" t="s">
        <v>709</v>
      </c>
      <c r="E2" s="65" t="s">
        <v>710</v>
      </c>
      <c r="F2" s="65" t="s">
        <v>711</v>
      </c>
      <c r="G2" s="65" t="s">
        <v>712</v>
      </c>
      <c r="H2" s="65" t="s">
        <v>713</v>
      </c>
      <c r="I2" s="65" t="s">
        <v>714</v>
      </c>
      <c r="J2" s="65" t="s">
        <v>707</v>
      </c>
    </row>
    <row r="3" spans="1:10">
      <c r="A3" s="88" t="s">
        <v>379</v>
      </c>
      <c r="B3" s="89" t="s">
        <v>380</v>
      </c>
      <c r="C3" s="90">
        <f>VLOOKUP($B3,'2019 Forestry Stock'!$K$5:$L$36,2,FALSE)</f>
        <v>-90067.504604978007</v>
      </c>
      <c r="D3" s="90">
        <f>VLOOKUP($B3,'2019 Land Use and Emission'!$N$6:$S$37,2,FALSE)</f>
        <v>-4682.4000992151632</v>
      </c>
      <c r="E3" s="90">
        <f>VLOOKUP($B3,'2019 Land Use and Emission'!$N$6:$S$37,3,FALSE)</f>
        <v>-10076.809644053601</v>
      </c>
      <c r="F3" s="90">
        <f>VLOOKUP($B3,'2019 Land Use and Emission'!$N$6:$S$37,4,FALSE)</f>
        <v>-2631.0662522023658</v>
      </c>
      <c r="G3" s="90">
        <f>VLOOKUP($B3,'2019 Land Use and Emission'!$N$6:$S$37,5,FALSE)</f>
        <v>304.84699167338164</v>
      </c>
      <c r="H3" s="90">
        <f>VLOOKUP($B3,'2019 Land Use and Emission'!$N$6:$S$37,6,FALSE)</f>
        <v>0</v>
      </c>
      <c r="I3" s="90">
        <f>VLOOKUP($B3,'2021 Forestry Product'!$Q$4:$R$40,2,FALSE)</f>
        <v>-15120.117800319324</v>
      </c>
      <c r="J3" s="92">
        <f>SUM(C3:I3)</f>
        <v>-122273.05140909507</v>
      </c>
    </row>
    <row r="4" spans="1:10">
      <c r="A4" s="14" t="s">
        <v>387</v>
      </c>
      <c r="B4" s="18" t="s">
        <v>388</v>
      </c>
      <c r="C4" s="87">
        <f>VLOOKUP($B4,'2019 Forestry Stock'!$K$5:$L$36,2,FALSE)</f>
        <v>-125.01370100171025</v>
      </c>
      <c r="D4" s="87">
        <f>VLOOKUP($B4,'2019 Land Use and Emission'!$N$6:$S$37,2,FALSE)</f>
        <v>-3.4240411668887902</v>
      </c>
      <c r="E4" s="87">
        <f>VLOOKUP($B4,'2019 Land Use and Emission'!$N$6:$S$37,3,FALSE)</f>
        <v>-0.55235203796761589</v>
      </c>
      <c r="F4" s="87">
        <f>VLOOKUP($B4,'2019 Land Use and Emission'!$N$6:$S$37,4,FALSE)</f>
        <v>-0.34753083312358418</v>
      </c>
      <c r="G4" s="87">
        <f>VLOOKUP($B4,'2019 Land Use and Emission'!$N$6:$S$37,5,FALSE)</f>
        <v>2.4661214074670967</v>
      </c>
      <c r="H4" s="87">
        <f>VLOOKUP($B4,'2019 Land Use and Emission'!$N$6:$S$37,6,FALSE)</f>
        <v>0</v>
      </c>
      <c r="I4" s="87">
        <f>VLOOKUP($B4,'2021 Forestry Product'!$Q$4:$R$40,2,FALSE)</f>
        <v>-23.417083032146856</v>
      </c>
      <c r="J4" s="92">
        <f t="shared" ref="J4:J34" si="0">SUM(C4:I4)</f>
        <v>-150.28858666437</v>
      </c>
    </row>
    <row r="5" spans="1:10">
      <c r="A5" s="14" t="s">
        <v>394</v>
      </c>
      <c r="B5" s="18" t="s">
        <v>395</v>
      </c>
      <c r="C5" s="87">
        <f>VLOOKUP($B5,'2019 Forestry Stock'!$K$5:$L$36,2,FALSE)</f>
        <v>-23.607532806010258</v>
      </c>
      <c r="D5" s="87">
        <f>VLOOKUP($B5,'2019 Land Use and Emission'!$N$6:$S$37,2,FALSE)</f>
        <v>-12.070202872797276</v>
      </c>
      <c r="E5" s="87">
        <f>VLOOKUP($B5,'2019 Land Use and Emission'!$N$6:$S$37,3,FALSE)</f>
        <v>-0.57139865996649919</v>
      </c>
      <c r="F5" s="87">
        <f>VLOOKUP($B5,'2019 Land Use and Emission'!$N$6:$S$37,4,FALSE)</f>
        <v>-3.6658897558520014</v>
      </c>
      <c r="G5" s="87">
        <f>VLOOKUP($B5,'2019 Land Use and Emission'!$N$6:$S$37,5,FALSE)</f>
        <v>2.565337093741606</v>
      </c>
      <c r="H5" s="87">
        <f>VLOOKUP($B5,'2019 Land Use and Emission'!$N$6:$S$37,6,FALSE)</f>
        <v>0</v>
      </c>
      <c r="I5" s="87">
        <f>VLOOKUP($B5,'2021 Forestry Product'!$Q$4:$R$40,2,FALSE)</f>
        <v>-27.807786100674392</v>
      </c>
      <c r="J5" s="92">
        <f t="shared" si="0"/>
        <v>-65.157473101558821</v>
      </c>
    </row>
    <row r="6" spans="1:10">
      <c r="A6" s="14" t="s">
        <v>402</v>
      </c>
      <c r="B6" s="18" t="s">
        <v>403</v>
      </c>
      <c r="C6" s="87">
        <f>VLOOKUP($B6,'2019 Forestry Stock'!$K$5:$L$36,2,FALSE)</f>
        <v>-704.62948603713653</v>
      </c>
      <c r="D6" s="87">
        <f>VLOOKUP($B6,'2019 Land Use and Emission'!$N$6:$S$37,2,FALSE)</f>
        <v>-220.97699689027098</v>
      </c>
      <c r="E6" s="87">
        <f>VLOOKUP($B6,'2019 Land Use and Emission'!$N$6:$S$37,3,FALSE)</f>
        <v>-74.178974036850917</v>
      </c>
      <c r="F6" s="87">
        <f>VLOOKUP($B6,'2019 Land Use and Emission'!$N$6:$S$37,4,FALSE)</f>
        <v>-15.997628995721117</v>
      </c>
      <c r="G6" s="87">
        <f>VLOOKUP($B6,'2019 Land Use and Emission'!$N$6:$S$37,5,FALSE)</f>
        <v>17.056943325275316</v>
      </c>
      <c r="H6" s="87">
        <f>VLOOKUP($B6,'2019 Land Use and Emission'!$N$6:$S$37,6,FALSE)</f>
        <v>0</v>
      </c>
      <c r="I6" s="87">
        <f>VLOOKUP($B6,'2021 Forestry Product'!$Q$4:$R$40,2,FALSE)</f>
        <v>-141.96606588239032</v>
      </c>
      <c r="J6" s="92">
        <f t="shared" si="0"/>
        <v>-1140.6922085170945</v>
      </c>
    </row>
    <row r="7" spans="1:10">
      <c r="A7" s="14" t="s">
        <v>410</v>
      </c>
      <c r="B7" s="18" t="s">
        <v>411</v>
      </c>
      <c r="C7" s="87">
        <f>VLOOKUP($B7,'2019 Forestry Stock'!$K$5:$L$36,2,FALSE)</f>
        <v>-662.84763560346937</v>
      </c>
      <c r="D7" s="87">
        <f>VLOOKUP($B7,'2019 Land Use and Emission'!$N$6:$S$37,2,FALSE)</f>
        <v>-141.70403524359543</v>
      </c>
      <c r="E7" s="87">
        <f>VLOOKUP($B7,'2019 Land Use and Emission'!$N$6:$S$37,3,FALSE)</f>
        <v>-118.28333193746511</v>
      </c>
      <c r="F7" s="87">
        <f>VLOOKUP($B7,'2019 Land Use and Emission'!$N$6:$S$37,4,FALSE)</f>
        <v>-6.0986055877170893</v>
      </c>
      <c r="G7" s="87">
        <f>VLOOKUP($B7,'2019 Land Use and Emission'!$N$6:$S$37,5,FALSE)</f>
        <v>8.7486489390276656</v>
      </c>
      <c r="H7" s="87">
        <f>VLOOKUP($B7,'2019 Land Use and Emission'!$N$6:$S$37,6,FALSE)</f>
        <v>0</v>
      </c>
      <c r="I7" s="87">
        <f>VLOOKUP($B7,'2021 Forestry Product'!$Q$4:$R$40,2,FALSE)</f>
        <v>-36.589192237729463</v>
      </c>
      <c r="J7" s="92">
        <f t="shared" si="0"/>
        <v>-956.77415167094875</v>
      </c>
    </row>
    <row r="8" spans="1:10">
      <c r="A8" s="14" t="s">
        <v>418</v>
      </c>
      <c r="B8" s="18" t="s">
        <v>419</v>
      </c>
      <c r="C8" s="87">
        <f>VLOOKUP($B8,'2019 Forestry Stock'!$K$5:$L$36,2,FALSE)</f>
        <v>-7832.2887055704859</v>
      </c>
      <c r="D8" s="87">
        <f>VLOOKUP($B8,'2019 Land Use and Emission'!$N$6:$S$37,2,FALSE)</f>
        <v>-421.01058048274848</v>
      </c>
      <c r="E8" s="87">
        <f>VLOOKUP($B8,'2019 Land Use and Emission'!$N$6:$S$37,3,FALSE)</f>
        <v>-2063.5834045226134</v>
      </c>
      <c r="F8" s="87">
        <f>VLOOKUP($B8,'2019 Land Use and Emission'!$N$6:$S$37,4,FALSE)</f>
        <v>-427.05934054870374</v>
      </c>
      <c r="G8" s="87">
        <f>VLOOKUP($B8,'2019 Land Use and Emission'!$N$6:$S$37,5,FALSE)</f>
        <v>15.580260542573193</v>
      </c>
      <c r="H8" s="87">
        <f>VLOOKUP($B8,'2019 Land Use and Emission'!$N$6:$S$37,6,FALSE)</f>
        <v>0</v>
      </c>
      <c r="I8" s="87">
        <f>VLOOKUP($B8,'2021 Forestry Product'!$Q$4:$R$40,2,FALSE)</f>
        <v>-158.06531046699126</v>
      </c>
      <c r="J8" s="92">
        <f t="shared" si="0"/>
        <v>-10886.427081048969</v>
      </c>
    </row>
    <row r="9" spans="1:10">
      <c r="A9" s="14" t="s">
        <v>426</v>
      </c>
      <c r="B9" s="18" t="s">
        <v>427</v>
      </c>
      <c r="C9" s="87">
        <f>VLOOKUP($B9,'2019 Forestry Stock'!$K$5:$L$36,2,FALSE)</f>
        <v>-1525.8538310163694</v>
      </c>
      <c r="D9" s="87">
        <f>VLOOKUP($B9,'2019 Land Use and Emission'!$N$6:$S$37,2,FALSE)</f>
        <v>-189.77244632015402</v>
      </c>
      <c r="E9" s="87">
        <f>VLOOKUP($B9,'2019 Land Use and Emission'!$N$6:$S$37,3,FALSE)</f>
        <v>-18.559028475711894</v>
      </c>
      <c r="F9" s="87">
        <f>VLOOKUP($B9,'2019 Land Use and Emission'!$N$6:$S$37,4,FALSE)</f>
        <v>-32.107364711804678</v>
      </c>
      <c r="G9" s="87">
        <f>VLOOKUP($B9,'2019 Land Use and Emission'!$N$6:$S$37,5,FALSE)</f>
        <v>11.043521353746977</v>
      </c>
      <c r="H9" s="87">
        <f>VLOOKUP($B9,'2019 Land Use and Emission'!$N$6:$S$37,6,FALSE)</f>
        <v>0</v>
      </c>
      <c r="I9" s="87">
        <f>VLOOKUP($B9,'2021 Forestry Product'!$Q$4:$R$40,2,FALSE)</f>
        <v>-165.38314891453717</v>
      </c>
      <c r="J9" s="92">
        <f t="shared" si="0"/>
        <v>-1920.6322980848299</v>
      </c>
    </row>
    <row r="10" spans="1:10">
      <c r="A10" s="14" t="s">
        <v>434</v>
      </c>
      <c r="B10" s="18" t="s">
        <v>435</v>
      </c>
      <c r="C10" s="87">
        <f>VLOOKUP($B10,'2019 Forestry Stock'!$K$5:$L$36,2,FALSE)</f>
        <v>-5195.5226571035919</v>
      </c>
      <c r="D10" s="87">
        <f>VLOOKUP($B10,'2019 Land Use and Emission'!$N$6:$S$37,2,FALSE)</f>
        <v>-274.60077743225236</v>
      </c>
      <c r="E10" s="87">
        <f>VLOOKUP($B10,'2019 Land Use and Emission'!$N$6:$S$37,3,FALSE)</f>
        <v>-25.701511725293134</v>
      </c>
      <c r="F10" s="87">
        <f>VLOOKUP($B10,'2019 Land Use and Emission'!$N$6:$S$37,4,FALSE)</f>
        <v>-25.818177699471434</v>
      </c>
      <c r="G10" s="87">
        <f>VLOOKUP($B10,'2019 Land Use and Emission'!$N$6:$S$37,5,FALSE)</f>
        <v>7.5804861670695676</v>
      </c>
      <c r="H10" s="87">
        <f>VLOOKUP($B10,'2019 Land Use and Emission'!$N$6:$S$37,6,FALSE)</f>
        <v>0</v>
      </c>
      <c r="I10" s="87">
        <f>VLOOKUP($B10,'2021 Forestry Product'!$Q$4:$R$40,2,FALSE)</f>
        <v>-354.18338086122117</v>
      </c>
      <c r="J10" s="92">
        <f t="shared" si="0"/>
        <v>-5868.2460186547605</v>
      </c>
    </row>
    <row r="11" spans="1:10">
      <c r="A11" s="14" t="s">
        <v>442</v>
      </c>
      <c r="B11" s="18" t="s">
        <v>443</v>
      </c>
      <c r="C11" s="87">
        <f>VLOOKUP($B11,'2019 Forestry Stock'!$K$5:$L$36,2,FALSE)</f>
        <v>-9473.5869469643294</v>
      </c>
      <c r="D11" s="87">
        <f>VLOOKUP($B11,'2019 Land Use and Emission'!$N$6:$S$37,2,FALSE)</f>
        <v>-629.70863616170595</v>
      </c>
      <c r="E11" s="87">
        <f>VLOOKUP($B11,'2019 Land Use and Emission'!$N$6:$S$37,3,FALSE)</f>
        <v>-45.167159408151875</v>
      </c>
      <c r="F11" s="87">
        <f>VLOOKUP($B11,'2019 Land Use and Emission'!$N$6:$S$37,4,FALSE)</f>
        <v>-392.48562798892527</v>
      </c>
      <c r="G11" s="87">
        <f>VLOOKUP($B11,'2019 Land Use and Emission'!$N$6:$S$37,5,FALSE)</f>
        <v>11.611633091592802</v>
      </c>
      <c r="H11" s="87">
        <f>VLOOKUP($B11,'2019 Land Use and Emission'!$N$6:$S$37,6,FALSE)</f>
        <v>0</v>
      </c>
      <c r="I11" s="87">
        <f>VLOOKUP($B11,'2021 Forestry Product'!$Q$4:$R$40,2,FALSE)</f>
        <v>-223.92585649490431</v>
      </c>
      <c r="J11" s="92">
        <f t="shared" si="0"/>
        <v>-10753.262593926425</v>
      </c>
    </row>
    <row r="12" spans="1:10">
      <c r="A12" s="14" t="s">
        <v>450</v>
      </c>
      <c r="B12" s="18" t="s">
        <v>451</v>
      </c>
      <c r="C12" s="87">
        <f>VLOOKUP($B12,'2019 Forestry Stock'!$K$5:$L$36,2,FALSE)</f>
        <v>-23.059749004397752</v>
      </c>
      <c r="D12" s="87">
        <f>VLOOKUP($B12,'2019 Land Use and Emission'!$N$6:$S$37,2,FALSE)</f>
        <v>-5.9325633051976903</v>
      </c>
      <c r="E12" s="87">
        <f>VLOOKUP($B12,'2019 Land Use and Emission'!$N$6:$S$37,3,FALSE)</f>
        <v>-0.50283082077051922</v>
      </c>
      <c r="F12" s="87">
        <f>VLOOKUP($B12,'2019 Land Use and Emission'!$N$6:$S$37,4,FALSE)</f>
        <v>-8.1501585703498627</v>
      </c>
      <c r="G12" s="87">
        <f>VLOOKUP($B12,'2019 Land Use and Emission'!$N$6:$S$37,5,FALSE)</f>
        <v>2.1990545259199568</v>
      </c>
      <c r="H12" s="87">
        <f>VLOOKUP($B12,'2019 Land Use and Emission'!$N$6:$S$37,6,FALSE)</f>
        <v>0</v>
      </c>
      <c r="I12" s="87" t="str">
        <f>VLOOKUP($B12,'2021 Forestry Product'!$Q$4:$R$40,2,FALSE)</f>
        <v/>
      </c>
      <c r="J12" s="92">
        <f t="shared" si="0"/>
        <v>-35.446247174795865</v>
      </c>
    </row>
    <row r="13" spans="1:10">
      <c r="A13" s="14" t="s">
        <v>458</v>
      </c>
      <c r="B13" s="18" t="s">
        <v>459</v>
      </c>
      <c r="C13" s="87">
        <f>VLOOKUP($B13,'2019 Forestry Stock'!$K$5:$L$36,2,FALSE)</f>
        <v>-361.31573359394082</v>
      </c>
      <c r="D13" s="87">
        <f>VLOOKUP($B13,'2019 Land Use and Emission'!$N$6:$S$37,2,FALSE)</f>
        <v>-149.76792684732712</v>
      </c>
      <c r="E13" s="87">
        <f>VLOOKUP($B13,'2019 Land Use and Emission'!$N$6:$S$37,3,FALSE)</f>
        <v>-3.5655276381909546</v>
      </c>
      <c r="F13" s="87">
        <f>VLOOKUP($B13,'2019 Land Use and Emission'!$N$6:$S$37,4,FALSE)</f>
        <v>-46.681238358922727</v>
      </c>
      <c r="G13" s="87">
        <f>VLOOKUP($B13,'2019 Land Use and Emission'!$N$6:$S$37,5,FALSE)</f>
        <v>16.733473005640612</v>
      </c>
      <c r="H13" s="87">
        <f>VLOOKUP($B13,'2019 Land Use and Emission'!$N$6:$S$37,6,FALSE)</f>
        <v>0</v>
      </c>
      <c r="I13" s="87">
        <f>VLOOKUP($B13,'2021 Forestry Product'!$Q$4:$R$40,2,FALSE)</f>
        <v>-307.34921479692747</v>
      </c>
      <c r="J13" s="92">
        <f t="shared" si="0"/>
        <v>-851.9461682296685</v>
      </c>
    </row>
    <row r="14" spans="1:10">
      <c r="A14" s="14" t="s">
        <v>464</v>
      </c>
      <c r="B14" s="18" t="s">
        <v>465</v>
      </c>
      <c r="C14" s="87">
        <f>VLOOKUP($B14,'2019 Forestry Stock'!$K$5:$L$36,2,FALSE)</f>
        <v>-1442.0188027791351</v>
      </c>
      <c r="D14" s="87">
        <f>VLOOKUP($B14,'2019 Land Use and Emission'!$N$6:$S$37,2,FALSE)</f>
        <v>-47.25909225529395</v>
      </c>
      <c r="E14" s="87">
        <f>VLOOKUP($B14,'2019 Land Use and Emission'!$N$6:$S$37,3,FALSE)</f>
        <v>-2.4189209938581797</v>
      </c>
      <c r="F14" s="87">
        <f>VLOOKUP($B14,'2019 Land Use and Emission'!$N$6:$S$37,4,FALSE)</f>
        <v>-18.520030203876164</v>
      </c>
      <c r="G14" s="87">
        <f>VLOOKUP($B14,'2019 Land Use and Emission'!$N$6:$S$37,5,FALSE)</f>
        <v>9.4710206822455003</v>
      </c>
      <c r="H14" s="87">
        <f>VLOOKUP($B14,'2019 Land Use and Emission'!$N$6:$S$37,6,FALSE)</f>
        <v>0</v>
      </c>
      <c r="I14" s="87">
        <f>VLOOKUP($B14,'2021 Forestry Product'!$Q$4:$R$40,2,FALSE)</f>
        <v>-143.4296335718995</v>
      </c>
      <c r="J14" s="92">
        <f t="shared" si="0"/>
        <v>-1644.1754591218173</v>
      </c>
    </row>
    <row r="15" spans="1:10">
      <c r="A15" s="14" t="s">
        <v>472</v>
      </c>
      <c r="B15" s="18" t="s">
        <v>473</v>
      </c>
      <c r="C15" s="87">
        <f>VLOOKUP($B15,'2019 Forestry Stock'!$K$5:$L$36,2,FALSE)</f>
        <v>-1137.9618636391399</v>
      </c>
      <c r="D15" s="87">
        <f>VLOOKUP($B15,'2019 Land Use and Emission'!$N$6:$S$37,2,FALSE)</f>
        <v>-203.13169998519174</v>
      </c>
      <c r="E15" s="87">
        <f>VLOOKUP($B15,'2019 Land Use and Emission'!$N$6:$S$37,3,FALSE)</f>
        <v>-1.8246663874930207</v>
      </c>
      <c r="F15" s="87">
        <f>VLOOKUP($B15,'2019 Land Use and Emission'!$N$6:$S$37,4,FALSE)</f>
        <v>-5.3474905612886987</v>
      </c>
      <c r="G15" s="87">
        <f>VLOOKUP($B15,'2019 Land Use and Emission'!$N$6:$S$37,5,FALSE)</f>
        <v>14.007080311576683</v>
      </c>
      <c r="H15" s="87">
        <f>VLOOKUP($B15,'2019 Land Use and Emission'!$N$6:$S$37,6,FALSE)</f>
        <v>0</v>
      </c>
      <c r="I15" s="87">
        <f>VLOOKUP($B15,'2021 Forestry Product'!$Q$4:$R$40,2,FALSE)</f>
        <v>-695.19465251685983</v>
      </c>
      <c r="J15" s="92">
        <f t="shared" si="0"/>
        <v>-2029.4532927783964</v>
      </c>
    </row>
    <row r="16" spans="1:10">
      <c r="A16" s="14" t="s">
        <v>480</v>
      </c>
      <c r="B16" s="18" t="s">
        <v>481</v>
      </c>
      <c r="C16" s="87">
        <f>VLOOKUP($B16,'2019 Forestry Stock'!$K$5:$L$36,2,FALSE)</f>
        <v>-3741.0161275287078</v>
      </c>
      <c r="D16" s="87">
        <f>VLOOKUP($B16,'2019 Land Use and Emission'!$N$6:$S$37,2,FALSE)</f>
        <v>-34.130549385458316</v>
      </c>
      <c r="E16" s="87">
        <f>VLOOKUP($B16,'2019 Land Use and Emission'!$N$6:$S$37,3,FALSE)</f>
        <v>-2.8531839754327195</v>
      </c>
      <c r="F16" s="87">
        <f>VLOOKUP($B16,'2019 Land Use and Emission'!$N$6:$S$37,4,FALSE)</f>
        <v>-21.143327460357412</v>
      </c>
      <c r="G16" s="87">
        <f>VLOOKUP($B16,'2019 Land Use and Emission'!$N$6:$S$37,5,FALSE)</f>
        <v>6.2682567821649204</v>
      </c>
      <c r="H16" s="87">
        <f>VLOOKUP($B16,'2019 Land Use and Emission'!$N$6:$S$37,6,FALSE)</f>
        <v>0</v>
      </c>
      <c r="I16" s="87">
        <f>VLOOKUP($B16,'2021 Forestry Product'!$Q$4:$R$40,2,FALSE)</f>
        <v>-1078.6493871682646</v>
      </c>
      <c r="J16" s="92">
        <f t="shared" si="0"/>
        <v>-4871.5243187360556</v>
      </c>
    </row>
    <row r="17" spans="1:10">
      <c r="A17" s="14" t="s">
        <v>488</v>
      </c>
      <c r="B17" s="18" t="s">
        <v>489</v>
      </c>
      <c r="C17" s="87">
        <f>VLOOKUP($B17,'2019 Forestry Stock'!$K$5:$L$36,2,FALSE)</f>
        <v>-2598.681738694112</v>
      </c>
      <c r="D17" s="87">
        <f>VLOOKUP($B17,'2019 Land Use and Emission'!$N$6:$S$37,2,FALSE)</f>
        <v>-99.667063527321176</v>
      </c>
      <c r="E17" s="87">
        <f>VLOOKUP($B17,'2019 Land Use and Emission'!$N$6:$S$37,3,FALSE)</f>
        <v>-3.3788707426018991</v>
      </c>
      <c r="F17" s="87">
        <f>VLOOKUP($B17,'2019 Land Use and Emission'!$N$6:$S$37,4,FALSE)</f>
        <v>-3.2174628744022149</v>
      </c>
      <c r="G17" s="87">
        <f>VLOOKUP($B17,'2019 Land Use and Emission'!$N$6:$S$37,5,FALSE)</f>
        <v>9.87671770077894</v>
      </c>
      <c r="H17" s="87">
        <f>VLOOKUP($B17,'2019 Land Use and Emission'!$N$6:$S$37,6,FALSE)</f>
        <v>0</v>
      </c>
      <c r="I17" s="87">
        <f>VLOOKUP($B17,'2021 Forestry Product'!$Q$4:$R$40,2,FALSE)</f>
        <v>-564.93712815054289</v>
      </c>
      <c r="J17" s="92">
        <f t="shared" si="0"/>
        <v>-3260.0055462882015</v>
      </c>
    </row>
    <row r="18" spans="1:10">
      <c r="A18" s="14" t="s">
        <v>496</v>
      </c>
      <c r="B18" s="18" t="s">
        <v>497</v>
      </c>
      <c r="C18" s="87">
        <f>VLOOKUP($B18,'2019 Forestry Stock'!$K$5:$L$36,2,FALSE)</f>
        <v>-469.89848507818226</v>
      </c>
      <c r="D18" s="87">
        <f>VLOOKUP($B18,'2019 Land Use and Emission'!$N$6:$S$37,2,FALSE)</f>
        <v>-236.63969643121575</v>
      </c>
      <c r="E18" s="87">
        <f>VLOOKUP($B18,'2019 Land Use and Emission'!$N$6:$S$37,3,FALSE)</f>
        <v>-8.9595309882747074</v>
      </c>
      <c r="F18" s="87">
        <f>VLOOKUP($B18,'2019 Land Use and Emission'!$N$6:$S$37,4,FALSE)</f>
        <v>-27.600674553234327</v>
      </c>
      <c r="G18" s="87">
        <f>VLOOKUP($B18,'2019 Land Use and Emission'!$N$6:$S$37,5,FALSE)</f>
        <v>22.105390813859792</v>
      </c>
      <c r="H18" s="87">
        <f>VLOOKUP($B18,'2019 Land Use and Emission'!$N$6:$S$37,6,FALSE)</f>
        <v>0</v>
      </c>
      <c r="I18" s="87">
        <f>VLOOKUP($B18,'2021 Forestry Product'!$Q$4:$R$40,2,FALSE)</f>
        <v>-503.46728519115737</v>
      </c>
      <c r="J18" s="92">
        <f t="shared" si="0"/>
        <v>-1224.4602814282046</v>
      </c>
    </row>
    <row r="19" spans="1:10">
      <c r="A19" s="14" t="s">
        <v>504</v>
      </c>
      <c r="B19" s="18" t="s">
        <v>505</v>
      </c>
      <c r="C19" s="87">
        <f>VLOOKUP($B19,'2019 Forestry Stock'!$K$5:$L$36,2,FALSE)</f>
        <v>-1062.6964718788174</v>
      </c>
      <c r="D19" s="87">
        <f>VLOOKUP($B19,'2019 Land Use and Emission'!$N$6:$S$37,2,FALSE)</f>
        <v>-275.17206130608622</v>
      </c>
      <c r="E19" s="87">
        <f>VLOOKUP($B19,'2019 Land Use and Emission'!$N$6:$S$37,3,FALSE)</f>
        <v>-9.7899637074260184</v>
      </c>
      <c r="F19" s="87">
        <f>VLOOKUP($B19,'2019 Land Use and Emission'!$N$6:$S$37,4,FALSE)</f>
        <v>-4.3833727661716591</v>
      </c>
      <c r="G19" s="87">
        <f>VLOOKUP($B19,'2019 Land Use and Emission'!$N$6:$S$37,5,FALSE)</f>
        <v>19.239688423314533</v>
      </c>
      <c r="H19" s="87">
        <f>VLOOKUP($B19,'2019 Land Use and Emission'!$N$6:$S$37,6,FALSE)</f>
        <v>0</v>
      </c>
      <c r="I19" s="87">
        <f>VLOOKUP($B19,'2021 Forestry Product'!$Q$4:$R$40,2,FALSE)</f>
        <v>-329.30273013956514</v>
      </c>
      <c r="J19" s="92">
        <f t="shared" si="0"/>
        <v>-1662.1049113747522</v>
      </c>
    </row>
    <row r="20" spans="1:10">
      <c r="A20" s="14" t="s">
        <v>512</v>
      </c>
      <c r="B20" s="18" t="s">
        <v>513</v>
      </c>
      <c r="C20" s="87">
        <f>VLOOKUP($B20,'2019 Forestry Stock'!$K$5:$L$36,2,FALSE)</f>
        <v>-1872.5132704800881</v>
      </c>
      <c r="D20" s="87">
        <f>VLOOKUP($B20,'2019 Land Use and Emission'!$N$6:$S$37,2,FALSE)</f>
        <v>-174.62976158744263</v>
      </c>
      <c r="E20" s="87">
        <f>VLOOKUP($B20,'2019 Land Use and Emission'!$N$6:$S$37,3,FALSE)</f>
        <v>-3.4055360134003356</v>
      </c>
      <c r="F20" s="87">
        <f>VLOOKUP($B20,'2019 Land Use and Emission'!$N$6:$S$37,4,FALSE)</f>
        <v>-6.8609312861817262</v>
      </c>
      <c r="G20" s="87">
        <f>VLOOKUP($B20,'2019 Land Use and Emission'!$N$6:$S$37,5,FALSE)</f>
        <v>11.833849046467902</v>
      </c>
      <c r="H20" s="87">
        <f>VLOOKUP($B20,'2019 Land Use and Emission'!$N$6:$S$37,6,FALSE)</f>
        <v>0</v>
      </c>
      <c r="I20" s="87">
        <f>VLOOKUP($B20,'2021 Forestry Product'!$Q$4:$R$40,2,FALSE)</f>
        <v>-289.78640252281735</v>
      </c>
      <c r="J20" s="92">
        <f t="shared" si="0"/>
        <v>-2335.3620528434622</v>
      </c>
    </row>
    <row r="21" spans="1:10">
      <c r="A21" s="14" t="s">
        <v>520</v>
      </c>
      <c r="B21" s="18" t="s">
        <v>521</v>
      </c>
      <c r="C21" s="87">
        <f>VLOOKUP($B21,'2019 Forestry Stock'!$K$5:$L$36,2,FALSE)</f>
        <v>-2088.3349592536038</v>
      </c>
      <c r="D21" s="87">
        <f>VLOOKUP($B21,'2019 Land Use and Emission'!$N$6:$S$37,2,FALSE)</f>
        <v>-132.90406634088552</v>
      </c>
      <c r="E21" s="87">
        <f>VLOOKUP($B21,'2019 Land Use and Emission'!$N$6:$S$37,3,FALSE)</f>
        <v>-5.3521007816862092</v>
      </c>
      <c r="F21" s="87">
        <f>VLOOKUP($B21,'2019 Land Use and Emission'!$N$6:$S$37,4,FALSE)</f>
        <v>-26.468396677573619</v>
      </c>
      <c r="G21" s="87">
        <f>VLOOKUP($B21,'2019 Land Use and Emission'!$N$6:$S$37,5,FALSE)</f>
        <v>13.557891485361267</v>
      </c>
      <c r="H21" s="87">
        <f>VLOOKUP($B21,'2019 Land Use and Emission'!$N$6:$S$37,6,FALSE)</f>
        <v>0</v>
      </c>
      <c r="I21" s="87">
        <f>VLOOKUP($B21,'2021 Forestry Product'!$Q$4:$R$40,2,FALSE)</f>
        <v>-624.94340342041926</v>
      </c>
      <c r="J21" s="92">
        <f t="shared" si="0"/>
        <v>-2864.445034988807</v>
      </c>
    </row>
    <row r="22" spans="1:10">
      <c r="A22" s="14" t="s">
        <v>528</v>
      </c>
      <c r="B22" s="18" t="s">
        <v>529</v>
      </c>
      <c r="C22" s="87">
        <f>VLOOKUP($B22,'2019 Forestry Stock'!$K$5:$L$36,2,FALSE)</f>
        <v>-2398.0974667542141</v>
      </c>
      <c r="D22" s="87">
        <f>VLOOKUP($B22,'2019 Land Use and Emission'!$N$6:$S$37,2,FALSE)</f>
        <v>-69.649025618243741</v>
      </c>
      <c r="E22" s="87">
        <f>VLOOKUP($B22,'2019 Land Use and Emission'!$N$6:$S$37,3,FALSE)</f>
        <v>-9.0852386934673373</v>
      </c>
      <c r="F22" s="87">
        <f>VLOOKUP($B22,'2019 Land Use and Emission'!$N$6:$S$37,4,FALSE)</f>
        <v>-20.055892272841682</v>
      </c>
      <c r="G22" s="87">
        <f>VLOOKUP($B22,'2019 Land Use and Emission'!$N$6:$S$37,5,FALSE)</f>
        <v>14.21094816008595</v>
      </c>
      <c r="H22" s="87">
        <f>VLOOKUP($B22,'2019 Land Use and Emission'!$N$6:$S$37,6,FALSE)</f>
        <v>0</v>
      </c>
      <c r="I22" s="87">
        <f>VLOOKUP($B22,'2021 Forestry Product'!$Q$4:$R$40,2,FALSE)</f>
        <v>-1643.5865153188074</v>
      </c>
      <c r="J22" s="92">
        <f t="shared" si="0"/>
        <v>-4126.2631904974887</v>
      </c>
    </row>
    <row r="23" spans="1:10">
      <c r="A23" s="14" t="s">
        <v>536</v>
      </c>
      <c r="B23" s="18" t="s">
        <v>537</v>
      </c>
      <c r="C23" s="87">
        <f>VLOOKUP($B23,'2019 Forestry Stock'!$K$5:$L$36,2,FALSE)</f>
        <v>-3475.065040221109</v>
      </c>
      <c r="D23" s="87">
        <f>VLOOKUP($B23,'2019 Land Use and Emission'!$N$6:$S$37,2,FALSE)</f>
        <v>-121.12682955723382</v>
      </c>
      <c r="E23" s="87">
        <f>VLOOKUP($B23,'2019 Land Use and Emission'!$N$6:$S$37,3,FALSE)</f>
        <v>-10.521353992183137</v>
      </c>
      <c r="F23" s="87">
        <f>VLOOKUP($B23,'2019 Land Use and Emission'!$N$6:$S$37,4,FALSE)</f>
        <v>-14.259974830103197</v>
      </c>
      <c r="G23" s="87">
        <f>VLOOKUP($B23,'2019 Land Use and Emission'!$N$6:$S$37,5,FALSE)</f>
        <v>9.0530915928015041</v>
      </c>
      <c r="H23" s="87">
        <f>VLOOKUP($B23,'2019 Land Use and Emission'!$N$6:$S$37,6,FALSE)</f>
        <v>0</v>
      </c>
      <c r="I23" s="87">
        <f>VLOOKUP($B23,'2021 Forestry Product'!$Q$4:$R$40,2,FALSE)</f>
        <v>-5271.7708176120605</v>
      </c>
      <c r="J23" s="92">
        <f t="shared" si="0"/>
        <v>-8883.6909246198884</v>
      </c>
    </row>
    <row r="24" spans="1:10">
      <c r="A24" s="14" t="s">
        <v>544</v>
      </c>
      <c r="B24" s="18" t="s">
        <v>545</v>
      </c>
      <c r="C24" s="87">
        <f>VLOOKUP($B24,'2019 Forestry Stock'!$K$5:$L$36,2,FALSE)</f>
        <v>-786.80577568409478</v>
      </c>
      <c r="D24" s="87">
        <f>VLOOKUP($B24,'2019 Land Use and Emission'!$N$6:$S$37,2,FALSE)</f>
        <v>-17.830648600621945</v>
      </c>
      <c r="E24" s="87">
        <f>VLOOKUP($B24,'2019 Land Use and Emission'!$N$6:$S$37,3,FALSE)</f>
        <v>-0.65139447236180914</v>
      </c>
      <c r="F24" s="87">
        <f>VLOOKUP($B24,'2019 Land Use and Emission'!$N$6:$S$37,4,FALSE)</f>
        <v>-13.587334507928519</v>
      </c>
      <c r="G24" s="87">
        <f>VLOOKUP($B24,'2019 Land Use and Emission'!$N$6:$S$37,5,FALSE)</f>
        <v>2.0522696749932847</v>
      </c>
      <c r="H24" s="87">
        <f>VLOOKUP($B24,'2019 Land Use and Emission'!$N$6:$S$37,6,FALSE)</f>
        <v>0</v>
      </c>
      <c r="I24" s="87">
        <f>VLOOKUP($B24,'2021 Forestry Product'!$Q$4:$R$40,2,FALSE)</f>
        <v>-320.52132400251008</v>
      </c>
      <c r="J24" s="92">
        <f t="shared" si="0"/>
        <v>-1137.3442075925238</v>
      </c>
    </row>
    <row r="25" spans="1:10">
      <c r="A25" s="14" t="s">
        <v>552</v>
      </c>
      <c r="B25" s="18" t="s">
        <v>553</v>
      </c>
      <c r="C25" s="87">
        <f>VLOOKUP($B25,'2019 Forestry Stock'!$K$5:$L$36,2,FALSE)</f>
        <v>-1060.5966339726363</v>
      </c>
      <c r="D25" s="87">
        <f>VLOOKUP($B25,'2019 Land Use and Emission'!$N$6:$S$37,2,FALSE)</f>
        <v>-68.488147490004451</v>
      </c>
      <c r="E25" s="87">
        <f>VLOOKUP($B25,'2019 Land Use and Emission'!$N$6:$S$37,3,FALSE)</f>
        <v>-0.8990005583472922</v>
      </c>
      <c r="F25" s="87">
        <f>VLOOKUP($B25,'2019 Land Use and Emission'!$N$6:$S$37,4,FALSE)</f>
        <v>-1.6816008054366978</v>
      </c>
      <c r="G25" s="87">
        <f>VLOOKUP($B25,'2019 Land Use and Emission'!$N$6:$S$37,5,FALSE)</f>
        <v>5.3923045930701043</v>
      </c>
      <c r="H25" s="87">
        <f>VLOOKUP($B25,'2019 Land Use and Emission'!$N$6:$S$37,6,FALSE)</f>
        <v>0</v>
      </c>
      <c r="I25" s="87">
        <f>VLOOKUP($B25,'2021 Forestry Product'!$Q$4:$R$40,2,FALSE)</f>
        <v>-52.688436822330424</v>
      </c>
      <c r="J25" s="92">
        <f t="shared" si="0"/>
        <v>-1178.9615150556851</v>
      </c>
    </row>
    <row r="26" spans="1:10">
      <c r="A26" s="14" t="s">
        <v>559</v>
      </c>
      <c r="B26" s="18" t="s">
        <v>560</v>
      </c>
      <c r="C26" s="87">
        <f>VLOOKUP($B26,'2019 Forestry Stock'!$K$5:$L$36,2,FALSE)</f>
        <v>-9545.1327430979727</v>
      </c>
      <c r="D26" s="87">
        <f>VLOOKUP($B26,'2019 Land Use and Emission'!$N$6:$S$37,2,FALSE)</f>
        <v>-191.42404264771216</v>
      </c>
      <c r="E26" s="87">
        <f>VLOOKUP($B26,'2019 Land Use and Emission'!$N$6:$S$37,3,FALSE)</f>
        <v>-369.03972920156338</v>
      </c>
      <c r="F26" s="87">
        <f>VLOOKUP($B26,'2019 Land Use and Emission'!$N$6:$S$37,4,FALSE)</f>
        <v>-137.98095142209917</v>
      </c>
      <c r="G26" s="87">
        <f>VLOOKUP($B26,'2019 Land Use and Emission'!$N$6:$S$37,5,FALSE)</f>
        <v>15.732481869460113</v>
      </c>
      <c r="H26" s="87">
        <f>VLOOKUP($B26,'2019 Land Use and Emission'!$N$6:$S$37,6,FALSE)</f>
        <v>0</v>
      </c>
      <c r="I26" s="87">
        <f>VLOOKUP($B26,'2021 Forestry Product'!$Q$4:$R$40,2,FALSE)</f>
        <v>-421.50749457864339</v>
      </c>
      <c r="J26" s="92">
        <f t="shared" si="0"/>
        <v>-10649.352479078532</v>
      </c>
    </row>
    <row r="27" spans="1:10">
      <c r="A27" s="14" t="s">
        <v>567</v>
      </c>
      <c r="B27" s="18" t="s">
        <v>568</v>
      </c>
      <c r="C27" s="87">
        <f>VLOOKUP($B27,'2019 Forestry Stock'!$K$5:$L$36,2,FALSE)</f>
        <v>-2009.7151610676765</v>
      </c>
      <c r="D27" s="87">
        <f>VLOOKUP($B27,'2019 Land Use and Emission'!$N$6:$S$37,2,FALSE)</f>
        <v>-127.1692551458611</v>
      </c>
      <c r="E27" s="87">
        <f>VLOOKUP($B27,'2019 Land Use and Emission'!$N$6:$S$37,3,FALSE)</f>
        <v>-7.1729578447794538</v>
      </c>
      <c r="F27" s="87">
        <f>VLOOKUP($B27,'2019 Land Use and Emission'!$N$6:$S$37,4,FALSE)</f>
        <v>-0.79595771457337017</v>
      </c>
      <c r="G27" s="87">
        <f>VLOOKUP($B27,'2019 Land Use and Emission'!$N$6:$S$37,5,FALSE)</f>
        <v>7.4989390276658607</v>
      </c>
      <c r="H27" s="87">
        <f>VLOOKUP($B27,'2019 Land Use and Emission'!$N$6:$S$37,6,FALSE)</f>
        <v>0</v>
      </c>
      <c r="I27" s="87">
        <f>VLOOKUP($B27,'2021 Forestry Product'!$Q$4:$R$40,2,FALSE)</f>
        <v>-576.6456696666163</v>
      </c>
      <c r="J27" s="92">
        <f t="shared" si="0"/>
        <v>-2714.0000624118406</v>
      </c>
    </row>
    <row r="28" spans="1:10">
      <c r="A28" s="14" t="s">
        <v>575</v>
      </c>
      <c r="B28" s="18" t="s">
        <v>576</v>
      </c>
      <c r="C28" s="87">
        <f>VLOOKUP($B28,'2019 Forestry Stock'!$K$5:$L$36,2,FALSE)</f>
        <v>-10117.886869240167</v>
      </c>
      <c r="D28" s="87">
        <f>VLOOKUP($B28,'2019 Land Use and Emission'!$N$6:$S$37,2,FALSE)</f>
        <v>-197.58731674811193</v>
      </c>
      <c r="E28" s="87">
        <f>VLOOKUP($B28,'2019 Land Use and Emission'!$N$6:$S$37,3,FALSE)</f>
        <v>-50.393552484645461</v>
      </c>
      <c r="F28" s="87">
        <f>VLOOKUP($B28,'2019 Land Use and Emission'!$N$6:$S$37,4,FALSE)</f>
        <v>-4.4618474704253703</v>
      </c>
      <c r="G28" s="87">
        <f>VLOOKUP($B28,'2019 Land Use and Emission'!$N$6:$S$37,5,FALSE)</f>
        <v>10.873631479989255</v>
      </c>
      <c r="H28" s="87">
        <f>VLOOKUP($B28,'2019 Land Use and Emission'!$N$6:$S$37,6,FALSE)</f>
        <v>0</v>
      </c>
      <c r="I28" s="87">
        <f>VLOOKUP($B28,'2021 Forestry Product'!$Q$4:$R$40,2,FALSE)</f>
        <v>-1031.8152211039708</v>
      </c>
      <c r="J28" s="92">
        <f t="shared" si="0"/>
        <v>-11391.27117556733</v>
      </c>
    </row>
    <row r="29" spans="1:10">
      <c r="A29" s="14" t="s">
        <v>583</v>
      </c>
      <c r="B29" s="18" t="s">
        <v>584</v>
      </c>
      <c r="C29" s="87">
        <f>VLOOKUP($B29,'2019 Forestry Stock'!$K$5:$L$36,2,FALSE)</f>
        <v>-11707.310292365013</v>
      </c>
      <c r="D29" s="87">
        <f>VLOOKUP($B29,'2019 Land Use and Emission'!$N$6:$S$37,2,FALSE)</f>
        <v>-16.190038501406782</v>
      </c>
      <c r="E29" s="87">
        <f>VLOOKUP($B29,'2019 Land Use and Emission'!$N$6:$S$37,3,FALSE)</f>
        <v>-3049.9355806811836</v>
      </c>
      <c r="F29" s="87">
        <f>VLOOKUP($B29,'2019 Land Use and Emission'!$N$6:$S$37,4,FALSE)</f>
        <v>-482.33916435942609</v>
      </c>
      <c r="G29" s="87">
        <f>VLOOKUP($B29,'2019 Land Use and Emission'!$N$6:$S$37,5,FALSE)</f>
        <v>2.235071179156594</v>
      </c>
      <c r="H29" s="87">
        <f>VLOOKUP($B29,'2019 Land Use and Emission'!$N$6:$S$37,6,FALSE)</f>
        <v>0</v>
      </c>
      <c r="I29" s="87">
        <f>VLOOKUP($B29,'2021 Forestry Product'!$Q$4:$R$40,2,FALSE)</f>
        <v>-1.4635676895091785</v>
      </c>
      <c r="J29" s="92">
        <f t="shared" si="0"/>
        <v>-15255.003572417381</v>
      </c>
    </row>
    <row r="30" spans="1:10">
      <c r="A30" s="14" t="s">
        <v>591</v>
      </c>
      <c r="B30" s="18" t="s">
        <v>592</v>
      </c>
      <c r="C30" s="87">
        <f>VLOOKUP($B30,'2019 Forestry Stock'!$K$5:$L$36,2,FALSE)</f>
        <v>-2455.1126307720497</v>
      </c>
      <c r="D30" s="87">
        <f>VLOOKUP($B30,'2019 Land Use and Emission'!$N$6:$S$37,2,FALSE)</f>
        <v>-107.45629942247891</v>
      </c>
      <c r="E30" s="87">
        <f>VLOOKUP($B30,'2019 Land Use and Emission'!$N$6:$S$37,3,FALSE)</f>
        <v>-84.197497208263556</v>
      </c>
      <c r="F30" s="87">
        <f>VLOOKUP($B30,'2019 Land Use and Emission'!$N$6:$S$37,4,FALSE)</f>
        <v>-5.4595972816511456</v>
      </c>
      <c r="G30" s="87">
        <f>VLOOKUP($B30,'2019 Land Use and Emission'!$N$6:$S$37,5,FALSE)</f>
        <v>8.29334407735697</v>
      </c>
      <c r="H30" s="87">
        <f>VLOOKUP($B30,'2019 Land Use and Emission'!$N$6:$S$37,6,FALSE)</f>
        <v>0</v>
      </c>
      <c r="I30" s="87">
        <f>VLOOKUP($B30,'2021 Forestry Product'!$Q$4:$R$40,2,FALSE)</f>
        <v>-17.562812274110144</v>
      </c>
      <c r="J30" s="92">
        <f t="shared" si="0"/>
        <v>-2661.4954928811962</v>
      </c>
    </row>
    <row r="31" spans="1:10">
      <c r="A31" s="14" t="s">
        <v>599</v>
      </c>
      <c r="B31" s="18" t="s">
        <v>600</v>
      </c>
      <c r="C31" s="87">
        <f>VLOOKUP($B31,'2019 Forestry Stock'!$K$5:$L$36,2,FALSE)</f>
        <v>-1291.953738071097</v>
      </c>
      <c r="D31" s="87">
        <f>VLOOKUP($B31,'2019 Land Use and Emission'!$N$6:$S$37,2,FALSE)</f>
        <v>-190.7758551754776</v>
      </c>
      <c r="E31" s="87">
        <f>VLOOKUP($B31,'2019 Land Use and Emission'!$N$6:$S$37,3,FALSE)</f>
        <v>-545.00385120044666</v>
      </c>
      <c r="F31" s="87">
        <f>VLOOKUP($B31,'2019 Land Use and Emission'!$N$6:$S$37,4,FALSE)</f>
        <v>-132.91372766171656</v>
      </c>
      <c r="G31" s="87">
        <f>VLOOKUP($B31,'2019 Land Use and Emission'!$N$6:$S$37,5,FALSE)</f>
        <v>8.044625302175664</v>
      </c>
      <c r="H31" s="87">
        <f>VLOOKUP($B31,'2019 Land Use and Emission'!$N$6:$S$37,6,FALSE)</f>
        <v>0</v>
      </c>
      <c r="I31" s="87">
        <f>VLOOKUP($B31,'2021 Forestry Product'!$Q$4:$R$40,2,FALSE)</f>
        <v>-5.8542707580367139</v>
      </c>
      <c r="J31" s="92">
        <f t="shared" si="0"/>
        <v>-2158.4568175645991</v>
      </c>
    </row>
    <row r="32" spans="1:10">
      <c r="A32" s="14" t="s">
        <v>607</v>
      </c>
      <c r="B32" s="18" t="s">
        <v>608</v>
      </c>
      <c r="C32" s="87">
        <f>VLOOKUP($B32,'2019 Forestry Stock'!$K$5:$L$36,2,FALSE)</f>
        <v>-249.48526016980207</v>
      </c>
      <c r="D32" s="87">
        <f>VLOOKUP($B32,'2019 Land Use and Emission'!$N$6:$S$37,2,FALSE)</f>
        <v>-20.661433436990968</v>
      </c>
      <c r="E32" s="87">
        <f>VLOOKUP($B32,'2019 Land Use and Emission'!$N$6:$S$37,3,FALSE)</f>
        <v>-1503.5708151870465</v>
      </c>
      <c r="F32" s="87">
        <f>VLOOKUP($B32,'2019 Land Use and Emission'!$N$6:$S$37,4,FALSE)</f>
        <v>-571.87880191291219</v>
      </c>
      <c r="G32" s="87">
        <f>VLOOKUP($B32,'2019 Land Use and Emission'!$N$6:$S$37,5,FALSE)</f>
        <v>3.4542009132420088</v>
      </c>
      <c r="H32" s="87">
        <f>VLOOKUP($B32,'2019 Land Use and Emission'!$N$6:$S$37,6,FALSE)</f>
        <v>0</v>
      </c>
      <c r="I32" s="87" t="str">
        <f>VLOOKUP($B32,'2021 Forestry Product'!$Q$4:$R$40,2,FALSE)</f>
        <v/>
      </c>
      <c r="J32" s="92">
        <f t="shared" si="0"/>
        <v>-2342.1421097935099</v>
      </c>
    </row>
    <row r="33" spans="1:10">
      <c r="A33" s="14" t="s">
        <v>614</v>
      </c>
      <c r="B33" s="18" t="s">
        <v>615</v>
      </c>
      <c r="C33" s="87">
        <f>VLOOKUP($B33,'2019 Forestry Stock'!$K$5:$L$36,2,FALSE)</f>
        <v>-42.836898448570729</v>
      </c>
      <c r="D33" s="87">
        <f>VLOOKUP($B33,'2019 Land Use and Emission'!$N$6:$S$37,2,FALSE)</f>
        <v>-43.776457870576046</v>
      </c>
      <c r="E33" s="87">
        <f>VLOOKUP($B33,'2019 Land Use and Emission'!$N$6:$S$37,3,FALSE)</f>
        <v>-77.367378559463987</v>
      </c>
      <c r="F33" s="87">
        <f>VLOOKUP($B33,'2019 Land Use and Emission'!$N$6:$S$37,4,FALSE)</f>
        <v>-2.7914573370249181</v>
      </c>
      <c r="G33" s="87">
        <f>VLOOKUP($B33,'2019 Land Use and Emission'!$N$6:$S$37,5,FALSE)</f>
        <v>2.6577571850658073</v>
      </c>
      <c r="H33" s="87">
        <f>VLOOKUP($B33,'2019 Land Use and Emission'!$N$6:$S$37,6,FALSE)</f>
        <v>0</v>
      </c>
      <c r="I33" s="87" t="str">
        <f>VLOOKUP($B33,'2021 Forestry Product'!$Q$4:$R$40,2,FALSE)</f>
        <v/>
      </c>
      <c r="J33" s="92">
        <f t="shared" si="0"/>
        <v>-164.11443503056987</v>
      </c>
    </row>
    <row r="34" spans="1:10">
      <c r="A34" s="14" t="s">
        <v>622</v>
      </c>
      <c r="B34" s="18" t="s">
        <v>623</v>
      </c>
      <c r="C34" s="87">
        <f>VLOOKUP($B34,'2019 Forestry Stock'!$K$5:$L$36,2,FALSE)</f>
        <v>-2011.694978927437</v>
      </c>
      <c r="D34" s="87">
        <f>VLOOKUP($B34,'2019 Land Use and Emission'!$N$6:$S$37,2,FALSE)</f>
        <v>-257.7588893824967</v>
      </c>
      <c r="E34" s="87">
        <f>VLOOKUP($B34,'2019 Land Use and Emission'!$N$6:$S$37,3,FALSE)</f>
        <v>-1980.3153824678952</v>
      </c>
      <c r="F34" s="87">
        <f>VLOOKUP($B34,'2019 Land Use and Emission'!$N$6:$S$37,4,FALSE)</f>
        <v>-170.90669519254971</v>
      </c>
      <c r="G34" s="87">
        <f>VLOOKUP($B34,'2019 Land Use and Emission'!$N$6:$S$37,5,FALSE)</f>
        <v>13.4002336825141</v>
      </c>
      <c r="H34" s="87">
        <f>VLOOKUP($B34,'2019 Land Use and Emission'!$N$6:$S$37,6,FALSE)</f>
        <v>0</v>
      </c>
      <c r="I34" s="87">
        <f>VLOOKUP($B34,'2021 Forestry Product'!$Q$4:$R$40,2,FALSE)</f>
        <v>-106.84044133417002</v>
      </c>
      <c r="J34" s="92">
        <f t="shared" si="0"/>
        <v>-4514.1161536220343</v>
      </c>
    </row>
  </sheetData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="116" zoomScaleNormal="116" workbookViewId="0">
      <selection activeCell="D32" sqref="D32"/>
    </sheetView>
  </sheetViews>
  <sheetFormatPr defaultColWidth="9.25" defaultRowHeight="13.5"/>
  <cols>
    <col min="1" max="1" width="14.625" customWidth="1"/>
  </cols>
  <sheetData>
    <row r="1" spans="1:2">
      <c r="A1" s="29"/>
      <c r="B1" s="30" t="s">
        <v>322</v>
      </c>
    </row>
    <row r="2" spans="1:2">
      <c r="A2" s="29" t="s">
        <v>323</v>
      </c>
      <c r="B2" s="29">
        <v>0</v>
      </c>
    </row>
    <row r="3" spans="1:2">
      <c r="A3" s="29" t="s">
        <v>324</v>
      </c>
      <c r="B3" s="29">
        <v>0</v>
      </c>
    </row>
    <row r="4" spans="1:2">
      <c r="A4" s="29" t="s">
        <v>325</v>
      </c>
      <c r="B4" s="29">
        <v>0</v>
      </c>
    </row>
    <row r="5" spans="1:2">
      <c r="A5" s="29" t="s">
        <v>326</v>
      </c>
      <c r="B5" s="29">
        <v>0</v>
      </c>
    </row>
    <row r="6" spans="1:2">
      <c r="A6" s="29" t="s">
        <v>327</v>
      </c>
      <c r="B6" s="29">
        <v>0</v>
      </c>
    </row>
    <row r="7" spans="1:2">
      <c r="A7" s="29" t="s">
        <v>328</v>
      </c>
      <c r="B7" s="29">
        <v>0</v>
      </c>
    </row>
    <row r="8" spans="1:2">
      <c r="A8" s="29" t="s">
        <v>329</v>
      </c>
      <c r="B8" s="29">
        <v>0</v>
      </c>
    </row>
    <row r="9" spans="1:2">
      <c r="A9" s="29" t="s">
        <v>330</v>
      </c>
      <c r="B9" s="29">
        <v>0</v>
      </c>
    </row>
    <row r="10" spans="1:2">
      <c r="A10" s="29" t="s">
        <v>331</v>
      </c>
      <c r="B10" s="29">
        <v>0</v>
      </c>
    </row>
    <row r="11" spans="1:2">
      <c r="A11" s="29" t="s">
        <v>332</v>
      </c>
      <c r="B11" s="31">
        <v>6.6417418588509802E-4</v>
      </c>
    </row>
    <row r="12" spans="1:2">
      <c r="A12" s="29" t="s">
        <v>333</v>
      </c>
      <c r="B12" s="31">
        <v>3.8529345186784297E-5</v>
      </c>
    </row>
    <row r="13" spans="1:2">
      <c r="A13" s="29" t="s">
        <v>334</v>
      </c>
      <c r="B13" s="29">
        <v>0</v>
      </c>
    </row>
  </sheetData>
  <phoneticPr fontId="1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D2C9-C6F9-46A1-AA1B-BDD35E2A322D}">
  <dimension ref="A1:AP29"/>
  <sheetViews>
    <sheetView workbookViewId="0">
      <selection activeCell="C27" sqref="C27"/>
    </sheetView>
  </sheetViews>
  <sheetFormatPr defaultRowHeight="13.5"/>
  <cols>
    <col min="1" max="1" width="57.125" bestFit="1" customWidth="1"/>
    <col min="2" max="3" width="15.625" customWidth="1"/>
    <col min="4" max="42" width="10.5" bestFit="1" customWidth="1"/>
  </cols>
  <sheetData>
    <row r="1" spans="1:42">
      <c r="A1" t="s">
        <v>826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827</v>
      </c>
      <c r="B2" s="135">
        <v>-7077360000000</v>
      </c>
      <c r="C2" s="135">
        <v>-7514470000000</v>
      </c>
      <c r="D2" s="135">
        <v>-9145610000000</v>
      </c>
      <c r="E2" s="135">
        <v>-11647600000000</v>
      </c>
      <c r="F2" s="135">
        <v>-13778800000000</v>
      </c>
      <c r="G2" s="135">
        <v>-15434100000000</v>
      </c>
      <c r="H2" s="135">
        <v>-17089300000000</v>
      </c>
      <c r="I2" s="135">
        <v>-18744500000000</v>
      </c>
      <c r="J2" s="135">
        <v>-20399700000000</v>
      </c>
      <c r="K2" s="135">
        <v>-22055000000000</v>
      </c>
      <c r="L2" s="135">
        <v>-23710200000000</v>
      </c>
      <c r="M2" s="135">
        <v>-25365400000000</v>
      </c>
      <c r="N2" s="135">
        <v>-27020600000000</v>
      </c>
      <c r="O2" s="135">
        <v>-28675900000000</v>
      </c>
      <c r="P2" s="135">
        <v>-30331100000000</v>
      </c>
      <c r="Q2" s="135">
        <v>-31986300000000</v>
      </c>
      <c r="R2" s="135">
        <v>-33641500000000</v>
      </c>
      <c r="S2" s="135">
        <v>-35296700000000</v>
      </c>
      <c r="T2" s="135">
        <v>-36952000000000</v>
      </c>
      <c r="U2" s="135">
        <v>-38607200000000</v>
      </c>
      <c r="V2" s="135">
        <v>-40262400000000</v>
      </c>
      <c r="W2" s="135">
        <v>-41917600000000</v>
      </c>
      <c r="X2" s="135">
        <v>-43572900000000</v>
      </c>
      <c r="Y2" s="135">
        <v>-45228100000000</v>
      </c>
      <c r="Z2" s="135">
        <v>-46883300000000</v>
      </c>
      <c r="AA2" s="135">
        <v>-48538500000000</v>
      </c>
      <c r="AB2" s="135">
        <v>-50193800000000</v>
      </c>
      <c r="AC2" s="135">
        <v>-51849000000000</v>
      </c>
      <c r="AD2" s="135">
        <v>-53504200000000</v>
      </c>
      <c r="AE2" s="135">
        <v>-55159400000000</v>
      </c>
      <c r="AF2" s="135">
        <v>-56814600000000</v>
      </c>
      <c r="AG2" s="135">
        <v>-58469900000000</v>
      </c>
      <c r="AH2" s="135">
        <v>-60125100000000</v>
      </c>
      <c r="AI2" s="135">
        <v>-61780300000000</v>
      </c>
      <c r="AJ2" s="135">
        <v>-63435500000000</v>
      </c>
      <c r="AK2" s="135">
        <v>-65090800000000</v>
      </c>
      <c r="AL2" s="135">
        <v>-66746000000000</v>
      </c>
      <c r="AM2" s="135">
        <v>-68401200000000</v>
      </c>
      <c r="AN2" s="135">
        <v>-70056400000000</v>
      </c>
      <c r="AO2" s="135">
        <v>-71711700000000</v>
      </c>
      <c r="AP2" s="135">
        <v>-73366900000000</v>
      </c>
    </row>
    <row r="3" spans="1:42">
      <c r="A3" t="s">
        <v>828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829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830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831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832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833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834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835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836</v>
      </c>
      <c r="B11" s="135">
        <v>4699360000</v>
      </c>
      <c r="C11" s="135">
        <v>4989600000</v>
      </c>
      <c r="D11" s="135">
        <v>6072690000</v>
      </c>
      <c r="E11" s="135">
        <v>7734000000</v>
      </c>
      <c r="F11" s="135">
        <v>9149150000</v>
      </c>
      <c r="G11" s="135">
        <v>10248200000</v>
      </c>
      <c r="H11" s="135">
        <v>11347300000</v>
      </c>
      <c r="I11" s="135">
        <v>12446400000</v>
      </c>
      <c r="J11" s="135">
        <v>13545400000</v>
      </c>
      <c r="K11" s="135">
        <v>14644500000</v>
      </c>
      <c r="L11" s="135">
        <v>15743600000</v>
      </c>
      <c r="M11" s="135">
        <v>16842600000</v>
      </c>
      <c r="N11" s="135">
        <v>17941700000</v>
      </c>
      <c r="O11" s="135">
        <v>19040800000</v>
      </c>
      <c r="P11" s="135">
        <v>20139800000</v>
      </c>
      <c r="Q11" s="135">
        <v>21238900000</v>
      </c>
      <c r="R11" s="135">
        <v>22338000000</v>
      </c>
      <c r="S11" s="135">
        <v>23437000000</v>
      </c>
      <c r="T11" s="135">
        <v>24536100000</v>
      </c>
      <c r="U11" s="135">
        <v>25635200000</v>
      </c>
      <c r="V11" s="135">
        <v>26734200000</v>
      </c>
      <c r="W11" s="135">
        <v>27833300000</v>
      </c>
      <c r="X11" s="135">
        <v>28932400000</v>
      </c>
      <c r="Y11" s="135">
        <v>30031400000</v>
      </c>
      <c r="Z11" s="135">
        <v>31130500000</v>
      </c>
      <c r="AA11" s="135">
        <v>32229600000</v>
      </c>
      <c r="AB11" s="135">
        <v>33328700000</v>
      </c>
      <c r="AC11" s="135">
        <v>34427700000</v>
      </c>
      <c r="AD11" s="135">
        <v>35526800000</v>
      </c>
      <c r="AE11" s="135">
        <v>36625900000</v>
      </c>
      <c r="AF11" s="135">
        <v>37724900000</v>
      </c>
      <c r="AG11" s="135">
        <v>38824000000</v>
      </c>
      <c r="AH11" s="135">
        <v>39923100000</v>
      </c>
      <c r="AI11" s="135">
        <v>41022100000</v>
      </c>
      <c r="AJ11" s="135">
        <v>42121200000</v>
      </c>
      <c r="AK11" s="135">
        <v>43220300000</v>
      </c>
      <c r="AL11" s="135">
        <v>44319300000</v>
      </c>
      <c r="AM11" s="135">
        <v>45418400000</v>
      </c>
      <c r="AN11" s="135">
        <v>46517500000</v>
      </c>
      <c r="AO11" s="135">
        <v>47616500000</v>
      </c>
      <c r="AP11" s="135">
        <v>48715600000</v>
      </c>
    </row>
    <row r="12" spans="1:42">
      <c r="A12" t="s">
        <v>837</v>
      </c>
      <c r="B12" s="135">
        <v>272478000</v>
      </c>
      <c r="C12" s="135">
        <v>289307000</v>
      </c>
      <c r="D12" s="135">
        <v>352106000</v>
      </c>
      <c r="E12" s="135">
        <v>448432000</v>
      </c>
      <c r="F12" s="135">
        <v>530485000</v>
      </c>
      <c r="G12" s="135">
        <v>594212000</v>
      </c>
      <c r="H12" s="135">
        <v>657938000</v>
      </c>
      <c r="I12" s="135">
        <v>721664000</v>
      </c>
      <c r="J12" s="135">
        <v>785390000</v>
      </c>
      <c r="K12" s="135">
        <v>849116000</v>
      </c>
      <c r="L12" s="135">
        <v>912842000</v>
      </c>
      <c r="M12" s="135">
        <v>976568000</v>
      </c>
      <c r="N12" s="135">
        <v>1040290000</v>
      </c>
      <c r="O12" s="135">
        <v>1104020000</v>
      </c>
      <c r="P12" s="135">
        <v>1167750000</v>
      </c>
      <c r="Q12" s="135">
        <v>1231470000</v>
      </c>
      <c r="R12" s="135">
        <v>1295200000</v>
      </c>
      <c r="S12" s="135">
        <v>1358920000</v>
      </c>
      <c r="T12" s="135">
        <v>1422650000</v>
      </c>
      <c r="U12" s="135">
        <v>1486380000</v>
      </c>
      <c r="V12" s="135">
        <v>1550100000</v>
      </c>
      <c r="W12" s="135">
        <v>1613830000</v>
      </c>
      <c r="X12" s="135">
        <v>1677560000</v>
      </c>
      <c r="Y12" s="135">
        <v>1741280000</v>
      </c>
      <c r="Z12" s="135">
        <v>1805010000</v>
      </c>
      <c r="AA12" s="135">
        <v>1868730000</v>
      </c>
      <c r="AB12" s="135">
        <v>1932460000</v>
      </c>
      <c r="AC12" s="135">
        <v>1996190000</v>
      </c>
      <c r="AD12" s="135">
        <v>2059910000</v>
      </c>
      <c r="AE12" s="135">
        <v>2123640000</v>
      </c>
      <c r="AF12" s="135">
        <v>2187360000</v>
      </c>
      <c r="AG12" s="135">
        <v>2251090000</v>
      </c>
      <c r="AH12" s="135">
        <v>2314820000</v>
      </c>
      <c r="AI12" s="135">
        <v>2378540000</v>
      </c>
      <c r="AJ12" s="135">
        <v>2442270000</v>
      </c>
      <c r="AK12" s="135">
        <v>2505990000</v>
      </c>
      <c r="AL12" s="135">
        <v>2569720000</v>
      </c>
      <c r="AM12" s="135">
        <v>2633450000</v>
      </c>
      <c r="AN12" s="135">
        <v>2697170000</v>
      </c>
      <c r="AO12" s="135">
        <v>2760900000</v>
      </c>
      <c r="AP12" s="135">
        <v>2824620000</v>
      </c>
    </row>
    <row r="13" spans="1:42">
      <c r="A13" t="s">
        <v>838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7" spans="1:3">
      <c r="A17" s="29" t="s">
        <v>335</v>
      </c>
      <c r="B17">
        <v>2020</v>
      </c>
      <c r="C17">
        <v>2021</v>
      </c>
    </row>
    <row r="18" spans="1:3">
      <c r="A18" s="29" t="s">
        <v>336</v>
      </c>
      <c r="B18">
        <f>温室气体排放清单!N9*10^10</f>
        <v>-1342629000000000</v>
      </c>
      <c r="C18">
        <f>温室气体排放清单!Q9*10^10</f>
        <v>-1346499000000000</v>
      </c>
    </row>
    <row r="19" spans="1:3">
      <c r="A19" s="29" t="s">
        <v>337</v>
      </c>
      <c r="B19">
        <v>0</v>
      </c>
      <c r="C19">
        <v>0</v>
      </c>
    </row>
    <row r="20" spans="1:3">
      <c r="A20" s="29" t="s">
        <v>338</v>
      </c>
      <c r="B20">
        <v>0</v>
      </c>
      <c r="C20">
        <v>0</v>
      </c>
    </row>
    <row r="21" spans="1:3">
      <c r="A21" s="29" t="s">
        <v>339</v>
      </c>
      <c r="B21">
        <v>0</v>
      </c>
      <c r="C21">
        <v>0</v>
      </c>
    </row>
    <row r="22" spans="1:3">
      <c r="A22" s="29" t="s">
        <v>340</v>
      </c>
      <c r="B22">
        <v>0</v>
      </c>
      <c r="C22">
        <v>0</v>
      </c>
    </row>
    <row r="23" spans="1:3">
      <c r="A23" s="29" t="s">
        <v>341</v>
      </c>
      <c r="B23">
        <v>0</v>
      </c>
      <c r="C23">
        <v>0</v>
      </c>
    </row>
    <row r="24" spans="1:3">
      <c r="A24" s="29" t="s">
        <v>342</v>
      </c>
      <c r="B24">
        <v>0</v>
      </c>
      <c r="C24">
        <v>0</v>
      </c>
    </row>
    <row r="25" spans="1:3">
      <c r="A25" s="29" t="s">
        <v>343</v>
      </c>
      <c r="B25">
        <v>0</v>
      </c>
      <c r="C25">
        <v>0</v>
      </c>
    </row>
    <row r="26" spans="1:3">
      <c r="A26" s="29" t="s">
        <v>344</v>
      </c>
      <c r="B26">
        <v>0</v>
      </c>
      <c r="C26">
        <v>0</v>
      </c>
    </row>
    <row r="27" spans="1:3">
      <c r="A27" s="29" t="s">
        <v>345</v>
      </c>
      <c r="B27">
        <f>温室气体排放清单!O9*10^10</f>
        <v>1398000000000</v>
      </c>
      <c r="C27">
        <f>温室气体排放清单!R9*10^10</f>
        <v>1110000000000</v>
      </c>
    </row>
    <row r="28" spans="1:3">
      <c r="A28" s="29" t="s">
        <v>346</v>
      </c>
      <c r="B28">
        <v>0</v>
      </c>
      <c r="C28">
        <v>0</v>
      </c>
    </row>
    <row r="29" spans="1:3">
      <c r="A29" s="29" t="s">
        <v>347</v>
      </c>
      <c r="B29">
        <v>0</v>
      </c>
      <c r="C29">
        <v>0</v>
      </c>
    </row>
  </sheetData>
  <phoneticPr fontId="3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P13"/>
  <sheetViews>
    <sheetView tabSelected="1" zoomScale="94" zoomScaleNormal="94" workbookViewId="0">
      <selection activeCell="J26" sqref="J26"/>
    </sheetView>
  </sheetViews>
  <sheetFormatPr defaultColWidth="9.25" defaultRowHeight="13.5"/>
  <cols>
    <col min="2" max="2" width="13.875" bestFit="1" customWidth="1"/>
    <col min="3" max="42" width="14.125"/>
  </cols>
  <sheetData>
    <row r="1" spans="1:42">
      <c r="A1" s="29" t="s">
        <v>335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s="29" t="s">
        <v>336</v>
      </c>
      <c r="B2" s="135">
        <f>'Policy Action'!B18-'Policy Action'!B2</f>
        <v>-1335551640000000</v>
      </c>
      <c r="C2" s="135">
        <f>'Policy Action'!C18-'Policy Action'!C2</f>
        <v>-1338984530000000</v>
      </c>
      <c r="D2">
        <f>C2</f>
        <v>-1338984530000000</v>
      </c>
      <c r="E2">
        <f t="shared" ref="E2:AP2" si="0">D2</f>
        <v>-1338984530000000</v>
      </c>
      <c r="F2">
        <f t="shared" si="0"/>
        <v>-1338984530000000</v>
      </c>
      <c r="G2">
        <f t="shared" si="0"/>
        <v>-1338984530000000</v>
      </c>
      <c r="H2">
        <f t="shared" si="0"/>
        <v>-1338984530000000</v>
      </c>
      <c r="I2">
        <f t="shared" si="0"/>
        <v>-1338984530000000</v>
      </c>
      <c r="J2">
        <f t="shared" si="0"/>
        <v>-1338984530000000</v>
      </c>
      <c r="K2">
        <f t="shared" si="0"/>
        <v>-1338984530000000</v>
      </c>
      <c r="L2">
        <f t="shared" si="0"/>
        <v>-1338984530000000</v>
      </c>
      <c r="M2">
        <f t="shared" si="0"/>
        <v>-1338984530000000</v>
      </c>
      <c r="N2">
        <f t="shared" si="0"/>
        <v>-1338984530000000</v>
      </c>
      <c r="O2">
        <f t="shared" si="0"/>
        <v>-1338984530000000</v>
      </c>
      <c r="P2">
        <f t="shared" si="0"/>
        <v>-1338984530000000</v>
      </c>
      <c r="Q2">
        <f t="shared" si="0"/>
        <v>-1338984530000000</v>
      </c>
      <c r="R2">
        <f t="shared" si="0"/>
        <v>-1338984530000000</v>
      </c>
      <c r="S2">
        <f t="shared" si="0"/>
        <v>-1338984530000000</v>
      </c>
      <c r="T2">
        <f t="shared" si="0"/>
        <v>-1338984530000000</v>
      </c>
      <c r="U2">
        <f t="shared" si="0"/>
        <v>-1338984530000000</v>
      </c>
      <c r="V2">
        <f t="shared" si="0"/>
        <v>-1338984530000000</v>
      </c>
      <c r="W2">
        <f t="shared" si="0"/>
        <v>-1338984530000000</v>
      </c>
      <c r="X2">
        <f t="shared" si="0"/>
        <v>-1338984530000000</v>
      </c>
      <c r="Y2">
        <f t="shared" si="0"/>
        <v>-1338984530000000</v>
      </c>
      <c r="Z2">
        <f t="shared" si="0"/>
        <v>-1338984530000000</v>
      </c>
      <c r="AA2">
        <f t="shared" si="0"/>
        <v>-1338984530000000</v>
      </c>
      <c r="AB2">
        <f t="shared" si="0"/>
        <v>-1338984530000000</v>
      </c>
      <c r="AC2">
        <f t="shared" si="0"/>
        <v>-1338984530000000</v>
      </c>
      <c r="AD2">
        <f t="shared" si="0"/>
        <v>-1338984530000000</v>
      </c>
      <c r="AE2">
        <f t="shared" si="0"/>
        <v>-1338984530000000</v>
      </c>
      <c r="AF2">
        <f t="shared" si="0"/>
        <v>-1338984530000000</v>
      </c>
      <c r="AG2">
        <f t="shared" si="0"/>
        <v>-1338984530000000</v>
      </c>
      <c r="AH2">
        <f t="shared" si="0"/>
        <v>-1338984530000000</v>
      </c>
      <c r="AI2">
        <f t="shared" si="0"/>
        <v>-1338984530000000</v>
      </c>
      <c r="AJ2">
        <f t="shared" si="0"/>
        <v>-1338984530000000</v>
      </c>
      <c r="AK2">
        <f t="shared" si="0"/>
        <v>-1338984530000000</v>
      </c>
      <c r="AL2">
        <f t="shared" si="0"/>
        <v>-1338984530000000</v>
      </c>
      <c r="AM2">
        <f t="shared" si="0"/>
        <v>-1338984530000000</v>
      </c>
      <c r="AN2">
        <f t="shared" si="0"/>
        <v>-1338984530000000</v>
      </c>
      <c r="AO2">
        <f t="shared" si="0"/>
        <v>-1338984530000000</v>
      </c>
      <c r="AP2">
        <f t="shared" si="0"/>
        <v>-1338984530000000</v>
      </c>
    </row>
    <row r="3" spans="1:42">
      <c r="A3" s="29" t="s">
        <v>337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29" t="s">
        <v>338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29" t="s">
        <v>339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29" t="s">
        <v>340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29" t="s">
        <v>341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29" t="s">
        <v>342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29" t="s">
        <v>343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29" t="s">
        <v>344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29" t="s">
        <v>345</v>
      </c>
      <c r="B11" s="135">
        <f>'Policy Action'!B27-'Policy Action'!B2</f>
        <v>8475360000000</v>
      </c>
      <c r="C11" s="135">
        <f>'Policy Action'!C27-'Policy Action'!C2</f>
        <v>8624470000000</v>
      </c>
      <c r="D11">
        <f>C11</f>
        <v>8624470000000</v>
      </c>
      <c r="E11">
        <f t="shared" ref="E11:AP11" si="1">D11</f>
        <v>8624470000000</v>
      </c>
      <c r="F11">
        <f t="shared" si="1"/>
        <v>8624470000000</v>
      </c>
      <c r="G11">
        <f t="shared" si="1"/>
        <v>8624470000000</v>
      </c>
      <c r="H11">
        <f t="shared" si="1"/>
        <v>8624470000000</v>
      </c>
      <c r="I11">
        <f t="shared" si="1"/>
        <v>8624470000000</v>
      </c>
      <c r="J11">
        <f t="shared" si="1"/>
        <v>8624470000000</v>
      </c>
      <c r="K11">
        <f t="shared" si="1"/>
        <v>8624470000000</v>
      </c>
      <c r="L11">
        <f t="shared" si="1"/>
        <v>8624470000000</v>
      </c>
      <c r="M11">
        <f t="shared" si="1"/>
        <v>8624470000000</v>
      </c>
      <c r="N11">
        <f t="shared" si="1"/>
        <v>8624470000000</v>
      </c>
      <c r="O11">
        <f t="shared" si="1"/>
        <v>8624470000000</v>
      </c>
      <c r="P11">
        <f t="shared" si="1"/>
        <v>8624470000000</v>
      </c>
      <c r="Q11">
        <f t="shared" si="1"/>
        <v>8624470000000</v>
      </c>
      <c r="R11">
        <f t="shared" si="1"/>
        <v>8624470000000</v>
      </c>
      <c r="S11">
        <f t="shared" si="1"/>
        <v>8624470000000</v>
      </c>
      <c r="T11">
        <f t="shared" si="1"/>
        <v>8624470000000</v>
      </c>
      <c r="U11">
        <f t="shared" si="1"/>
        <v>8624470000000</v>
      </c>
      <c r="V11">
        <f t="shared" si="1"/>
        <v>8624470000000</v>
      </c>
      <c r="W11">
        <f t="shared" si="1"/>
        <v>8624470000000</v>
      </c>
      <c r="X11">
        <f t="shared" si="1"/>
        <v>8624470000000</v>
      </c>
      <c r="Y11">
        <f t="shared" si="1"/>
        <v>8624470000000</v>
      </c>
      <c r="Z11">
        <f t="shared" si="1"/>
        <v>8624470000000</v>
      </c>
      <c r="AA11">
        <f t="shared" si="1"/>
        <v>8624470000000</v>
      </c>
      <c r="AB11">
        <f t="shared" si="1"/>
        <v>8624470000000</v>
      </c>
      <c r="AC11">
        <f t="shared" si="1"/>
        <v>8624470000000</v>
      </c>
      <c r="AD11">
        <f t="shared" si="1"/>
        <v>8624470000000</v>
      </c>
      <c r="AE11">
        <f t="shared" si="1"/>
        <v>8624470000000</v>
      </c>
      <c r="AF11">
        <f t="shared" si="1"/>
        <v>8624470000000</v>
      </c>
      <c r="AG11">
        <f t="shared" si="1"/>
        <v>8624470000000</v>
      </c>
      <c r="AH11">
        <f t="shared" si="1"/>
        <v>8624470000000</v>
      </c>
      <c r="AI11">
        <f t="shared" si="1"/>
        <v>8624470000000</v>
      </c>
      <c r="AJ11">
        <f t="shared" si="1"/>
        <v>8624470000000</v>
      </c>
      <c r="AK11">
        <f t="shared" si="1"/>
        <v>8624470000000</v>
      </c>
      <c r="AL11">
        <f t="shared" si="1"/>
        <v>8624470000000</v>
      </c>
      <c r="AM11">
        <f t="shared" si="1"/>
        <v>8624470000000</v>
      </c>
      <c r="AN11">
        <f t="shared" si="1"/>
        <v>8624470000000</v>
      </c>
      <c r="AO11">
        <f t="shared" si="1"/>
        <v>8624470000000</v>
      </c>
      <c r="AP11">
        <f t="shared" si="1"/>
        <v>8624470000000</v>
      </c>
    </row>
    <row r="12" spans="1:42">
      <c r="A12" s="29" t="s">
        <v>346</v>
      </c>
      <c r="B12">
        <v>0</v>
      </c>
      <c r="C12">
        <f>-'data from RPEPUACE'!B12*(C2-$B2)+B12</f>
        <v>132267003.79825994</v>
      </c>
      <c r="D12">
        <f>-'data from RPEPUACE'!C12*(D2-$B2)+C12</f>
        <v>132267003.79825994</v>
      </c>
      <c r="E12">
        <f>-'data from RPEPUACE'!D12*(E2-$B2)+D12</f>
        <v>132267003.79825994</v>
      </c>
      <c r="F12">
        <f>-'data from RPEPUACE'!E12*(F2-$B2)+E12</f>
        <v>132267003.79825994</v>
      </c>
      <c r="G12">
        <f>-'data from RPEPUACE'!F12*(G2-$B2)+F12</f>
        <v>132267003.79825994</v>
      </c>
      <c r="H12">
        <f>-'data from RPEPUACE'!G12*(H2-$B2)+G12</f>
        <v>132267003.79825994</v>
      </c>
      <c r="I12">
        <f>-'data from RPEPUACE'!H12*(I2-$B2)+H12</f>
        <v>132267003.79825994</v>
      </c>
      <c r="J12">
        <f>-'data from RPEPUACE'!I12*(J2-$B2)+I12</f>
        <v>132267003.79825994</v>
      </c>
      <c r="K12">
        <f>-'data from RPEPUACE'!J12*(K2-$B2)+J12</f>
        <v>132267003.79825994</v>
      </c>
      <c r="L12">
        <f>-'data from RPEPUACE'!K12*(L2-$B2)+K12</f>
        <v>132267003.79825994</v>
      </c>
      <c r="M12">
        <f>-'data from RPEPUACE'!L12*(M2-$B2)+L12</f>
        <v>132267003.79825994</v>
      </c>
      <c r="N12">
        <f>-'data from RPEPUACE'!M12*(N2-$B2)+M12</f>
        <v>132267003.79825994</v>
      </c>
      <c r="O12">
        <f>-'data from RPEPUACE'!N12*(O2-$B2)+N12</f>
        <v>132267003.79825994</v>
      </c>
      <c r="P12">
        <f>-'data from RPEPUACE'!O12*(P2-$B2)+O12</f>
        <v>132267003.79825994</v>
      </c>
      <c r="Q12">
        <f>-'data from RPEPUACE'!P12*(Q2-$B2)+P12</f>
        <v>132267003.79825994</v>
      </c>
      <c r="R12">
        <f>-'data from RPEPUACE'!Q12*(R2-$B2)+Q12</f>
        <v>132267003.79825994</v>
      </c>
      <c r="S12">
        <f>-'data from RPEPUACE'!R12*(S2-$B2)+R12</f>
        <v>132267003.79825994</v>
      </c>
      <c r="T12">
        <f>-'data from RPEPUACE'!S12*(T2-$B2)+S12</f>
        <v>132267003.79825994</v>
      </c>
      <c r="U12">
        <f>-'data from RPEPUACE'!T12*(U2-$B2)+T12</f>
        <v>132267003.79825994</v>
      </c>
      <c r="V12">
        <f>-'data from RPEPUACE'!U12*(V2-$B2)+U12</f>
        <v>132267003.79825994</v>
      </c>
      <c r="W12">
        <f>-'data from RPEPUACE'!V12*(W2-$B2)+V12</f>
        <v>132267003.79825994</v>
      </c>
      <c r="X12">
        <f>-'data from RPEPUACE'!W12*(X2-$B2)+W12</f>
        <v>132267003.79825994</v>
      </c>
      <c r="Y12">
        <f>-'data from RPEPUACE'!X12*(Y2-$B2)+X12</f>
        <v>132267003.79825994</v>
      </c>
      <c r="Z12">
        <f>-'data from RPEPUACE'!Y12*(Z2-$B2)+Y12</f>
        <v>132267003.79825994</v>
      </c>
      <c r="AA12">
        <f>-'data from RPEPUACE'!Z12*(AA2-$B2)+Z12</f>
        <v>132267003.79825994</v>
      </c>
      <c r="AB12">
        <f>-'data from RPEPUACE'!AA12*(AB2-$B2)+AA12</f>
        <v>132267003.79825994</v>
      </c>
      <c r="AC12">
        <f>-'data from RPEPUACE'!AB12*(AC2-$B2)+AB12</f>
        <v>132267003.79825994</v>
      </c>
      <c r="AD12">
        <f>-'data from RPEPUACE'!AC12*(AD2-$B2)+AC12</f>
        <v>132267003.79825994</v>
      </c>
      <c r="AE12">
        <f>-'data from RPEPUACE'!AD12*(AE2-$B2)+AD12</f>
        <v>132267003.79825994</v>
      </c>
      <c r="AF12">
        <f>-'data from RPEPUACE'!AE12*(AF2-$B2)+AE12</f>
        <v>132267003.79825994</v>
      </c>
      <c r="AG12">
        <f>-'data from RPEPUACE'!AF12*(AG2-$B2)+AF12</f>
        <v>132267003.79825994</v>
      </c>
      <c r="AH12">
        <f>-'data from RPEPUACE'!AG12*(AH2-$B2)+AG12</f>
        <v>132267003.79825994</v>
      </c>
      <c r="AI12">
        <f>-'data from RPEPUACE'!AH12*(AI2-$B2)+AH12</f>
        <v>132267003.79825994</v>
      </c>
      <c r="AJ12">
        <f>-'data from RPEPUACE'!AI12*(AJ2-$B2)+AI12</f>
        <v>132267003.79825994</v>
      </c>
      <c r="AK12">
        <f>-'data from RPEPUACE'!AJ12*(AK2-$B2)+AJ12</f>
        <v>132267003.79825994</v>
      </c>
      <c r="AL12">
        <f>-'data from RPEPUACE'!AK12*(AL2-$B2)+AK12</f>
        <v>132267003.79825994</v>
      </c>
      <c r="AM12">
        <f>-'data from RPEPUACE'!AL12*(AM2-$B2)+AL12</f>
        <v>132267003.79825994</v>
      </c>
      <c r="AN12">
        <f>-'data from RPEPUACE'!AM12*(AN2-$B2)+AM12</f>
        <v>132267003.79825994</v>
      </c>
      <c r="AO12">
        <f>-'data from RPEPUACE'!AN12*(AO2-$B2)+AN12</f>
        <v>132267003.79825994</v>
      </c>
      <c r="AP12">
        <f>-'data from RPEPUACE'!AO12*(AP2-$B2)+AO12</f>
        <v>132267003.79825994</v>
      </c>
    </row>
    <row r="13" spans="1:42">
      <c r="A13" s="29" t="s">
        <v>347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About</vt:lpstr>
      <vt:lpstr>2014 National LULUCF Inventory</vt:lpstr>
      <vt:lpstr>2009-2016 National Land Use</vt:lpstr>
      <vt:lpstr>2019 Land Use and Emission</vt:lpstr>
      <vt:lpstr>温室气体排放清单</vt:lpstr>
      <vt:lpstr>2019 Forestry Stock</vt:lpstr>
      <vt:lpstr>2021 Forestry Product</vt:lpstr>
      <vt:lpstr>2019 Regional CO2 LAPE</vt:lpstr>
      <vt:lpstr>data from RPEPUACE</vt:lpstr>
      <vt:lpstr>Policy Action</vt:lpstr>
      <vt:lpstr>BLAPE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guoning</dc:creator>
  <cp:lastModifiedBy>Rui Wang</cp:lastModifiedBy>
  <dcterms:created xsi:type="dcterms:W3CDTF">2023-04-10T11:58:06Z</dcterms:created>
  <dcterms:modified xsi:type="dcterms:W3CDTF">2026-05-11T02:40:31Z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A67982DF56A27FC952DF3464C612DDCF</vt:lpwstr>
  </property>
  <property fmtid="{D5CDD505-2E9C-101B-9397-08002B2CF9AE}" pid="3" name="KSOProductBuildVer">
    <vt:lpwstr>2052-5.1.1.7662</vt:lpwstr>
  </property>
</Properties>
</file>