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CSC\2021年\EI三期\EPS模型\第2轮更新\land\ICoLUPpUA\"/>
    </mc:Choice>
  </mc:AlternateContent>
  <xr:revisionPtr revIDLastSave="0" documentId="13_ncr:1_{A8AEC7CE-410A-4BDE-86FD-4DF51811DD3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About" sheetId="8" r:id="rId1"/>
    <sheet name="Impr Forest Mgmt" sheetId="4" r:id="rId2"/>
    <sheet name="Aff &amp; Ref" sheetId="7" r:id="rId3"/>
    <sheet name="ICoLUPpUA" sheetId="3" r:id="rId4"/>
  </sheets>
  <definedNames>
    <definedName name="C_to_CO2">44/12</definedName>
  </definedNames>
  <calcPr calcId="181029"/>
</workbook>
</file>

<file path=xl/calcChain.xml><?xml version="1.0" encoding="utf-8"?>
<calcChain xmlns="http://schemas.openxmlformats.org/spreadsheetml/2006/main">
  <c r="A10" i="7" l="1"/>
  <c r="I4" i="7"/>
  <c r="I5" i="7"/>
  <c r="I6" i="7"/>
  <c r="I7" i="7"/>
  <c r="I3" i="7"/>
  <c r="A7" i="4"/>
  <c r="E7" i="7" l="1"/>
  <c r="G7" i="7" s="1"/>
  <c r="G4" i="7"/>
  <c r="G5" i="7"/>
  <c r="G6" i="7"/>
  <c r="G3" i="7"/>
  <c r="A11" i="7" l="1"/>
  <c r="A13" i="7" s="1"/>
  <c r="B3" i="3" l="1"/>
  <c r="B4" i="3" l="1"/>
</calcChain>
</file>

<file path=xl/sharedStrings.xml><?xml version="1.0" encoding="utf-8"?>
<sst xmlns="http://schemas.openxmlformats.org/spreadsheetml/2006/main" count="39" uniqueCount="38">
  <si>
    <t>ICoLUPpUA Implementation Cost of Land Use Policies per Unit Area</t>
  </si>
  <si>
    <t>Sources: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</si>
  <si>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</si>
  <si>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</si>
  <si>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</si>
  <si>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</si>
  <si>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</si>
  <si>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</si>
  <si>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policy implementation cost ($ / acre)</t>
  </si>
  <si>
    <t>Average Difference in Costs</t>
  </si>
  <si>
    <t>2012$ / acre / yr</t>
  </si>
  <si>
    <t>2012$ / acre</t>
  </si>
  <si>
    <t>http://www.forestry.gov.cn/main/4861/content-918780.html</t>
  </si>
  <si>
    <t>The central government provides annual subsidies for forest tending: 100 RMB/mu</t>
  </si>
  <si>
    <t>54.75  USD/ Acre</t>
  </si>
  <si>
    <t>China Forestry and Grassland Statistical Yearbook 2018</t>
  </si>
  <si>
    <t xml:space="preserve">Notes: </t>
  </si>
  <si>
    <t xml:space="preserve">The costs of afforestation and reforestation are estimated based on annual investment on aff &amp; ref projects. </t>
  </si>
  <si>
    <t xml:space="preserve"> Average Tree Establishment Costs / land area</t>
  </si>
  <si>
    <t>costs (10,000 RMB)</t>
  </si>
  <si>
    <t>natural forest (天然林保护）</t>
  </si>
  <si>
    <t>convert farmland to forest （退耕还林）</t>
  </si>
  <si>
    <t>afforestation for forestry protection （防护林工程）</t>
  </si>
  <si>
    <t>Fighting desertification with reforestation （石漠化治理）</t>
  </si>
  <si>
    <t xml:space="preserve">land area (  hectaure) </t>
  </si>
  <si>
    <t>afforestation for sanstorm control （京津风沙源治理工程）</t>
  </si>
  <si>
    <t>AVEARGE COST</t>
  </si>
  <si>
    <t>10,000RMB/hectare</t>
  </si>
  <si>
    <t>2018 exchange rate (USD/RMB)</t>
  </si>
  <si>
    <t>2018 to 2012  constant price</t>
  </si>
  <si>
    <t>10,000RMB/acre</t>
  </si>
  <si>
    <t>The central government provides annual subsidies for forest tending</t>
  </si>
  <si>
    <t>RMB/MU</t>
  </si>
  <si>
    <t xml:space="preserve">2016 to 2012 constant price </t>
  </si>
  <si>
    <t>2016 exchange rate  (USD/RMB)</t>
  </si>
  <si>
    <t>hectaure  to acre</t>
  </si>
  <si>
    <t>mu to acre (mu/acre)</t>
  </si>
  <si>
    <t>share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</si>
</sst>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i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b/>
      <sz val="12"/>
      <color theme="4"/>
      <name val="宋体"/>
      <family val="2"/>
      <scheme val="minor"/>
    </font>
    <font>
      <b/>
      <i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3" applyNumberFormat="0" applyProtection="0">
      <alignment vertical="top" wrapText="1"/>
    </xf>
    <xf numFmtId="0" fontId="5" fillId="0" borderId="1" applyNumberFormat="0" applyProtection="0">
      <alignment wrapText="1"/>
    </xf>
    <xf numFmtId="0" fontId="5" fillId="0" borderId="4" applyNumberFormat="0" applyProtection="0">
      <alignment wrapText="1"/>
    </xf>
    <xf numFmtId="0" fontId="6" fillId="0" borderId="0" applyNumberFormat="0" applyProtection="0">
      <alignment horizontal="left"/>
    </xf>
    <xf numFmtId="9" fontId="8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2" fontId="0" fillId="0" borderId="0" xfId="0" applyNumberFormat="1"/>
    <xf numFmtId="0" fontId="3" fillId="0" borderId="0" xfId="1"/>
    <xf numFmtId="0" fontId="0" fillId="0" borderId="0" xfId="0" applyFont="1"/>
    <xf numFmtId="0" fontId="7" fillId="0" borderId="0" xfId="0" applyFont="1" applyAlignment="1">
      <alignment wrapText="1"/>
    </xf>
    <xf numFmtId="0" fontId="10" fillId="0" borderId="0" xfId="0" applyFont="1"/>
    <xf numFmtId="9" fontId="0" fillId="2" borderId="0" xfId="8" applyFont="1" applyFill="1" applyAlignment="1"/>
  </cellXfs>
  <cellStyles count="9">
    <cellStyle name="Body: normal cell" xfId="2" xr:uid="{00000000-0005-0000-0000-000000000000}"/>
    <cellStyle name="Font: Calibri, 9pt regular" xfId="3" xr:uid="{00000000-0005-0000-0000-000001000000}"/>
    <cellStyle name="Footnotes: top row" xfId="4" xr:uid="{00000000-0005-0000-0000-000002000000}"/>
    <cellStyle name="Header: bottom row" xfId="5" xr:uid="{00000000-0005-0000-0000-000003000000}"/>
    <cellStyle name="Parent row" xfId="6" xr:uid="{00000000-0005-0000-0000-000006000000}"/>
    <cellStyle name="Table title" xfId="7" xr:uid="{00000000-0005-0000-0000-000007000000}"/>
    <cellStyle name="百分比" xfId="8" builtinId="5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orestry.gov.cn/main/4861/content-9187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BF2A-B00F-D146-B2DA-23E7DFE809DA}">
  <dimension ref="A1:H17"/>
  <sheetViews>
    <sheetView workbookViewId="0">
      <selection activeCell="B18" sqref="B18"/>
    </sheetView>
  </sheetViews>
  <sheetFormatPr defaultColWidth="11" defaultRowHeight="13.5" x14ac:dyDescent="0.15"/>
  <cols>
    <col min="1" max="1" width="26.625" customWidth="1"/>
    <col min="8" max="8" width="15.375" customWidth="1"/>
  </cols>
  <sheetData>
    <row r="1" spans="1:8" x14ac:dyDescent="0.15">
      <c r="A1" s="1" t="s">
        <v>0</v>
      </c>
    </row>
    <row r="3" spans="1:8" x14ac:dyDescent="0.15">
      <c r="A3" s="1" t="s">
        <v>1</v>
      </c>
      <c r="B3" s="5" t="s">
        <v>12</v>
      </c>
    </row>
    <row r="4" spans="1:8" x14ac:dyDescent="0.15">
      <c r="B4" t="s">
        <v>13</v>
      </c>
      <c r="H4" t="s">
        <v>14</v>
      </c>
    </row>
    <row r="6" spans="1:8" x14ac:dyDescent="0.15">
      <c r="B6" t="s">
        <v>15</v>
      </c>
    </row>
    <row r="9" spans="1:8" x14ac:dyDescent="0.15">
      <c r="A9" t="s">
        <v>16</v>
      </c>
    </row>
    <row r="10" spans="1:8" x14ac:dyDescent="0.15">
      <c r="A10" t="s">
        <v>17</v>
      </c>
    </row>
    <row r="12" spans="1:8" x14ac:dyDescent="0.15">
      <c r="A12" t="s">
        <v>36</v>
      </c>
      <c r="B12">
        <v>0.16500000000000001</v>
      </c>
    </row>
    <row r="13" spans="1:8" x14ac:dyDescent="0.15">
      <c r="A13" t="s">
        <v>35</v>
      </c>
      <c r="B13">
        <v>2.47105</v>
      </c>
    </row>
    <row r="14" spans="1:8" x14ac:dyDescent="0.15">
      <c r="A14" t="s">
        <v>28</v>
      </c>
      <c r="B14">
        <v>6.66174</v>
      </c>
    </row>
    <row r="15" spans="1:8" x14ac:dyDescent="0.15">
      <c r="A15" t="s">
        <v>29</v>
      </c>
      <c r="B15">
        <v>0.88560000000000005</v>
      </c>
    </row>
    <row r="16" spans="1:8" x14ac:dyDescent="0.15">
      <c r="A16" t="s">
        <v>33</v>
      </c>
      <c r="B16">
        <v>0.95540000000000003</v>
      </c>
    </row>
    <row r="17" spans="1:2" x14ac:dyDescent="0.15">
      <c r="A17" t="s">
        <v>34</v>
      </c>
      <c r="B17">
        <v>6.6422999999999996</v>
      </c>
    </row>
  </sheetData>
  <phoneticPr fontId="9" type="noConversion"/>
  <hyperlinks>
    <hyperlink ref="B3" r:id="rId1" xr:uid="{A12EC473-A982-254C-A167-6857FC5465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7"/>
  <sheetViews>
    <sheetView workbookViewId="0">
      <selection activeCell="A3" sqref="A3"/>
    </sheetView>
  </sheetViews>
  <sheetFormatPr defaultColWidth="8.875" defaultRowHeight="13.5" x14ac:dyDescent="0.15"/>
  <cols>
    <col min="1" max="1" width="39.5" customWidth="1"/>
    <col min="2" max="2" width="26" customWidth="1"/>
    <col min="3" max="3" width="27.5" customWidth="1"/>
    <col min="4" max="4" width="32" customWidth="1"/>
  </cols>
  <sheetData>
    <row r="1" spans="1:4" ht="40.5" x14ac:dyDescent="0.15">
      <c r="A1" s="7" t="s">
        <v>31</v>
      </c>
      <c r="B1" s="3"/>
      <c r="C1" s="3"/>
      <c r="D1" s="3"/>
    </row>
    <row r="2" spans="1:4" x14ac:dyDescent="0.15">
      <c r="A2">
        <v>100</v>
      </c>
      <c r="B2" s="2" t="s">
        <v>32</v>
      </c>
      <c r="C2" s="2"/>
      <c r="D2" s="2"/>
    </row>
    <row r="3" spans="1:4" x14ac:dyDescent="0.15">
      <c r="B3" s="2"/>
      <c r="C3" s="2"/>
      <c r="D3" s="2"/>
    </row>
    <row r="4" spans="1:4" x14ac:dyDescent="0.15">
      <c r="B4" s="2"/>
      <c r="C4" s="2"/>
      <c r="D4" s="2"/>
    </row>
    <row r="6" spans="1:4" x14ac:dyDescent="0.15">
      <c r="A6" s="1" t="s">
        <v>9</v>
      </c>
    </row>
    <row r="7" spans="1:4" x14ac:dyDescent="0.15">
      <c r="A7" s="4">
        <f>(100/About!B12)/About!B17*About!B16</f>
        <v>87.17316336665057</v>
      </c>
      <c r="B7" t="s">
        <v>10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"/>
  <sheetViews>
    <sheetView tabSelected="1" workbookViewId="0">
      <selection activeCell="E19" sqref="E19"/>
    </sheetView>
  </sheetViews>
  <sheetFormatPr defaultColWidth="8.875" defaultRowHeight="13.5" x14ac:dyDescent="0.15"/>
  <cols>
    <col min="4" max="4" width="31.125" customWidth="1"/>
    <col min="5" max="5" width="17.5" customWidth="1"/>
    <col min="6" max="6" width="24" customWidth="1"/>
    <col min="7" max="7" width="16.5" customWidth="1"/>
  </cols>
  <sheetData>
    <row r="1" spans="1:9" x14ac:dyDescent="0.15">
      <c r="A1" s="1" t="s">
        <v>18</v>
      </c>
    </row>
    <row r="2" spans="1:9" x14ac:dyDescent="0.15">
      <c r="A2" s="6"/>
      <c r="E2" t="s">
        <v>19</v>
      </c>
      <c r="F2" t="s">
        <v>24</v>
      </c>
      <c r="G2" t="s">
        <v>26</v>
      </c>
      <c r="I2" t="s">
        <v>37</v>
      </c>
    </row>
    <row r="3" spans="1:9" x14ac:dyDescent="0.15">
      <c r="A3" s="6" t="s">
        <v>20</v>
      </c>
      <c r="E3">
        <v>431629</v>
      </c>
      <c r="F3">
        <v>400601</v>
      </c>
      <c r="G3">
        <f>E3/F3</f>
        <v>1.0774536259270446</v>
      </c>
      <c r="I3" s="9">
        <f>F3/SUM($F$3:$F$7)</f>
        <v>0.16397388867649743</v>
      </c>
    </row>
    <row r="4" spans="1:9" x14ac:dyDescent="0.15">
      <c r="A4" s="6" t="s">
        <v>21</v>
      </c>
      <c r="E4">
        <v>406319</v>
      </c>
      <c r="F4">
        <v>723500</v>
      </c>
      <c r="G4">
        <f>E4/F4</f>
        <v>0.5616019350380097</v>
      </c>
      <c r="I4" s="9">
        <f t="shared" ref="I4:I7" si="0">F4/SUM($F$3:$F$7)</f>
        <v>0.29614281656173075</v>
      </c>
    </row>
    <row r="5" spans="1:9" x14ac:dyDescent="0.15">
      <c r="A5" s="6" t="s">
        <v>23</v>
      </c>
      <c r="E5">
        <v>81193</v>
      </c>
      <c r="F5">
        <v>247284</v>
      </c>
      <c r="G5">
        <f>E5/F5</f>
        <v>0.32833907571860693</v>
      </c>
      <c r="I5" s="9">
        <f t="shared" si="0"/>
        <v>0.1012182173471334</v>
      </c>
    </row>
    <row r="6" spans="1:9" x14ac:dyDescent="0.15">
      <c r="A6" s="6" t="s">
        <v>25</v>
      </c>
      <c r="E6">
        <v>115432</v>
      </c>
      <c r="F6">
        <v>177838</v>
      </c>
      <c r="G6">
        <f>E6/F6</f>
        <v>0.649085122414782</v>
      </c>
      <c r="I6" s="9">
        <f t="shared" si="0"/>
        <v>7.2792600154395398E-2</v>
      </c>
    </row>
    <row r="7" spans="1:9" x14ac:dyDescent="0.15">
      <c r="A7" s="6" t="s">
        <v>22</v>
      </c>
      <c r="E7">
        <f>522762+30855</f>
        <v>553617</v>
      </c>
      <c r="F7">
        <v>893855</v>
      </c>
      <c r="G7">
        <f>E7/F7</f>
        <v>0.61935884455532497</v>
      </c>
      <c r="I7" s="9">
        <f t="shared" si="0"/>
        <v>0.36587247726024302</v>
      </c>
    </row>
    <row r="8" spans="1:9" x14ac:dyDescent="0.15">
      <c r="A8" s="6"/>
    </row>
    <row r="9" spans="1:9" x14ac:dyDescent="0.15">
      <c r="A9" s="6" t="s">
        <v>18</v>
      </c>
    </row>
    <row r="10" spans="1:9" x14ac:dyDescent="0.15">
      <c r="A10" s="8">
        <f>SUMPRODUCT(G3:G7,I3:I7)</f>
        <v>0.65007748422277145</v>
      </c>
      <c r="B10" t="s">
        <v>27</v>
      </c>
    </row>
    <row r="11" spans="1:9" x14ac:dyDescent="0.15">
      <c r="A11" s="6">
        <f>A10/About!B13</f>
        <v>0.26307743033235725</v>
      </c>
      <c r="B11" t="s">
        <v>30</v>
      </c>
    </row>
    <row r="12" spans="1:9" x14ac:dyDescent="0.15">
      <c r="A12" s="4"/>
    </row>
    <row r="13" spans="1:9" x14ac:dyDescent="0.15">
      <c r="A13" s="4">
        <f>(A11*10000)/About!B14*About!B15</f>
        <v>349.73050929987602</v>
      </c>
      <c r="B13" t="s">
        <v>11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/>
  </sheetPr>
  <dimension ref="A1:B7"/>
  <sheetViews>
    <sheetView workbookViewId="0">
      <selection activeCell="A14" sqref="A14"/>
    </sheetView>
  </sheetViews>
  <sheetFormatPr defaultColWidth="8.875" defaultRowHeight="13.5" x14ac:dyDescent="0.15"/>
  <cols>
    <col min="1" max="1" width="28" customWidth="1"/>
    <col min="2" max="2" width="10.375" customWidth="1"/>
  </cols>
  <sheetData>
    <row r="1" spans="1:2" x14ac:dyDescent="0.15">
      <c r="B1" t="s">
        <v>8</v>
      </c>
    </row>
    <row r="2" spans="1:2" x14ac:dyDescent="0.15">
      <c r="A2" s="1" t="s">
        <v>2</v>
      </c>
      <c r="B2">
        <v>0</v>
      </c>
    </row>
    <row r="3" spans="1:2" x14ac:dyDescent="0.15">
      <c r="A3" s="1" t="s">
        <v>3</v>
      </c>
      <c r="B3" s="4">
        <f>'Aff &amp; Ref'!A13</f>
        <v>349.73050929987602</v>
      </c>
    </row>
    <row r="4" spans="1:2" x14ac:dyDescent="0.15">
      <c r="A4" s="1" t="s">
        <v>4</v>
      </c>
      <c r="B4" s="4">
        <f>'Impr Forest Mgmt'!A7</f>
        <v>87.17316336665057</v>
      </c>
    </row>
    <row r="5" spans="1:2" x14ac:dyDescent="0.15">
      <c r="A5" s="1" t="s">
        <v>5</v>
      </c>
      <c r="B5">
        <v>0</v>
      </c>
    </row>
    <row r="6" spans="1:2" x14ac:dyDescent="0.15">
      <c r="A6" s="1" t="s">
        <v>6</v>
      </c>
      <c r="B6">
        <v>0</v>
      </c>
    </row>
    <row r="7" spans="1:2" x14ac:dyDescent="0.15">
      <c r="A7" s="1" t="s">
        <v>7</v>
      </c>
      <c r="B7">
        <v>0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BD1DE36A36CC7845A4126EF01914151E" ma:contentTypeVersion="14" ma:contentTypeDescription="新建文档。" ma:contentTypeScope="" ma:versionID="310835f059701aa681930bc3a1715053">
  <xsd:schema xmlns:xsd="http://www.w3.org/2001/XMLSchema" xmlns:xs="http://www.w3.org/2001/XMLSchema" xmlns:p="http://schemas.microsoft.com/office/2006/metadata/properties" xmlns:ns1="http://schemas.microsoft.com/sharepoint/v3" xmlns:ns2="2e2398b5-f60e-4ca0-a4ba-6048b5e4e90c" xmlns:ns3="a06c533b-533a-4f75-b7db-110f073002e4" targetNamespace="http://schemas.microsoft.com/office/2006/metadata/properties" ma:root="true" ma:fieldsID="7ba933288dd05553e9ce0f804d4dc608" ns1:_="" ns2:_="" ns3:_="">
    <xsd:import namespace="http://schemas.microsoft.com/sharepoint/v3"/>
    <xsd:import namespace="2e2398b5-f60e-4ca0-a4ba-6048b5e4e90c"/>
    <xsd:import namespace="a06c533b-533a-4f75-b7db-110f07300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398b5-f60e-4ca0-a4ba-6048b5e4e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c533b-533a-4f75-b7db-110f073002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CED404-0ECD-4E78-B016-5AA2BF8B4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2398b5-f60e-4ca0-a4ba-6048b5e4e90c"/>
    <ds:schemaRef ds:uri="a06c533b-533a-4f75-b7db-110f07300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FC00B3-35B5-4393-A6F9-DF781803CE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259536-EAB3-44EB-B0F3-88C27BA010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Impr Forest Mgmt</vt:lpstr>
      <vt:lpstr>Aff &amp; Ref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ruc</cp:lastModifiedBy>
  <dcterms:created xsi:type="dcterms:W3CDTF">2017-01-27T08:55:59Z</dcterms:created>
  <dcterms:modified xsi:type="dcterms:W3CDTF">2021-08-08T14:05:29Z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0x010100BD1DE36A36CC7845A4126EF01914151E</vt:lpwstr>
  </property>
</Properties>
</file>