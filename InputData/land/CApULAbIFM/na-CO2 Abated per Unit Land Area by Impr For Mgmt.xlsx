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Land\CApULAbIFM\"/>
    </mc:Choice>
  </mc:AlternateContent>
  <xr:revisionPtr revIDLastSave="0" documentId="8_{15905DDD-B989-4E64-8228-6257D43C1E27}" xr6:coauthVersionLast="47" xr6:coauthVersionMax="47" xr10:uidLastSave="{00000000-0000-0000-0000-000000000000}"/>
  <bookViews>
    <workbookView xWindow="0" yWindow="0" windowWidth="14400" windowHeight="15600" tabRatio="660" activeTab="3" xr2:uid="{00000000-000D-0000-FFFF-FFFF00000000}"/>
  </bookViews>
  <sheets>
    <sheet name="Sheet1" sheetId="5" r:id="rId1"/>
    <sheet name="About" sheetId="1" r:id="rId2"/>
    <sheet name="Calculations" sheetId="4" r:id="rId3"/>
    <sheet name="CApULAbIFM" sheetId="3" r:id="rId4"/>
  </sheets>
  <externalReferences>
    <externalReference r:id="rId5"/>
    <externalReference r:id="rId6"/>
  </externalReferences>
  <definedNames>
    <definedName name="acres_per_hectare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" i="5"/>
  <c r="J11" i="5"/>
  <c r="J12" i="5" s="1"/>
  <c r="B2" i="3" s="1"/>
  <c r="J14" i="5"/>
  <c r="J15" i="5" s="1"/>
  <c r="F2" i="5" a="1"/>
  <c r="F2" i="5" s="1"/>
  <c r="P66" i="5"/>
  <c r="AI60" i="5"/>
  <c r="P63" i="5"/>
  <c r="P64" i="5"/>
  <c r="P65" i="5"/>
  <c r="P62" i="5"/>
  <c r="AI62" i="5"/>
  <c r="AI63" i="5"/>
  <c r="AI64" i="5"/>
  <c r="AI65" i="5"/>
  <c r="AI66" i="5"/>
  <c r="AI61" i="5"/>
  <c r="AI59" i="5"/>
  <c r="AC54" i="5"/>
  <c r="A4" i="4"/>
  <c r="A6" i="4" s="1"/>
  <c r="E2" i="5" l="1" a="1"/>
  <c r="J62" i="5"/>
  <c r="J63" i="5" s="1"/>
  <c r="J64" i="5" s="1"/>
  <c r="J65" i="5" s="1"/>
  <c r="J66" i="5" s="1"/>
  <c r="J67" i="5" s="1"/>
  <c r="J68" i="5" s="1"/>
  <c r="E2" i="5" l="1"/>
  <c r="J8" i="5"/>
  <c r="J9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<sst xmlns="http://schemas.openxmlformats.org/spreadsheetml/2006/main" count="99" uniqueCount="94">
  <si>
    <t>CApULAbIFM CO2 Abated per Unit Land Area by Improved Forest Management</t>
  </si>
  <si>
    <t>Source:</t>
  </si>
  <si>
    <t>CO2 Abated (g)</t>
  </si>
  <si>
    <t>Per Acre</t>
  </si>
  <si>
    <t>Increased Annual CO2 Sequestration Achievable by Improved Management Practices per Acre</t>
  </si>
  <si>
    <t>tons CO2 / acre / yr</t>
  </si>
  <si>
    <t>Low Estimate</t>
  </si>
  <si>
    <t>High Estimate</t>
  </si>
  <si>
    <t>Average</t>
  </si>
  <si>
    <t>g CO2 / acre / yr</t>
  </si>
  <si>
    <t>Average, converted to grams CO2</t>
  </si>
  <si>
    <t>U.S. EPA</t>
  </si>
  <si>
    <t>Greenhouse Gas Mitigation Potential in U.S. Forestry and Agriculture</t>
  </si>
  <si>
    <t>http://www.epa.gov/climate/climatechange/Downloads/ccs/ghg_mitigation_forestry_ag_2005.pdf</t>
  </si>
  <si>
    <t>Page 2-3, Table 2-1</t>
  </si>
  <si>
    <r>
      <rPr>
        <sz val="11"/>
        <rFont val="SimSun"/>
        <charset val="134"/>
      </rPr>
      <t>年份</t>
    </r>
    <r>
      <rPr>
        <sz val="11"/>
        <rFont val="Times New Roman"/>
        <family val="1"/>
      </rPr>
      <t xml:space="preserve"> Year</t>
    </r>
  </si>
  <si>
    <r>
      <rPr>
        <sz val="11"/>
        <rFont val="SimSun"/>
        <charset val="134"/>
      </rPr>
      <t>造林总面积</t>
    </r>
    <r>
      <rPr>
        <sz val="11"/>
        <rFont val="Times New Roman"/>
        <family val="1"/>
      </rPr>
      <t xml:space="preserve"> Total Area of Afforestation</t>
    </r>
  </si>
  <si>
    <r>
      <rPr>
        <sz val="11"/>
        <rFont val="SimSun"/>
        <charset val="134"/>
      </rPr>
      <t>人工造林</t>
    </r>
    <r>
      <rPr>
        <sz val="11"/>
        <rFont val="Times New Roman"/>
        <family val="1"/>
      </rPr>
      <t xml:space="preserve"> Manual Planting</t>
    </r>
  </si>
  <si>
    <r>
      <rPr>
        <sz val="11"/>
        <rFont val="SimSun"/>
        <charset val="134"/>
      </rPr>
      <t>飞播造林</t>
    </r>
    <r>
      <rPr>
        <sz val="11"/>
        <rFont val="Times New Roman"/>
        <family val="1"/>
      </rPr>
      <t xml:space="preserve"> Airplane Planting</t>
    </r>
  </si>
  <si>
    <r>
      <rPr>
        <sz val="11"/>
        <rFont val="SimSun"/>
        <charset val="134"/>
      </rPr>
      <t>封山育林</t>
    </r>
    <r>
      <rPr>
        <sz val="11"/>
        <rFont val="Times New Roman"/>
        <family val="1"/>
      </rPr>
      <t xml:space="preserve"> Closed Hillsides for Afforestation</t>
    </r>
  </si>
  <si>
    <r>
      <rPr>
        <sz val="11"/>
        <rFont val="SimSun"/>
        <charset val="134"/>
      </rPr>
      <t>退化林修复</t>
    </r>
    <r>
      <rPr>
        <sz val="11"/>
        <rFont val="Times New Roman"/>
        <family val="1"/>
      </rPr>
      <t xml:space="preserve"> Restoration of Degraded Forest</t>
    </r>
  </si>
  <si>
    <r>
      <rPr>
        <sz val="11"/>
        <rFont val="SimSun"/>
        <charset val="134"/>
      </rPr>
      <t>人工更新</t>
    </r>
    <r>
      <rPr>
        <sz val="11"/>
        <rFont val="Times New Roman"/>
        <family val="1"/>
      </rPr>
      <t xml:space="preserve"> Artificial Regeneration</t>
    </r>
  </si>
  <si>
    <t>指标</t>
  </si>
  <si>
    <t>趋势值 (万吨碳/年²)</t>
  </si>
  <si>
    <t>贡献占比 (相对于 NEPD​)</t>
  </si>
  <si>
    <t>2000</t>
  </si>
  <si>
    <t>2001</t>
  </si>
  <si>
    <t>2002</t>
  </si>
  <si>
    <t>2003</t>
  </si>
  <si>
    <t>2004</t>
  </si>
  <si>
    <t>2005</t>
  </si>
  <si>
    <t>2006</t>
  </si>
  <si>
    <t>2007</t>
  </si>
  <si>
    <t>gCO2/acre/year</t>
    <phoneticPr fontId="3" type="noConversion"/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</si>
  <si>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</si>
  <si>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</si>
  <si>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</si>
  <si>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</si>
  <si>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</si>
  <si>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</si>
  <si>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</si>
  <si>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</si>
  <si>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</si>
  <si>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</si>
  <si>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</si>
  <si>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</si>
  <si>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</si>
  <si>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</si>
  <si>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</si>
  <si>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</si>
  <si>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Enhanced forest management rather than afforestation has dominated China’s carbon sink over recent decades</t>
  </si>
  <si>
    <t>https://doi.org/10.1038/s43247-025-03176-2</t>
  </si>
  <si>
    <r>
      <t>Zhang, M., He, H., Brandt, M. </t>
    </r>
    <r>
      <rPr>
        <i/>
        <sz val="11"/>
        <color rgb="FF222222"/>
        <rFont val="宋体"/>
        <family val="3"/>
        <charset val="134"/>
        <scheme val="major"/>
      </rPr>
      <t>et al.</t>
    </r>
    <r>
      <rPr>
        <sz val="11"/>
        <color rgb="FF222222"/>
        <rFont val="宋体"/>
        <family val="3"/>
        <charset val="134"/>
        <scheme val="major"/>
      </rPr>
      <t> </t>
    </r>
  </si>
  <si>
    <t>https://www.nature.com/articles/s43247-025-03176-2</t>
  </si>
  <si>
    <r>
      <rPr>
        <sz val="11"/>
        <rFont val="SimSun"/>
        <charset val="134"/>
      </rPr>
      <t>本年林业草原</t>
    </r>
    <r>
      <rPr>
        <sz val="11"/>
        <rFont val="等线"/>
        <family val="1"/>
        <charset val="134"/>
      </rPr>
      <t>生态修复治理投资</t>
    </r>
    <phoneticPr fontId="3" type="noConversion"/>
  </si>
  <si>
    <r>
      <rPr>
        <b/>
        <sz val="11"/>
        <color theme="1"/>
        <rFont val="宋体"/>
        <family val="3"/>
        <charset val="134"/>
      </rPr>
      <t>森林抚育投入</t>
    </r>
    <r>
      <rPr>
        <b/>
        <sz val="11"/>
        <color theme="1"/>
        <rFont val="Times New Roman"/>
        <family val="1"/>
      </rPr>
      <t xml:space="preserve"> (FTI)</t>
    </r>
  </si>
  <si>
    <r>
      <rPr>
        <sz val="11"/>
        <color theme="1"/>
        <rFont val="宋体"/>
        <family val="3"/>
        <charset val="134"/>
      </rPr>
      <t>主导地位</t>
    </r>
    <r>
      <rPr>
        <sz val="11"/>
        <color theme="1"/>
        <rFont val="Times New Roman"/>
        <family val="1"/>
      </rPr>
      <t xml:space="preserve"> (</t>
    </r>
    <r>
      <rPr>
        <sz val="11"/>
        <color theme="1"/>
        <rFont val="宋体"/>
        <family val="3"/>
        <charset val="134"/>
      </rPr>
      <t>最大驱动力</t>
    </r>
    <r>
      <rPr>
        <sz val="11"/>
        <color theme="1"/>
        <rFont val="Times New Roman"/>
        <family val="1"/>
      </rPr>
      <t xml:space="preserve">) </t>
    </r>
  </si>
  <si>
    <r>
      <rPr>
        <b/>
        <sz val="11"/>
        <color theme="1"/>
        <rFont val="宋体"/>
        <family val="3"/>
        <charset val="134"/>
      </rPr>
      <t>封山育林</t>
    </r>
    <r>
      <rPr>
        <b/>
        <sz val="11"/>
        <color theme="1"/>
        <rFont val="Times New Roman"/>
        <family val="1"/>
      </rPr>
      <t xml:space="preserve"> (MFR)</t>
    </r>
  </si>
  <si>
    <r>
      <rPr>
        <sz val="11"/>
        <color theme="1"/>
        <rFont val="宋体"/>
        <family val="3"/>
        <charset val="134"/>
      </rPr>
      <t>重要补充</t>
    </r>
    <r>
      <rPr>
        <sz val="11"/>
        <color theme="1"/>
        <rFont val="Times New Roman"/>
        <family val="1"/>
      </rPr>
      <t xml:space="preserve"> </t>
    </r>
  </si>
  <si>
    <r>
      <rPr>
        <b/>
        <sz val="11"/>
        <color theme="1"/>
        <rFont val="宋体"/>
        <family val="3"/>
        <charset val="134"/>
      </rPr>
      <t>造林</t>
    </r>
    <r>
      <rPr>
        <b/>
        <sz val="11"/>
        <color theme="1"/>
        <rFont val="Times New Roman"/>
        <family val="1"/>
      </rPr>
      <t xml:space="preserve"> (Afforestation)</t>
    </r>
  </si>
  <si>
    <r>
      <rPr>
        <sz val="11"/>
        <color theme="1"/>
        <rFont val="宋体"/>
        <family val="3"/>
        <charset val="134"/>
      </rPr>
      <t>增速较慢</t>
    </r>
    <r>
      <rPr>
        <sz val="11"/>
        <color theme="1"/>
        <rFont val="Times New Roman"/>
        <family val="1"/>
      </rPr>
      <t xml:space="preserve"> (</t>
    </r>
    <r>
      <rPr>
        <sz val="11"/>
        <color theme="1"/>
        <rFont val="宋体"/>
        <family val="3"/>
        <charset val="134"/>
      </rPr>
      <t>受土地限制</t>
    </r>
    <r>
      <rPr>
        <sz val="11"/>
        <color theme="1"/>
        <rFont val="Times New Roman"/>
        <family val="1"/>
      </rPr>
      <t xml:space="preserve">) </t>
    </r>
  </si>
  <si>
    <r>
      <rPr>
        <sz val="11"/>
        <color theme="1"/>
        <rFont val="宋体"/>
        <family val="3"/>
        <charset val="134"/>
      </rPr>
      <t>万吨碳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年平方</t>
    </r>
    <phoneticPr fontId="3" type="noConversion"/>
  </si>
  <si>
    <r>
      <rPr>
        <b/>
        <sz val="11"/>
        <color theme="1"/>
        <rFont val="宋体"/>
        <family val="3"/>
        <charset val="134"/>
      </rPr>
      <t>森林抚育</t>
    </r>
    <r>
      <rPr>
        <b/>
        <sz val="11"/>
        <color theme="1"/>
        <rFont val="Times New Roman"/>
        <family val="1"/>
      </rPr>
      <t xml:space="preserve"> (FTI):</t>
    </r>
    <r>
      <rPr>
        <sz val="11"/>
        <color theme="1"/>
        <rFont val="Times New Roman"/>
        <family val="1"/>
      </rPr>
      <t xml:space="preserve"> +553</t>
    </r>
    <r>
      <rPr>
        <sz val="11"/>
        <color theme="1"/>
        <rFont val="宋体"/>
        <family val="2"/>
      </rPr>
      <t>万吨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2"/>
      </rPr>
      <t>年</t>
    </r>
    <r>
      <rPr>
        <sz val="11"/>
        <color theme="1"/>
        <rFont val="Times New Roman"/>
        <family val="1"/>
      </rPr>
      <t>2</t>
    </r>
  </si>
  <si>
    <r>
      <rPr>
        <b/>
        <sz val="11"/>
        <color theme="1"/>
        <rFont val="宋体"/>
        <family val="3"/>
        <charset val="134"/>
      </rPr>
      <t>封山育林</t>
    </r>
    <r>
      <rPr>
        <b/>
        <sz val="11"/>
        <color theme="1"/>
        <rFont val="Times New Roman"/>
        <family val="1"/>
      </rPr>
      <t xml:space="preserve"> (MFR):</t>
    </r>
    <r>
      <rPr>
        <sz val="11"/>
        <color theme="1"/>
        <rFont val="Times New Roman"/>
        <family val="1"/>
      </rPr>
      <t xml:space="preserve"> +270</t>
    </r>
    <r>
      <rPr>
        <sz val="11"/>
        <color theme="1"/>
        <rFont val="宋体"/>
        <family val="2"/>
      </rPr>
      <t>万吨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2"/>
      </rPr>
      <t>年</t>
    </r>
    <r>
      <rPr>
        <sz val="11"/>
        <color theme="1"/>
        <rFont val="Times New Roman"/>
        <family val="1"/>
      </rPr>
      <t>2</t>
    </r>
  </si>
  <si>
    <r>
      <rPr>
        <b/>
        <sz val="11"/>
        <color theme="1"/>
        <rFont val="宋体"/>
        <family val="3"/>
        <charset val="134"/>
      </rPr>
      <t>造林</t>
    </r>
    <r>
      <rPr>
        <b/>
        <sz val="11"/>
        <color theme="1"/>
        <rFont val="Times New Roman"/>
        <family val="1"/>
      </rPr>
      <t xml:space="preserve"> (Afforestation):</t>
    </r>
    <r>
      <rPr>
        <sz val="11"/>
        <color theme="1"/>
        <rFont val="Times New Roman"/>
        <family val="1"/>
      </rPr>
      <t xml:space="preserve"> +160</t>
    </r>
    <r>
      <rPr>
        <sz val="11"/>
        <color theme="1"/>
        <rFont val="宋体"/>
        <family val="2"/>
      </rPr>
      <t>万吨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2"/>
      </rPr>
      <t>年</t>
    </r>
    <r>
      <rPr>
        <sz val="11"/>
        <color theme="1"/>
        <rFont val="Times New Roman"/>
        <family val="1"/>
      </rPr>
      <t>2</t>
    </r>
  </si>
  <si>
    <r>
      <rPr>
        <sz val="9"/>
        <rFont val="SimSun"/>
        <charset val="134"/>
      </rPr>
      <t>年份</t>
    </r>
    <phoneticPr fontId="3" type="noConversion"/>
  </si>
  <si>
    <r>
      <rPr>
        <sz val="9"/>
        <rFont val="SimSun"/>
        <charset val="134"/>
      </rPr>
      <t>人工造林</t>
    </r>
    <phoneticPr fontId="3" type="noConversion"/>
  </si>
  <si>
    <r>
      <rPr>
        <sz val="9"/>
        <rFont val="SimSun"/>
        <charset val="134"/>
      </rPr>
      <t>飞播造林</t>
    </r>
    <phoneticPr fontId="3" type="noConversion"/>
  </si>
  <si>
    <r>
      <rPr>
        <sz val="9"/>
        <rFont val="SimSun"/>
        <charset val="134"/>
      </rPr>
      <t>封山育林</t>
    </r>
    <phoneticPr fontId="3" type="noConversion"/>
  </si>
  <si>
    <r>
      <rPr>
        <sz val="9"/>
        <rFont val="SimSun"/>
        <charset val="134"/>
      </rPr>
      <t>人工更新</t>
    </r>
    <phoneticPr fontId="3" type="noConversion"/>
  </si>
  <si>
    <r>
      <rPr>
        <sz val="9"/>
        <rFont val="SimSun"/>
        <charset val="134"/>
      </rPr>
      <t>退化林修复</t>
    </r>
    <phoneticPr fontId="3" type="noConversion"/>
  </si>
  <si>
    <r>
      <rPr>
        <sz val="9"/>
        <rFont val="SimSun"/>
        <charset val="134"/>
      </rPr>
      <t>实有封山育林面积</t>
    </r>
    <phoneticPr fontId="3" type="noConversion"/>
  </si>
  <si>
    <r>
      <rPr>
        <sz val="9"/>
        <rFont val="SimSun"/>
        <charset val="134"/>
      </rPr>
      <t>森林抚育总面积</t>
    </r>
    <phoneticPr fontId="3" type="noConversion"/>
  </si>
  <si>
    <r>
      <rPr>
        <sz val="9"/>
        <rFont val="SimSun"/>
        <charset val="134"/>
      </rPr>
      <t>抚育采伐</t>
    </r>
    <phoneticPr fontId="3" type="noConversion"/>
  </si>
  <si>
    <r>
      <rPr>
        <sz val="9"/>
        <rFont val="SimSun"/>
        <charset val="134"/>
      </rPr>
      <t>补植抚育</t>
    </r>
    <phoneticPr fontId="3" type="noConversion"/>
  </si>
  <si>
    <r>
      <rPr>
        <sz val="9"/>
        <rFont val="SimSun"/>
        <charset val="134"/>
      </rPr>
      <t>人工促进天然更新</t>
    </r>
    <phoneticPr fontId="3" type="noConversion"/>
  </si>
  <si>
    <r>
      <rPr>
        <sz val="9"/>
        <rFont val="SimSun"/>
        <charset val="134"/>
      </rPr>
      <t>其他综合抚育</t>
    </r>
    <phoneticPr fontId="3" type="noConversion"/>
  </si>
  <si>
    <r>
      <rPr>
        <sz val="9"/>
        <rFont val="SimSun"/>
        <charset val="134"/>
      </rPr>
      <t>人工种草</t>
    </r>
    <phoneticPr fontId="3" type="noConversion"/>
  </si>
  <si>
    <r>
      <rPr>
        <sz val="9"/>
        <rFont val="SimSun"/>
        <charset val="134"/>
      </rPr>
      <t>飞播种草</t>
    </r>
    <phoneticPr fontId="3" type="noConversion"/>
  </si>
  <si>
    <r>
      <rPr>
        <sz val="9"/>
        <rFont val="SimSun"/>
        <charset val="134"/>
      </rPr>
      <t>草原改良</t>
    </r>
    <phoneticPr fontId="3" type="noConversion"/>
  </si>
  <si>
    <r>
      <rPr>
        <sz val="9"/>
        <rFont val="SimSun"/>
        <charset val="134"/>
      </rPr>
      <t>围栏封育</t>
    </r>
    <phoneticPr fontId="3" type="noConversion"/>
  </si>
  <si>
    <r>
      <rPr>
        <sz val="9"/>
        <rFont val="SimSun"/>
        <charset val="134"/>
      </rPr>
      <t>草原管护</t>
    </r>
    <phoneticPr fontId="3" type="noConversion"/>
  </si>
  <si>
    <r>
      <rPr>
        <sz val="9"/>
        <rFont val="SimSun"/>
        <charset val="134"/>
      </rPr>
      <t>禁牧</t>
    </r>
    <phoneticPr fontId="3" type="noConversion"/>
  </si>
  <si>
    <r>
      <rPr>
        <sz val="9"/>
        <rFont val="SimSun"/>
        <charset val="134"/>
      </rPr>
      <t>草畜平衡</t>
    </r>
    <phoneticPr fontId="3" type="noConversion"/>
  </si>
  <si>
    <r>
      <rPr>
        <sz val="9"/>
        <rFont val="SimSun"/>
        <charset val="134"/>
      </rPr>
      <t>湿地面积（万公顷）</t>
    </r>
    <phoneticPr fontId="3" type="noConversion"/>
  </si>
  <si>
    <r>
      <rPr>
        <sz val="9"/>
        <rFont val="SimSun"/>
        <charset val="134"/>
      </rPr>
      <t>湿地保护率</t>
    </r>
    <phoneticPr fontId="3" type="noConversion"/>
  </si>
  <si>
    <r>
      <rPr>
        <sz val="9"/>
        <rFont val="SimSun"/>
        <charset val="134"/>
      </rPr>
      <t>沙化土地面积（平方公里）</t>
    </r>
    <phoneticPr fontId="3" type="noConversion"/>
  </si>
  <si>
    <r>
      <rPr>
        <sz val="9"/>
        <rFont val="SimSun"/>
        <charset val="134"/>
      </rPr>
      <t>防沙治沙完成面积（万公顷）</t>
    </r>
    <phoneticPr fontId="3" type="noConversion"/>
  </si>
  <si>
    <r>
      <rPr>
        <sz val="11"/>
        <rFont val="SimSun"/>
        <charset val="134"/>
      </rPr>
      <t>投资完成额</t>
    </r>
    <phoneticPr fontId="3" type="noConversion"/>
  </si>
  <si>
    <r>
      <rPr>
        <sz val="9"/>
        <rFont val="SimSun"/>
        <charset val="134"/>
      </rPr>
      <t>造林</t>
    </r>
    <phoneticPr fontId="3" type="noConversion"/>
  </si>
  <si>
    <r>
      <rPr>
        <sz val="9"/>
        <rFont val="SimSun"/>
        <charset val="134"/>
      </rPr>
      <t>森林经营</t>
    </r>
    <phoneticPr fontId="3" type="noConversion"/>
  </si>
  <si>
    <r>
      <rPr>
        <sz val="9"/>
        <rFont val="SimSun"/>
        <charset val="134"/>
      </rPr>
      <t>草原保护修复</t>
    </r>
    <phoneticPr fontId="3" type="noConversion"/>
  </si>
  <si>
    <r>
      <rPr>
        <sz val="9"/>
        <rFont val="SimSun"/>
        <charset val="134"/>
      </rPr>
      <t>湿地保护修复</t>
    </r>
    <phoneticPr fontId="3" type="noConversion"/>
  </si>
  <si>
    <r>
      <rPr>
        <sz val="9"/>
        <rFont val="SimSun"/>
        <charset val="134"/>
      </rPr>
      <t>防风治沙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</si>
</sst>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_ "/>
    <numFmt numFmtId="177" formatCode="0.000_ "/>
    <numFmt numFmtId="178" formatCode="0.00_ "/>
    <numFmt numFmtId="179" formatCode="\ \ @"/>
    <numFmt numFmtId="180" formatCode="0_);[Red]\(0\)"/>
  </numFmts>
  <fonts count="2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Times New Roman"/>
      <family val="1"/>
    </font>
    <font>
      <sz val="11"/>
      <name val="SimSun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sz val="11"/>
      <color rgb="FF222222"/>
      <name val="宋体"/>
      <family val="3"/>
      <charset val="134"/>
      <scheme val="major"/>
    </font>
    <font>
      <i/>
      <sz val="11"/>
      <color rgb="FF222222"/>
      <name val="宋体"/>
      <family val="3"/>
      <charset val="134"/>
      <scheme val="major"/>
    </font>
    <font>
      <sz val="9"/>
      <name val="SimSun"/>
      <charset val="134"/>
    </font>
    <font>
      <sz val="11"/>
      <name val="等线"/>
      <family val="1"/>
      <charset val="134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2"/>
    </font>
    <font>
      <sz val="9"/>
      <name val="Times New Roman"/>
      <family val="1"/>
    </font>
    <font>
      <sz val="9"/>
      <color rgb="FF000000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4" fillId="0" borderId="0">
      <alignment vertical="center"/>
    </xf>
    <xf numFmtId="0" fontId="14" fillId="0" borderId="0">
      <alignment vertical="center"/>
    </xf>
    <xf numFmtId="0" fontId="15" fillId="0" borderId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176" fontId="0" fillId="0" borderId="0" xfId="0" applyNumberFormat="1"/>
    <xf numFmtId="0" fontId="4" fillId="0" borderId="0" xfId="2">
      <alignment vertical="center"/>
    </xf>
    <xf numFmtId="0" fontId="7" fillId="0" borderId="0" xfId="2" applyFont="1" applyAlignment="1">
      <alignment vertical="center" wrapText="1"/>
    </xf>
    <xf numFmtId="176" fontId="4" fillId="0" borderId="0" xfId="2" applyNumberFormat="1">
      <alignment vertical="center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10" fillId="2" borderId="0" xfId="0" applyFont="1" applyFill="1" applyAlignment="1">
      <alignment horizontal="left" vertical="center"/>
    </xf>
    <xf numFmtId="0" fontId="16" fillId="0" borderId="0" xfId="2" applyFont="1">
      <alignment vertical="center"/>
    </xf>
    <xf numFmtId="0" fontId="17" fillId="0" borderId="0" xfId="2" applyFont="1" applyAlignment="1">
      <alignment vertical="center" wrapText="1"/>
    </xf>
    <xf numFmtId="0" fontId="16" fillId="0" borderId="0" xfId="2" applyFont="1" applyAlignment="1">
      <alignment vertical="center" wrapText="1"/>
    </xf>
    <xf numFmtId="176" fontId="16" fillId="0" borderId="0" xfId="2" applyNumberFormat="1" applyFont="1">
      <alignment vertical="center"/>
    </xf>
    <xf numFmtId="177" fontId="16" fillId="0" borderId="0" xfId="2" applyNumberFormat="1" applyFont="1">
      <alignment vertical="center"/>
    </xf>
    <xf numFmtId="0" fontId="17" fillId="0" borderId="0" xfId="2" applyFont="1">
      <alignment vertical="center"/>
    </xf>
    <xf numFmtId="0" fontId="21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176" fontId="22" fillId="0" borderId="3" xfId="0" applyNumberFormat="1" applyFont="1" applyBorder="1" applyAlignment="1">
      <alignment horizontal="center" vertical="top" wrapText="1"/>
    </xf>
    <xf numFmtId="178" fontId="22" fillId="0" borderId="3" xfId="0" applyNumberFormat="1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176" fontId="22" fillId="0" borderId="3" xfId="0" applyNumberFormat="1" applyFont="1" applyBorder="1" applyAlignment="1">
      <alignment horizontal="center" vertical="center" wrapText="1"/>
    </xf>
    <xf numFmtId="178" fontId="22" fillId="0" borderId="3" xfId="0" applyNumberFormat="1" applyFont="1" applyBorder="1" applyAlignment="1">
      <alignment horizontal="center" vertical="center" wrapText="1"/>
    </xf>
    <xf numFmtId="179" fontId="22" fillId="0" borderId="3" xfId="0" applyNumberFormat="1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10" fontId="16" fillId="0" borderId="0" xfId="2" applyNumberFormat="1" applyFont="1">
      <alignment vertical="center"/>
    </xf>
    <xf numFmtId="9" fontId="23" fillId="0" borderId="0" xfId="2" applyNumberFormat="1" applyFont="1">
      <alignment vertical="center"/>
    </xf>
    <xf numFmtId="176" fontId="24" fillId="0" borderId="3" xfId="0" applyNumberFormat="1" applyFont="1" applyBorder="1" applyAlignment="1">
      <alignment horizontal="center" vertical="top" wrapText="1"/>
    </xf>
    <xf numFmtId="0" fontId="24" fillId="0" borderId="3" xfId="0" applyFont="1" applyBorder="1" applyAlignment="1">
      <alignment horizontal="center" vertical="top" wrapText="1"/>
    </xf>
    <xf numFmtId="176" fontId="23" fillId="3" borderId="3" xfId="0" applyNumberFormat="1" applyFont="1" applyFill="1" applyBorder="1" applyAlignment="1">
      <alignment horizontal="center" vertical="top" wrapText="1"/>
    </xf>
    <xf numFmtId="0" fontId="16" fillId="0" borderId="0" xfId="2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80" fontId="5" fillId="0" borderId="8" xfId="2" applyNumberFormat="1" applyFont="1" applyBorder="1" applyAlignment="1">
      <alignment horizontal="center" vertical="center"/>
    </xf>
    <xf numFmtId="180" fontId="24" fillId="0" borderId="8" xfId="0" applyNumberFormat="1" applyFont="1" applyBorder="1" applyAlignment="1">
      <alignment horizontal="center" vertical="center" wrapText="1"/>
    </xf>
    <xf numFmtId="180" fontId="16" fillId="0" borderId="8" xfId="2" applyNumberFormat="1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top" wrapText="1"/>
    </xf>
    <xf numFmtId="180" fontId="5" fillId="0" borderId="8" xfId="2" applyNumberFormat="1" applyFont="1" applyBorder="1" applyAlignment="1">
      <alignment horizontal="center" vertical="center" wrapText="1"/>
    </xf>
    <xf numFmtId="180" fontId="21" fillId="0" borderId="8" xfId="0" applyNumberFormat="1" applyFont="1" applyBorder="1" applyAlignment="1">
      <alignment horizontal="center" vertical="center" wrapText="1"/>
    </xf>
  </cellXfs>
  <cellStyles count="6">
    <cellStyle name="常规" xfId="0" builtinId="0"/>
    <cellStyle name="常规 2" xfId="3" xr:uid="{471CAB72-2744-4A0A-AC15-7370EF4EFE3E}"/>
    <cellStyle name="常规 2 2" xfId="2" xr:uid="{C31B4250-04D2-4FA7-9990-8D6A3FEC8DB9}"/>
    <cellStyle name="超链接" xfId="1" builtinId="8"/>
    <cellStyle name="超链接 2" xfId="4" xr:uid="{B6F82239-9CE7-4984-A188-2EFDEBB672B6}"/>
    <cellStyle name="超链接 3" xfId="5" xr:uid="{7AB4D1C5-98DF-4E17-8E7B-3220E386C68F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8098C7C-9295-4E86-8C45-E92BEAA5D7F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pivot="0" count="10" xr9:uid="{6A679FDB-184C-4590-AFB8-978ED52CC196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ff-nonadmin\Dropbox%20(Energy%20InNovation)\Desktop\Old%20U.S.%20land\VFC\Various%20Forestry%20Calcula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0267e054ca37a11/Land/PLANAbPiaSY/cn-Potential%20Land%20Area%20Newly%20Affected%20by%20Pol%20in%20a%20Single%20Yr.xlsx" TargetMode="External"/><Relationship Id="rId1" Type="http://schemas.openxmlformats.org/officeDocument/2006/relationships/externalLinkPath" Target="https://d.docs.live.net/90267e054ca37a11/Land/PLANAbPiaSY/cn-Potential%20Land%20Area%20Newly%20Affected%20by%20Pol%20in%20a%20Single%20Y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 refreshError="1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Aforestation by province"/>
      <sheetName val="2020-2023national total"/>
      <sheetName val="set asides_2014to2018"/>
      <sheetName val="Forestry Statistics"/>
      <sheetName val="Calculation"/>
      <sheetName val="Yearbook Stats"/>
      <sheetName val="PLANAbPiaSY"/>
    </sheetNames>
    <sheetDataSet>
      <sheetData sheetId="0"/>
      <sheetData sheetId="1"/>
      <sheetData sheetId="2"/>
      <sheetData sheetId="3"/>
      <sheetData sheetId="4">
        <row r="17">
          <cell r="R17">
            <v>1073420</v>
          </cell>
          <cell r="S17">
            <v>703774</v>
          </cell>
          <cell r="T17">
            <v>575934</v>
          </cell>
          <cell r="U17">
            <v>264040</v>
          </cell>
          <cell r="V17">
            <v>279516</v>
          </cell>
          <cell r="W17">
            <v>328060</v>
          </cell>
          <cell r="X17">
            <v>296056</v>
          </cell>
          <cell r="Y17">
            <v>290609</v>
          </cell>
          <cell r="Z17">
            <v>395861</v>
          </cell>
          <cell r="AA17">
            <v>543412</v>
          </cell>
          <cell r="AB17">
            <v>665598</v>
          </cell>
          <cell r="AC17">
            <v>788810</v>
          </cell>
          <cell r="AD17">
            <v>707499</v>
          </cell>
          <cell r="AE17">
            <v>758327</v>
          </cell>
          <cell r="AF17">
            <v>687375</v>
          </cell>
        </row>
        <row r="23">
          <cell r="R23">
            <v>6130041</v>
          </cell>
          <cell r="S23">
            <v>5821937</v>
          </cell>
          <cell r="T23">
            <v>2561362</v>
          </cell>
          <cell r="U23">
            <v>1817342</v>
          </cell>
          <cell r="V23">
            <v>2002141</v>
          </cell>
          <cell r="W23">
            <v>2646722</v>
          </cell>
          <cell r="X23">
            <v>1471653</v>
          </cell>
          <cell r="Y23">
            <v>1434110</v>
          </cell>
          <cell r="Z23">
            <v>1744691</v>
          </cell>
          <cell r="AA23">
            <v>2205799</v>
          </cell>
          <cell r="AB23">
            <v>2152875</v>
          </cell>
          <cell r="AC23">
            <v>2030477</v>
          </cell>
          <cell r="AD23">
            <v>2069714</v>
          </cell>
          <cell r="AE23">
            <v>2254605</v>
          </cell>
          <cell r="AF23">
            <v>1853832</v>
          </cell>
          <cell r="AG23">
            <v>2152877</v>
          </cell>
          <cell r="AH23">
            <v>1953638</v>
          </cell>
          <cell r="AI23">
            <v>1657169</v>
          </cell>
          <cell r="AJ23">
            <v>1785067</v>
          </cell>
          <cell r="AK23">
            <v>1898314</v>
          </cell>
          <cell r="AL23">
            <v>1774608</v>
          </cell>
          <cell r="AM23">
            <v>1235098</v>
          </cell>
          <cell r="AN23">
            <v>1057316</v>
          </cell>
          <cell r="AO23">
            <v>1133101</v>
          </cell>
          <cell r="AP23">
            <v>1267032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pa.gov/climate/climatechange/Downloads/ccs/ghg_mitigation_forestry_ag_200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55D3-6B71-4957-A8FA-B4ABCA4B01DB}">
  <dimension ref="A1:AI68"/>
  <sheetViews>
    <sheetView zoomScale="70" zoomScaleNormal="70" workbookViewId="0">
      <selection activeCell="J9" sqref="J9"/>
    </sheetView>
  </sheetViews>
  <sheetFormatPr defaultRowHeight="13.5"/>
  <cols>
    <col min="1" max="1" width="9" style="7"/>
    <col min="2" max="2" width="9.375" style="7" hidden="1" customWidth="1"/>
    <col min="3" max="9" width="9.375" style="7" customWidth="1"/>
    <col min="10" max="10" width="24.25" style="9" customWidth="1"/>
    <col min="11" max="13" width="9.375" style="7" customWidth="1"/>
    <col min="14" max="16" width="9" style="7" customWidth="1"/>
    <col min="17" max="18" width="9" style="7"/>
    <col min="19" max="19" width="11.625" style="7" bestFit="1" customWidth="1"/>
    <col min="20" max="20" width="9.5" style="7" bestFit="1" customWidth="1"/>
    <col min="21" max="21" width="10.5" style="7" bestFit="1" customWidth="1"/>
    <col min="22" max="25" width="10.5" style="7" customWidth="1"/>
    <col min="26" max="26" width="9" style="7"/>
    <col min="27" max="27" width="9.5" style="7" bestFit="1" customWidth="1"/>
    <col min="28" max="32" width="9" style="7"/>
    <col min="33" max="33" width="10.5" style="7" bestFit="1" customWidth="1"/>
    <col min="34" max="16384" width="9" style="7"/>
  </cols>
  <sheetData>
    <row r="1" spans="1:31" ht="88.5">
      <c r="A1" s="46" t="s">
        <v>15</v>
      </c>
      <c r="B1" s="46" t="s">
        <v>16</v>
      </c>
      <c r="C1" s="46" t="s">
        <v>17</v>
      </c>
      <c r="D1" s="46" t="s">
        <v>18</v>
      </c>
      <c r="E1" s="46" t="s">
        <v>19</v>
      </c>
      <c r="F1" s="46" t="s">
        <v>20</v>
      </c>
      <c r="G1" s="46" t="s">
        <v>21</v>
      </c>
      <c r="H1" s="47" t="s">
        <v>72</v>
      </c>
      <c r="I1" s="44"/>
      <c r="J1" s="8" t="s">
        <v>22</v>
      </c>
      <c r="K1" s="8" t="s">
        <v>23</v>
      </c>
      <c r="L1" s="8" t="s">
        <v>24</v>
      </c>
    </row>
    <row r="2" spans="1:31" ht="15">
      <c r="A2" s="41" t="s">
        <v>25</v>
      </c>
      <c r="B2" s="41">
        <v>510.5</v>
      </c>
      <c r="C2" s="41">
        <v>434.5</v>
      </c>
      <c r="D2" s="41">
        <v>76</v>
      </c>
      <c r="E2" s="41" cm="1">
        <f t="array" ref="E2:E26">TRANSPOSE('[2]Forestry Statistics'!$R$23:$AP$23)/10000</f>
        <v>613.00409999999999</v>
      </c>
      <c r="F2" s="41" cm="1">
        <f t="array" ref="F2:F16">TRANSPOSE('[2]Forestry Statistics'!$R$17:$AF$17)/10000</f>
        <v>107.342</v>
      </c>
      <c r="G2" s="42">
        <v>91.98</v>
      </c>
      <c r="H2" s="43">
        <f>K43/10000</f>
        <v>501.3</v>
      </c>
      <c r="I2" s="14"/>
      <c r="J2" s="15" t="s">
        <v>55</v>
      </c>
      <c r="K2" s="16">
        <v>553</v>
      </c>
      <c r="L2" s="14" t="s">
        <v>56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 spans="1:31" ht="15">
      <c r="A3" s="41" t="s">
        <v>26</v>
      </c>
      <c r="B3" s="41">
        <v>495.3</v>
      </c>
      <c r="C3" s="41">
        <v>397.7</v>
      </c>
      <c r="D3" s="41">
        <v>97.6</v>
      </c>
      <c r="E3" s="43">
        <v>582.19370000000004</v>
      </c>
      <c r="F3" s="41">
        <v>70.377399999999994</v>
      </c>
      <c r="G3" s="42">
        <v>51.53</v>
      </c>
      <c r="H3" s="43">
        <f t="shared" ref="H3:H25" si="0">K44/10000</f>
        <v>457.44</v>
      </c>
      <c r="I3" s="14"/>
      <c r="J3" s="15" t="s">
        <v>57</v>
      </c>
      <c r="K3" s="16">
        <v>270</v>
      </c>
      <c r="L3" s="14" t="s">
        <v>58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spans="1:31" ht="15">
      <c r="A4" s="41" t="s">
        <v>27</v>
      </c>
      <c r="B4" s="41">
        <v>777.1</v>
      </c>
      <c r="C4" s="41">
        <v>689.6</v>
      </c>
      <c r="D4" s="41">
        <v>87.5</v>
      </c>
      <c r="E4" s="41">
        <v>256.13619999999997</v>
      </c>
      <c r="F4" s="41">
        <v>57.593400000000003</v>
      </c>
      <c r="G4" s="42">
        <v>37.9</v>
      </c>
      <c r="H4" s="43">
        <f t="shared" si="0"/>
        <v>481.68</v>
      </c>
      <c r="I4" s="14"/>
      <c r="J4" s="15" t="s">
        <v>59</v>
      </c>
      <c r="K4" s="16">
        <v>160</v>
      </c>
      <c r="L4" s="14" t="s">
        <v>60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spans="1:31" ht="15">
      <c r="A5" s="41" t="s">
        <v>28</v>
      </c>
      <c r="B5" s="41">
        <v>911.9</v>
      </c>
      <c r="C5" s="41">
        <v>843.2</v>
      </c>
      <c r="D5" s="41">
        <v>68.599999999999994</v>
      </c>
      <c r="E5" s="41">
        <v>181.73419999999999</v>
      </c>
      <c r="F5" s="41">
        <v>26.404</v>
      </c>
      <c r="G5" s="42">
        <v>28.6</v>
      </c>
      <c r="H5" s="43">
        <f t="shared" si="0"/>
        <v>457.77</v>
      </c>
      <c r="I5" s="14"/>
      <c r="J5" s="17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 spans="1:31" ht="15">
      <c r="A6" s="41" t="s">
        <v>29</v>
      </c>
      <c r="B6" s="41">
        <v>679.5</v>
      </c>
      <c r="C6" s="41">
        <v>501.9</v>
      </c>
      <c r="D6" s="41">
        <v>57.9</v>
      </c>
      <c r="E6" s="41">
        <v>200.2141</v>
      </c>
      <c r="F6" s="41">
        <v>27.951599999999999</v>
      </c>
      <c r="G6" s="42">
        <v>31.93</v>
      </c>
      <c r="H6" s="43">
        <f t="shared" si="0"/>
        <v>527.15</v>
      </c>
      <c r="I6" s="14"/>
      <c r="J6" s="17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 spans="1:31" ht="15">
      <c r="A7" s="41" t="s">
        <v>30</v>
      </c>
      <c r="B7" s="41">
        <v>540.4</v>
      </c>
      <c r="C7" s="41">
        <v>323.2</v>
      </c>
      <c r="D7" s="41">
        <v>41.6</v>
      </c>
      <c r="E7" s="41">
        <v>264.67219999999998</v>
      </c>
      <c r="F7" s="41">
        <v>32.805999999999997</v>
      </c>
      <c r="G7" s="42">
        <v>40.75</v>
      </c>
      <c r="H7" s="43">
        <f t="shared" si="0"/>
        <v>501.06</v>
      </c>
      <c r="I7" s="14"/>
      <c r="J7" s="17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 spans="1:31" ht="15">
      <c r="A8" s="41" t="s">
        <v>31</v>
      </c>
      <c r="B8" s="41">
        <v>383.9</v>
      </c>
      <c r="C8" s="41">
        <v>244.6</v>
      </c>
      <c r="D8" s="41">
        <v>27.2</v>
      </c>
      <c r="E8" s="41">
        <v>147.1653</v>
      </c>
      <c r="F8" s="41">
        <v>29.605599999999999</v>
      </c>
      <c r="G8" s="42">
        <v>40.82</v>
      </c>
      <c r="H8" s="43">
        <f t="shared" si="0"/>
        <v>550.96</v>
      </c>
      <c r="I8" s="14"/>
      <c r="J8" s="18">
        <f>270/(AVERAGE(E6:E20)+AVERAGE(F6:F20))</f>
        <v>1.0254074963060644</v>
      </c>
      <c r="K8" s="14" t="s">
        <v>61</v>
      </c>
      <c r="L8" s="19" t="s">
        <v>62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ht="15">
      <c r="A9" s="41" t="s">
        <v>32</v>
      </c>
      <c r="B9" s="41">
        <v>390.8</v>
      </c>
      <c r="C9" s="41">
        <v>273.89999999999998</v>
      </c>
      <c r="D9" s="41">
        <v>11.9</v>
      </c>
      <c r="E9" s="41">
        <v>143.411</v>
      </c>
      <c r="F9" s="41">
        <v>29.0609</v>
      </c>
      <c r="G9" s="42">
        <v>39.090000000000003</v>
      </c>
      <c r="H9" s="43">
        <f t="shared" si="0"/>
        <v>649.76</v>
      </c>
      <c r="I9" s="14"/>
      <c r="J9" s="17">
        <f>J8/150000*10^10*3.67</f>
        <v>250883.0340962171</v>
      </c>
      <c r="K9" s="14" t="s">
        <v>33</v>
      </c>
      <c r="L9" s="19" t="s">
        <v>63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ht="15">
      <c r="A10" s="41" t="s">
        <v>34</v>
      </c>
      <c r="B10" s="41">
        <v>535.4</v>
      </c>
      <c r="C10" s="41">
        <v>368.5</v>
      </c>
      <c r="D10" s="41">
        <v>15.4</v>
      </c>
      <c r="E10" s="41">
        <v>174.4691</v>
      </c>
      <c r="F10" s="41">
        <v>39.586100000000002</v>
      </c>
      <c r="G10" s="42">
        <v>42.4</v>
      </c>
      <c r="H10" s="43">
        <f t="shared" si="0"/>
        <v>623.53</v>
      </c>
      <c r="I10" s="14"/>
      <c r="J10" s="17"/>
      <c r="K10" s="14"/>
      <c r="L10" s="19" t="s">
        <v>64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ht="15">
      <c r="A11" s="41" t="s">
        <v>35</v>
      </c>
      <c r="B11" s="41">
        <v>626.20000000000005</v>
      </c>
      <c r="C11" s="41">
        <v>415.6</v>
      </c>
      <c r="D11" s="41">
        <v>22.6</v>
      </c>
      <c r="E11" s="41">
        <v>220.57990000000001</v>
      </c>
      <c r="F11" s="41">
        <v>54.341200000000001</v>
      </c>
      <c r="G11" s="42">
        <v>34.43</v>
      </c>
      <c r="H11" s="43">
        <f t="shared" si="0"/>
        <v>636.26</v>
      </c>
      <c r="I11" s="14"/>
      <c r="J11" s="18">
        <f>553/AVERAGE(K47:K61)*10000</f>
        <v>0.7733742579930839</v>
      </c>
      <c r="K11" s="14" t="s">
        <v>61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ht="15">
      <c r="A12" s="41" t="s">
        <v>36</v>
      </c>
      <c r="B12" s="41">
        <v>591</v>
      </c>
      <c r="C12" s="41">
        <v>387.3</v>
      </c>
      <c r="D12" s="41">
        <v>19.600000000000001</v>
      </c>
      <c r="E12" s="41">
        <v>215.28749999999999</v>
      </c>
      <c r="F12" s="41">
        <v>66.559799999999996</v>
      </c>
      <c r="G12" s="42">
        <v>30.67</v>
      </c>
      <c r="H12" s="43">
        <f t="shared" si="0"/>
        <v>666.17</v>
      </c>
      <c r="I12" s="14"/>
      <c r="J12" s="17">
        <f>J11/150000*10^10*3.67</f>
        <v>189218.90178897453</v>
      </c>
      <c r="K12" s="14" t="s">
        <v>33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ht="15">
      <c r="A13" s="41" t="s">
        <v>37</v>
      </c>
      <c r="B13" s="41">
        <v>599.70000000000005</v>
      </c>
      <c r="C13" s="41">
        <v>406.6</v>
      </c>
      <c r="D13" s="41">
        <v>19.7</v>
      </c>
      <c r="E13" s="41">
        <v>203.04769999999999</v>
      </c>
      <c r="F13" s="41">
        <v>78.881</v>
      </c>
      <c r="G13" s="42">
        <v>32.659999999999997</v>
      </c>
      <c r="H13" s="43">
        <f t="shared" si="0"/>
        <v>733.45</v>
      </c>
      <c r="I13" s="14"/>
      <c r="J13" s="17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31" ht="15">
      <c r="A14" s="41" t="s">
        <v>38</v>
      </c>
      <c r="B14" s="41">
        <v>559.6</v>
      </c>
      <c r="C14" s="41">
        <v>382.1</v>
      </c>
      <c r="D14" s="41">
        <v>13.6</v>
      </c>
      <c r="E14" s="41">
        <v>206.97139999999999</v>
      </c>
      <c r="F14" s="41">
        <v>70.749899999999997</v>
      </c>
      <c r="G14" s="42">
        <v>30.51</v>
      </c>
      <c r="H14" s="43">
        <f t="shared" si="0"/>
        <v>766.17</v>
      </c>
      <c r="I14" s="14"/>
      <c r="J14" s="18">
        <f>160/(AVERAGE(D3:D22)+AVERAGE(C3:C22)+AVERAGE(G6:G20))</f>
        <v>0.33356520748103363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31" ht="15">
      <c r="A15" s="41" t="s">
        <v>39</v>
      </c>
      <c r="B15" s="41">
        <v>610</v>
      </c>
      <c r="C15" s="41">
        <v>421</v>
      </c>
      <c r="D15" s="41">
        <v>15.4</v>
      </c>
      <c r="E15" s="41">
        <v>225.4605</v>
      </c>
      <c r="F15" s="41">
        <v>75.832700000000003</v>
      </c>
      <c r="G15" s="42">
        <v>30.31</v>
      </c>
      <c r="H15" s="43">
        <f t="shared" si="0"/>
        <v>784.72</v>
      </c>
      <c r="I15" s="14"/>
      <c r="J15" s="17">
        <f>J14/150000*10^10*3.67</f>
        <v>81612.28743035956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5">
      <c r="A16" s="41" t="s">
        <v>40</v>
      </c>
      <c r="B16" s="41">
        <v>555</v>
      </c>
      <c r="C16" s="41">
        <v>405.3</v>
      </c>
      <c r="D16" s="41">
        <v>10.8</v>
      </c>
      <c r="E16" s="41">
        <v>185.38319999999999</v>
      </c>
      <c r="F16" s="41">
        <v>68.737499999999997</v>
      </c>
      <c r="G16" s="42">
        <v>29.25</v>
      </c>
      <c r="H16" s="43">
        <f t="shared" si="0"/>
        <v>901.96</v>
      </c>
      <c r="I16" s="14"/>
      <c r="J16" s="17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3" ht="15">
      <c r="A17" s="41" t="s">
        <v>41</v>
      </c>
      <c r="B17" s="41">
        <v>768.4</v>
      </c>
      <c r="C17" s="41">
        <v>436.3</v>
      </c>
      <c r="D17" s="41">
        <v>12.8</v>
      </c>
      <c r="E17" s="41">
        <v>215.2877</v>
      </c>
      <c r="F17" s="41">
        <v>73.900000000000006</v>
      </c>
      <c r="G17" s="41">
        <v>30.1</v>
      </c>
      <c r="H17" s="43">
        <f t="shared" si="0"/>
        <v>781.26</v>
      </c>
      <c r="I17" s="14"/>
      <c r="J17" s="1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3" ht="15">
      <c r="A18" s="41" t="s">
        <v>42</v>
      </c>
      <c r="B18" s="41">
        <v>720.4</v>
      </c>
      <c r="C18" s="41">
        <v>382.4</v>
      </c>
      <c r="D18" s="41">
        <v>16.2</v>
      </c>
      <c r="E18" s="41">
        <v>195.3638</v>
      </c>
      <c r="F18" s="41">
        <v>99.1</v>
      </c>
      <c r="G18" s="41">
        <v>27.3</v>
      </c>
      <c r="H18" s="43">
        <f t="shared" si="0"/>
        <v>850.04</v>
      </c>
      <c r="I18" s="14"/>
      <c r="J18" s="1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3" ht="15">
      <c r="A19" s="41" t="s">
        <v>43</v>
      </c>
      <c r="B19" s="41">
        <v>768.1</v>
      </c>
      <c r="C19" s="41">
        <v>429.6</v>
      </c>
      <c r="D19" s="41">
        <v>14.1</v>
      </c>
      <c r="E19" s="41">
        <v>165.71690000000001</v>
      </c>
      <c r="F19" s="41">
        <v>128.1</v>
      </c>
      <c r="G19" s="41">
        <v>30.5</v>
      </c>
      <c r="H19" s="43">
        <f t="shared" si="0"/>
        <v>885.63980000000004</v>
      </c>
      <c r="I19" s="14"/>
      <c r="J19" s="17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3" ht="15">
      <c r="A20" s="41" t="s">
        <v>44</v>
      </c>
      <c r="B20" s="41">
        <v>729.9</v>
      </c>
      <c r="C20" s="41">
        <v>367.8</v>
      </c>
      <c r="D20" s="41">
        <v>13.5</v>
      </c>
      <c r="E20" s="41">
        <v>178.5067</v>
      </c>
      <c r="F20" s="41">
        <v>132.9</v>
      </c>
      <c r="G20" s="41">
        <v>37.200000000000003</v>
      </c>
      <c r="H20" s="43">
        <f t="shared" si="0"/>
        <v>867.59569999999997</v>
      </c>
      <c r="I20" s="14"/>
      <c r="J20" s="1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3" ht="15">
      <c r="A21" s="41" t="s">
        <v>45</v>
      </c>
      <c r="B21" s="41">
        <v>739</v>
      </c>
      <c r="C21" s="41">
        <v>345.8</v>
      </c>
      <c r="D21" s="41">
        <v>12.6</v>
      </c>
      <c r="E21" s="41">
        <v>189.8314</v>
      </c>
      <c r="F21" s="41">
        <v>153.80000000000001</v>
      </c>
      <c r="G21" s="41">
        <v>37</v>
      </c>
      <c r="H21" s="43">
        <f t="shared" si="0"/>
        <v>847.75869999999998</v>
      </c>
      <c r="I21" s="14"/>
      <c r="J21" s="1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3" ht="15">
      <c r="A22" s="41" t="s">
        <v>46</v>
      </c>
      <c r="B22" s="41">
        <v>693.4</v>
      </c>
      <c r="C22" s="41">
        <v>300</v>
      </c>
      <c r="D22" s="41">
        <v>15.1</v>
      </c>
      <c r="E22" s="41">
        <v>177.46080000000001</v>
      </c>
      <c r="F22" s="41">
        <v>162</v>
      </c>
      <c r="G22" s="41">
        <v>38.799999999999997</v>
      </c>
      <c r="H22" s="43">
        <f t="shared" si="0"/>
        <v>911.58240000000001</v>
      </c>
      <c r="I22" s="14"/>
      <c r="J22" s="17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3" ht="15">
      <c r="A23" s="41" t="s">
        <v>47</v>
      </c>
      <c r="B23" s="41">
        <v>375.4</v>
      </c>
      <c r="C23" s="41">
        <v>108.5</v>
      </c>
      <c r="D23" s="41">
        <v>17.2</v>
      </c>
      <c r="E23" s="41">
        <v>123.5098</v>
      </c>
      <c r="F23" s="41">
        <v>101.1</v>
      </c>
      <c r="G23" s="41">
        <v>25.1</v>
      </c>
      <c r="H23" s="43">
        <f t="shared" si="0"/>
        <v>642.2133</v>
      </c>
      <c r="I23" s="14"/>
      <c r="J23" s="17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3" ht="15">
      <c r="A24" s="41" t="s">
        <v>48</v>
      </c>
      <c r="B24" s="41">
        <v>420.3</v>
      </c>
      <c r="C24" s="41">
        <v>93.1</v>
      </c>
      <c r="D24" s="41">
        <v>16.600000000000001</v>
      </c>
      <c r="E24" s="41">
        <v>105.7316</v>
      </c>
      <c r="F24" s="41">
        <v>158.30000000000001</v>
      </c>
      <c r="G24" s="41">
        <v>46.6</v>
      </c>
      <c r="H24" s="43">
        <f t="shared" si="0"/>
        <v>573.75139999999999</v>
      </c>
      <c r="I24" s="14"/>
      <c r="J24" s="17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3" ht="15.75" thickBot="1">
      <c r="A25" s="41" t="s">
        <v>49</v>
      </c>
      <c r="B25" s="41">
        <v>463.6</v>
      </c>
      <c r="C25" s="41">
        <v>101.4</v>
      </c>
      <c r="D25" s="41">
        <v>6.7</v>
      </c>
      <c r="E25" s="41">
        <v>113.31010000000001</v>
      </c>
      <c r="F25" s="41">
        <v>179.6</v>
      </c>
      <c r="G25" s="41">
        <v>62.6</v>
      </c>
      <c r="H25" s="43">
        <f t="shared" si="0"/>
        <v>647.10789999999997</v>
      </c>
      <c r="I25" s="14"/>
      <c r="J25" s="17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3" ht="15.75" thickBot="1">
      <c r="A26" s="14"/>
      <c r="B26" s="14"/>
      <c r="C26" s="14"/>
      <c r="E26" s="7">
        <v>126.7032</v>
      </c>
      <c r="F26" s="14"/>
      <c r="G26" s="14"/>
      <c r="H26" s="14"/>
      <c r="I26" s="14"/>
      <c r="J26" s="14"/>
      <c r="K26" s="14"/>
      <c r="L26" s="17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38" t="s">
        <v>54</v>
      </c>
      <c r="AC26" s="39"/>
      <c r="AD26" s="39"/>
      <c r="AE26" s="39"/>
      <c r="AF26" s="39"/>
      <c r="AG26" s="40"/>
    </row>
    <row r="27" spans="1:33" ht="34.5" thickBot="1">
      <c r="A27" s="20" t="s">
        <v>65</v>
      </c>
      <c r="B27" s="20" t="s">
        <v>66</v>
      </c>
      <c r="C27" s="20" t="s">
        <v>67</v>
      </c>
      <c r="F27" s="20" t="s">
        <v>68</v>
      </c>
      <c r="G27" s="20" t="s">
        <v>69</v>
      </c>
      <c r="H27" s="20" t="s">
        <v>70</v>
      </c>
      <c r="I27" s="20"/>
      <c r="J27" s="20" t="s">
        <v>71</v>
      </c>
      <c r="K27" s="20" t="s">
        <v>72</v>
      </c>
      <c r="L27" s="20" t="s">
        <v>73</v>
      </c>
      <c r="M27" s="20" t="s">
        <v>74</v>
      </c>
      <c r="N27" s="20" t="s">
        <v>75</v>
      </c>
      <c r="O27" s="20" t="s">
        <v>76</v>
      </c>
      <c r="P27" s="20"/>
      <c r="Q27" s="20" t="s">
        <v>77</v>
      </c>
      <c r="R27" s="20" t="s">
        <v>78</v>
      </c>
      <c r="S27" s="20" t="s">
        <v>79</v>
      </c>
      <c r="T27" s="20" t="s">
        <v>80</v>
      </c>
      <c r="U27" s="20" t="s">
        <v>81</v>
      </c>
      <c r="V27" s="20" t="s">
        <v>82</v>
      </c>
      <c r="W27" s="20" t="s">
        <v>83</v>
      </c>
      <c r="X27" s="20" t="s">
        <v>84</v>
      </c>
      <c r="Y27" s="20" t="s">
        <v>85</v>
      </c>
      <c r="Z27" s="20" t="s">
        <v>86</v>
      </c>
      <c r="AA27" s="20" t="s">
        <v>87</v>
      </c>
      <c r="AB27" s="21" t="s">
        <v>88</v>
      </c>
      <c r="AC27" s="22" t="s">
        <v>89</v>
      </c>
      <c r="AD27" s="22" t="s">
        <v>90</v>
      </c>
      <c r="AE27" s="22" t="s">
        <v>91</v>
      </c>
      <c r="AF27" s="22" t="s">
        <v>92</v>
      </c>
      <c r="AG27" s="23" t="s">
        <v>93</v>
      </c>
    </row>
    <row r="28" spans="1:33" ht="15">
      <c r="A28" s="24">
        <v>1985</v>
      </c>
      <c r="B28" s="25">
        <v>694.88</v>
      </c>
      <c r="C28" s="25">
        <v>138.80000000000001</v>
      </c>
      <c r="F28" s="26"/>
      <c r="G28" s="25">
        <v>63.83</v>
      </c>
      <c r="H28" s="35"/>
      <c r="I28" s="35"/>
      <c r="J28" s="35"/>
      <c r="K28" s="35"/>
      <c r="L28" s="17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15">
      <c r="A29" s="24">
        <v>1986</v>
      </c>
      <c r="B29" s="25">
        <v>415.82</v>
      </c>
      <c r="C29" s="25">
        <v>111.58</v>
      </c>
      <c r="F29" s="26"/>
      <c r="G29" s="25">
        <v>57.74</v>
      </c>
      <c r="H29" s="35"/>
      <c r="I29" s="35"/>
      <c r="J29" s="35"/>
      <c r="K29" s="35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15">
      <c r="A30" s="24">
        <v>1987</v>
      </c>
      <c r="B30" s="25">
        <v>420.73</v>
      </c>
      <c r="C30" s="25">
        <v>120.69</v>
      </c>
      <c r="F30" s="26"/>
      <c r="G30" s="25">
        <v>70.349999999999994</v>
      </c>
      <c r="H30" s="35"/>
      <c r="I30" s="35"/>
      <c r="J30" s="35"/>
      <c r="K30" s="35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15">
      <c r="A31" s="27">
        <v>1988</v>
      </c>
      <c r="B31" s="28">
        <v>457.48</v>
      </c>
      <c r="C31" s="28">
        <v>95.85</v>
      </c>
      <c r="F31" s="29"/>
      <c r="G31" s="28">
        <v>63.69</v>
      </c>
      <c r="H31" s="35"/>
      <c r="I31" s="35"/>
      <c r="J31" s="35"/>
      <c r="K31" s="35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15">
      <c r="A32" s="24">
        <v>1989</v>
      </c>
      <c r="B32" s="25">
        <v>410.95</v>
      </c>
      <c r="C32" s="25">
        <v>91.38</v>
      </c>
      <c r="F32" s="26"/>
      <c r="G32" s="25">
        <v>71.91</v>
      </c>
      <c r="H32" s="35"/>
      <c r="I32" s="35"/>
      <c r="J32" s="35"/>
      <c r="K32" s="35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15">
      <c r="A33" s="24">
        <v>1990</v>
      </c>
      <c r="B33" s="25">
        <v>435.33</v>
      </c>
      <c r="C33" s="25">
        <v>85.51</v>
      </c>
      <c r="F33" s="26"/>
      <c r="G33" s="25">
        <v>67.150000000000006</v>
      </c>
      <c r="H33" s="35"/>
      <c r="I33" s="35"/>
      <c r="J33" s="35"/>
      <c r="K33" s="35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15">
      <c r="A34" s="27">
        <v>1991</v>
      </c>
      <c r="B34" s="28">
        <v>475.18</v>
      </c>
      <c r="C34" s="28">
        <v>84.27</v>
      </c>
      <c r="F34" s="29"/>
      <c r="G34" s="28">
        <v>66.41</v>
      </c>
      <c r="H34" s="35"/>
      <c r="I34" s="35"/>
      <c r="J34" s="35"/>
      <c r="K34" s="35">
        <v>2622700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ht="15">
      <c r="A35" s="27">
        <v>1992</v>
      </c>
      <c r="B35" s="28">
        <v>508.37</v>
      </c>
      <c r="C35" s="28">
        <v>94.67</v>
      </c>
      <c r="F35" s="30"/>
      <c r="G35" s="28">
        <v>67.36</v>
      </c>
      <c r="H35" s="35"/>
      <c r="I35" s="35"/>
      <c r="J35" s="35"/>
      <c r="K35" s="35">
        <v>2626800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1:33" ht="15">
      <c r="A36" s="24">
        <v>1993</v>
      </c>
      <c r="B36" s="25">
        <v>504.44</v>
      </c>
      <c r="C36" s="25">
        <v>85.9</v>
      </c>
      <c r="F36" s="30"/>
      <c r="G36" s="25">
        <v>73.92</v>
      </c>
      <c r="H36" s="35"/>
      <c r="I36" s="35"/>
      <c r="J36" s="35"/>
      <c r="K36" s="35">
        <v>2975899.9999999995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1:33" ht="15">
      <c r="A37" s="24">
        <v>1994</v>
      </c>
      <c r="B37" s="25">
        <v>519.02</v>
      </c>
      <c r="C37" s="25">
        <v>80.239999999999995</v>
      </c>
      <c r="F37" s="30"/>
      <c r="G37" s="25">
        <v>72.27</v>
      </c>
      <c r="H37" s="35"/>
      <c r="I37" s="35"/>
      <c r="J37" s="35"/>
      <c r="K37" s="35">
        <v>3287500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ht="15">
      <c r="A38" s="24">
        <v>1995</v>
      </c>
      <c r="B38" s="25">
        <v>462.94</v>
      </c>
      <c r="C38" s="25">
        <v>58.53</v>
      </c>
      <c r="F38" s="26"/>
      <c r="G38" s="25">
        <v>75.099999999999994</v>
      </c>
      <c r="H38" s="35"/>
      <c r="I38" s="35"/>
      <c r="J38" s="35"/>
      <c r="K38" s="35">
        <v>3666000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1:33" ht="15">
      <c r="A39" s="24">
        <v>1996</v>
      </c>
      <c r="B39" s="25">
        <v>431.5</v>
      </c>
      <c r="C39" s="25">
        <v>60.44</v>
      </c>
      <c r="F39" s="30"/>
      <c r="G39" s="25">
        <v>79.48</v>
      </c>
      <c r="H39" s="35"/>
      <c r="I39" s="35"/>
      <c r="J39" s="35"/>
      <c r="K39" s="35">
        <v>4187600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1:33" ht="15">
      <c r="A40" s="24">
        <v>1997</v>
      </c>
      <c r="B40" s="25">
        <v>373.78</v>
      </c>
      <c r="C40" s="25">
        <v>61.72</v>
      </c>
      <c r="F40" s="26"/>
      <c r="G40" s="25">
        <v>79.84</v>
      </c>
      <c r="H40" s="35"/>
      <c r="I40" s="35"/>
      <c r="J40" s="35"/>
      <c r="K40" s="35">
        <v>4320400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spans="1:33" ht="15">
      <c r="A41" s="24">
        <v>1998</v>
      </c>
      <c r="B41" s="25">
        <v>408.6</v>
      </c>
      <c r="C41" s="25">
        <v>72.510000000000005</v>
      </c>
      <c r="F41" s="30"/>
      <c r="G41" s="25">
        <v>80.63</v>
      </c>
      <c r="H41" s="35"/>
      <c r="I41" s="35"/>
      <c r="J41" s="35"/>
      <c r="K41" s="35">
        <v>4413000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1:33" ht="15">
      <c r="A42" s="24">
        <v>1999</v>
      </c>
      <c r="B42" s="25">
        <v>427.69</v>
      </c>
      <c r="C42" s="25">
        <v>62.39</v>
      </c>
      <c r="F42" s="26"/>
      <c r="G42" s="25">
        <v>104.28</v>
      </c>
      <c r="H42" s="35"/>
      <c r="I42" s="35"/>
      <c r="J42" s="35"/>
      <c r="K42" s="35">
        <v>6120100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spans="1:33" ht="15">
      <c r="A43" s="24">
        <v>2000</v>
      </c>
      <c r="B43" s="25">
        <v>434.5</v>
      </c>
      <c r="C43" s="25">
        <v>76.010000000000005</v>
      </c>
      <c r="F43" s="26">
        <v>6130041</v>
      </c>
      <c r="G43" s="25">
        <v>91.98</v>
      </c>
      <c r="H43" s="35"/>
      <c r="I43" s="35"/>
      <c r="J43" s="35">
        <v>32584372</v>
      </c>
      <c r="K43" s="35">
        <v>5013000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D43" s="14"/>
      <c r="AE43" s="14"/>
      <c r="AF43" s="14"/>
      <c r="AG43" s="14"/>
    </row>
    <row r="44" spans="1:33" ht="15">
      <c r="A44" s="24">
        <v>2001</v>
      </c>
      <c r="B44" s="25">
        <v>397.73</v>
      </c>
      <c r="C44" s="25">
        <v>97.57</v>
      </c>
      <c r="F44" s="34">
        <v>5821937</v>
      </c>
      <c r="G44" s="25">
        <v>51.53</v>
      </c>
      <c r="H44" s="35"/>
      <c r="I44" s="35"/>
      <c r="J44" s="35">
        <v>35426636</v>
      </c>
      <c r="K44" s="35">
        <v>4574400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D44" s="14"/>
      <c r="AE44" s="14"/>
      <c r="AF44" s="14"/>
      <c r="AG44" s="14"/>
    </row>
    <row r="45" spans="1:33" ht="15">
      <c r="A45" s="24">
        <v>2002</v>
      </c>
      <c r="B45" s="25">
        <v>689.6</v>
      </c>
      <c r="C45" s="25">
        <v>87.49</v>
      </c>
      <c r="F45" s="34">
        <v>2560100</v>
      </c>
      <c r="G45" s="25">
        <v>37.9</v>
      </c>
      <c r="H45" s="35"/>
      <c r="I45" s="35"/>
      <c r="J45" s="35">
        <v>29301513</v>
      </c>
      <c r="K45" s="35">
        <v>4816800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spans="1:33" ht="15">
      <c r="A46" s="24">
        <v>2003</v>
      </c>
      <c r="B46" s="25">
        <v>843.25</v>
      </c>
      <c r="C46" s="25">
        <v>68.64</v>
      </c>
      <c r="F46" s="34">
        <v>1817342</v>
      </c>
      <c r="G46" s="25">
        <v>28.6</v>
      </c>
      <c r="H46" s="35"/>
      <c r="I46" s="45"/>
      <c r="J46" s="7">
        <v>23055394</v>
      </c>
      <c r="K46" s="35">
        <v>4577700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D46" s="14"/>
      <c r="AE46" s="14"/>
      <c r="AF46" s="14"/>
      <c r="AG46" s="14"/>
    </row>
    <row r="47" spans="1:33" ht="15">
      <c r="A47" s="24">
        <v>2004</v>
      </c>
      <c r="B47" s="25">
        <v>501.89</v>
      </c>
      <c r="C47" s="25">
        <v>57.92</v>
      </c>
      <c r="F47" s="34">
        <v>2002141</v>
      </c>
      <c r="G47" s="25">
        <v>31.93</v>
      </c>
      <c r="H47" s="35"/>
      <c r="I47" s="35"/>
      <c r="J47" s="35">
        <v>21585588</v>
      </c>
      <c r="K47" s="35">
        <v>5271500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1:33" ht="15">
      <c r="A48" s="24">
        <v>2005</v>
      </c>
      <c r="B48" s="25">
        <v>322.13</v>
      </c>
      <c r="C48" s="25">
        <v>41.64</v>
      </c>
      <c r="F48" s="34">
        <v>2656722</v>
      </c>
      <c r="G48" s="25">
        <v>40.75</v>
      </c>
      <c r="H48" s="35"/>
      <c r="I48" s="35"/>
      <c r="J48" s="35">
        <v>21994790</v>
      </c>
      <c r="K48" s="35">
        <v>5010600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1:35" ht="15">
      <c r="A49" s="24">
        <v>2006</v>
      </c>
      <c r="B49" s="25">
        <v>244.61</v>
      </c>
      <c r="C49" s="25">
        <v>27.18</v>
      </c>
      <c r="F49" s="34">
        <v>1471653</v>
      </c>
      <c r="G49" s="25">
        <v>40.82</v>
      </c>
      <c r="H49" s="35"/>
      <c r="I49" s="35"/>
      <c r="J49" s="35">
        <v>20202327</v>
      </c>
      <c r="K49" s="35">
        <v>5509600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spans="1:35" ht="15">
      <c r="A50" s="24">
        <v>2007</v>
      </c>
      <c r="B50" s="25">
        <v>273.85000000000002</v>
      </c>
      <c r="C50" s="25">
        <v>11.87</v>
      </c>
      <c r="F50" s="34">
        <v>1050500</v>
      </c>
      <c r="G50" s="25">
        <v>39.090000000000003</v>
      </c>
      <c r="H50" s="35"/>
      <c r="I50" s="35"/>
      <c r="J50" s="35">
        <v>20643218</v>
      </c>
      <c r="K50" s="35">
        <v>6497600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spans="1:35" ht="15">
      <c r="A51" s="24">
        <v>2008</v>
      </c>
      <c r="B51" s="25">
        <v>368.43</v>
      </c>
      <c r="C51" s="25">
        <v>15.41</v>
      </c>
      <c r="F51" s="34">
        <v>1515400</v>
      </c>
      <c r="G51" s="25">
        <v>42.4</v>
      </c>
      <c r="H51" s="35"/>
      <c r="I51" s="35"/>
      <c r="J51" s="35">
        <v>21526252</v>
      </c>
      <c r="K51" s="35">
        <v>6235300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spans="1:35" ht="15">
      <c r="A52" s="24">
        <v>2009</v>
      </c>
      <c r="B52" s="25">
        <v>415.63</v>
      </c>
      <c r="C52" s="25">
        <v>22.63</v>
      </c>
      <c r="F52" s="34">
        <v>1879700</v>
      </c>
      <c r="G52" s="25">
        <v>34.43</v>
      </c>
      <c r="H52" s="35"/>
      <c r="I52" s="35"/>
      <c r="J52" s="35">
        <v>21537816</v>
      </c>
      <c r="K52" s="35">
        <v>6362600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5" ht="15">
      <c r="A53" s="24">
        <v>2010</v>
      </c>
      <c r="B53" s="25">
        <v>387.28</v>
      </c>
      <c r="C53" s="25">
        <v>19.59</v>
      </c>
      <c r="F53" s="34">
        <v>1841200</v>
      </c>
      <c r="G53" s="25">
        <v>30.67</v>
      </c>
      <c r="H53" s="35"/>
      <c r="I53" s="35"/>
      <c r="J53" s="35">
        <v>23938134</v>
      </c>
      <c r="K53" s="35">
        <v>6661700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G53" s="14"/>
    </row>
    <row r="54" spans="1:35" ht="15">
      <c r="A54" s="24">
        <v>2011</v>
      </c>
      <c r="B54" s="25">
        <v>406.57</v>
      </c>
      <c r="C54" s="25">
        <v>19.690000000000001</v>
      </c>
      <c r="F54" s="34">
        <v>1734000</v>
      </c>
      <c r="G54" s="25">
        <v>32.659999999999997</v>
      </c>
      <c r="H54" s="35"/>
      <c r="I54" s="35"/>
      <c r="J54" s="35">
        <v>23481113</v>
      </c>
      <c r="K54" s="35">
        <v>7334500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>
        <f>6617067+151173</f>
        <v>6768240</v>
      </c>
      <c r="AD54" s="14">
        <v>980393</v>
      </c>
      <c r="AE54" s="14"/>
      <c r="AF54" s="14"/>
      <c r="AG54" s="14"/>
    </row>
    <row r="55" spans="1:35" ht="15">
      <c r="A55" s="24">
        <v>2012</v>
      </c>
      <c r="B55" s="25">
        <v>382.07</v>
      </c>
      <c r="C55" s="25">
        <v>13.64</v>
      </c>
      <c r="F55" s="34">
        <v>1638700</v>
      </c>
      <c r="G55" s="25">
        <v>30.51</v>
      </c>
      <c r="H55" s="35"/>
      <c r="I55" s="35"/>
      <c r="J55" s="35">
        <v>24140908</v>
      </c>
      <c r="K55" s="35">
        <v>7661700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spans="1:35" ht="15">
      <c r="A56" s="24">
        <v>2013</v>
      </c>
      <c r="B56" s="25">
        <v>420.97</v>
      </c>
      <c r="C56" s="25">
        <v>15.44</v>
      </c>
      <c r="F56" s="34">
        <v>1736000</v>
      </c>
      <c r="G56" s="25">
        <v>30.31</v>
      </c>
      <c r="H56" s="35"/>
      <c r="I56" s="35"/>
      <c r="J56" s="35">
        <v>25178730</v>
      </c>
      <c r="K56" s="35">
        <v>7847200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spans="1:35" ht="15">
      <c r="A57" s="24">
        <v>2014</v>
      </c>
      <c r="B57" s="25">
        <v>405.29</v>
      </c>
      <c r="C57" s="25">
        <v>10.81</v>
      </c>
      <c r="F57" s="34">
        <v>1388600.0000000002</v>
      </c>
      <c r="G57" s="25">
        <v>29.25</v>
      </c>
      <c r="H57" s="35"/>
      <c r="I57" s="35"/>
      <c r="J57" s="35">
        <v>24719474</v>
      </c>
      <c r="K57" s="35">
        <v>9019600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>
        <v>5360.26</v>
      </c>
      <c r="Y57" s="32">
        <v>0.43509999999999999</v>
      </c>
      <c r="Z57" s="14"/>
      <c r="AA57" s="14"/>
      <c r="AB57" s="14"/>
      <c r="AC57" s="14"/>
      <c r="AD57" s="14"/>
      <c r="AE57" s="14"/>
      <c r="AF57" s="14"/>
      <c r="AG57" s="14"/>
    </row>
    <row r="58" spans="1:35" ht="15">
      <c r="A58" s="34">
        <v>2015</v>
      </c>
      <c r="B58" s="34">
        <v>4362589</v>
      </c>
      <c r="C58" s="34">
        <v>128390</v>
      </c>
      <c r="F58" s="34">
        <v>2152877</v>
      </c>
      <c r="G58" s="34">
        <v>300505</v>
      </c>
      <c r="H58" s="34">
        <v>739334</v>
      </c>
      <c r="I58" s="34"/>
      <c r="J58" s="35">
        <v>27509897</v>
      </c>
      <c r="K58" s="34">
        <v>7812600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>
        <v>5360.26</v>
      </c>
      <c r="Y58" s="14"/>
      <c r="Z58" s="14"/>
      <c r="AA58" s="14"/>
      <c r="AB58" s="31">
        <v>20172014</v>
      </c>
      <c r="AC58" s="37">
        <v>11510792</v>
      </c>
      <c r="AD58" s="37"/>
      <c r="AE58" s="31"/>
      <c r="AF58" s="31">
        <v>617359</v>
      </c>
      <c r="AG58" s="31">
        <v>146192</v>
      </c>
      <c r="AI58" s="9"/>
    </row>
    <row r="59" spans="1:35" ht="15">
      <c r="A59" s="34">
        <v>2016</v>
      </c>
      <c r="B59" s="34">
        <v>3823656</v>
      </c>
      <c r="C59" s="34">
        <v>162322</v>
      </c>
      <c r="F59" s="34">
        <v>1953638</v>
      </c>
      <c r="G59" s="34">
        <v>272805</v>
      </c>
      <c r="H59" s="34">
        <v>991088</v>
      </c>
      <c r="I59" s="34"/>
      <c r="J59" s="35">
        <v>25497053</v>
      </c>
      <c r="K59" s="34">
        <v>8500400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>
        <v>5360.26</v>
      </c>
      <c r="Y59" s="14"/>
      <c r="Z59" s="14"/>
      <c r="AA59" s="14"/>
      <c r="AB59" s="31"/>
      <c r="AC59" s="37">
        <v>13595579</v>
      </c>
      <c r="AD59" s="37"/>
      <c r="AE59" s="31"/>
      <c r="AF59" s="31">
        <v>577416</v>
      </c>
      <c r="AG59" s="31">
        <v>190825</v>
      </c>
      <c r="AI59" s="9">
        <f>SUM(F45:F59)</f>
        <v>27398573</v>
      </c>
    </row>
    <row r="60" spans="1:35" ht="15">
      <c r="A60" s="34">
        <v>2017</v>
      </c>
      <c r="B60" s="34">
        <v>4295890</v>
      </c>
      <c r="C60" s="34">
        <v>141220</v>
      </c>
      <c r="F60" s="34">
        <v>1657169</v>
      </c>
      <c r="G60" s="34">
        <v>305439</v>
      </c>
      <c r="H60" s="34">
        <v>1280993</v>
      </c>
      <c r="I60" s="34"/>
      <c r="J60" s="34">
        <v>24682804</v>
      </c>
      <c r="K60" s="34">
        <v>8856398</v>
      </c>
      <c r="L60" s="34"/>
      <c r="M60" s="34"/>
      <c r="N60" s="34"/>
      <c r="O60" s="34"/>
      <c r="P60" s="14"/>
      <c r="Q60" s="14">
        <v>6119100</v>
      </c>
      <c r="R60" s="14"/>
      <c r="S60" s="14">
        <v>1475400</v>
      </c>
      <c r="T60" s="14"/>
      <c r="U60" s="14"/>
      <c r="V60" s="14"/>
      <c r="W60" s="14"/>
      <c r="X60" s="14">
        <v>5360.26</v>
      </c>
      <c r="Y60" s="32">
        <v>0.49030000000000001</v>
      </c>
      <c r="Z60" s="14"/>
      <c r="AA60" s="14"/>
      <c r="AB60" s="31"/>
      <c r="AC60" s="37">
        <v>18759288</v>
      </c>
      <c r="AD60" s="37"/>
      <c r="AE60" s="31"/>
      <c r="AF60" s="31">
        <v>806558</v>
      </c>
      <c r="AG60" s="31">
        <v>221492</v>
      </c>
      <c r="AI60" s="9">
        <f>SUM(F46:F60)</f>
        <v>26495642</v>
      </c>
    </row>
    <row r="61" spans="1:35" ht="15">
      <c r="A61" s="34">
        <v>2018</v>
      </c>
      <c r="B61" s="34">
        <v>3677952</v>
      </c>
      <c r="C61" s="34">
        <v>135429</v>
      </c>
      <c r="F61" s="34">
        <v>1785067</v>
      </c>
      <c r="G61" s="34">
        <v>371859</v>
      </c>
      <c r="H61" s="34">
        <v>1329166</v>
      </c>
      <c r="I61" s="34"/>
      <c r="J61" s="34">
        <v>24596091</v>
      </c>
      <c r="K61" s="34">
        <v>8675957</v>
      </c>
      <c r="L61" s="34"/>
      <c r="M61" s="34"/>
      <c r="N61" s="34"/>
      <c r="O61" s="34"/>
      <c r="P61" s="14"/>
      <c r="Q61" s="14"/>
      <c r="R61" s="14"/>
      <c r="S61" s="14"/>
      <c r="T61" s="14"/>
      <c r="U61" s="14"/>
      <c r="V61" s="14"/>
      <c r="W61" s="14"/>
      <c r="X61" s="14">
        <v>5360.26</v>
      </c>
      <c r="Y61" s="14"/>
      <c r="Z61" s="14"/>
      <c r="AA61" s="14"/>
      <c r="AB61" s="14"/>
      <c r="AC61" s="37">
        <v>21257493</v>
      </c>
      <c r="AD61" s="37"/>
      <c r="AE61" s="31"/>
      <c r="AF61" s="31">
        <v>725902</v>
      </c>
      <c r="AG61" s="31">
        <v>199001</v>
      </c>
      <c r="AI61" s="9">
        <f>SUM(F47:F61)</f>
        <v>26463367</v>
      </c>
    </row>
    <row r="62" spans="1:35" ht="15">
      <c r="A62" s="34">
        <v>2019</v>
      </c>
      <c r="B62" s="34">
        <v>3458315</v>
      </c>
      <c r="C62" s="34">
        <v>125565</v>
      </c>
      <c r="F62" s="34">
        <v>1898314</v>
      </c>
      <c r="G62" s="34">
        <v>370223</v>
      </c>
      <c r="H62" s="34">
        <v>1537877</v>
      </c>
      <c r="I62" s="34"/>
      <c r="J62" s="36">
        <f>AI60/AI59*J61</f>
        <v>23785516.922192335</v>
      </c>
      <c r="K62" s="34">
        <v>8477587</v>
      </c>
      <c r="L62" s="34"/>
      <c r="M62" s="34"/>
      <c r="N62" s="34"/>
      <c r="O62" s="34"/>
      <c r="P62" s="14">
        <f>SUM(Q62:S62)</f>
        <v>2376225</v>
      </c>
      <c r="Q62" s="14">
        <v>745526</v>
      </c>
      <c r="R62" s="14">
        <v>423879</v>
      </c>
      <c r="S62" s="14">
        <v>1206820</v>
      </c>
      <c r="T62" s="14"/>
      <c r="U62" s="14">
        <v>254979357</v>
      </c>
      <c r="V62" s="14">
        <v>82392255</v>
      </c>
      <c r="W62" s="14">
        <v>172587102</v>
      </c>
      <c r="X62" s="14">
        <v>5342.06</v>
      </c>
      <c r="Y62" s="32">
        <v>0.51359999999999995</v>
      </c>
      <c r="Z62" s="31">
        <v>17211.75</v>
      </c>
      <c r="AA62" s="31">
        <v>252.12</v>
      </c>
      <c r="AB62" s="14"/>
      <c r="AC62" s="37">
        <v>15752381</v>
      </c>
      <c r="AD62" s="37"/>
      <c r="AE62" s="31">
        <v>529534</v>
      </c>
      <c r="AF62" s="31">
        <v>696509</v>
      </c>
      <c r="AG62" s="31">
        <v>247637</v>
      </c>
      <c r="AI62" s="9">
        <f t="shared" ref="AI62:AI66" si="1">SUM(F48:F62)</f>
        <v>26359540</v>
      </c>
    </row>
    <row r="63" spans="1:35" ht="15">
      <c r="A63" s="34">
        <v>2020</v>
      </c>
      <c r="B63" s="34">
        <v>3000060</v>
      </c>
      <c r="C63" s="34">
        <v>151496</v>
      </c>
      <c r="F63" s="34">
        <v>1774608</v>
      </c>
      <c r="G63" s="34">
        <v>387884</v>
      </c>
      <c r="H63" s="34">
        <v>1619648</v>
      </c>
      <c r="I63" s="34"/>
      <c r="J63" s="36">
        <f t="shared" ref="J63:J68" si="2">AI61/AI60*J62</f>
        <v>23756543.192902677</v>
      </c>
      <c r="K63" s="34">
        <v>9115824</v>
      </c>
      <c r="L63" s="34"/>
      <c r="M63" s="34"/>
      <c r="N63" s="34"/>
      <c r="O63" s="34"/>
      <c r="P63" s="14">
        <f t="shared" ref="P63:P65" si="3">SUM(Q63:S63)</f>
        <v>3225708</v>
      </c>
      <c r="Q63" s="14">
        <v>628969</v>
      </c>
      <c r="R63" s="14">
        <v>558087</v>
      </c>
      <c r="S63" s="14">
        <v>2038652</v>
      </c>
      <c r="T63" s="14"/>
      <c r="U63" s="14">
        <v>258374767</v>
      </c>
      <c r="V63" s="14">
        <v>81299323</v>
      </c>
      <c r="W63" s="14">
        <v>177075444</v>
      </c>
      <c r="X63" s="14">
        <v>5342.06</v>
      </c>
      <c r="Y63" s="32">
        <v>0.52649999999999997</v>
      </c>
      <c r="Z63" s="31">
        <v>17211.75</v>
      </c>
      <c r="AA63" s="31">
        <v>209.64</v>
      </c>
      <c r="AB63" s="14"/>
      <c r="AC63" s="37">
        <v>17517983</v>
      </c>
      <c r="AD63" s="37"/>
      <c r="AE63" s="31">
        <v>719790</v>
      </c>
      <c r="AF63" s="31">
        <v>700070</v>
      </c>
      <c r="AG63" s="31">
        <v>131805</v>
      </c>
      <c r="AI63" s="9">
        <f t="shared" si="1"/>
        <v>25477426</v>
      </c>
    </row>
    <row r="64" spans="1:35" ht="15">
      <c r="A64" s="34">
        <v>2021</v>
      </c>
      <c r="B64" s="34">
        <v>1085095</v>
      </c>
      <c r="C64" s="34">
        <v>172239</v>
      </c>
      <c r="F64" s="34">
        <v>1235098</v>
      </c>
      <c r="G64" s="34">
        <v>250593</v>
      </c>
      <c r="H64" s="34">
        <v>1011349</v>
      </c>
      <c r="I64" s="34"/>
      <c r="J64" s="36">
        <f t="shared" si="2"/>
        <v>23663336.209449302</v>
      </c>
      <c r="K64" s="34">
        <v>6422133</v>
      </c>
      <c r="L64" s="34"/>
      <c r="M64" s="34"/>
      <c r="N64" s="34"/>
      <c r="O64" s="34"/>
      <c r="P64" s="14">
        <f t="shared" si="3"/>
        <v>3294907</v>
      </c>
      <c r="Q64" s="14">
        <v>933798</v>
      </c>
      <c r="R64" s="14">
        <v>379773</v>
      </c>
      <c r="S64" s="14">
        <v>1981336</v>
      </c>
      <c r="T64" s="14"/>
      <c r="U64" s="14">
        <v>271729756</v>
      </c>
      <c r="V64" s="14">
        <v>77354149</v>
      </c>
      <c r="W64" s="14">
        <v>194375607</v>
      </c>
      <c r="X64" s="14">
        <v>5634.93</v>
      </c>
      <c r="Y64" s="14"/>
      <c r="Z64" s="31">
        <v>17211.75</v>
      </c>
      <c r="AA64" s="31">
        <v>140.37</v>
      </c>
      <c r="AB64" s="14"/>
      <c r="AC64" s="37">
        <v>13527365</v>
      </c>
      <c r="AD64" s="37"/>
      <c r="AE64" s="31">
        <v>1767989</v>
      </c>
      <c r="AF64" s="31">
        <v>599706</v>
      </c>
      <c r="AG64" s="31">
        <v>117099</v>
      </c>
      <c r="AI64" s="9">
        <f t="shared" si="1"/>
        <v>25240871</v>
      </c>
    </row>
    <row r="65" spans="1:35" ht="15">
      <c r="A65" s="34">
        <v>2022</v>
      </c>
      <c r="B65" s="34">
        <v>930860</v>
      </c>
      <c r="C65" s="34">
        <v>166099</v>
      </c>
      <c r="F65" s="34">
        <v>1057316</v>
      </c>
      <c r="G65" s="34">
        <v>465579</v>
      </c>
      <c r="H65" s="34">
        <v>1582935</v>
      </c>
      <c r="I65" s="34"/>
      <c r="J65" s="36">
        <f t="shared" si="2"/>
        <v>22871449.850390602</v>
      </c>
      <c r="K65" s="34">
        <v>5737514</v>
      </c>
      <c r="L65" s="34">
        <v>1223827</v>
      </c>
      <c r="M65" s="34">
        <v>372882</v>
      </c>
      <c r="N65" s="34">
        <v>206524</v>
      </c>
      <c r="O65" s="34">
        <v>3934281</v>
      </c>
      <c r="P65" s="14">
        <f t="shared" si="3"/>
        <v>1203896</v>
      </c>
      <c r="Q65" s="14">
        <v>481558</v>
      </c>
      <c r="R65" s="14">
        <v>0</v>
      </c>
      <c r="S65" s="14">
        <v>722338</v>
      </c>
      <c r="T65" s="14">
        <v>2010192</v>
      </c>
      <c r="U65" s="14"/>
      <c r="V65" s="14"/>
      <c r="W65" s="14"/>
      <c r="X65" s="14">
        <v>5634.93</v>
      </c>
      <c r="Y65" s="14"/>
      <c r="Z65" s="31">
        <v>16878.231100000001</v>
      </c>
      <c r="AA65" s="31">
        <v>158.6737</v>
      </c>
      <c r="AB65" s="14"/>
      <c r="AC65" s="31">
        <v>7494975</v>
      </c>
      <c r="AD65" s="31">
        <v>6267914</v>
      </c>
      <c r="AE65" s="31">
        <v>976331</v>
      </c>
      <c r="AF65" s="31">
        <v>477386</v>
      </c>
      <c r="AG65" s="31">
        <v>281620</v>
      </c>
      <c r="AI65" s="9">
        <f t="shared" si="1"/>
        <v>25247687</v>
      </c>
    </row>
    <row r="66" spans="1:35" ht="15">
      <c r="A66" s="34">
        <v>2023</v>
      </c>
      <c r="B66" s="34">
        <v>1014361</v>
      </c>
      <c r="C66" s="34">
        <v>66997</v>
      </c>
      <c r="F66" s="34">
        <v>1133101</v>
      </c>
      <c r="G66" s="34">
        <v>625911</v>
      </c>
      <c r="H66" s="34">
        <v>1795750</v>
      </c>
      <c r="I66" s="34"/>
      <c r="J66" s="36">
        <f t="shared" si="2"/>
        <v>22659091.042269282</v>
      </c>
      <c r="K66" s="34">
        <v>6471079</v>
      </c>
      <c r="L66" s="34">
        <v>1143776</v>
      </c>
      <c r="M66" s="34">
        <v>361251</v>
      </c>
      <c r="N66" s="34">
        <v>110140</v>
      </c>
      <c r="O66" s="34">
        <v>4855912</v>
      </c>
      <c r="P66" s="14">
        <f>SUM(Q66:S66)</f>
        <v>2117388</v>
      </c>
      <c r="Q66" s="14">
        <v>1053594</v>
      </c>
      <c r="R66" s="14">
        <v>0</v>
      </c>
      <c r="S66" s="14">
        <v>1063794</v>
      </c>
      <c r="T66" s="14">
        <v>2261056</v>
      </c>
      <c r="U66" s="14"/>
      <c r="V66" s="14"/>
      <c r="W66" s="14"/>
      <c r="X66" s="14">
        <v>5634.93</v>
      </c>
      <c r="Y66" s="14"/>
      <c r="Z66" s="31">
        <v>16878.231100000001</v>
      </c>
      <c r="AA66" s="31">
        <v>170.57499999999999</v>
      </c>
      <c r="AB66" s="14"/>
      <c r="AC66" s="31">
        <v>7254336</v>
      </c>
      <c r="AD66" s="31">
        <v>5455378</v>
      </c>
      <c r="AE66" s="31">
        <v>945107</v>
      </c>
      <c r="AF66" s="31">
        <v>388387</v>
      </c>
      <c r="AG66" s="31">
        <v>208905</v>
      </c>
      <c r="AI66" s="9">
        <f t="shared" si="1"/>
        <v>24865388</v>
      </c>
    </row>
    <row r="67" spans="1:35" ht="15">
      <c r="A67" s="34">
        <v>2024</v>
      </c>
      <c r="B67" s="34">
        <v>797680</v>
      </c>
      <c r="C67" s="34">
        <v>67612</v>
      </c>
      <c r="F67" s="34">
        <v>1267032</v>
      </c>
      <c r="G67" s="34">
        <v>624231</v>
      </c>
      <c r="H67" s="34">
        <v>1884367</v>
      </c>
      <c r="I67" s="34"/>
      <c r="J67" s="36">
        <f t="shared" si="2"/>
        <v>22665209.862992387</v>
      </c>
      <c r="K67" s="34"/>
      <c r="L67" s="34"/>
      <c r="M67" s="34"/>
      <c r="N67" s="34"/>
      <c r="O67" s="3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spans="1:35" ht="15">
      <c r="A68" s="34">
        <v>2025</v>
      </c>
      <c r="B68" s="34">
        <v>830000</v>
      </c>
      <c r="C68" s="34">
        <v>48080.135468960842</v>
      </c>
      <c r="F68" s="34">
        <v>901009.73501018144</v>
      </c>
      <c r="G68" s="34">
        <v>443902.13340715988</v>
      </c>
      <c r="H68" s="34">
        <v>1340007.9961136978</v>
      </c>
      <c r="I68" s="34"/>
      <c r="J68" s="36">
        <f t="shared" si="2"/>
        <v>22322014.580770612</v>
      </c>
      <c r="K68" s="34"/>
      <c r="L68" s="34"/>
      <c r="M68" s="34"/>
      <c r="N68" s="34"/>
      <c r="O68" s="34"/>
      <c r="P68" s="14"/>
      <c r="Q68" s="14"/>
      <c r="R68" s="14"/>
      <c r="S68" s="14"/>
      <c r="T68" s="14"/>
      <c r="U68" s="14"/>
      <c r="V68" s="14"/>
      <c r="W68" s="14"/>
      <c r="X68" s="14"/>
      <c r="Y68" s="33">
        <v>0.55000000000000004</v>
      </c>
      <c r="Z68" s="14"/>
      <c r="AA68" s="14"/>
      <c r="AB68" s="14"/>
      <c r="AC68" s="14"/>
      <c r="AD68" s="14"/>
      <c r="AE68" s="14"/>
      <c r="AF68" s="14"/>
      <c r="AG68" s="14"/>
    </row>
  </sheetData>
  <mergeCells count="8">
    <mergeCell ref="AC64:AD64"/>
    <mergeCell ref="AC63:AD63"/>
    <mergeCell ref="AC62:AD62"/>
    <mergeCell ref="AB26:AG26"/>
    <mergeCell ref="AC61:AD61"/>
    <mergeCell ref="AC58:AD58"/>
    <mergeCell ref="AC59:AD59"/>
    <mergeCell ref="AC60:AD6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13" sqref="B13"/>
    </sheetView>
  </sheetViews>
  <sheetFormatPr defaultRowHeight="13.5"/>
  <cols>
    <col min="2" max="2" width="108.125" customWidth="1"/>
  </cols>
  <sheetData>
    <row r="1" spans="1:2">
      <c r="A1" s="1" t="s">
        <v>0</v>
      </c>
    </row>
    <row r="3" spans="1:2">
      <c r="A3" s="1" t="s">
        <v>1</v>
      </c>
      <c r="B3" t="s">
        <v>11</v>
      </c>
    </row>
    <row r="4" spans="1:2">
      <c r="A4" s="1"/>
      <c r="B4" s="4">
        <v>2005</v>
      </c>
    </row>
    <row r="5" spans="1:2">
      <c r="A5" s="1"/>
      <c r="B5" t="s">
        <v>12</v>
      </c>
    </row>
    <row r="6" spans="1:2">
      <c r="A6" s="1"/>
      <c r="B6" s="5" t="s">
        <v>13</v>
      </c>
    </row>
    <row r="7" spans="1:2">
      <c r="A7" s="1"/>
      <c r="B7" t="s">
        <v>14</v>
      </c>
    </row>
    <row r="9" spans="1:2" s="12" customFormat="1">
      <c r="A9" s="10"/>
      <c r="B9" s="13" t="s">
        <v>50</v>
      </c>
    </row>
    <row r="10" spans="1:2" s="12" customFormat="1">
      <c r="B10" s="11" t="s">
        <v>52</v>
      </c>
    </row>
    <row r="11" spans="1:2" s="12" customFormat="1">
      <c r="B11" s="11">
        <v>2006</v>
      </c>
    </row>
    <row r="12" spans="1:2" s="12" customFormat="1">
      <c r="B12" s="11" t="s">
        <v>51</v>
      </c>
    </row>
    <row r="13" spans="1:2">
      <c r="B13" t="s">
        <v>53</v>
      </c>
    </row>
  </sheetData>
  <phoneticPr fontId="3" type="noConversion"/>
  <hyperlinks>
    <hyperlink ref="B6" r:id="rId1" xr:uid="{00000000-0004-0000-00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3.5"/>
  <cols>
    <col min="2" max="2" width="19" customWidth="1"/>
  </cols>
  <sheetData>
    <row r="1" spans="1:3">
      <c r="A1" s="1" t="s">
        <v>4</v>
      </c>
    </row>
    <row r="2" spans="1:3">
      <c r="A2">
        <v>2.1</v>
      </c>
      <c r="B2" t="s">
        <v>5</v>
      </c>
      <c r="C2" t="s">
        <v>6</v>
      </c>
    </row>
    <row r="3" spans="1:3">
      <c r="A3">
        <v>3.1</v>
      </c>
      <c r="B3" t="s">
        <v>5</v>
      </c>
      <c r="C3" t="s">
        <v>7</v>
      </c>
    </row>
    <row r="4" spans="1:3">
      <c r="A4">
        <f>AVERAGE(A2:A3)</f>
        <v>2.6</v>
      </c>
      <c r="B4" t="s">
        <v>5</v>
      </c>
      <c r="C4" t="s">
        <v>8</v>
      </c>
    </row>
    <row r="6" spans="1:3">
      <c r="A6" s="3">
        <f>A4*10^6</f>
        <v>2600000</v>
      </c>
      <c r="B6" t="s">
        <v>9</v>
      </c>
      <c r="C6" t="s">
        <v>10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tabSelected="1" workbookViewId="0">
      <selection activeCell="B3" sqref="B3"/>
    </sheetView>
  </sheetViews>
  <sheetFormatPr defaultRowHeight="13.5"/>
  <cols>
    <col min="1" max="1" width="15.125" customWidth="1"/>
    <col min="2" max="2" width="16.5" customWidth="1"/>
  </cols>
  <sheetData>
    <row r="1" spans="1:2">
      <c r="B1" s="2" t="s">
        <v>3</v>
      </c>
    </row>
    <row r="2" spans="1:2">
      <c r="A2" t="s">
        <v>2</v>
      </c>
      <c r="B2" s="6">
        <f>Sheet1!J12</f>
        <v>189218.90178897453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Rui Wang</cp:lastModifiedBy>
  <dcterms:created xsi:type="dcterms:W3CDTF">2017-01-27T07:34:22Z</dcterms:created>
  <dcterms:modified xsi:type="dcterms:W3CDTF">2026-05-08T07:12:55Z</dcterms:modified>
</cp:coreProperties>
</file>