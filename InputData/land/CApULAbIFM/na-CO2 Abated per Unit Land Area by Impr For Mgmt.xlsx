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ramming\EPS\Github Push\China\eps-china2019-smart-trans\InputData\land\CApULAbIFM\"/>
    </mc:Choice>
  </mc:AlternateContent>
  <xr:revisionPtr revIDLastSave="0" documentId="13_ncr:1_{215731E3-406A-4E25-BD44-958B38DCC3C8}" xr6:coauthVersionLast="47" xr6:coauthVersionMax="47" xr10:uidLastSave="{00000000-0000-0000-0000-000000000000}"/>
  <bookViews>
    <workbookView xWindow="4755" yWindow="2235" windowWidth="21600" windowHeight="11385" activeTab="1" xr2:uid="{00000000-000D-0000-FFFF-FFFF00000000}"/>
  </bookViews>
  <sheets>
    <sheet name="Sheet1" sheetId="5" r:id="rId1"/>
    <sheet name="About" sheetId="1" r:id="rId2"/>
    <sheet name="Calculations" sheetId="4" r:id="rId3"/>
    <sheet name="CApULAbIFM" sheetId="3" r:id="rId4"/>
  </sheets>
  <externalReferences>
    <externalReference r:id="rId5"/>
    <externalReference r:id="rId6"/>
  </externalReferences>
  <definedNames>
    <definedName name="acres_per_hectare">#REF!</definedName>
    <definedName name="acres_per_million_hectares">#REF!</definedName>
    <definedName name="C_to_CO2">'[2]Conversion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I8" i="5"/>
  <c r="I9" i="5" s="1"/>
  <c r="A4" i="4"/>
  <c r="A6" i="4" s="1"/>
</calcChain>
</file>

<file path=xl/sharedStrings.xml><?xml version="1.0" encoding="utf-8"?>
<sst xmlns="http://schemas.openxmlformats.org/spreadsheetml/2006/main" count="66" uniqueCount="64">
  <si>
    <t>CApULAbIFM CO2 Abated per Unit Land Area by Improved Forest Management</t>
  </si>
  <si>
    <t>Source:</t>
  </si>
  <si>
    <t>CO2 Abated (g)</t>
  </si>
  <si>
    <t>Per Acre</t>
  </si>
  <si>
    <t>Increased Annual CO2 Sequestration Achievable by Improved Management Practices per Acre</t>
  </si>
  <si>
    <t>tons CO2 / acre / yr</t>
  </si>
  <si>
    <t>Low Estimate</t>
  </si>
  <si>
    <t>High Estimate</t>
  </si>
  <si>
    <t>Average</t>
  </si>
  <si>
    <t>g CO2 / acre / yr</t>
  </si>
  <si>
    <t>Average, converted to grams CO2</t>
  </si>
  <si>
    <t>U.S. EPA</t>
  </si>
  <si>
    <t>Greenhouse Gas Mitigation Potential in U.S. Forestry and Agriculture</t>
  </si>
  <si>
    <t>http://www.epa.gov/climate/climatechange/Downloads/ccs/ghg_mitigation_forestry_ag_2005.pdf</t>
  </si>
  <si>
    <t>Page 2-3, Table 2-1</t>
  </si>
  <si>
    <r>
      <rPr>
        <sz val="11"/>
        <rFont val="SimSun"/>
        <charset val="134"/>
      </rPr>
      <t>年份</t>
    </r>
    <r>
      <rPr>
        <sz val="11"/>
        <rFont val="Times New Roman"/>
        <family val="1"/>
      </rPr>
      <t xml:space="preserve"> Year</t>
    </r>
  </si>
  <si>
    <r>
      <rPr>
        <sz val="11"/>
        <rFont val="SimSun"/>
        <charset val="134"/>
      </rPr>
      <t>造林总面积</t>
    </r>
    <r>
      <rPr>
        <sz val="11"/>
        <rFont val="Times New Roman"/>
        <family val="1"/>
      </rPr>
      <t xml:space="preserve"> Total Area of Afforestation</t>
    </r>
  </si>
  <si>
    <r>
      <rPr>
        <sz val="11"/>
        <rFont val="SimSun"/>
        <charset val="134"/>
      </rPr>
      <t>人工造林</t>
    </r>
    <r>
      <rPr>
        <sz val="11"/>
        <rFont val="Times New Roman"/>
        <family val="1"/>
      </rPr>
      <t xml:space="preserve"> Manual Planting</t>
    </r>
  </si>
  <si>
    <r>
      <rPr>
        <sz val="11"/>
        <rFont val="SimSun"/>
        <charset val="134"/>
      </rPr>
      <t>飞播造林</t>
    </r>
    <r>
      <rPr>
        <sz val="11"/>
        <rFont val="Times New Roman"/>
        <family val="1"/>
      </rPr>
      <t xml:space="preserve"> Airplane Planting</t>
    </r>
  </si>
  <si>
    <r>
      <rPr>
        <sz val="11"/>
        <rFont val="SimSun"/>
        <charset val="134"/>
      </rPr>
      <t>封山育林</t>
    </r>
    <r>
      <rPr>
        <sz val="11"/>
        <rFont val="Times New Roman"/>
        <family val="1"/>
      </rPr>
      <t xml:space="preserve"> Closed Hillsides for Afforestation</t>
    </r>
  </si>
  <si>
    <r>
      <rPr>
        <sz val="11"/>
        <rFont val="SimSun"/>
        <charset val="134"/>
      </rPr>
      <t>退化林修复</t>
    </r>
    <r>
      <rPr>
        <sz val="11"/>
        <rFont val="Times New Roman"/>
        <family val="1"/>
      </rPr>
      <t xml:space="preserve"> Restoration of Degraded Forest</t>
    </r>
  </si>
  <si>
    <r>
      <rPr>
        <sz val="11"/>
        <rFont val="SimSun"/>
        <charset val="134"/>
      </rPr>
      <t>人工更新</t>
    </r>
    <r>
      <rPr>
        <sz val="11"/>
        <rFont val="Times New Roman"/>
        <family val="1"/>
      </rPr>
      <t xml:space="preserve"> Artificial Regeneration</t>
    </r>
  </si>
  <si>
    <t>指标</t>
  </si>
  <si>
    <t>趋势值 (万吨碳/年²)</t>
  </si>
  <si>
    <t>贡献占比 (相对于 NEPD​)</t>
  </si>
  <si>
    <t>2000</t>
  </si>
  <si>
    <t>森林抚育投入 (FTI)</t>
  </si>
  <si>
    <t xml:space="preserve">主导地位 (最大驱动力) </t>
  </si>
  <si>
    <t>2001</t>
  </si>
  <si>
    <t>封山育林 (MFR)</t>
  </si>
  <si>
    <t xml:space="preserve">重要补充 </t>
  </si>
  <si>
    <t>2002</t>
  </si>
  <si>
    <t>造林 (Afforestation)</t>
  </si>
  <si>
    <t xml:space="preserve">增速较慢 (受土地限制) </t>
  </si>
  <si>
    <t>2003</t>
  </si>
  <si>
    <t>2004</t>
  </si>
  <si>
    <t>2005</t>
  </si>
  <si>
    <t>2006</t>
  </si>
  <si>
    <t>万吨碳/年平方</t>
    <phoneticPr fontId="3" type="noConversion"/>
  </si>
  <si>
    <r>
      <t>森林抚育 (FTI):</t>
    </r>
    <r>
      <rPr>
        <sz val="11"/>
        <color theme="1"/>
        <rFont val="宋体"/>
        <family val="3"/>
        <charset val="134"/>
        <scheme val="minor"/>
      </rPr>
      <t xml:space="preserve"> </t>
    </r>
    <r>
      <rPr>
        <sz val="11"/>
        <color theme="1"/>
        <rFont val="宋体"/>
        <family val="2"/>
        <scheme val="minor"/>
      </rPr>
      <t>+553万吨/年2</t>
    </r>
  </si>
  <si>
    <t>2007</t>
  </si>
  <si>
    <t>gCO2/acre/year</t>
    <phoneticPr fontId="3" type="noConversion"/>
  </si>
  <si>
    <r>
      <t>封山育林 (MFR):</t>
    </r>
    <r>
      <rPr>
        <sz val="11"/>
        <color theme="1"/>
        <rFont val="宋体"/>
        <family val="3"/>
        <charset val="134"/>
        <scheme val="minor"/>
      </rPr>
      <t xml:space="preserve"> </t>
    </r>
    <r>
      <rPr>
        <sz val="11"/>
        <color theme="1"/>
        <rFont val="宋体"/>
        <family val="2"/>
        <scheme val="minor"/>
      </rPr>
      <t>+270万吨/年2</t>
    </r>
  </si>
  <si>
    <t>2008</t>
  </si>
  <si>
    <r>
      <t>造林 (Afforestation):</t>
    </r>
    <r>
      <rPr>
        <sz val="11"/>
        <color theme="1"/>
        <rFont val="宋体"/>
        <family val="3"/>
        <charset val="134"/>
        <scheme val="minor"/>
      </rPr>
      <t xml:space="preserve"> </t>
    </r>
    <r>
      <rPr>
        <sz val="11"/>
        <color theme="1"/>
        <rFont val="宋体"/>
        <family val="2"/>
        <scheme val="minor"/>
      </rPr>
      <t>+160万吨/年2</t>
    </r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</si>
  <si>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</si>
  <si>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</si>
  <si>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</si>
  <si>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</si>
  <si>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</si>
  <si>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</si>
  <si>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</si>
  <si>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</si>
  <si>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</si>
  <si>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</si>
  <si>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</si>
  <si>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</si>
  <si>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</si>
  <si>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</si>
  <si>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</si>
  <si>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Enhanced forest management rather than afforestation has dominated China’s carbon sink over recent decades</t>
  </si>
  <si>
    <t>https://doi.org/10.1038/s43247-025-03176-2</t>
  </si>
  <si>
    <r>
      <t>Zhang, M., He, H., Brandt, M. </t>
    </r>
    <r>
      <rPr>
        <i/>
        <sz val="11"/>
        <color rgb="FF222222"/>
        <rFont val="宋体"/>
        <family val="3"/>
        <charset val="134"/>
        <scheme val="major"/>
      </rPr>
      <t>et al.</t>
    </r>
    <r>
      <rPr>
        <sz val="11"/>
        <color rgb="FF222222"/>
        <rFont val="宋体"/>
        <family val="3"/>
        <charset val="134"/>
        <scheme val="major"/>
      </rPr>
      <t> </t>
    </r>
  </si>
  <si>
    <t>https://www.nature.com/articles/s43247-025-03176-2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</si>
</sst>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.000_ "/>
  </numFmts>
  <fonts count="12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Times New Roman"/>
      <family val="1"/>
    </font>
    <font>
      <sz val="11"/>
      <name val="SimSun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ajor"/>
    </font>
    <font>
      <sz val="11"/>
      <color theme="1"/>
      <name val="宋体"/>
      <family val="3"/>
      <charset val="134"/>
      <scheme val="major"/>
    </font>
    <font>
      <sz val="11"/>
      <color rgb="FF222222"/>
      <name val="宋体"/>
      <family val="3"/>
      <charset val="134"/>
      <scheme val="major"/>
    </font>
    <font>
      <i/>
      <sz val="11"/>
      <color rgb="FF222222"/>
      <name val="宋体"/>
      <family val="3"/>
      <charset val="134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4" fillId="0" borderId="0">
      <alignment vertical="center"/>
    </xf>
  </cellStyleXfs>
  <cellXfs count="30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1" fontId="0" fillId="0" borderId="0" xfId="0" applyNumberFormat="1"/>
    <xf numFmtId="0" fontId="0" fillId="0" borderId="0" xfId="0" applyAlignment="1">
      <alignment horizontal="left"/>
    </xf>
    <xf numFmtId="0" fontId="2" fillId="0" borderId="0" xfId="1"/>
    <xf numFmtId="176" fontId="0" fillId="0" borderId="0" xfId="0" applyNumberFormat="1"/>
    <xf numFmtId="0" fontId="5" fillId="0" borderId="1" xfId="2" applyFont="1" applyBorder="1" applyAlignment="1">
      <alignment vertical="center" wrapText="1"/>
    </xf>
    <xf numFmtId="0" fontId="5" fillId="0" borderId="2" xfId="2" applyFont="1" applyBorder="1" applyAlignment="1">
      <alignment vertical="center" wrapText="1"/>
    </xf>
    <xf numFmtId="0" fontId="5" fillId="0" borderId="3" xfId="2" applyFont="1" applyBorder="1" applyAlignment="1">
      <alignment horizontal="center" vertical="center" wrapText="1"/>
    </xf>
    <xf numFmtId="0" fontId="5" fillId="0" borderId="4" xfId="2" applyFont="1" applyBorder="1" applyAlignment="1">
      <alignment horizontal="center" vertical="center" wrapText="1"/>
    </xf>
    <xf numFmtId="0" fontId="4" fillId="0" borderId="0" xfId="2">
      <alignment vertical="center"/>
    </xf>
    <xf numFmtId="0" fontId="7" fillId="0" borderId="0" xfId="2" applyFont="1" applyAlignment="1">
      <alignment vertical="center" wrapText="1"/>
    </xf>
    <xf numFmtId="0" fontId="5" fillId="0" borderId="1" xfId="2" applyFont="1" applyBorder="1" applyAlignment="1">
      <alignment horizontal="center" vertical="center"/>
    </xf>
    <xf numFmtId="0" fontId="5" fillId="0" borderId="2" xfId="2" applyFont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4" fillId="0" borderId="0" xfId="2" applyAlignment="1">
      <alignment vertical="center" wrapText="1"/>
    </xf>
    <xf numFmtId="0" fontId="5" fillId="0" borderId="6" xfId="2" applyFont="1" applyBorder="1" applyAlignment="1">
      <alignment horizontal="center" vertical="center"/>
    </xf>
    <xf numFmtId="0" fontId="5" fillId="0" borderId="7" xfId="2" applyFont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176" fontId="4" fillId="0" borderId="0" xfId="2" applyNumberFormat="1">
      <alignment vertical="center"/>
    </xf>
    <xf numFmtId="177" fontId="4" fillId="0" borderId="0" xfId="2" applyNumberFormat="1">
      <alignment vertical="center"/>
    </xf>
    <xf numFmtId="0" fontId="7" fillId="0" borderId="0" xfId="2" applyFont="1">
      <alignment vertical="center"/>
    </xf>
    <xf numFmtId="0" fontId="5" fillId="0" borderId="8" xfId="2" applyFont="1" applyBorder="1" applyAlignment="1">
      <alignment horizontal="center" vertical="center"/>
    </xf>
    <xf numFmtId="0" fontId="5" fillId="0" borderId="9" xfId="2" applyFont="1" applyBorder="1" applyAlignment="1">
      <alignment horizontal="center" vertical="center"/>
    </xf>
    <xf numFmtId="0" fontId="5" fillId="0" borderId="10" xfId="2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10" fillId="2" borderId="0" xfId="0" applyFont="1" applyFill="1" applyAlignment="1">
      <alignment horizontal="left" vertical="center"/>
    </xf>
  </cellXfs>
  <cellStyles count="3">
    <cellStyle name="常规" xfId="0" builtinId="0"/>
    <cellStyle name="常规 2 2" xfId="2" xr:uid="{C31B4250-04D2-4FA7-9990-8D6A3FEC8DB9}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LANAbPiaSY/cn-Potential%20Land%20Area%20Newly%20Affected%20by%20Pol%20in%20a%20Single%20Yr.xlsx" TargetMode="External"/><Relationship Id="rId2" Type="http://schemas.openxmlformats.org/officeDocument/2006/relationships/externalLinkPath" Target="file:///D:\Programming\EPS\Github%20Push\China\eps-china2019-smart-trans\InputData\land\PLANAbPiaSY\cn-Potential%20Land%20Area%20Newly%20Affected%20by%20Pol%20in%20a%20Single%20Yr.xlsx" TargetMode="External"/><Relationship Id="rId1" Type="http://schemas.openxmlformats.org/officeDocument/2006/relationships/externalLinkPath" Target="/Programming/EPS/Github%20Push/China/eps-china2019-smart-trans/InputData/land/PLANAbPiaSY/cn-Potential%20Land%20Area%20Newly%20Affected%20by%20Pol%20in%20a%20Single%20Y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jeff-nonadmin\Dropbox%20(Energy%20InNovation)\Desktop\Old%20U.S.%20land\VFC\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Aforestation by province"/>
      <sheetName val="2020-2023national total"/>
      <sheetName val="set asides_2014to2018"/>
      <sheetName val="Calculation"/>
      <sheetName val="Sheet1"/>
      <sheetName val="Yearbook Stats"/>
      <sheetName val="PLANAbPiaS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</sheetNames>
    <sheetDataSet>
      <sheetData sheetId="0">
        <row r="4">
          <cell r="A4">
            <v>3.6666666666666665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pa.gov/climate/climatechange/Downloads/ccs/ghg_mitigation_forestry_ag_2005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655D3-6B71-4957-A8FA-B4ABCA4B01DB}">
  <dimension ref="A1:K25"/>
  <sheetViews>
    <sheetView workbookViewId="0">
      <selection activeCell="J10" sqref="J10"/>
    </sheetView>
  </sheetViews>
  <sheetFormatPr defaultRowHeight="13.5"/>
  <cols>
    <col min="1" max="8" width="9" style="11"/>
    <col min="9" max="9" width="33.875" style="20" customWidth="1"/>
    <col min="10" max="11" width="33.875" style="11" customWidth="1"/>
    <col min="12" max="16384" width="9" style="11"/>
  </cols>
  <sheetData>
    <row r="1" spans="1:11" ht="90.75" thickBot="1">
      <c r="A1" s="7" t="s">
        <v>15</v>
      </c>
      <c r="B1" s="8" t="s">
        <v>16</v>
      </c>
      <c r="C1" s="9" t="s">
        <v>17</v>
      </c>
      <c r="D1" s="9" t="s">
        <v>18</v>
      </c>
      <c r="E1" s="9" t="s">
        <v>19</v>
      </c>
      <c r="F1" s="9" t="s">
        <v>20</v>
      </c>
      <c r="G1" s="10" t="s">
        <v>21</v>
      </c>
      <c r="I1" s="12" t="s">
        <v>22</v>
      </c>
      <c r="J1" s="12" t="s">
        <v>23</v>
      </c>
      <c r="K1" s="12" t="s">
        <v>24</v>
      </c>
    </row>
    <row r="2" spans="1:11" ht="15">
      <c r="A2" s="13" t="s">
        <v>25</v>
      </c>
      <c r="B2" s="14">
        <v>510.5</v>
      </c>
      <c r="C2" s="15">
        <v>434.5</v>
      </c>
      <c r="D2" s="15">
        <v>76</v>
      </c>
      <c r="E2" s="15"/>
      <c r="F2" s="15"/>
      <c r="G2" s="15"/>
      <c r="I2" s="12" t="s">
        <v>26</v>
      </c>
      <c r="J2" s="16">
        <v>553</v>
      </c>
      <c r="K2" s="16" t="s">
        <v>27</v>
      </c>
    </row>
    <row r="3" spans="1:11" ht="15">
      <c r="A3" s="17" t="s">
        <v>28</v>
      </c>
      <c r="B3" s="18">
        <v>495.3</v>
      </c>
      <c r="C3" s="19">
        <v>397.7</v>
      </c>
      <c r="D3" s="19">
        <v>97.6</v>
      </c>
      <c r="E3" s="19">
        <v>121.77</v>
      </c>
      <c r="F3" s="19"/>
      <c r="G3" s="19"/>
      <c r="I3" s="12" t="s">
        <v>29</v>
      </c>
      <c r="J3" s="16">
        <v>270</v>
      </c>
      <c r="K3" s="16" t="s">
        <v>30</v>
      </c>
    </row>
    <row r="4" spans="1:11" ht="15">
      <c r="A4" s="17" t="s">
        <v>31</v>
      </c>
      <c r="B4" s="18">
        <v>777.1</v>
      </c>
      <c r="C4" s="19">
        <v>689.6</v>
      </c>
      <c r="D4" s="19">
        <v>87.5</v>
      </c>
      <c r="E4" s="19">
        <v>61.3</v>
      </c>
      <c r="F4" s="19"/>
      <c r="G4" s="19"/>
      <c r="I4" s="12" t="s">
        <v>32</v>
      </c>
      <c r="J4" s="16">
        <v>160</v>
      </c>
      <c r="K4" s="16" t="s">
        <v>33</v>
      </c>
    </row>
    <row r="5" spans="1:11" ht="15">
      <c r="A5" s="17" t="s">
        <v>34</v>
      </c>
      <c r="B5" s="18">
        <v>911.9</v>
      </c>
      <c r="C5" s="19">
        <v>843.2</v>
      </c>
      <c r="D5" s="19">
        <v>68.599999999999994</v>
      </c>
      <c r="E5" s="19">
        <v>179.5</v>
      </c>
      <c r="F5" s="19"/>
      <c r="G5" s="19"/>
    </row>
    <row r="6" spans="1:11" ht="15">
      <c r="A6" s="17" t="s">
        <v>35</v>
      </c>
      <c r="B6" s="18">
        <v>679.5</v>
      </c>
      <c r="C6" s="19">
        <v>501.9</v>
      </c>
      <c r="D6" s="19">
        <v>57.9</v>
      </c>
      <c r="E6" s="19">
        <v>119.7</v>
      </c>
      <c r="F6" s="19"/>
      <c r="G6" s="19"/>
    </row>
    <row r="7" spans="1:11" ht="15">
      <c r="A7" s="17" t="s">
        <v>36</v>
      </c>
      <c r="B7" s="18">
        <v>540.4</v>
      </c>
      <c r="C7" s="19">
        <v>323.2</v>
      </c>
      <c r="D7" s="19">
        <v>41.6</v>
      </c>
      <c r="E7" s="19">
        <v>175.6</v>
      </c>
      <c r="F7" s="19"/>
      <c r="G7" s="19"/>
    </row>
    <row r="8" spans="1:11" ht="15">
      <c r="A8" s="17" t="s">
        <v>37</v>
      </c>
      <c r="B8" s="18">
        <v>383.9</v>
      </c>
      <c r="C8" s="19">
        <v>244.6</v>
      </c>
      <c r="D8" s="19">
        <v>27.2</v>
      </c>
      <c r="E8" s="19">
        <v>112.1</v>
      </c>
      <c r="F8" s="19"/>
      <c r="G8" s="19"/>
      <c r="I8" s="21">
        <f>270/AVERAGE(E3:E22)</f>
        <v>1.7031100682190197</v>
      </c>
      <c r="J8" s="11" t="s">
        <v>38</v>
      </c>
      <c r="K8" s="22" t="s">
        <v>39</v>
      </c>
    </row>
    <row r="9" spans="1:11" ht="15">
      <c r="A9" s="17" t="s">
        <v>40</v>
      </c>
      <c r="B9" s="18">
        <v>390.8</v>
      </c>
      <c r="C9" s="19">
        <v>273.89999999999998</v>
      </c>
      <c r="D9" s="19">
        <v>11.9</v>
      </c>
      <c r="E9" s="19">
        <v>105.1</v>
      </c>
      <c r="F9" s="19"/>
      <c r="G9" s="19"/>
      <c r="I9" s="20">
        <f>I8/150000*10^10*3.67</f>
        <v>416694.26335758681</v>
      </c>
      <c r="J9" s="11" t="s">
        <v>41</v>
      </c>
      <c r="K9" s="22" t="s">
        <v>42</v>
      </c>
    </row>
    <row r="10" spans="1:11" ht="15">
      <c r="A10" s="17" t="s">
        <v>43</v>
      </c>
      <c r="B10" s="18">
        <v>535.4</v>
      </c>
      <c r="C10" s="19">
        <v>368.5</v>
      </c>
      <c r="D10" s="19">
        <v>15.4</v>
      </c>
      <c r="E10" s="19">
        <v>151.5</v>
      </c>
      <c r="F10" s="19"/>
      <c r="G10" s="19"/>
      <c r="K10" s="22" t="s">
        <v>44</v>
      </c>
    </row>
    <row r="11" spans="1:11" ht="15">
      <c r="A11" s="17" t="s">
        <v>45</v>
      </c>
      <c r="B11" s="18">
        <v>626.20000000000005</v>
      </c>
      <c r="C11" s="19">
        <v>415.6</v>
      </c>
      <c r="D11" s="19">
        <v>22.6</v>
      </c>
      <c r="E11" s="19">
        <v>188</v>
      </c>
      <c r="F11" s="19"/>
      <c r="G11" s="19"/>
    </row>
    <row r="12" spans="1:11" ht="15">
      <c r="A12" s="17" t="s">
        <v>46</v>
      </c>
      <c r="B12" s="18">
        <v>591</v>
      </c>
      <c r="C12" s="19">
        <v>387.3</v>
      </c>
      <c r="D12" s="19">
        <v>19.600000000000001</v>
      </c>
      <c r="E12" s="19">
        <v>184.1</v>
      </c>
      <c r="F12" s="19"/>
      <c r="G12" s="19"/>
    </row>
    <row r="13" spans="1:11" ht="15">
      <c r="A13" s="17" t="s">
        <v>47</v>
      </c>
      <c r="B13" s="18">
        <v>599.70000000000005</v>
      </c>
      <c r="C13" s="19">
        <v>406.6</v>
      </c>
      <c r="D13" s="19">
        <v>19.7</v>
      </c>
      <c r="E13" s="19">
        <v>173.4</v>
      </c>
      <c r="F13" s="19"/>
      <c r="G13" s="19"/>
    </row>
    <row r="14" spans="1:11" ht="15">
      <c r="A14" s="17" t="s">
        <v>48</v>
      </c>
      <c r="B14" s="18">
        <v>559.6</v>
      </c>
      <c r="C14" s="19">
        <v>382.1</v>
      </c>
      <c r="D14" s="19">
        <v>13.6</v>
      </c>
      <c r="E14" s="19">
        <v>163.9</v>
      </c>
      <c r="F14" s="19"/>
      <c r="G14" s="19"/>
    </row>
    <row r="15" spans="1:11" ht="15">
      <c r="A15" s="17" t="s">
        <v>49</v>
      </c>
      <c r="B15" s="18">
        <v>610</v>
      </c>
      <c r="C15" s="19">
        <v>421</v>
      </c>
      <c r="D15" s="19">
        <v>15.4</v>
      </c>
      <c r="E15" s="19">
        <v>173.6</v>
      </c>
      <c r="F15" s="19"/>
      <c r="G15" s="19"/>
    </row>
    <row r="16" spans="1:11" ht="15">
      <c r="A16" s="17" t="s">
        <v>50</v>
      </c>
      <c r="B16" s="18">
        <v>555</v>
      </c>
      <c r="C16" s="19">
        <v>405.3</v>
      </c>
      <c r="D16" s="19">
        <v>10.8</v>
      </c>
      <c r="E16" s="19">
        <v>138.9</v>
      </c>
      <c r="F16" s="19"/>
      <c r="G16" s="19"/>
    </row>
    <row r="17" spans="1:7" ht="15">
      <c r="A17" s="17" t="s">
        <v>51</v>
      </c>
      <c r="B17" s="18">
        <v>768.4</v>
      </c>
      <c r="C17" s="19">
        <v>436.3</v>
      </c>
      <c r="D17" s="19">
        <v>12.8</v>
      </c>
      <c r="E17" s="19">
        <v>215.3</v>
      </c>
      <c r="F17" s="19">
        <v>73.900000000000006</v>
      </c>
      <c r="G17" s="19">
        <v>30.1</v>
      </c>
    </row>
    <row r="18" spans="1:7" ht="15">
      <c r="A18" s="17" t="s">
        <v>52</v>
      </c>
      <c r="B18" s="18">
        <v>720.4</v>
      </c>
      <c r="C18" s="19">
        <v>382.4</v>
      </c>
      <c r="D18" s="19">
        <v>16.2</v>
      </c>
      <c r="E18" s="19">
        <v>195.4</v>
      </c>
      <c r="F18" s="19">
        <v>99.1</v>
      </c>
      <c r="G18" s="19">
        <v>27.3</v>
      </c>
    </row>
    <row r="19" spans="1:7" ht="15">
      <c r="A19" s="17" t="s">
        <v>53</v>
      </c>
      <c r="B19" s="18">
        <v>768.1</v>
      </c>
      <c r="C19" s="19">
        <v>429.6</v>
      </c>
      <c r="D19" s="19">
        <v>14.1</v>
      </c>
      <c r="E19" s="19">
        <v>165.7</v>
      </c>
      <c r="F19" s="19">
        <v>128.1</v>
      </c>
      <c r="G19" s="19">
        <v>30.5</v>
      </c>
    </row>
    <row r="20" spans="1:7" ht="15">
      <c r="A20" s="17" t="s">
        <v>54</v>
      </c>
      <c r="B20" s="18">
        <v>729.9</v>
      </c>
      <c r="C20" s="19">
        <v>367.8</v>
      </c>
      <c r="D20" s="19">
        <v>13.5</v>
      </c>
      <c r="E20" s="19">
        <v>178.5</v>
      </c>
      <c r="F20" s="19">
        <v>132.9</v>
      </c>
      <c r="G20" s="19">
        <v>37.200000000000003</v>
      </c>
    </row>
    <row r="21" spans="1:7" ht="15">
      <c r="A21" s="17" t="s">
        <v>55</v>
      </c>
      <c r="B21" s="18">
        <v>739</v>
      </c>
      <c r="C21" s="19">
        <v>345.8</v>
      </c>
      <c r="D21" s="19">
        <v>12.6</v>
      </c>
      <c r="E21" s="19">
        <v>189.8</v>
      </c>
      <c r="F21" s="19">
        <v>153.80000000000001</v>
      </c>
      <c r="G21" s="19">
        <v>37</v>
      </c>
    </row>
    <row r="22" spans="1:7" ht="15">
      <c r="A22" s="17" t="s">
        <v>56</v>
      </c>
      <c r="B22" s="18">
        <v>693.4</v>
      </c>
      <c r="C22" s="19">
        <v>300</v>
      </c>
      <c r="D22" s="19">
        <v>15.1</v>
      </c>
      <c r="E22" s="19">
        <v>177.5</v>
      </c>
      <c r="F22" s="19">
        <v>162</v>
      </c>
      <c r="G22" s="19">
        <v>38.799999999999997</v>
      </c>
    </row>
    <row r="23" spans="1:7" ht="15">
      <c r="A23" s="17" t="s">
        <v>57</v>
      </c>
      <c r="B23" s="18">
        <v>375.4</v>
      </c>
      <c r="C23" s="19">
        <v>108.5</v>
      </c>
      <c r="D23" s="19">
        <v>17.2</v>
      </c>
      <c r="E23" s="19">
        <v>123.5</v>
      </c>
      <c r="F23" s="19">
        <v>101.1</v>
      </c>
      <c r="G23" s="19">
        <v>25.1</v>
      </c>
    </row>
    <row r="24" spans="1:7" ht="15">
      <c r="A24" s="17" t="s">
        <v>58</v>
      </c>
      <c r="B24" s="18">
        <v>420.3</v>
      </c>
      <c r="C24" s="19">
        <v>93.1</v>
      </c>
      <c r="D24" s="19">
        <v>16.600000000000001</v>
      </c>
      <c r="E24" s="19">
        <v>105.7</v>
      </c>
      <c r="F24" s="19">
        <v>158.30000000000001</v>
      </c>
      <c r="G24" s="19">
        <v>46.6</v>
      </c>
    </row>
    <row r="25" spans="1:7" ht="15.75" thickBot="1">
      <c r="A25" s="23" t="s">
        <v>59</v>
      </c>
      <c r="B25" s="24">
        <v>463.6</v>
      </c>
      <c r="C25" s="25">
        <v>101.4</v>
      </c>
      <c r="D25" s="25">
        <v>6.7</v>
      </c>
      <c r="E25" s="25">
        <v>113.3</v>
      </c>
      <c r="F25" s="25">
        <v>179.6</v>
      </c>
      <c r="G25" s="25">
        <v>62.6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B22" sqref="B22"/>
    </sheetView>
  </sheetViews>
  <sheetFormatPr defaultRowHeight="13.5"/>
  <cols>
    <col min="2" max="2" width="108.125" customWidth="1"/>
  </cols>
  <sheetData>
    <row r="1" spans="1:2">
      <c r="A1" s="1" t="s">
        <v>0</v>
      </c>
    </row>
    <row r="3" spans="1:2">
      <c r="A3" s="1" t="s">
        <v>1</v>
      </c>
      <c r="B3" t="s">
        <v>11</v>
      </c>
    </row>
    <row r="4" spans="1:2">
      <c r="A4" s="1"/>
      <c r="B4" s="4">
        <v>2005</v>
      </c>
    </row>
    <row r="5" spans="1:2">
      <c r="A5" s="1"/>
      <c r="B5" t="s">
        <v>12</v>
      </c>
    </row>
    <row r="6" spans="1:2">
      <c r="A6" s="1"/>
      <c r="B6" s="5" t="s">
        <v>13</v>
      </c>
    </row>
    <row r="7" spans="1:2">
      <c r="A7" s="1"/>
      <c r="B7" t="s">
        <v>14</v>
      </c>
    </row>
    <row r="9" spans="1:2" s="28" customFormat="1">
      <c r="A9" s="26"/>
      <c r="B9" s="29" t="s">
        <v>60</v>
      </c>
    </row>
    <row r="10" spans="1:2" s="28" customFormat="1">
      <c r="B10" s="27" t="s">
        <v>62</v>
      </c>
    </row>
    <row r="11" spans="1:2" s="28" customFormat="1">
      <c r="B11" s="27">
        <v>2006</v>
      </c>
    </row>
    <row r="12" spans="1:2" s="28" customFormat="1">
      <c r="B12" s="27" t="s">
        <v>61</v>
      </c>
    </row>
    <row r="13" spans="1:2">
      <c r="B13" t="s">
        <v>63</v>
      </c>
    </row>
  </sheetData>
  <phoneticPr fontId="3" type="noConversion"/>
  <hyperlinks>
    <hyperlink ref="B6" r:id="rId1" xr:uid="{00000000-0004-0000-00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/>
  </sheetViews>
  <sheetFormatPr defaultRowHeight="13.5"/>
  <cols>
    <col min="2" max="2" width="19" customWidth="1"/>
  </cols>
  <sheetData>
    <row r="1" spans="1:3">
      <c r="A1" s="1" t="s">
        <v>4</v>
      </c>
    </row>
    <row r="2" spans="1:3">
      <c r="A2">
        <v>2.1</v>
      </c>
      <c r="B2" t="s">
        <v>5</v>
      </c>
      <c r="C2" t="s">
        <v>6</v>
      </c>
    </row>
    <row r="3" spans="1:3">
      <c r="A3">
        <v>3.1</v>
      </c>
      <c r="B3" t="s">
        <v>5</v>
      </c>
      <c r="C3" t="s">
        <v>7</v>
      </c>
    </row>
    <row r="4" spans="1:3">
      <c r="A4">
        <f>AVERAGE(A2:A3)</f>
        <v>2.6</v>
      </c>
      <c r="B4" t="s">
        <v>5</v>
      </c>
      <c r="C4" t="s">
        <v>8</v>
      </c>
    </row>
    <row r="6" spans="1:3">
      <c r="A6" s="3">
        <f>A4*10^6</f>
        <v>2600000</v>
      </c>
      <c r="B6" t="s">
        <v>9</v>
      </c>
      <c r="C6" t="s">
        <v>10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3" sqref="B3"/>
    </sheetView>
  </sheetViews>
  <sheetFormatPr defaultRowHeight="13.5"/>
  <cols>
    <col min="1" max="1" width="15.125" customWidth="1"/>
    <col min="2" max="2" width="16.5" customWidth="1"/>
  </cols>
  <sheetData>
    <row r="1" spans="1:2">
      <c r="B1" s="2" t="s">
        <v>3</v>
      </c>
    </row>
    <row r="2" spans="1:2">
      <c r="A2" t="s">
        <v>2</v>
      </c>
      <c r="B2" s="6">
        <f>Sheet1!I9</f>
        <v>416694.26335758681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About</vt:lpstr>
      <vt:lpstr>Calculations</vt:lpstr>
      <vt:lpstr>CApULAbIFM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Rui Wang</cp:lastModifiedBy>
  <dcterms:created xsi:type="dcterms:W3CDTF">2017-01-27T07:34:22Z</dcterms:created>
  <dcterms:modified xsi:type="dcterms:W3CDTF">2026-04-24T13:07:29Z</dcterms:modified>
</cp:coreProperties>
</file>