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CSC\2021年\EI三期\EPS模型\更新数据\新建文件夹\"/>
    </mc:Choice>
  </mc:AlternateContent>
  <xr:revisionPtr revIDLastSave="0" documentId="13_ncr:1_{7C1B4A01-1362-4903-95E9-6ED89F4A60F0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About" sheetId="1" r:id="rId1"/>
    <sheet name="Data" sheetId="2" r:id="rId2"/>
    <sheet name="Data-new" sheetId="4" r:id="rId3"/>
    <sheet name="FoFObE" sheetId="3" r:id="rId4"/>
  </sheets>
  <calcPr calcId="181029"/>
</workbook>
</file>

<file path=xl/calcChain.xml><?xml version="1.0" encoding="utf-8"?>
<calcChain xmlns="http://schemas.openxmlformats.org/spreadsheetml/2006/main">
  <c r="D12" i="4" l="1"/>
  <c r="E11" i="4" s="1"/>
  <c r="B3" i="3"/>
  <c r="B4" i="3"/>
  <c r="B2" i="3"/>
  <c r="E10" i="4" l="1"/>
</calcChain>
</file>

<file path=xl/sharedStrings.xml><?xml version="1.0" encoding="utf-8"?>
<sst xmlns="http://schemas.openxmlformats.org/spreadsheetml/2006/main" count="37" uniqueCount="32">
  <si>
    <t>FoFObE Fraction of Forests Owned by Entity</t>
  </si>
  <si>
    <t>Source:</t>
  </si>
  <si>
    <t>government</t>
  </si>
  <si>
    <t>Notes</t>
  </si>
  <si>
    <t>Fraction of Forest Owned (dimensionless)</t>
  </si>
  <si>
    <t>2014-2018</t>
  </si>
  <si>
    <t>Forest Resources in China</t>
  </si>
  <si>
    <t>http://english.forestry.gov.cn/index.php?option=com_content&amp;view=article&amp;id=2:forest-resources-in-china&amp;catid=10&amp;Itemid=134#:~:text=The%20forestland%20in%20China%20is,%2Downed%20forestland%2C%20of%20which%2C&amp;text=State%2Downed%20forestland%20is%20124,for%2040%25%20of%20the%20total%2C&amp;text=Collectively%2Downed%20forestland%20is%20186,for%2060%25%20of%20the%20total.&amp;text=Low%2Dquality%20forests%20take%20up%2013%25.</t>
  </si>
  <si>
    <t xml:space="preserve">The amount of collectively-owned forestland is provided in the inventory. </t>
  </si>
  <si>
    <t xml:space="preserve">The 8th national forest inventory </t>
  </si>
  <si>
    <t>The amount of government-owned forest is provided in the inventory.</t>
  </si>
  <si>
    <t>Page 33:</t>
  </si>
  <si>
    <t>By the end of 2009, 64.7% of the total collective forest lands had been
clarified the rights and contracted to the farmer households</t>
  </si>
  <si>
    <t xml:space="preserve">China’s Strategy and Financing
For Forestry Sustainable Development </t>
  </si>
  <si>
    <t>https://www.un.org/esa/forests/wp-content/uploads/2014/12/China_case_study.pdf</t>
  </si>
  <si>
    <t xml:space="preserve">Source 1: </t>
  </si>
  <si>
    <t xml:space="preserve">We assume that 65% of collective-owned forestland was allocated to individual household, and the reminder is owned by industry. </t>
  </si>
  <si>
    <t>Ownership of Forest Land (%)</t>
  </si>
  <si>
    <t>State-owned</t>
  </si>
  <si>
    <t>Collective -owned</t>
  </si>
  <si>
    <t xml:space="preserve">    individual household share</t>
  </si>
  <si>
    <t>remainder of collective-owned</t>
  </si>
  <si>
    <t>nonenergy industries</t>
  </si>
  <si>
    <t>labor and consumers</t>
  </si>
  <si>
    <t>foreign entities</t>
  </si>
  <si>
    <t>electricity suppliers</t>
  </si>
  <si>
    <t>coal suppliers</t>
  </si>
  <si>
    <t>natural gas and petroleum suppliers</t>
  </si>
  <si>
    <t>biomass and biofuel suppliers</t>
  </si>
  <si>
    <t>other energy suppliers</t>
  </si>
  <si>
    <t>【2019年整理】林业概况 - 百度文库 (baidu.com)</t>
  </si>
  <si>
    <t>https://wenku.baidu.com/view/494ab4fc814d2b160b4e767f5acfa1c7ab008254.html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</si>
</sst>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2" fillId="0" borderId="0" xfId="1"/>
    <xf numFmtId="176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/>
    <xf numFmtId="0" fontId="1" fillId="0" borderId="0" xfId="0" applyFont="1" applyAlignment="1"/>
    <xf numFmtId="2" fontId="1" fillId="0" borderId="0" xfId="0" applyNumberFormat="1" applyFont="1"/>
    <xf numFmtId="2" fontId="0" fillId="0" borderId="0" xfId="0" applyNumberFormat="1"/>
    <xf numFmtId="9" fontId="0" fillId="0" borderId="0" xfId="0" applyNumberFormat="1"/>
    <xf numFmtId="9" fontId="0" fillId="2" borderId="0" xfId="0" applyNumberFormat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361949</xdr:colOff>
      <xdr:row>3</xdr:row>
      <xdr:rowOff>90682</xdr:rowOff>
    </xdr:from>
    <xdr:to>
      <xdr:col>14</xdr:col>
      <xdr:colOff>494425</xdr:colOff>
      <xdr:row>20</xdr:row>
      <xdr:rowOff>56745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08BA20C-9B3A-4DAD-99EF-7D87F5CCA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799" y="605032"/>
          <a:ext cx="6218951" cy="2880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un.org/esa/forests/wp-content/uploads/2014/12/China_case_study.pdf" TargetMode="External"/><Relationship Id="rId1" Type="http://schemas.openxmlformats.org/officeDocument/2006/relationships/hyperlink" Target="http://english.forestry.gov.cn/index.php?option=com_content&amp;view=article&amp;id=2:forest-resources-in-china&amp;catid=10&amp;Itemid=1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enku.baidu.com/view/494ab4fc814d2b160b4e767f5acfa1c7ab00825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D22" sqref="D22"/>
    </sheetView>
  </sheetViews>
  <sheetFormatPr defaultColWidth="8.875" defaultRowHeight="13.5" x14ac:dyDescent="0.15"/>
  <sheetData>
    <row r="1" spans="1:3" x14ac:dyDescent="0.15">
      <c r="A1" s="1" t="s">
        <v>0</v>
      </c>
    </row>
    <row r="3" spans="1:3" x14ac:dyDescent="0.15">
      <c r="A3" s="1" t="s">
        <v>1</v>
      </c>
      <c r="B3" t="s">
        <v>6</v>
      </c>
    </row>
    <row r="4" spans="1:3" x14ac:dyDescent="0.15">
      <c r="A4" s="1"/>
      <c r="B4" t="s">
        <v>9</v>
      </c>
    </row>
    <row r="5" spans="1:3" x14ac:dyDescent="0.15">
      <c r="B5" s="3" t="s">
        <v>5</v>
      </c>
    </row>
    <row r="6" spans="1:3" x14ac:dyDescent="0.15">
      <c r="B6" s="4" t="s">
        <v>7</v>
      </c>
    </row>
    <row r="8" spans="1:3" x14ac:dyDescent="0.15">
      <c r="A8" s="1" t="s">
        <v>3</v>
      </c>
    </row>
    <row r="9" spans="1:3" x14ac:dyDescent="0.15">
      <c r="A9" t="s">
        <v>10</v>
      </c>
    </row>
    <row r="10" spans="1:3" x14ac:dyDescent="0.15">
      <c r="A10" t="s">
        <v>8</v>
      </c>
    </row>
    <row r="13" spans="1:3" x14ac:dyDescent="0.15">
      <c r="A13" s="1" t="s">
        <v>15</v>
      </c>
      <c r="B13" s="8" t="s">
        <v>13</v>
      </c>
    </row>
    <row r="14" spans="1:3" x14ac:dyDescent="0.15">
      <c r="A14" s="1"/>
      <c r="B14" s="4" t="s">
        <v>14</v>
      </c>
    </row>
    <row r="15" spans="1:3" x14ac:dyDescent="0.15">
      <c r="A15" s="1"/>
      <c r="B15" t="s">
        <v>11</v>
      </c>
      <c r="C15" s="8" t="s">
        <v>12</v>
      </c>
    </row>
    <row r="17" spans="1:1" x14ac:dyDescent="0.15">
      <c r="A17" t="s">
        <v>16</v>
      </c>
    </row>
    <row r="21" spans="1:1" x14ac:dyDescent="0.15">
      <c r="A21" s="1"/>
    </row>
  </sheetData>
  <phoneticPr fontId="3" type="noConversion"/>
  <hyperlinks>
    <hyperlink ref="B6" r:id="rId1" location=":~:text=The%20forestland%20in%20China%20is,%2Downed%20forestland%2C%20of%20which%2C&amp;text=State%2Downed%20forestland%20is%20124,for%2040%25%20of%20the%20total%2C&amp;text=Collectively%2Downed%20forestland%20is%20186,for%2060%25%20of%20the%20total.&amp;text=Low%2Dquality%20forests%20take%20up%2013%25." display="http://english.forestry.gov.cn/index.php?option=com_content&amp;view=article&amp;id=2:forest-resources-in-china&amp;catid=10&amp;Itemid=134#:~:text=The%20forestland%20in%20China%20is,%2Downed%20forestland%2C%20of%20which%2C&amp;text=State%2Downed%20forestland%20is%20124,for%2040%25%20of%20the%20total%2C&amp;text=Collectively%2Downed%20forestland%20is%20186,for%2060%25%20of%20the%20total.&amp;text=Low%2Dquality%20forests%20take%20up%2013%25." xr:uid="{00000000-0004-0000-0000-000000000000}"/>
    <hyperlink ref="B14" r:id="rId2" xr:uid="{2E5F09B6-A2F0-7842-9D5A-684191B87258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activeCell="E16" sqref="E16"/>
    </sheetView>
  </sheetViews>
  <sheetFormatPr defaultColWidth="8.875" defaultRowHeight="13.5" x14ac:dyDescent="0.15"/>
  <cols>
    <col min="1" max="1" width="28.75" customWidth="1"/>
  </cols>
  <sheetData>
    <row r="1" spans="1:3" x14ac:dyDescent="0.15">
      <c r="A1" t="s">
        <v>17</v>
      </c>
    </row>
    <row r="2" spans="1:3" x14ac:dyDescent="0.15">
      <c r="B2" s="6"/>
    </row>
    <row r="3" spans="1:3" x14ac:dyDescent="0.15">
      <c r="A3" s="1" t="s">
        <v>18</v>
      </c>
      <c r="B3" s="10">
        <v>0.4</v>
      </c>
    </row>
    <row r="4" spans="1:3" x14ac:dyDescent="0.15">
      <c r="A4" s="9" t="s">
        <v>19</v>
      </c>
      <c r="B4" s="10">
        <v>0.6</v>
      </c>
    </row>
    <row r="5" spans="1:3" x14ac:dyDescent="0.15">
      <c r="A5" s="2" t="s">
        <v>20</v>
      </c>
      <c r="B5" s="11">
        <v>0.65</v>
      </c>
      <c r="C5" s="12"/>
    </row>
    <row r="6" spans="1:3" x14ac:dyDescent="0.15">
      <c r="A6" s="2" t="s">
        <v>21</v>
      </c>
      <c r="B6" s="11">
        <v>0.35</v>
      </c>
      <c r="C6" s="12"/>
    </row>
    <row r="7" spans="1:3" x14ac:dyDescent="0.15">
      <c r="A7" s="1"/>
      <c r="B7" s="1"/>
    </row>
    <row r="8" spans="1:3" x14ac:dyDescent="0.15">
      <c r="A8" s="2"/>
    </row>
    <row r="9" spans="1:3" x14ac:dyDescent="0.15">
      <c r="A9" s="2"/>
    </row>
    <row r="10" spans="1:3" x14ac:dyDescent="0.15">
      <c r="A10" s="2"/>
    </row>
    <row r="11" spans="1:3" x14ac:dyDescent="0.15">
      <c r="A11" s="1"/>
      <c r="B11" s="1"/>
    </row>
    <row r="12" spans="1:3" x14ac:dyDescent="0.15">
      <c r="A12" s="2"/>
    </row>
    <row r="13" spans="1:3" x14ac:dyDescent="0.15">
      <c r="A13" s="2"/>
    </row>
    <row r="14" spans="1:3" x14ac:dyDescent="0.15">
      <c r="A14" s="2"/>
    </row>
    <row r="15" spans="1:3" x14ac:dyDescent="0.15">
      <c r="A15" s="1"/>
      <c r="B15" s="1"/>
    </row>
    <row r="16" spans="1:3" x14ac:dyDescent="0.15">
      <c r="A16" s="2"/>
    </row>
    <row r="17" spans="1:7" x14ac:dyDescent="0.15">
      <c r="A17" s="2"/>
    </row>
    <row r="18" spans="1:7" x14ac:dyDescent="0.15">
      <c r="A18" s="2"/>
    </row>
    <row r="23" spans="1:7" x14ac:dyDescent="0.15">
      <c r="G23" s="4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4A44-008A-4CCC-8B33-F6FB815E416F}">
  <dimension ref="A1:G23"/>
  <sheetViews>
    <sheetView tabSelected="1" workbookViewId="0">
      <selection activeCell="B8" sqref="B8"/>
    </sheetView>
  </sheetViews>
  <sheetFormatPr defaultColWidth="8.875" defaultRowHeight="13.5" x14ac:dyDescent="0.15"/>
  <cols>
    <col min="1" max="1" width="28.75" customWidth="1"/>
  </cols>
  <sheetData>
    <row r="1" spans="1:5" x14ac:dyDescent="0.15">
      <c r="A1" t="s">
        <v>17</v>
      </c>
    </row>
    <row r="2" spans="1:5" x14ac:dyDescent="0.15">
      <c r="B2" s="6"/>
    </row>
    <row r="3" spans="1:5" x14ac:dyDescent="0.15">
      <c r="A3" s="1" t="s">
        <v>18</v>
      </c>
      <c r="B3" s="10">
        <v>0.4</v>
      </c>
    </row>
    <row r="4" spans="1:5" x14ac:dyDescent="0.15">
      <c r="A4" s="9" t="s">
        <v>19</v>
      </c>
      <c r="B4" s="10">
        <v>0.6</v>
      </c>
    </row>
    <row r="5" spans="1:5" x14ac:dyDescent="0.15">
      <c r="A5" s="2" t="s">
        <v>20</v>
      </c>
      <c r="B5" s="11">
        <v>0.65</v>
      </c>
      <c r="C5" s="13">
        <v>0.45</v>
      </c>
    </row>
    <row r="6" spans="1:5" x14ac:dyDescent="0.15">
      <c r="A6" s="2" t="s">
        <v>21</v>
      </c>
      <c r="B6" s="11">
        <v>0.35</v>
      </c>
      <c r="C6" s="13">
        <v>0.55000000000000004</v>
      </c>
    </row>
    <row r="7" spans="1:5" x14ac:dyDescent="0.15">
      <c r="A7" s="1"/>
      <c r="B7" s="1"/>
    </row>
    <row r="8" spans="1:5" x14ac:dyDescent="0.15">
      <c r="A8" s="2"/>
    </row>
    <row r="9" spans="1:5" x14ac:dyDescent="0.15">
      <c r="A9" s="2"/>
    </row>
    <row r="10" spans="1:5" x14ac:dyDescent="0.15">
      <c r="A10" s="2"/>
      <c r="D10">
        <v>28.54</v>
      </c>
      <c r="E10">
        <f>D10/D12</f>
        <v>0.47080171560541079</v>
      </c>
    </row>
    <row r="11" spans="1:5" x14ac:dyDescent="0.15">
      <c r="A11" s="1"/>
      <c r="B11" s="1"/>
      <c r="D11">
        <v>32.08</v>
      </c>
      <c r="E11">
        <f>D11/D12</f>
        <v>0.52919828439458927</v>
      </c>
    </row>
    <row r="12" spans="1:5" x14ac:dyDescent="0.15">
      <c r="A12" s="2"/>
      <c r="D12">
        <f>SUM(D10:D11)</f>
        <v>60.62</v>
      </c>
    </row>
    <row r="13" spans="1:5" x14ac:dyDescent="0.15">
      <c r="A13" s="2"/>
    </row>
    <row r="14" spans="1:5" x14ac:dyDescent="0.15">
      <c r="A14" s="2"/>
    </row>
    <row r="15" spans="1:5" x14ac:dyDescent="0.15">
      <c r="A15" s="1"/>
      <c r="B15" s="1"/>
    </row>
    <row r="16" spans="1:5" x14ac:dyDescent="0.15">
      <c r="A16" s="2"/>
    </row>
    <row r="17" spans="1:7" x14ac:dyDescent="0.15">
      <c r="A17" s="2"/>
    </row>
    <row r="18" spans="1:7" x14ac:dyDescent="0.15">
      <c r="A18" s="2"/>
    </row>
    <row r="22" spans="1:7" x14ac:dyDescent="0.15">
      <c r="G22" t="s">
        <v>30</v>
      </c>
    </row>
    <row r="23" spans="1:7" x14ac:dyDescent="0.15">
      <c r="G23" s="4" t="s">
        <v>31</v>
      </c>
    </row>
  </sheetData>
  <phoneticPr fontId="3" type="noConversion"/>
  <hyperlinks>
    <hyperlink ref="G23" r:id="rId1" xr:uid="{C3F96646-9BF0-4D0E-A8AD-2CD9EACB8955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0"/>
  <sheetViews>
    <sheetView workbookViewId="0">
      <selection activeCell="B3" sqref="B3"/>
    </sheetView>
  </sheetViews>
  <sheetFormatPr defaultColWidth="8.875" defaultRowHeight="13.5" x14ac:dyDescent="0.15"/>
  <cols>
    <col min="1" max="1" width="34.875" customWidth="1"/>
    <col min="2" max="2" width="23.75" customWidth="1"/>
  </cols>
  <sheetData>
    <row r="1" spans="1:2" ht="27" x14ac:dyDescent="0.15">
      <c r="B1" s="7" t="s">
        <v>4</v>
      </c>
    </row>
    <row r="2" spans="1:2" x14ac:dyDescent="0.15">
      <c r="A2" t="s">
        <v>2</v>
      </c>
      <c r="B2" s="5">
        <f>Data!B3</f>
        <v>0.4</v>
      </c>
    </row>
    <row r="3" spans="1:2" x14ac:dyDescent="0.15">
      <c r="A3" t="s">
        <v>22</v>
      </c>
      <c r="B3" s="5">
        <f>Data!B6*Data!B4</f>
        <v>0.21</v>
      </c>
    </row>
    <row r="4" spans="1:2" x14ac:dyDescent="0.15">
      <c r="A4" t="s">
        <v>23</v>
      </c>
      <c r="B4" s="5">
        <f>Data!B5*Data!B4</f>
        <v>0.39</v>
      </c>
    </row>
    <row r="5" spans="1:2" x14ac:dyDescent="0.15">
      <c r="A5" t="s">
        <v>24</v>
      </c>
      <c r="B5">
        <v>0</v>
      </c>
    </row>
    <row r="6" spans="1:2" x14ac:dyDescent="0.15">
      <c r="A6" t="s">
        <v>25</v>
      </c>
      <c r="B6">
        <v>0</v>
      </c>
    </row>
    <row r="7" spans="1:2" x14ac:dyDescent="0.15">
      <c r="A7" t="s">
        <v>26</v>
      </c>
      <c r="B7">
        <v>0</v>
      </c>
    </row>
    <row r="8" spans="1:2" x14ac:dyDescent="0.15">
      <c r="A8" t="s">
        <v>27</v>
      </c>
      <c r="B8">
        <v>0</v>
      </c>
    </row>
    <row r="9" spans="1:2" x14ac:dyDescent="0.15">
      <c r="A9" t="s">
        <v>28</v>
      </c>
      <c r="B9">
        <v>0</v>
      </c>
    </row>
    <row r="10" spans="1:2" x14ac:dyDescent="0.15">
      <c r="A10" t="s">
        <v>29</v>
      </c>
      <c r="B10">
        <v>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BD1DE36A36CC7845A4126EF01914151E" ma:contentTypeVersion="14" ma:contentTypeDescription="新建文档。" ma:contentTypeScope="" ma:versionID="310835f059701aa681930bc3a1715053">
  <xsd:schema xmlns:xsd="http://www.w3.org/2001/XMLSchema" xmlns:xs="http://www.w3.org/2001/XMLSchema" xmlns:p="http://schemas.microsoft.com/office/2006/metadata/properties" xmlns:ns1="http://schemas.microsoft.com/sharepoint/v3" xmlns:ns2="2e2398b5-f60e-4ca0-a4ba-6048b5e4e90c" xmlns:ns3="a06c533b-533a-4f75-b7db-110f073002e4" targetNamespace="http://schemas.microsoft.com/office/2006/metadata/properties" ma:root="true" ma:fieldsID="7ba933288dd05553e9ce0f804d4dc608" ns1:_="" ns2:_="" ns3:_="">
    <xsd:import namespace="http://schemas.microsoft.com/sharepoint/v3"/>
    <xsd:import namespace="2e2398b5-f60e-4ca0-a4ba-6048b5e4e90c"/>
    <xsd:import namespace="a06c533b-533a-4f75-b7db-110f07300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398b5-f60e-4ca0-a4ba-6048b5e4e9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c533b-533a-4f75-b7db-110f07300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845865-14F6-4B76-A7F6-679B903CA7A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5776286-E7E3-43A3-B7F4-D4071C3D65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2398b5-f60e-4ca0-a4ba-6048b5e4e90c"/>
    <ds:schemaRef ds:uri="a06c533b-533a-4f75-b7db-110f073002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8B3869-6847-4E63-B1D5-60951BA54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About</vt:lpstr>
      <vt:lpstr>Data</vt:lpstr>
      <vt:lpstr>Data-new</vt:lpstr>
      <vt:lpstr>FoFObE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ruc</cp:lastModifiedBy>
  <dcterms:created xsi:type="dcterms:W3CDTF">2015-08-05T23:45:13Z</dcterms:created>
  <dcterms:modified xsi:type="dcterms:W3CDTF">2021-07-09T08:46:44Z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0x010100BD1DE36A36CC7845A4126EF01914151E</vt:lpwstr>
  </property>
</Properties>
</file>