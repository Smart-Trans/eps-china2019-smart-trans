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zhlx3\Desktop\何逸群\何逸群\省级EPS\smart-trans 省级\eps-china2022-smart-trans\InputData\land\PLANAbPiaSY\"/>
    </mc:Choice>
  </mc:AlternateContent>
  <xr:revisionPtr revIDLastSave="0" documentId="13_ncr:1_{BFD9E3F7-9299-4DDF-AB0E-BAC9F715CC49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About" sheetId="16" r:id="rId1"/>
    <sheet name="Aforestation by province" sheetId="1" r:id="rId2"/>
    <sheet name="2020-2023national total" sheetId="14" r:id="rId3"/>
    <sheet name="set asides_2014to2018" sheetId="13" r:id="rId4"/>
    <sheet name="PLANAbPiaSY" sheetId="15" r:id="rId5"/>
  </sheets>
  <externalReferences>
    <externalReference r:id="rId6"/>
  </externalReferences>
  <definedNames>
    <definedName name="acres_per_hectare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" i="15" l="1"/>
  <c r="AM7" i="15" s="1"/>
  <c r="AN7" i="15" s="1"/>
  <c r="AO7" i="15" s="1"/>
  <c r="AP7" i="15" s="1"/>
  <c r="H7" i="15"/>
  <c r="I7" i="15" s="1"/>
  <c r="J7" i="15" s="1"/>
  <c r="K7" i="15" s="1"/>
  <c r="L7" i="15" s="1"/>
  <c r="M7" i="15" s="1"/>
  <c r="N7" i="15" s="1"/>
  <c r="O7" i="15" s="1"/>
  <c r="P7" i="15" s="1"/>
  <c r="Q7" i="15" s="1"/>
  <c r="R7" i="15" s="1"/>
  <c r="S7" i="15" s="1"/>
  <c r="T7" i="15" s="1"/>
  <c r="U7" i="15" s="1"/>
  <c r="V7" i="15" s="1"/>
  <c r="W7" i="15" s="1"/>
  <c r="X7" i="15" s="1"/>
  <c r="Y7" i="15" s="1"/>
  <c r="Z7" i="15" s="1"/>
  <c r="AA7" i="15" s="1"/>
  <c r="AB7" i="15" s="1"/>
  <c r="AC7" i="15" s="1"/>
  <c r="AD7" i="15" s="1"/>
  <c r="AE7" i="15" s="1"/>
  <c r="AF7" i="15" s="1"/>
  <c r="AG7" i="15" s="1"/>
  <c r="AH7" i="15" s="1"/>
  <c r="AI7" i="15" s="1"/>
  <c r="AJ7" i="15" s="1"/>
  <c r="AK7" i="15" s="1"/>
  <c r="G7" i="15"/>
  <c r="F4" i="15"/>
  <c r="F7" i="15"/>
  <c r="R7" i="1"/>
  <c r="Q7" i="1"/>
  <c r="P7" i="1"/>
  <c r="E4" i="14"/>
  <c r="D4" i="14"/>
  <c r="C4" i="14"/>
  <c r="E3" i="14"/>
  <c r="C3" i="14"/>
  <c r="D3" i="14"/>
  <c r="E2" i="14" l="1"/>
  <c r="B7" i="15" s="1" a="1"/>
  <c r="D2" i="14"/>
  <c r="B4" i="15" s="1" a="1"/>
  <c r="C2" i="14"/>
  <c r="B3" i="15" s="1" a="1"/>
  <c r="D4" i="13"/>
  <c r="B3" i="15" l="1"/>
  <c r="E3" i="15"/>
  <c r="D3" i="15"/>
  <c r="C3" i="15"/>
  <c r="B4" i="15"/>
  <c r="E4" i="15"/>
  <c r="D4" i="15"/>
  <c r="C4" i="15"/>
  <c r="B7" i="15"/>
  <c r="D7" i="15"/>
  <c r="E7" i="15"/>
  <c r="C7" i="15"/>
  <c r="L4" i="15" l="1"/>
  <c r="AB4" i="15"/>
  <c r="M4" i="15"/>
  <c r="AC4" i="15"/>
  <c r="N4" i="15"/>
  <c r="AD4" i="15"/>
  <c r="X4" i="15"/>
  <c r="I4" i="15"/>
  <c r="Y4" i="15"/>
  <c r="J4" i="15"/>
  <c r="Z4" i="15"/>
  <c r="K4" i="15"/>
  <c r="O4" i="15"/>
  <c r="AE4" i="15"/>
  <c r="P4" i="15"/>
  <c r="AF4" i="15"/>
  <c r="Q4" i="15"/>
  <c r="AG4" i="15"/>
  <c r="AK4" i="15"/>
  <c r="R4" i="15"/>
  <c r="AH4" i="15"/>
  <c r="S4" i="15"/>
  <c r="AI4" i="15"/>
  <c r="T4" i="15"/>
  <c r="AJ4" i="15"/>
  <c r="U4" i="15"/>
  <c r="V4" i="15"/>
  <c r="AL4" i="15"/>
  <c r="G4" i="15"/>
  <c r="W4" i="15"/>
  <c r="AM4" i="15"/>
  <c r="H4" i="15"/>
  <c r="AN4" i="15"/>
  <c r="AO4" i="15"/>
  <c r="AP4" i="15"/>
  <c r="AA4" i="15"/>
  <c r="A29" i="13"/>
  <c r="B2" i="15" s="1"/>
  <c r="C2" i="15" s="1"/>
  <c r="D5" i="15" l="1"/>
  <c r="D6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AL5" i="15"/>
  <c r="AM5" i="15"/>
  <c r="AN5" i="15"/>
  <c r="AO5" i="15"/>
  <c r="AP5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AP6" i="15"/>
  <c r="I2" i="15" l="1"/>
  <c r="U2" i="15"/>
  <c r="H2" i="15"/>
  <c r="O2" i="15"/>
  <c r="AO2" i="15"/>
  <c r="M2" i="15"/>
  <c r="AM2" i="15"/>
  <c r="AK2" i="15"/>
  <c r="AL2" i="15"/>
  <c r="AP2" i="15"/>
  <c r="W2" i="15"/>
  <c r="G2" i="15"/>
  <c r="AI2" i="15"/>
  <c r="AF2" i="15"/>
  <c r="AJ2" i="15"/>
  <c r="Z2" i="15"/>
  <c r="J2" i="15"/>
  <c r="AE2" i="15"/>
  <c r="AN2" i="15"/>
  <c r="AH2" i="15"/>
  <c r="P2" i="15"/>
  <c r="AB2" i="15"/>
  <c r="N2" i="15"/>
  <c r="AG2" i="15"/>
  <c r="D2" i="15"/>
  <c r="X2" i="15"/>
  <c r="E2" i="15"/>
  <c r="L2" i="15"/>
  <c r="AA2" i="15"/>
  <c r="V2" i="15"/>
  <c r="F2" i="15"/>
  <c r="T2" i="15"/>
  <c r="Q2" i="15"/>
  <c r="S2" i="15"/>
  <c r="AD2" i="15"/>
  <c r="Y2" i="15"/>
  <c r="R2" i="15"/>
  <c r="AC2" i="15"/>
  <c r="K2" i="15"/>
</calcChain>
</file>

<file path=xl/sharedStrings.xml><?xml version="1.0" encoding="utf-8"?>
<sst xmlns="http://schemas.openxmlformats.org/spreadsheetml/2006/main" count="332" uniqueCount="183">
  <si>
    <t>Area of Afforestation by Region(2020)</t>
  </si>
  <si>
    <t>单位:公顷</t>
  </si>
  <si>
    <t>(hectare)</t>
  </si>
  <si>
    <t>地 区</t>
  </si>
  <si>
    <t>Region</t>
  </si>
  <si>
    <t>造 林
总面积
Total
Area of
Afforestation</t>
  </si>
  <si>
    <t>按造林方式分 By Approach</t>
  </si>
  <si>
    <t>植树造林和在造林 afforestation and reforestation</t>
  </si>
  <si>
    <t xml:space="preserve">改善森林管理improved forest management </t>
  </si>
  <si>
    <t>森林恢复forest restoration</t>
  </si>
  <si>
    <t>全 国</t>
  </si>
  <si>
    <t>National Total</t>
  </si>
  <si>
    <t>北 京</t>
  </si>
  <si>
    <t>Beijing</t>
  </si>
  <si>
    <t>天 津</t>
  </si>
  <si>
    <t>Tianjin</t>
  </si>
  <si>
    <t>河北</t>
  </si>
  <si>
    <t>Hebei</t>
  </si>
  <si>
    <t>山 西</t>
  </si>
  <si>
    <t>Shanxi</t>
  </si>
  <si>
    <t>内蒙古</t>
  </si>
  <si>
    <t>Inner Mongolia</t>
  </si>
  <si>
    <t>辽 宁</t>
  </si>
  <si>
    <t>Liaoning</t>
  </si>
  <si>
    <t>吉 林</t>
  </si>
  <si>
    <t>Jilin</t>
  </si>
  <si>
    <t>黑龙江</t>
  </si>
  <si>
    <t>Heilongjiang</t>
  </si>
  <si>
    <t>上 海</t>
  </si>
  <si>
    <t>Shanghai</t>
  </si>
  <si>
    <t>江 苏</t>
  </si>
  <si>
    <t>Jiangsu</t>
  </si>
  <si>
    <t>浙 江</t>
  </si>
  <si>
    <t>Zhejiang</t>
  </si>
  <si>
    <t>安 徽</t>
  </si>
  <si>
    <t>Anhui</t>
  </si>
  <si>
    <t>福 建</t>
  </si>
  <si>
    <t>Fujian</t>
  </si>
  <si>
    <t>江 西</t>
  </si>
  <si>
    <t>Jiangxi</t>
  </si>
  <si>
    <t>山 东</t>
  </si>
  <si>
    <t>Shandong</t>
  </si>
  <si>
    <t>河 南</t>
  </si>
  <si>
    <t>Henan</t>
  </si>
  <si>
    <t>湖北</t>
  </si>
  <si>
    <t>Hubei</t>
  </si>
  <si>
    <t>湖 南</t>
  </si>
  <si>
    <t>Hunan</t>
  </si>
  <si>
    <t>广 东</t>
  </si>
  <si>
    <t>Guangdong</t>
  </si>
  <si>
    <t>广 西</t>
  </si>
  <si>
    <t>Guangxi</t>
  </si>
  <si>
    <t>海 南</t>
  </si>
  <si>
    <t>Hainan</t>
  </si>
  <si>
    <t>重 庆</t>
  </si>
  <si>
    <t>Chongqing</t>
  </si>
  <si>
    <t>四 川</t>
  </si>
  <si>
    <t>Sichuan</t>
  </si>
  <si>
    <t>贵 州</t>
  </si>
  <si>
    <t>Guizhou</t>
  </si>
  <si>
    <t>云南</t>
  </si>
  <si>
    <t>Yunnan</t>
  </si>
  <si>
    <t>西 藏</t>
  </si>
  <si>
    <t>Tibet</t>
  </si>
  <si>
    <t>陕 西</t>
  </si>
  <si>
    <t>Shaanxi</t>
  </si>
  <si>
    <t>甘 肃</t>
  </si>
  <si>
    <t>Gansu</t>
  </si>
  <si>
    <t>青 海</t>
  </si>
  <si>
    <t>Qinghai</t>
  </si>
  <si>
    <t>宁 夏</t>
  </si>
  <si>
    <t>Ningxia</t>
  </si>
  <si>
    <t>新 疆</t>
  </si>
  <si>
    <t>Xinjiang</t>
  </si>
  <si>
    <t>大兴安岭</t>
  </si>
  <si>
    <t>Daxinganling</t>
  </si>
  <si>
    <t>造 林_x000D_
总面积_x000D_
Total_x000D_
Area of_x000D_
Afforestation</t>
  </si>
  <si>
    <t>北京</t>
  </si>
  <si>
    <t>天津</t>
  </si>
  <si>
    <t>辽宁</t>
  </si>
  <si>
    <t>上海</t>
  </si>
  <si>
    <t>江苏</t>
  </si>
  <si>
    <t>福建</t>
  </si>
  <si>
    <t>江西</t>
  </si>
  <si>
    <t>河南</t>
  </si>
  <si>
    <t>湖 北</t>
  </si>
  <si>
    <t>广西</t>
  </si>
  <si>
    <t>海南</t>
  </si>
  <si>
    <t>贵州</t>
  </si>
  <si>
    <t>云 南</t>
  </si>
  <si>
    <t>西藏</t>
  </si>
  <si>
    <t>陕西</t>
  </si>
  <si>
    <t>青海</t>
  </si>
  <si>
    <t>新疆</t>
  </si>
  <si>
    <t>7-3 各地区造林情况(2020年)</t>
  </si>
  <si>
    <t>植树造林和在造林 afforestation and reforestation=人工造林（manual planting）+飞播造林（Airplane planting）+人工更新（artificial regeneration）</t>
  </si>
  <si>
    <t>改善森林管理improved forest management =封山育林 (Closed Hillsides for Afforestation)</t>
  </si>
  <si>
    <t>年份 year</t>
  </si>
  <si>
    <t>森林恢复(forest restoration) = 退化林修复 (Restoration of Degraded Forest)</t>
  </si>
  <si>
    <t>人工造林
Manual
Planting</t>
  </si>
  <si>
    <t>飞播造林
Airplane
Planting</t>
  </si>
  <si>
    <t>人工更新
Artificial
Regeneration</t>
  </si>
  <si>
    <t>封山育林
Closed
Hillsides for
Afforestation</t>
  </si>
  <si>
    <t>退化林修复
Restoration
of Degraded
Forest</t>
  </si>
  <si>
    <t>year</t>
  </si>
  <si>
    <t>人工造林_x000D_
Manual_x000D_
Planting</t>
  </si>
  <si>
    <t>飞播造林_x000D_
Airplane_x000D_
Planting</t>
  </si>
  <si>
    <t>人工更新_x000D_
Artificial_x000D_
Regeneration</t>
  </si>
  <si>
    <t>封山育林_x000D_
Closed_x000D_
Hillsides for_x000D_
Afforestation</t>
  </si>
  <si>
    <t>退化林修复_x000D_
Restoration_x000D_
of Degraded_x000D_
Forest</t>
  </si>
  <si>
    <t>年份year</t>
  </si>
  <si>
    <t>unit conversion=</t>
  </si>
  <si>
    <t>Forest Area by Function</t>
  </si>
  <si>
    <t>Area（unit）</t>
  </si>
  <si>
    <t>Area</t>
  </si>
  <si>
    <t>Share of total</t>
  </si>
  <si>
    <t xml:space="preserve">2014-2018 </t>
  </si>
  <si>
    <t>hundred hectares</t>
  </si>
  <si>
    <t>sq.km</t>
  </si>
  <si>
    <t>%</t>
  </si>
  <si>
    <t>Total forest</t>
  </si>
  <si>
    <t>Unit conversion</t>
  </si>
  <si>
    <t>Commercial forest （用材林）</t>
  </si>
  <si>
    <t>acres per square kilometer</t>
  </si>
  <si>
    <t>Economic forest （经济林）</t>
  </si>
  <si>
    <t>Note</t>
  </si>
  <si>
    <t>We also assume that "commercial forest" is the forest currently being cut by the timber industry,</t>
  </si>
  <si>
    <t>and "economic forest" is the forst that would be cost-effective to cut.</t>
  </si>
  <si>
    <t>How many of these acres are available annually for set-asides?</t>
  </si>
  <si>
    <t>This depends on the speed with which timber harvesting could be scaled</t>
  </si>
  <si>
    <t>down in a given year,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</si>
  <si>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</si>
  <si>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</si>
  <si>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</si>
  <si>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</si>
  <si>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</si>
  <si>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</si>
  <si>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</si>
  <si>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</si>
  <si>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</si>
  <si>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</si>
  <si>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</si>
  <si>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</si>
  <si>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</si>
  <si>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</si>
  <si>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</si>
  <si>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</si>
  <si>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</si>
  <si>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PLANAbPiaSY Potential Land Area Newly Affected by Policy in a Single Year</t>
  </si>
  <si>
    <t>Sources:</t>
  </si>
  <si>
    <t>Trend Data</t>
  </si>
  <si>
    <t>Peatland Restoration</t>
  </si>
  <si>
    <t>ICF International</t>
  </si>
  <si>
    <t>Managing Agricultural Land for Greenhouse Gas Mitigation within the United States</t>
  </si>
  <si>
    <t>https://www.usda.gov/sites/default/files/documents/White_Paper_WEB71816.pdf</t>
  </si>
  <si>
    <t>pages 36-37</t>
  </si>
  <si>
    <t>Notes</t>
  </si>
  <si>
    <t>afforestation, reforestation, improved management &amp; restoration</t>
    <phoneticPr fontId="14" type="noConversion"/>
  </si>
  <si>
    <t>中国森林资源清查 (ckcest.cn)</t>
  </si>
  <si>
    <t>Forest Knowledge Service System</t>
    <phoneticPr fontId="14" type="noConversion"/>
  </si>
  <si>
    <t>Area of Land Forest by Type</t>
    <phoneticPr fontId="14" type="noConversion"/>
  </si>
  <si>
    <t>China Environmental Statistical Yearbook</t>
    <phoneticPr fontId="14" type="noConversion"/>
  </si>
  <si>
    <r>
      <t xml:space="preserve">source: </t>
    </r>
    <r>
      <rPr>
        <sz val="11"/>
        <color rgb="FF00B0F0"/>
        <rFont val="宋体"/>
        <family val="2"/>
        <scheme val="minor"/>
      </rPr>
      <t>https://forest.ckcest.cn/sd/si/zgslzy.html</t>
    </r>
    <phoneticPr fontId="14" type="noConversion"/>
  </si>
  <si>
    <t>period (2016-2050) is 35 years long, so if the policy were to</t>
    <phoneticPr fontId="14" type="noConversion"/>
  </si>
  <si>
    <t>8-3 各地区造林情况(2021年)</t>
    <phoneticPr fontId="14" type="noConversion"/>
  </si>
  <si>
    <t>8-3 各地区造林情况(2022年)</t>
    <phoneticPr fontId="14" type="noConversion"/>
  </si>
  <si>
    <t>A_x000D_
rea of Afforestation by Region (2022)</t>
    <phoneticPr fontId="14" type="noConversion"/>
  </si>
  <si>
    <t>A_x000D_
rea of Afforestation by Region (2021)</t>
    <phoneticPr fontId="14" type="noConversion"/>
  </si>
  <si>
    <t>National Total</t>
    <phoneticPr fontId="14" type="noConversion"/>
  </si>
  <si>
    <t>2013-2023</t>
    <phoneticPr fontId="14" type="noConversion"/>
  </si>
  <si>
    <t>Provincial Forestry Activity</t>
    <phoneticPr fontId="14" type="noConversion"/>
  </si>
  <si>
    <t>2023年中国国土绿化状况公报 (people.com.cn)</t>
  </si>
  <si>
    <t>Report on the state of land greening in China 2023</t>
    <phoneticPr fontId="14" type="noConversion"/>
  </si>
  <si>
    <t xml:space="preserve">forest set asides is the value calculated in 2018
</t>
    <phoneticPr fontId="14" type="noConversion"/>
  </si>
  <si>
    <t>2021-2050</t>
    <phoneticPr fontId="14" type="noConversion"/>
  </si>
  <si>
    <t>造林</t>
    <phoneticPr fontId="14" type="noConversion"/>
  </si>
  <si>
    <t>更新造林</t>
    <phoneticPr fontId="14" type="noConversion"/>
  </si>
  <si>
    <t>单位（百公顷）</t>
    <phoneticPr fontId="14" type="noConversion"/>
  </si>
  <si>
    <t>森林抚育</t>
    <phoneticPr fontId="14" type="noConversion"/>
  </si>
  <si>
    <t>退化林修复</t>
    <phoneticPr fontId="14" type="noConversion"/>
  </si>
  <si>
    <t>1 hectare=2.47 acres</t>
    <phoneticPr fontId="14" type="noConversion"/>
  </si>
  <si>
    <t>公顷到英亩</t>
    <phoneticPr fontId="14" type="noConversion"/>
  </si>
  <si>
    <t>年份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</si>
</sst>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b/>
      <sz val="11"/>
      <color theme="0" tint="-0.499984740745262"/>
      <name val="宋体"/>
      <family val="2"/>
      <scheme val="minor"/>
    </font>
    <font>
      <sz val="11"/>
      <color theme="0" tint="-0.499984740745262"/>
      <name val="宋体"/>
      <family val="2"/>
      <scheme val="minor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color rgb="FF00B0F0"/>
      <name val="宋体"/>
      <family val="2"/>
      <scheme val="minor"/>
    </font>
    <font>
      <u/>
      <sz val="11"/>
      <color rgb="FF0000FF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i/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u/>
      <sz val="11"/>
      <color rgb="FF0000FF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0" tint="-0.499984740745262"/>
      <name val="宋体"/>
      <family val="3"/>
      <charset val="134"/>
      <scheme val="minor"/>
    </font>
    <font>
      <sz val="11"/>
      <color theme="0" tint="-0.49998474074526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7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12" applyNumberFormat="0" applyAlignment="0" applyProtection="0">
      <alignment vertical="center"/>
    </xf>
    <xf numFmtId="0" fontId="32" fillId="9" borderId="13" applyNumberFormat="0" applyAlignment="0" applyProtection="0">
      <alignment vertical="center"/>
    </xf>
    <xf numFmtId="0" fontId="33" fillId="9" borderId="12" applyNumberFormat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10" borderId="15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11" borderId="16" applyNumberFormat="0" applyFont="0" applyAlignment="0" applyProtection="0">
      <alignment vertical="center"/>
    </xf>
    <xf numFmtId="0" fontId="41" fillId="0" borderId="0"/>
    <xf numFmtId="0" fontId="1" fillId="0" borderId="0"/>
  </cellStyleXfs>
  <cellXfs count="66">
    <xf numFmtId="0" fontId="0" fillId="0" borderId="0" xfId="0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9" fontId="4" fillId="2" borderId="0" xfId="0" applyNumberFormat="1" applyFont="1" applyFill="1" applyAlignment="1"/>
    <xf numFmtId="0" fontId="6" fillId="0" borderId="0" xfId="0" applyFont="1" applyAlignment="1"/>
    <xf numFmtId="0" fontId="7" fillId="0" borderId="0" xfId="0" applyFont="1" applyAlignment="1"/>
    <xf numFmtId="0" fontId="0" fillId="0" borderId="1" xfId="0" applyBorder="1">
      <alignment vertical="center"/>
    </xf>
    <xf numFmtId="49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right" vertical="center"/>
    </xf>
    <xf numFmtId="0" fontId="0" fillId="0" borderId="0" xfId="0" applyAlignment="1"/>
    <xf numFmtId="49" fontId="8" fillId="0" borderId="0" xfId="2" applyNumberFormat="1" applyFont="1" applyAlignment="1"/>
    <xf numFmtId="0" fontId="8" fillId="0" borderId="0" xfId="2" applyFont="1">
      <alignment vertical="center"/>
    </xf>
    <xf numFmtId="49" fontId="9" fillId="0" borderId="1" xfId="2" applyNumberFormat="1" applyFont="1" applyBorder="1" applyAlignment="1">
      <alignment horizontal="center" vertical="center" wrapText="1"/>
    </xf>
    <xf numFmtId="49" fontId="9" fillId="0" borderId="1" xfId="2" applyNumberFormat="1" applyFont="1" applyBorder="1" applyAlignment="1">
      <alignment horizontal="left" vertical="center" wrapText="1"/>
    </xf>
    <xf numFmtId="0" fontId="8" fillId="0" borderId="1" xfId="2" applyFont="1" applyBorder="1" applyAlignment="1">
      <alignment horizontal="right" vertical="center" wrapText="1"/>
    </xf>
    <xf numFmtId="49" fontId="8" fillId="0" borderId="1" xfId="2" applyNumberFormat="1" applyFont="1" applyBorder="1" applyAlignment="1">
      <alignment horizontal="left" vertical="center" wrapText="1"/>
    </xf>
    <xf numFmtId="49" fontId="8" fillId="0" borderId="0" xfId="2" applyNumberFormat="1" applyFont="1">
      <alignment vertical="center"/>
    </xf>
    <xf numFmtId="49" fontId="8" fillId="0" borderId="1" xfId="2" applyNumberFormat="1" applyFont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49" fontId="9" fillId="0" borderId="1" xfId="2" applyNumberFormat="1" applyFont="1" applyBorder="1">
      <alignment vertical="center"/>
    </xf>
    <xf numFmtId="49" fontId="8" fillId="0" borderId="1" xfId="2" applyNumberFormat="1" applyFont="1" applyBorder="1">
      <alignment vertical="center"/>
    </xf>
    <xf numFmtId="49" fontId="8" fillId="0" borderId="1" xfId="2" applyNumberFormat="1" applyFont="1" applyBorder="1" applyAlignment="1">
      <alignment horizontal="right" vertical="center"/>
    </xf>
    <xf numFmtId="49" fontId="8" fillId="3" borderId="1" xfId="2" applyNumberFormat="1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right" vertical="center" wrapText="1"/>
    </xf>
    <xf numFmtId="0" fontId="8" fillId="3" borderId="1" xfId="2" applyFont="1" applyFill="1" applyBorder="1" applyAlignment="1">
      <alignment horizontal="right" vertical="center"/>
    </xf>
    <xf numFmtId="49" fontId="8" fillId="3" borderId="1" xfId="2" applyNumberFormat="1" applyFont="1" applyFill="1" applyBorder="1" applyAlignment="1">
      <alignment horizontal="right" vertical="center"/>
    </xf>
    <xf numFmtId="0" fontId="10" fillId="0" borderId="0" xfId="0" applyFont="1" applyAlignment="1"/>
    <xf numFmtId="0" fontId="8" fillId="0" borderId="0" xfId="0" applyFont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0" fontId="8" fillId="0" borderId="7" xfId="2" applyFont="1" applyBorder="1" applyAlignment="1">
      <alignment horizontal="right" vertical="center"/>
    </xf>
    <xf numFmtId="0" fontId="8" fillId="0" borderId="0" xfId="2" applyFont="1" applyAlignment="1">
      <alignment horizontal="right" vertical="center"/>
    </xf>
    <xf numFmtId="49" fontId="8" fillId="0" borderId="0" xfId="2" applyNumberFormat="1" applyFont="1" applyAlignment="1">
      <alignment horizontal="right" vertical="center"/>
    </xf>
    <xf numFmtId="0" fontId="8" fillId="0" borderId="8" xfId="2" applyFont="1" applyBorder="1" applyAlignment="1">
      <alignment horizontal="right" vertical="center"/>
    </xf>
    <xf numFmtId="0" fontId="15" fillId="0" borderId="0" xfId="0" applyFont="1" applyAlignment="1"/>
    <xf numFmtId="0" fontId="15" fillId="4" borderId="0" xfId="0" applyFont="1" applyFill="1" applyAlignment="1"/>
    <xf numFmtId="0" fontId="0" fillId="0" borderId="0" xfId="0" applyAlignment="1">
      <alignment horizontal="left"/>
    </xf>
    <xf numFmtId="0" fontId="11" fillId="0" borderId="0" xfId="1" applyAlignment="1"/>
    <xf numFmtId="0" fontId="16" fillId="0" borderId="0" xfId="0" applyFont="1" applyAlignment="1"/>
    <xf numFmtId="0" fontId="17" fillId="0" borderId="0" xfId="0" applyFont="1" applyAlignment="1"/>
    <xf numFmtId="0" fontId="17" fillId="0" borderId="0" xfId="0" applyFont="1" applyAlignment="1">
      <alignment horizontal="left"/>
    </xf>
    <xf numFmtId="0" fontId="18" fillId="0" borderId="0" xfId="0" applyFont="1">
      <alignment vertical="center"/>
    </xf>
    <xf numFmtId="0" fontId="19" fillId="0" borderId="0" xfId="1" applyFont="1">
      <alignment vertical="center"/>
    </xf>
    <xf numFmtId="0" fontId="20" fillId="0" borderId="0" xfId="0" applyFont="1" applyAlignment="1"/>
    <xf numFmtId="0" fontId="17" fillId="0" borderId="0" xfId="0" applyFont="1">
      <alignment vertical="center"/>
    </xf>
    <xf numFmtId="0" fontId="21" fillId="0" borderId="0" xfId="0" applyFont="1" applyAlignment="1"/>
    <xf numFmtId="0" fontId="22" fillId="0" borderId="0" xfId="0" applyFont="1" applyAlignment="1"/>
    <xf numFmtId="0" fontId="23" fillId="0" borderId="0" xfId="0" applyFont="1" applyAlignment="1"/>
    <xf numFmtId="0" fontId="2" fillId="0" borderId="0" xfId="0" applyFont="1">
      <alignment vertical="center"/>
    </xf>
    <xf numFmtId="49" fontId="8" fillId="0" borderId="0" xfId="2" applyNumberFormat="1" applyFont="1" applyAlignment="1">
      <alignment horizontal="center" vertical="center"/>
    </xf>
    <xf numFmtId="0" fontId="2" fillId="0" borderId="0" xfId="0" applyFont="1" applyAlignment="1"/>
    <xf numFmtId="0" fontId="8" fillId="3" borderId="0" xfId="2" applyFont="1" applyFill="1" applyAlignment="1">
      <alignment horizontal="right" vertical="center"/>
    </xf>
    <xf numFmtId="49" fontId="8" fillId="3" borderId="0" xfId="2" applyNumberFormat="1" applyFont="1" applyFill="1" applyAlignment="1">
      <alignment horizontal="right" vertical="center"/>
    </xf>
    <xf numFmtId="0" fontId="0" fillId="0" borderId="18" xfId="0" applyBorder="1">
      <alignment vertical="center"/>
    </xf>
    <xf numFmtId="0" fontId="11" fillId="0" borderId="0" xfId="1">
      <alignment vertical="center"/>
    </xf>
    <xf numFmtId="49" fontId="8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 wrapText="1"/>
    </xf>
    <xf numFmtId="49" fontId="8" fillId="0" borderId="4" xfId="2" applyNumberFormat="1" applyFont="1" applyBorder="1" applyAlignment="1">
      <alignment horizontal="center" vertical="center"/>
    </xf>
    <xf numFmtId="49" fontId="8" fillId="0" borderId="5" xfId="2" applyNumberFormat="1" applyFont="1" applyBorder="1" applyAlignment="1">
      <alignment horizontal="center" vertical="center"/>
    </xf>
    <xf numFmtId="49" fontId="8" fillId="0" borderId="6" xfId="2" applyNumberFormat="1" applyFont="1" applyBorder="1" applyAlignment="1">
      <alignment horizontal="center" vertical="center"/>
    </xf>
    <xf numFmtId="49" fontId="8" fillId="0" borderId="4" xfId="2" applyNumberFormat="1" applyFont="1" applyBorder="1" applyAlignment="1">
      <alignment horizontal="center" vertical="center" wrapText="1"/>
    </xf>
    <xf numFmtId="49" fontId="8" fillId="0" borderId="5" xfId="2" applyNumberFormat="1" applyFont="1" applyBorder="1" applyAlignment="1">
      <alignment horizontal="center" vertical="center" wrapText="1"/>
    </xf>
    <xf numFmtId="49" fontId="8" fillId="0" borderId="6" xfId="2" applyNumberFormat="1" applyFont="1" applyBorder="1" applyAlignment="1">
      <alignment horizontal="center" vertical="center" wrapText="1"/>
    </xf>
  </cellXfs>
  <cellStyles count="47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Normal 2" xfId="2" xr:uid="{00000000-0005-0000-0000-00002D000000}"/>
    <cellStyle name="标题" xfId="3" builtinId="15" customBuiltin="1"/>
    <cellStyle name="标题 1" xfId="4" builtinId="16" customBuiltin="1"/>
    <cellStyle name="标题 2" xfId="5" builtinId="17" customBuiltin="1"/>
    <cellStyle name="标题 3" xfId="6" builtinId="18" customBuiltin="1"/>
    <cellStyle name="标题 4" xfId="7" builtinId="19" customBuiltin="1"/>
    <cellStyle name="差" xfId="9" builtinId="27" customBuiltin="1"/>
    <cellStyle name="常规" xfId="0" builtinId="0"/>
    <cellStyle name="常规 2" xfId="43" xr:uid="{B7FFF025-6FE5-4E26-877D-FAD7C4F3CF5B}"/>
    <cellStyle name="常规 3" xfId="45" xr:uid="{398F77A7-4AB6-491F-AF67-8B9DF8D69362}"/>
    <cellStyle name="常规 4" xfId="46" xr:uid="{331BFF98-C758-46CE-86BB-1304D2195B94}"/>
    <cellStyle name="超链接" xfId="1" builtinId="8"/>
    <cellStyle name="好" xfId="8" builtinId="26" customBuiltin="1"/>
    <cellStyle name="汇总" xfId="18" builtinId="25" customBuiltin="1"/>
    <cellStyle name="计算" xfId="13" builtinId="22" customBuiltin="1"/>
    <cellStyle name="检查单元格" xfId="15" builtinId="23" customBuiltin="1"/>
    <cellStyle name="解释性文本" xfId="17" builtinId="53" customBuiltin="1"/>
    <cellStyle name="警告文本" xfId="16" builtinId="11" customBuiltin="1"/>
    <cellStyle name="链接单元格" xfId="14" builtinId="24" customBuiltin="1"/>
    <cellStyle name="适中" xfId="10" builtinId="28" customBuiltin="1"/>
    <cellStyle name="输出" xfId="12" builtinId="21" customBuiltin="1"/>
    <cellStyle name="输入" xfId="11" builtinId="20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注释 2" xfId="44" xr:uid="{CF98FE57-BCBE-4309-9C26-BA02FA6E01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aper.people.com.cn/rmrb/html/2024-03/13/nw.D110000renmrb_20240313_2-14.htm" TargetMode="External"/><Relationship Id="rId2" Type="http://schemas.openxmlformats.org/officeDocument/2006/relationships/hyperlink" Target="https://forest.ckcest.cn/sd/si/zgslzy.html" TargetMode="External"/><Relationship Id="rId1" Type="http://schemas.openxmlformats.org/officeDocument/2006/relationships/hyperlink" Target="https://www.usda.gov/sites/default/files/documents/White_Paper_WEB7181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916D-E856-480A-B1DD-657DB001D8FD}">
  <dimension ref="A1:B29"/>
  <sheetViews>
    <sheetView workbookViewId="0">
      <selection activeCell="E27" sqref="E27"/>
    </sheetView>
  </sheetViews>
  <sheetFormatPr defaultColWidth="8.75" defaultRowHeight="13.5" x14ac:dyDescent="0.15"/>
  <cols>
    <col min="2" max="2" width="56.375" customWidth="1"/>
  </cols>
  <sheetData>
    <row r="1" spans="1:2" x14ac:dyDescent="0.15">
      <c r="A1" s="34" t="s">
        <v>148</v>
      </c>
      <c r="B1" s="10"/>
    </row>
    <row r="2" spans="1:2" x14ac:dyDescent="0.15">
      <c r="A2" s="10"/>
      <c r="B2" s="10"/>
    </row>
    <row r="3" spans="1:2" x14ac:dyDescent="0.15">
      <c r="A3" s="34" t="s">
        <v>149</v>
      </c>
      <c r="B3" s="35" t="s">
        <v>157</v>
      </c>
    </row>
    <row r="4" spans="1:2" x14ac:dyDescent="0.15">
      <c r="A4" s="10"/>
      <c r="B4" s="39" t="s">
        <v>161</v>
      </c>
    </row>
    <row r="5" spans="1:2" x14ac:dyDescent="0.15">
      <c r="A5" s="10"/>
      <c r="B5" s="39" t="s">
        <v>169</v>
      </c>
    </row>
    <row r="6" spans="1:2" x14ac:dyDescent="0.15">
      <c r="A6" s="10"/>
      <c r="B6" s="39"/>
    </row>
    <row r="7" spans="1:2" x14ac:dyDescent="0.15">
      <c r="A7" s="10"/>
      <c r="B7" s="40" t="s">
        <v>172</v>
      </c>
    </row>
    <row r="8" spans="1:2" x14ac:dyDescent="0.15">
      <c r="A8" s="10"/>
      <c r="B8" s="54" t="s">
        <v>171</v>
      </c>
    </row>
    <row r="9" spans="1:2" x14ac:dyDescent="0.15">
      <c r="A9" s="10"/>
      <c r="B9" s="39" t="s">
        <v>170</v>
      </c>
    </row>
    <row r="10" spans="1:2" x14ac:dyDescent="0.15">
      <c r="A10" s="10"/>
      <c r="B10" s="10"/>
    </row>
    <row r="11" spans="1:2" x14ac:dyDescent="0.15">
      <c r="A11" s="10"/>
      <c r="B11" s="10"/>
    </row>
    <row r="12" spans="1:2" x14ac:dyDescent="0.15">
      <c r="A12" s="10"/>
      <c r="B12" s="35" t="s">
        <v>160</v>
      </c>
    </row>
    <row r="13" spans="1:2" x14ac:dyDescent="0.15">
      <c r="A13" s="10"/>
      <c r="B13" s="39" t="s">
        <v>159</v>
      </c>
    </row>
    <row r="14" spans="1:2" x14ac:dyDescent="0.15">
      <c r="A14" s="10"/>
      <c r="B14" s="36">
        <v>2018</v>
      </c>
    </row>
    <row r="15" spans="1:2" x14ac:dyDescent="0.15">
      <c r="A15" s="10"/>
      <c r="B15" s="10" t="s">
        <v>150</v>
      </c>
    </row>
    <row r="16" spans="1:2" x14ac:dyDescent="0.15">
      <c r="A16" s="10"/>
      <c r="B16" s="42" t="s">
        <v>158</v>
      </c>
    </row>
    <row r="17" spans="1:2" x14ac:dyDescent="0.15">
      <c r="A17" s="10"/>
      <c r="B17" s="10"/>
    </row>
    <row r="18" spans="1:2" x14ac:dyDescent="0.15">
      <c r="A18" s="10"/>
      <c r="B18" s="38"/>
    </row>
    <row r="19" spans="1:2" x14ac:dyDescent="0.15">
      <c r="A19" s="10"/>
      <c r="B19" s="35" t="s">
        <v>151</v>
      </c>
    </row>
    <row r="20" spans="1:2" x14ac:dyDescent="0.15">
      <c r="A20" s="10"/>
      <c r="B20" s="10" t="s">
        <v>152</v>
      </c>
    </row>
    <row r="21" spans="1:2" x14ac:dyDescent="0.15">
      <c r="A21" s="10"/>
      <c r="B21" s="36">
        <v>2016</v>
      </c>
    </row>
    <row r="22" spans="1:2" x14ac:dyDescent="0.15">
      <c r="A22" s="10"/>
      <c r="B22" s="10" t="s">
        <v>153</v>
      </c>
    </row>
    <row r="23" spans="1:2" x14ac:dyDescent="0.15">
      <c r="A23" s="10"/>
      <c r="B23" s="37" t="s">
        <v>154</v>
      </c>
    </row>
    <row r="24" spans="1:2" x14ac:dyDescent="0.15">
      <c r="A24" s="10"/>
      <c r="B24" s="10" t="s">
        <v>155</v>
      </c>
    </row>
    <row r="25" spans="1:2" x14ac:dyDescent="0.15">
      <c r="A25" s="10"/>
      <c r="B25" s="10"/>
    </row>
    <row r="26" spans="1:2" x14ac:dyDescent="0.15">
      <c r="A26" s="34" t="s">
        <v>156</v>
      </c>
      <c r="B26" s="44" t="s">
        <v>173</v>
      </c>
    </row>
    <row r="27" spans="1:2" x14ac:dyDescent="0.15">
      <c r="A27" s="44"/>
    </row>
    <row r="28" spans="1:2" x14ac:dyDescent="0.15">
      <c r="B28" s="10"/>
    </row>
    <row r="29" spans="1:2" x14ac:dyDescent="0.15">
      <c r="B29" s="10"/>
    </row>
  </sheetData>
  <phoneticPr fontId="14" type="noConversion"/>
  <hyperlinks>
    <hyperlink ref="B23" r:id="rId1" xr:uid="{938A5F38-C549-4DA9-B527-72C64597AD73}"/>
    <hyperlink ref="B16" r:id="rId2" display="https://forest.ckcest.cn/sd/si/zgslzy.html" xr:uid="{EA2AFC86-380E-4F86-BBCB-B784E9423EB8}"/>
    <hyperlink ref="B8" r:id="rId3" display="http://paper.people.com.cn/rmrb/html/2024-03/13/nw.D110000renmrb_20240313_2-14.htm" xr:uid="{CD60039C-2951-408D-9105-A37CB6BE92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R127"/>
  <sheetViews>
    <sheetView workbookViewId="0">
      <selection activeCell="P17" sqref="P17"/>
    </sheetView>
  </sheetViews>
  <sheetFormatPr defaultColWidth="9.625" defaultRowHeight="13.5" x14ac:dyDescent="0.15"/>
  <cols>
    <col min="1" max="6" width="9.625" style="10"/>
    <col min="7" max="7" width="11.375" style="10" customWidth="1"/>
    <col min="8" max="9" width="15.125" style="10" customWidth="1"/>
    <col min="10" max="11" width="9.625" style="10"/>
    <col min="12" max="12" width="12.375" style="10" customWidth="1"/>
    <col min="13" max="16" width="9.625" style="10"/>
    <col min="17" max="17" width="11.625" style="10" bestFit="1" customWidth="1"/>
    <col min="18" max="19" width="9.625" style="10"/>
    <col min="20" max="20" width="11.75" style="10" customWidth="1"/>
    <col min="21" max="16384" width="9.625" style="10"/>
  </cols>
  <sheetData>
    <row r="1" spans="1:96" x14ac:dyDescent="0.15">
      <c r="A1" s="17" t="s">
        <v>165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N1" s="27" t="s">
        <v>95</v>
      </c>
      <c r="CR1" s="31"/>
    </row>
    <row r="2" spans="1:96" x14ac:dyDescent="0.15">
      <c r="A2" s="17" t="s">
        <v>166</v>
      </c>
      <c r="B2" s="12"/>
      <c r="C2" s="12"/>
      <c r="D2" s="12"/>
      <c r="E2" s="12"/>
      <c r="F2" s="12"/>
      <c r="G2" s="12"/>
      <c r="H2" s="12"/>
      <c r="I2" s="12"/>
      <c r="J2" s="12"/>
      <c r="K2" s="12"/>
      <c r="N2" s="27" t="s">
        <v>96</v>
      </c>
      <c r="CR2" s="31"/>
    </row>
    <row r="3" spans="1:96" x14ac:dyDescent="0.15">
      <c r="A3" s="17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N3" s="27" t="s">
        <v>98</v>
      </c>
      <c r="CR3" s="31"/>
    </row>
    <row r="4" spans="1:96" x14ac:dyDescent="0.15">
      <c r="A4" s="17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CR4" s="31"/>
    </row>
    <row r="5" spans="1:96" x14ac:dyDescent="0.15">
      <c r="A5" s="55" t="s">
        <v>3</v>
      </c>
      <c r="B5" s="55" t="s">
        <v>4</v>
      </c>
      <c r="C5" s="57" t="s">
        <v>104</v>
      </c>
      <c r="D5" s="59" t="s">
        <v>76</v>
      </c>
      <c r="E5" s="60" t="s">
        <v>6</v>
      </c>
      <c r="F5" s="61"/>
      <c r="G5" s="61"/>
      <c r="H5" s="61"/>
      <c r="I5" s="61"/>
      <c r="J5" s="61"/>
      <c r="K5" s="61"/>
      <c r="L5" s="62"/>
      <c r="P5" s="39" t="s">
        <v>174</v>
      </c>
      <c r="CR5" s="31"/>
    </row>
    <row r="6" spans="1:96" ht="72" x14ac:dyDescent="0.15">
      <c r="A6" s="56"/>
      <c r="B6" s="56"/>
      <c r="C6" s="58"/>
      <c r="D6" s="56"/>
      <c r="E6" s="8" t="s">
        <v>105</v>
      </c>
      <c r="F6" s="8" t="s">
        <v>106</v>
      </c>
      <c r="G6" s="8" t="s">
        <v>107</v>
      </c>
      <c r="H6" s="8" t="s">
        <v>108</v>
      </c>
      <c r="I6" s="8" t="s">
        <v>109</v>
      </c>
      <c r="J6" s="23" t="s">
        <v>7</v>
      </c>
      <c r="K6" s="23" t="s">
        <v>8</v>
      </c>
      <c r="L6" s="23" t="s">
        <v>9</v>
      </c>
      <c r="P6" s="23" t="s">
        <v>7</v>
      </c>
      <c r="Q6" s="23" t="s">
        <v>8</v>
      </c>
      <c r="R6" s="23" t="s">
        <v>9</v>
      </c>
      <c r="CR6" s="32"/>
    </row>
    <row r="7" spans="1:96" x14ac:dyDescent="0.15">
      <c r="A7" s="19" t="s">
        <v>10</v>
      </c>
      <c r="B7" s="20" t="s">
        <v>11</v>
      </c>
      <c r="C7" s="9">
        <v>2021</v>
      </c>
      <c r="D7" s="9">
        <v>4202790</v>
      </c>
      <c r="E7" s="9"/>
      <c r="F7" s="9"/>
      <c r="G7" s="9"/>
      <c r="H7" s="9"/>
      <c r="I7" s="9"/>
      <c r="J7" s="25">
        <v>1562538</v>
      </c>
      <c r="K7" s="25">
        <v>1057316</v>
      </c>
      <c r="L7" s="25">
        <v>1582935</v>
      </c>
      <c r="P7" s="10">
        <f>(P11+Q11)*R11</f>
        <v>73781300</v>
      </c>
      <c r="Q7" s="10">
        <f>P14*R14</f>
        <v>271750000</v>
      </c>
      <c r="R7" s="10">
        <f>Q14*R14</f>
        <v>48750000</v>
      </c>
      <c r="CR7" s="31"/>
    </row>
    <row r="8" spans="1:96" x14ac:dyDescent="0.15">
      <c r="A8" s="18" t="s">
        <v>77</v>
      </c>
      <c r="B8" s="21" t="s">
        <v>13</v>
      </c>
      <c r="C8" s="9">
        <v>2021</v>
      </c>
      <c r="D8" s="9">
        <v>3481</v>
      </c>
      <c r="E8" s="9"/>
      <c r="F8" s="22"/>
      <c r="G8" s="22"/>
      <c r="H8" s="9"/>
      <c r="I8" s="22"/>
      <c r="J8" s="25">
        <v>3482</v>
      </c>
      <c r="K8" s="25"/>
      <c r="L8" s="26"/>
      <c r="AR8" s="28"/>
      <c r="CR8" s="31"/>
    </row>
    <row r="9" spans="1:96" x14ac:dyDescent="0.15">
      <c r="A9" s="18" t="s">
        <v>78</v>
      </c>
      <c r="B9" s="21" t="s">
        <v>15</v>
      </c>
      <c r="C9" s="9">
        <v>2021</v>
      </c>
      <c r="D9" s="9">
        <v>5458</v>
      </c>
      <c r="E9" s="9"/>
      <c r="F9" s="22"/>
      <c r="G9" s="22"/>
      <c r="H9" s="22"/>
      <c r="I9" s="9"/>
      <c r="J9" s="25">
        <v>0</v>
      </c>
      <c r="K9" s="26">
        <v>5458</v>
      </c>
      <c r="L9" s="25"/>
      <c r="AR9" s="28"/>
      <c r="CR9" s="31"/>
    </row>
    <row r="10" spans="1:96" x14ac:dyDescent="0.15">
      <c r="A10" s="18" t="s">
        <v>16</v>
      </c>
      <c r="B10" s="21" t="s">
        <v>17</v>
      </c>
      <c r="C10" s="9">
        <v>2021</v>
      </c>
      <c r="D10" s="9">
        <v>193707</v>
      </c>
      <c r="E10" s="9"/>
      <c r="F10" s="9"/>
      <c r="G10" s="9"/>
      <c r="H10" s="9"/>
      <c r="I10" s="9"/>
      <c r="J10" s="25">
        <v>77533</v>
      </c>
      <c r="K10" s="25">
        <v>85294</v>
      </c>
      <c r="L10" s="25">
        <v>30880</v>
      </c>
      <c r="P10" s="39" t="s">
        <v>175</v>
      </c>
      <c r="Q10" s="39" t="s">
        <v>176</v>
      </c>
      <c r="R10" s="39" t="s">
        <v>177</v>
      </c>
      <c r="AR10" s="29"/>
      <c r="CR10" s="32"/>
    </row>
    <row r="11" spans="1:96" x14ac:dyDescent="0.15">
      <c r="A11" s="18" t="s">
        <v>18</v>
      </c>
      <c r="B11" s="21" t="s">
        <v>19</v>
      </c>
      <c r="C11" s="9">
        <v>2021</v>
      </c>
      <c r="D11" s="9">
        <v>362017</v>
      </c>
      <c r="E11" s="9"/>
      <c r="F11" s="22"/>
      <c r="G11" s="22"/>
      <c r="H11" s="9"/>
      <c r="I11" s="9"/>
      <c r="J11" s="25">
        <v>243564</v>
      </c>
      <c r="K11" s="25">
        <v>63654</v>
      </c>
      <c r="L11" s="25">
        <v>54798</v>
      </c>
      <c r="P11" s="10">
        <v>494908</v>
      </c>
      <c r="Q11" s="10">
        <v>242905</v>
      </c>
      <c r="R11" s="10">
        <v>100</v>
      </c>
      <c r="AR11" s="28"/>
      <c r="CR11" s="31"/>
    </row>
    <row r="12" spans="1:96" x14ac:dyDescent="0.15">
      <c r="A12" s="18" t="s">
        <v>20</v>
      </c>
      <c r="B12" s="21" t="s">
        <v>21</v>
      </c>
      <c r="C12" s="9">
        <v>2021</v>
      </c>
      <c r="D12" s="9">
        <v>261710</v>
      </c>
      <c r="E12" s="9"/>
      <c r="F12" s="9"/>
      <c r="G12" s="9"/>
      <c r="H12" s="9"/>
      <c r="I12" s="9"/>
      <c r="J12" s="25">
        <v>118881</v>
      </c>
      <c r="K12" s="25">
        <v>30543</v>
      </c>
      <c r="L12" s="25">
        <v>112285</v>
      </c>
      <c r="AR12" s="29"/>
      <c r="CR12" s="31"/>
    </row>
    <row r="13" spans="1:96" x14ac:dyDescent="0.15">
      <c r="A13" s="18" t="s">
        <v>79</v>
      </c>
      <c r="B13" s="21" t="s">
        <v>23</v>
      </c>
      <c r="C13" s="9">
        <v>2021</v>
      </c>
      <c r="D13" s="9">
        <v>67403</v>
      </c>
      <c r="E13" s="9"/>
      <c r="F13" s="9"/>
      <c r="G13" s="9"/>
      <c r="H13" s="9"/>
      <c r="I13" s="9"/>
      <c r="J13" s="25">
        <v>32583</v>
      </c>
      <c r="K13" s="25">
        <v>3334</v>
      </c>
      <c r="L13" s="25">
        <v>31487</v>
      </c>
      <c r="P13" s="39" t="s">
        <v>178</v>
      </c>
      <c r="Q13" s="39" t="s">
        <v>179</v>
      </c>
      <c r="R13" s="39" t="s">
        <v>177</v>
      </c>
      <c r="AR13" s="28"/>
      <c r="CR13" s="31"/>
    </row>
    <row r="14" spans="1:96" x14ac:dyDescent="0.15">
      <c r="A14" s="18" t="s">
        <v>24</v>
      </c>
      <c r="B14" s="21" t="s">
        <v>25</v>
      </c>
      <c r="C14" s="9">
        <v>2021</v>
      </c>
      <c r="D14" s="9">
        <v>131037</v>
      </c>
      <c r="E14" s="9"/>
      <c r="F14" s="22"/>
      <c r="G14" s="9"/>
      <c r="H14" s="22"/>
      <c r="I14" s="9"/>
      <c r="J14" s="25">
        <v>16907</v>
      </c>
      <c r="K14" s="26">
        <v>5105</v>
      </c>
      <c r="L14" s="25">
        <v>109026</v>
      </c>
      <c r="P14" s="10">
        <v>2717500</v>
      </c>
      <c r="Q14" s="10">
        <v>487500</v>
      </c>
      <c r="R14" s="10">
        <v>100</v>
      </c>
      <c r="AR14" s="28"/>
      <c r="CR14" s="31"/>
    </row>
    <row r="15" spans="1:96" x14ac:dyDescent="0.15">
      <c r="A15" s="18" t="s">
        <v>26</v>
      </c>
      <c r="B15" s="21" t="s">
        <v>27</v>
      </c>
      <c r="C15" s="9">
        <v>2021</v>
      </c>
      <c r="D15" s="9">
        <v>75470</v>
      </c>
      <c r="E15" s="9"/>
      <c r="F15" s="22"/>
      <c r="G15" s="9"/>
      <c r="H15" s="9"/>
      <c r="I15" s="9"/>
      <c r="J15" s="25">
        <v>14527</v>
      </c>
      <c r="K15" s="25">
        <v>27212</v>
      </c>
      <c r="L15" s="25">
        <v>33732</v>
      </c>
      <c r="AR15" s="28"/>
      <c r="CR15" s="31"/>
    </row>
    <row r="16" spans="1:96" x14ac:dyDescent="0.15">
      <c r="A16" s="18" t="s">
        <v>80</v>
      </c>
      <c r="B16" s="21" t="s">
        <v>29</v>
      </c>
      <c r="C16" s="9">
        <v>2021</v>
      </c>
      <c r="D16" s="9">
        <v>35</v>
      </c>
      <c r="E16" s="9"/>
      <c r="F16" s="22"/>
      <c r="G16" s="22"/>
      <c r="H16" s="22"/>
      <c r="I16" s="22"/>
      <c r="J16" s="25">
        <v>35</v>
      </c>
      <c r="K16" s="26"/>
      <c r="L16" s="26"/>
      <c r="O16" s="39" t="s">
        <v>181</v>
      </c>
      <c r="P16" s="10">
        <v>2.4700000000000002</v>
      </c>
      <c r="AR16" s="28"/>
      <c r="CR16" s="31"/>
    </row>
    <row r="17" spans="1:96" x14ac:dyDescent="0.15">
      <c r="A17" s="18" t="s">
        <v>81</v>
      </c>
      <c r="B17" s="21" t="s">
        <v>31</v>
      </c>
      <c r="C17" s="9">
        <v>2021</v>
      </c>
      <c r="D17" s="9">
        <v>2588</v>
      </c>
      <c r="E17" s="9"/>
      <c r="F17" s="22"/>
      <c r="G17" s="9"/>
      <c r="H17" s="22"/>
      <c r="I17" s="9"/>
      <c r="J17" s="25">
        <v>2206</v>
      </c>
      <c r="K17" s="26"/>
      <c r="L17" s="25">
        <v>382</v>
      </c>
      <c r="O17" s="39" t="s">
        <v>182</v>
      </c>
      <c r="P17" s="10">
        <v>29</v>
      </c>
      <c r="AR17" s="29"/>
      <c r="CR17" s="31"/>
    </row>
    <row r="18" spans="1:96" x14ac:dyDescent="0.15">
      <c r="A18" s="18" t="s">
        <v>32</v>
      </c>
      <c r="B18" s="21" t="s">
        <v>33</v>
      </c>
      <c r="C18" s="9">
        <v>2021</v>
      </c>
      <c r="D18" s="9">
        <v>13632</v>
      </c>
      <c r="E18" s="9"/>
      <c r="F18" s="22"/>
      <c r="G18" s="9"/>
      <c r="H18" s="9"/>
      <c r="I18" s="9"/>
      <c r="J18" s="25">
        <v>8424</v>
      </c>
      <c r="K18" s="25"/>
      <c r="L18" s="25">
        <v>5208</v>
      </c>
      <c r="AR18" s="28"/>
      <c r="CR18" s="32"/>
    </row>
    <row r="19" spans="1:96" x14ac:dyDescent="0.15">
      <c r="A19" s="18" t="s">
        <v>34</v>
      </c>
      <c r="B19" s="21" t="s">
        <v>35</v>
      </c>
      <c r="C19" s="9">
        <v>2021</v>
      </c>
      <c r="D19" s="9">
        <v>37964</v>
      </c>
      <c r="E19" s="9"/>
      <c r="F19" s="22"/>
      <c r="G19" s="9"/>
      <c r="H19" s="9"/>
      <c r="I19" s="9"/>
      <c r="J19" s="25">
        <v>10433</v>
      </c>
      <c r="K19" s="25">
        <v>14160</v>
      </c>
      <c r="L19" s="25">
        <v>13372</v>
      </c>
      <c r="AR19" s="28"/>
      <c r="CR19" s="31"/>
    </row>
    <row r="20" spans="1:96" x14ac:dyDescent="0.15">
      <c r="A20" s="18" t="s">
        <v>82</v>
      </c>
      <c r="B20" s="21" t="s">
        <v>37</v>
      </c>
      <c r="C20" s="9">
        <v>2021</v>
      </c>
      <c r="D20" s="9">
        <v>111123</v>
      </c>
      <c r="E20" s="9"/>
      <c r="F20" s="22"/>
      <c r="G20" s="9"/>
      <c r="H20" s="9"/>
      <c r="I20" s="9"/>
      <c r="J20" s="25">
        <v>45674</v>
      </c>
      <c r="K20" s="25">
        <v>32579</v>
      </c>
      <c r="L20" s="25">
        <v>32870</v>
      </c>
      <c r="AR20" s="28"/>
      <c r="CR20" s="31"/>
    </row>
    <row r="21" spans="1:96" x14ac:dyDescent="0.15">
      <c r="A21" s="18" t="s">
        <v>83</v>
      </c>
      <c r="B21" s="21" t="s">
        <v>39</v>
      </c>
      <c r="C21" s="9">
        <v>2021</v>
      </c>
      <c r="D21" s="9">
        <v>257812</v>
      </c>
      <c r="E21" s="9"/>
      <c r="F21" s="22"/>
      <c r="G21" s="9"/>
      <c r="H21" s="9"/>
      <c r="I21" s="9"/>
      <c r="J21" s="25">
        <v>71450</v>
      </c>
      <c r="K21" s="25">
        <v>46506</v>
      </c>
      <c r="L21" s="25">
        <v>139855</v>
      </c>
      <c r="AR21" s="28"/>
      <c r="CR21" s="31"/>
    </row>
    <row r="22" spans="1:96" x14ac:dyDescent="0.15">
      <c r="A22" s="18" t="s">
        <v>40</v>
      </c>
      <c r="B22" s="21" t="s">
        <v>41</v>
      </c>
      <c r="C22" s="9">
        <v>2021</v>
      </c>
      <c r="D22" s="9">
        <v>15491</v>
      </c>
      <c r="E22" s="9"/>
      <c r="F22" s="22"/>
      <c r="G22" s="9"/>
      <c r="H22" s="22"/>
      <c r="I22" s="9"/>
      <c r="J22" s="25">
        <v>8010</v>
      </c>
      <c r="K22" s="26"/>
      <c r="L22" s="25">
        <v>7481</v>
      </c>
      <c r="AR22" s="28"/>
      <c r="CR22" s="31"/>
    </row>
    <row r="23" spans="1:96" x14ac:dyDescent="0.15">
      <c r="A23" s="18" t="s">
        <v>84</v>
      </c>
      <c r="B23" s="21" t="s">
        <v>43</v>
      </c>
      <c r="C23" s="9">
        <v>2021</v>
      </c>
      <c r="D23" s="9">
        <v>114527</v>
      </c>
      <c r="E23" s="9"/>
      <c r="F23" s="9"/>
      <c r="G23" s="22"/>
      <c r="H23" s="9"/>
      <c r="I23" s="9"/>
      <c r="J23" s="25">
        <v>63057</v>
      </c>
      <c r="K23" s="25">
        <v>22335</v>
      </c>
      <c r="L23" s="25">
        <v>29135</v>
      </c>
      <c r="AR23" s="28"/>
      <c r="CR23" s="31"/>
    </row>
    <row r="24" spans="1:96" x14ac:dyDescent="0.15">
      <c r="A24" s="18" t="s">
        <v>85</v>
      </c>
      <c r="B24" s="21" t="s">
        <v>45</v>
      </c>
      <c r="C24" s="9">
        <v>2021</v>
      </c>
      <c r="D24" s="9">
        <v>176322</v>
      </c>
      <c r="E24" s="9"/>
      <c r="F24" s="22"/>
      <c r="G24" s="9"/>
      <c r="H24" s="9"/>
      <c r="I24" s="9"/>
      <c r="J24" s="25">
        <v>50094</v>
      </c>
      <c r="K24" s="25">
        <v>64218</v>
      </c>
      <c r="L24" s="25">
        <v>62009</v>
      </c>
      <c r="AR24" s="28"/>
      <c r="CR24" s="31"/>
    </row>
    <row r="25" spans="1:96" x14ac:dyDescent="0.15">
      <c r="A25" s="18" t="s">
        <v>46</v>
      </c>
      <c r="B25" s="21" t="s">
        <v>47</v>
      </c>
      <c r="C25" s="9">
        <v>2021</v>
      </c>
      <c r="D25" s="9">
        <v>300184</v>
      </c>
      <c r="E25" s="9"/>
      <c r="F25" s="22"/>
      <c r="G25" s="9"/>
      <c r="H25" s="9"/>
      <c r="I25" s="9"/>
      <c r="J25" s="25">
        <v>103447</v>
      </c>
      <c r="K25" s="25">
        <v>70462</v>
      </c>
      <c r="L25" s="25">
        <v>126275</v>
      </c>
      <c r="AR25" s="28"/>
      <c r="CR25" s="31"/>
    </row>
    <row r="26" spans="1:96" x14ac:dyDescent="0.15">
      <c r="A26" s="18" t="s">
        <v>48</v>
      </c>
      <c r="B26" s="21" t="s">
        <v>49</v>
      </c>
      <c r="C26" s="9">
        <v>2021</v>
      </c>
      <c r="D26" s="9">
        <v>175918</v>
      </c>
      <c r="E26" s="9"/>
      <c r="F26" s="22"/>
      <c r="G26" s="9"/>
      <c r="H26" s="9"/>
      <c r="I26" s="9"/>
      <c r="J26" s="25">
        <v>103284</v>
      </c>
      <c r="K26" s="25">
        <v>29129</v>
      </c>
      <c r="L26" s="25">
        <v>43504</v>
      </c>
      <c r="AR26" s="28"/>
      <c r="CR26" s="31"/>
    </row>
    <row r="27" spans="1:96" x14ac:dyDescent="0.15">
      <c r="A27" s="18" t="s">
        <v>86</v>
      </c>
      <c r="B27" s="21" t="s">
        <v>51</v>
      </c>
      <c r="C27" s="9">
        <v>2021</v>
      </c>
      <c r="D27" s="9">
        <v>119183</v>
      </c>
      <c r="E27" s="9"/>
      <c r="F27" s="22"/>
      <c r="G27" s="9"/>
      <c r="H27" s="9"/>
      <c r="I27" s="9"/>
      <c r="J27" s="25">
        <v>85109</v>
      </c>
      <c r="K27" s="25">
        <v>3122</v>
      </c>
      <c r="L27" s="25">
        <v>30952</v>
      </c>
      <c r="AR27" s="28"/>
      <c r="CR27" s="31"/>
    </row>
    <row r="28" spans="1:96" x14ac:dyDescent="0.15">
      <c r="A28" s="18" t="s">
        <v>87</v>
      </c>
      <c r="B28" s="21" t="s">
        <v>53</v>
      </c>
      <c r="C28" s="9">
        <v>2021</v>
      </c>
      <c r="D28" s="9">
        <v>10517</v>
      </c>
      <c r="E28" s="9"/>
      <c r="F28" s="22"/>
      <c r="G28" s="9"/>
      <c r="H28" s="22"/>
      <c r="I28" s="9"/>
      <c r="J28" s="25">
        <v>10510</v>
      </c>
      <c r="K28" s="26"/>
      <c r="L28" s="25">
        <v>8</v>
      </c>
      <c r="AR28" s="28"/>
      <c r="CR28" s="33"/>
    </row>
    <row r="29" spans="1:96" x14ac:dyDescent="0.15">
      <c r="A29" s="18" t="s">
        <v>54</v>
      </c>
      <c r="B29" s="21" t="s">
        <v>55</v>
      </c>
      <c r="C29" s="9">
        <v>2021</v>
      </c>
      <c r="D29" s="9">
        <v>133463</v>
      </c>
      <c r="E29" s="9"/>
      <c r="F29" s="22"/>
      <c r="G29" s="22"/>
      <c r="H29" s="9"/>
      <c r="I29" s="9"/>
      <c r="J29" s="25">
        <v>19889</v>
      </c>
      <c r="K29" s="25">
        <v>28533</v>
      </c>
      <c r="L29" s="25">
        <v>85042</v>
      </c>
      <c r="AR29" s="28"/>
    </row>
    <row r="30" spans="1:96" x14ac:dyDescent="0.15">
      <c r="A30" s="18" t="s">
        <v>56</v>
      </c>
      <c r="B30" s="21" t="s">
        <v>57</v>
      </c>
      <c r="C30" s="9">
        <v>2021</v>
      </c>
      <c r="D30" s="9">
        <v>163238</v>
      </c>
      <c r="E30" s="9"/>
      <c r="F30" s="9"/>
      <c r="G30" s="9"/>
      <c r="H30" s="9"/>
      <c r="I30" s="9"/>
      <c r="J30" s="25">
        <v>21557</v>
      </c>
      <c r="K30" s="25">
        <v>69580</v>
      </c>
      <c r="L30" s="25">
        <v>72101</v>
      </c>
      <c r="AR30" s="28"/>
    </row>
    <row r="31" spans="1:96" x14ac:dyDescent="0.15">
      <c r="A31" s="18" t="s">
        <v>88</v>
      </c>
      <c r="B31" s="21" t="s">
        <v>59</v>
      </c>
      <c r="C31" s="9">
        <v>2021</v>
      </c>
      <c r="D31" s="9">
        <v>184517</v>
      </c>
      <c r="E31" s="9"/>
      <c r="F31" s="22"/>
      <c r="G31" s="9"/>
      <c r="H31" s="9"/>
      <c r="I31" s="9"/>
      <c r="J31" s="25">
        <v>49212</v>
      </c>
      <c r="K31" s="25">
        <v>3332</v>
      </c>
      <c r="L31" s="25">
        <v>131974</v>
      </c>
      <c r="AR31" s="28"/>
    </row>
    <row r="32" spans="1:96" x14ac:dyDescent="0.15">
      <c r="A32" s="18" t="s">
        <v>89</v>
      </c>
      <c r="B32" s="21" t="s">
        <v>61</v>
      </c>
      <c r="C32" s="9">
        <v>2021</v>
      </c>
      <c r="D32" s="9">
        <v>186903</v>
      </c>
      <c r="E32" s="9"/>
      <c r="F32" s="22"/>
      <c r="G32" s="9"/>
      <c r="H32" s="9"/>
      <c r="I32" s="9"/>
      <c r="J32" s="25">
        <v>33263</v>
      </c>
      <c r="K32" s="25">
        <v>64804</v>
      </c>
      <c r="L32" s="25">
        <v>88836</v>
      </c>
      <c r="AR32" s="28"/>
    </row>
    <row r="33" spans="1:96" x14ac:dyDescent="0.15">
      <c r="A33" s="18" t="s">
        <v>90</v>
      </c>
      <c r="B33" s="21" t="s">
        <v>63</v>
      </c>
      <c r="C33" s="9">
        <v>2021</v>
      </c>
      <c r="D33" s="9">
        <v>66937</v>
      </c>
      <c r="E33" s="9"/>
      <c r="F33" s="22"/>
      <c r="G33" s="22"/>
      <c r="H33" s="9"/>
      <c r="I33" s="22"/>
      <c r="J33" s="25">
        <v>65681</v>
      </c>
      <c r="K33" s="25">
        <v>1256</v>
      </c>
      <c r="L33" s="26"/>
      <c r="AR33" s="28"/>
    </row>
    <row r="34" spans="1:96" x14ac:dyDescent="0.15">
      <c r="A34" s="18" t="s">
        <v>91</v>
      </c>
      <c r="B34" s="21" t="s">
        <v>65</v>
      </c>
      <c r="C34" s="9">
        <v>2021</v>
      </c>
      <c r="D34" s="9">
        <v>381952</v>
      </c>
      <c r="E34" s="9"/>
      <c r="F34" s="9"/>
      <c r="G34" s="9"/>
      <c r="H34" s="9"/>
      <c r="I34" s="9"/>
      <c r="J34" s="25">
        <v>97336</v>
      </c>
      <c r="K34" s="25">
        <v>174312</v>
      </c>
      <c r="L34" s="25">
        <v>110305</v>
      </c>
      <c r="AR34" s="29"/>
    </row>
    <row r="35" spans="1:96" x14ac:dyDescent="0.15">
      <c r="A35" s="18" t="s">
        <v>66</v>
      </c>
      <c r="B35" s="21" t="s">
        <v>67</v>
      </c>
      <c r="C35" s="9">
        <v>2021</v>
      </c>
      <c r="D35" s="9">
        <v>252005</v>
      </c>
      <c r="E35" s="9"/>
      <c r="F35" s="22"/>
      <c r="G35" s="22"/>
      <c r="H35" s="9"/>
      <c r="I35" s="9"/>
      <c r="J35" s="25">
        <v>103002</v>
      </c>
      <c r="K35" s="25">
        <v>52080</v>
      </c>
      <c r="L35" s="25">
        <v>96923</v>
      </c>
      <c r="AR35" s="28"/>
    </row>
    <row r="36" spans="1:96" x14ac:dyDescent="0.15">
      <c r="A36" s="18" t="s">
        <v>92</v>
      </c>
      <c r="B36" s="21" t="s">
        <v>69</v>
      </c>
      <c r="C36" s="9">
        <v>2021</v>
      </c>
      <c r="D36" s="9">
        <v>146631</v>
      </c>
      <c r="E36" s="9"/>
      <c r="F36" s="22"/>
      <c r="G36" s="22"/>
      <c r="H36" s="9"/>
      <c r="I36" s="9"/>
      <c r="J36" s="25">
        <v>22737</v>
      </c>
      <c r="K36" s="25">
        <v>80750</v>
      </c>
      <c r="L36" s="25">
        <v>43143</v>
      </c>
      <c r="AR36" s="28"/>
    </row>
    <row r="37" spans="1:96" x14ac:dyDescent="0.15">
      <c r="A37" s="18" t="s">
        <v>70</v>
      </c>
      <c r="B37" s="21" t="s">
        <v>71</v>
      </c>
      <c r="C37" s="9">
        <v>2021</v>
      </c>
      <c r="D37" s="9">
        <v>109814</v>
      </c>
      <c r="E37" s="9"/>
      <c r="F37" s="22"/>
      <c r="G37" s="22"/>
      <c r="H37" s="9"/>
      <c r="I37" s="9"/>
      <c r="J37" s="25">
        <v>52691</v>
      </c>
      <c r="K37" s="25">
        <v>4723</v>
      </c>
      <c r="L37" s="25">
        <v>52401</v>
      </c>
      <c r="AR37" s="28"/>
    </row>
    <row r="38" spans="1:96" x14ac:dyDescent="0.15">
      <c r="A38" s="18" t="s">
        <v>93</v>
      </c>
      <c r="B38" s="21" t="s">
        <v>73</v>
      </c>
      <c r="C38" s="9">
        <v>2021</v>
      </c>
      <c r="D38" s="9">
        <v>128487</v>
      </c>
      <c r="E38" s="9"/>
      <c r="F38" s="9"/>
      <c r="G38" s="9"/>
      <c r="H38" s="9"/>
      <c r="I38" s="9"/>
      <c r="J38" s="25">
        <v>27680</v>
      </c>
      <c r="K38" s="25">
        <v>74834</v>
      </c>
      <c r="L38" s="25">
        <v>25974</v>
      </c>
      <c r="AR38" s="28"/>
    </row>
    <row r="39" spans="1:96" x14ac:dyDescent="0.15">
      <c r="A39" s="18" t="s">
        <v>74</v>
      </c>
      <c r="B39" s="21" t="s">
        <v>75</v>
      </c>
      <c r="C39" s="9">
        <v>2021</v>
      </c>
      <c r="D39" s="9">
        <v>13261</v>
      </c>
      <c r="E39" s="9"/>
      <c r="F39" s="22"/>
      <c r="G39" s="22"/>
      <c r="H39" s="22"/>
      <c r="I39" s="9"/>
      <c r="J39" s="25">
        <v>285</v>
      </c>
      <c r="K39" s="26"/>
      <c r="L39" s="25">
        <v>12977</v>
      </c>
      <c r="AR39" s="28"/>
    </row>
    <row r="40" spans="1:96" x14ac:dyDescent="0.15">
      <c r="A40" s="49"/>
      <c r="B40" s="17"/>
      <c r="C40" s="31"/>
      <c r="D40" s="31"/>
      <c r="E40" s="31"/>
      <c r="F40" s="32"/>
      <c r="G40" s="32"/>
      <c r="H40" s="32"/>
      <c r="I40" s="31"/>
      <c r="J40" s="51"/>
      <c r="K40" s="52"/>
      <c r="L40" s="51"/>
      <c r="AR40" s="28"/>
    </row>
    <row r="41" spans="1:96" x14ac:dyDescent="0.15">
      <c r="A41" s="49"/>
      <c r="B41" s="17"/>
      <c r="C41" s="31"/>
      <c r="D41" s="31"/>
      <c r="E41" s="31"/>
      <c r="F41" s="32"/>
      <c r="G41" s="32"/>
      <c r="H41" s="32"/>
      <c r="I41" s="31"/>
      <c r="J41" s="51"/>
      <c r="K41" s="52"/>
      <c r="L41" s="51"/>
      <c r="AR41" s="28"/>
    </row>
    <row r="42" spans="1:96" x14ac:dyDescent="0.15">
      <c r="A42" s="49"/>
      <c r="B42" s="17"/>
      <c r="C42" s="31"/>
      <c r="D42" s="31"/>
      <c r="E42" s="31"/>
      <c r="F42" s="32"/>
      <c r="G42" s="32"/>
      <c r="H42" s="32"/>
      <c r="I42" s="31"/>
      <c r="J42" s="51"/>
      <c r="K42" s="52"/>
      <c r="L42" s="51"/>
      <c r="AR42" s="28"/>
    </row>
    <row r="43" spans="1:96" x14ac:dyDescent="0.15">
      <c r="A43" s="17" t="s">
        <v>164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CR43" s="31"/>
    </row>
    <row r="44" spans="1:96" x14ac:dyDescent="0.15">
      <c r="A44" s="17" t="s">
        <v>167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CR44" s="31"/>
    </row>
    <row r="45" spans="1:96" x14ac:dyDescent="0.15">
      <c r="A45" s="17" t="s">
        <v>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CR45" s="31"/>
    </row>
    <row r="46" spans="1:96" x14ac:dyDescent="0.15">
      <c r="A46" s="17" t="s">
        <v>2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CR46" s="31"/>
    </row>
    <row r="47" spans="1:96" x14ac:dyDescent="0.15">
      <c r="A47" s="55" t="s">
        <v>3</v>
      </c>
      <c r="B47" s="55" t="s">
        <v>4</v>
      </c>
      <c r="C47" s="57" t="s">
        <v>104</v>
      </c>
      <c r="D47" s="59" t="s">
        <v>76</v>
      </c>
      <c r="E47" s="60" t="s">
        <v>6</v>
      </c>
      <c r="F47" s="61"/>
      <c r="G47" s="61"/>
      <c r="H47" s="61"/>
      <c r="I47" s="61"/>
      <c r="J47" s="61"/>
      <c r="K47" s="61"/>
      <c r="L47" s="62"/>
      <c r="CR47" s="31"/>
    </row>
    <row r="48" spans="1:96" ht="72" x14ac:dyDescent="0.15">
      <c r="A48" s="56"/>
      <c r="B48" s="56"/>
      <c r="C48" s="58"/>
      <c r="D48" s="56"/>
      <c r="E48" s="8" t="s">
        <v>105</v>
      </c>
      <c r="F48" s="8" t="s">
        <v>106</v>
      </c>
      <c r="G48" s="8" t="s">
        <v>107</v>
      </c>
      <c r="H48" s="8" t="s">
        <v>108</v>
      </c>
      <c r="I48" s="8" t="s">
        <v>109</v>
      </c>
      <c r="J48" s="23" t="s">
        <v>7</v>
      </c>
      <c r="K48" s="23" t="s">
        <v>8</v>
      </c>
      <c r="L48" s="23" t="s">
        <v>9</v>
      </c>
      <c r="CR48" s="32"/>
    </row>
    <row r="49" spans="1:96" x14ac:dyDescent="0.15">
      <c r="A49" s="19" t="s">
        <v>10</v>
      </c>
      <c r="B49" s="20" t="s">
        <v>11</v>
      </c>
      <c r="C49" s="9">
        <v>2021</v>
      </c>
      <c r="D49" s="9">
        <v>3754373</v>
      </c>
      <c r="E49" s="9"/>
      <c r="F49" s="9"/>
      <c r="G49" s="9"/>
      <c r="H49" s="9"/>
      <c r="I49" s="9"/>
      <c r="J49" s="25">
        <v>1507927</v>
      </c>
      <c r="K49" s="25">
        <v>1235098</v>
      </c>
      <c r="L49" s="25">
        <v>1011349</v>
      </c>
      <c r="CR49" s="31"/>
    </row>
    <row r="50" spans="1:96" x14ac:dyDescent="0.15">
      <c r="A50" s="18" t="s">
        <v>77</v>
      </c>
      <c r="B50" s="21" t="s">
        <v>13</v>
      </c>
      <c r="C50" s="9">
        <v>2021</v>
      </c>
      <c r="D50" s="9">
        <v>24783</v>
      </c>
      <c r="E50" s="9"/>
      <c r="F50" s="22"/>
      <c r="G50" s="22"/>
      <c r="H50" s="9"/>
      <c r="I50" s="22"/>
      <c r="J50" s="25">
        <v>8115</v>
      </c>
      <c r="K50" s="25">
        <v>16669</v>
      </c>
      <c r="L50" s="26"/>
      <c r="AR50" s="28"/>
      <c r="CR50" s="31"/>
    </row>
    <row r="51" spans="1:96" x14ac:dyDescent="0.15">
      <c r="A51" s="18" t="s">
        <v>78</v>
      </c>
      <c r="B51" s="21" t="s">
        <v>15</v>
      </c>
      <c r="C51" s="9">
        <v>2021</v>
      </c>
      <c r="D51" s="9">
        <v>5396</v>
      </c>
      <c r="E51" s="9"/>
      <c r="F51" s="22"/>
      <c r="G51" s="22"/>
      <c r="H51" s="22"/>
      <c r="I51" s="9"/>
      <c r="J51" s="25">
        <v>0</v>
      </c>
      <c r="K51" s="26">
        <v>5396</v>
      </c>
      <c r="L51" s="25"/>
      <c r="AR51" s="28"/>
      <c r="CR51" s="31"/>
    </row>
    <row r="52" spans="1:96" x14ac:dyDescent="0.15">
      <c r="A52" s="18" t="s">
        <v>16</v>
      </c>
      <c r="B52" s="21" t="s">
        <v>17</v>
      </c>
      <c r="C52" s="9">
        <v>2021</v>
      </c>
      <c r="D52" s="9">
        <v>181389</v>
      </c>
      <c r="E52" s="9"/>
      <c r="F52" s="9"/>
      <c r="G52" s="9"/>
      <c r="H52" s="9"/>
      <c r="I52" s="9"/>
      <c r="J52" s="25">
        <v>82574</v>
      </c>
      <c r="K52" s="25">
        <v>47684</v>
      </c>
      <c r="L52" s="25">
        <v>51130</v>
      </c>
      <c r="AR52" s="29"/>
      <c r="CR52" s="32"/>
    </row>
    <row r="53" spans="1:96" x14ac:dyDescent="0.15">
      <c r="A53" s="18" t="s">
        <v>18</v>
      </c>
      <c r="B53" s="21" t="s">
        <v>19</v>
      </c>
      <c r="C53" s="9">
        <v>2021</v>
      </c>
      <c r="D53" s="9">
        <v>338830</v>
      </c>
      <c r="E53" s="9"/>
      <c r="F53" s="22"/>
      <c r="G53" s="22"/>
      <c r="H53" s="9"/>
      <c r="I53" s="9"/>
      <c r="J53" s="25">
        <v>245196</v>
      </c>
      <c r="K53" s="25">
        <v>83538</v>
      </c>
      <c r="L53" s="25">
        <v>10096</v>
      </c>
      <c r="AR53" s="28"/>
      <c r="CR53" s="31"/>
    </row>
    <row r="54" spans="1:96" x14ac:dyDescent="0.15">
      <c r="A54" s="18" t="s">
        <v>20</v>
      </c>
      <c r="B54" s="21" t="s">
        <v>21</v>
      </c>
      <c r="C54" s="9">
        <v>2021</v>
      </c>
      <c r="D54" s="9">
        <v>272951</v>
      </c>
      <c r="E54" s="9"/>
      <c r="F54" s="9"/>
      <c r="G54" s="9"/>
      <c r="H54" s="9"/>
      <c r="I54" s="9"/>
      <c r="J54" s="25">
        <v>152001</v>
      </c>
      <c r="K54" s="25">
        <v>63869</v>
      </c>
      <c r="L54" s="25">
        <v>57081</v>
      </c>
      <c r="AR54" s="29"/>
      <c r="CR54" s="31"/>
    </row>
    <row r="55" spans="1:96" x14ac:dyDescent="0.15">
      <c r="A55" s="18" t="s">
        <v>79</v>
      </c>
      <c r="B55" s="21" t="s">
        <v>23</v>
      </c>
      <c r="C55" s="9">
        <v>2021</v>
      </c>
      <c r="D55" s="9">
        <v>56559</v>
      </c>
      <c r="E55" s="9"/>
      <c r="F55" s="9"/>
      <c r="G55" s="9"/>
      <c r="H55" s="9"/>
      <c r="I55" s="9"/>
      <c r="J55" s="25">
        <v>23856</v>
      </c>
      <c r="K55" s="25">
        <v>3835</v>
      </c>
      <c r="L55" s="25">
        <v>28867</v>
      </c>
      <c r="AR55" s="28"/>
      <c r="CR55" s="31"/>
    </row>
    <row r="56" spans="1:96" x14ac:dyDescent="0.15">
      <c r="A56" s="18" t="s">
        <v>24</v>
      </c>
      <c r="B56" s="21" t="s">
        <v>25</v>
      </c>
      <c r="C56" s="9">
        <v>2021</v>
      </c>
      <c r="D56" s="9">
        <v>105897</v>
      </c>
      <c r="E56" s="9"/>
      <c r="F56" s="22"/>
      <c r="G56" s="9"/>
      <c r="H56" s="22"/>
      <c r="I56" s="9"/>
      <c r="J56" s="25">
        <v>14431</v>
      </c>
      <c r="K56" s="26">
        <v>23092</v>
      </c>
      <c r="L56" s="25">
        <v>68375</v>
      </c>
      <c r="AR56" s="28"/>
      <c r="CR56" s="31"/>
    </row>
    <row r="57" spans="1:96" x14ac:dyDescent="0.15">
      <c r="A57" s="18" t="s">
        <v>26</v>
      </c>
      <c r="B57" s="21" t="s">
        <v>27</v>
      </c>
      <c r="C57" s="9">
        <v>2021</v>
      </c>
      <c r="D57" s="9">
        <v>95686</v>
      </c>
      <c r="E57" s="9"/>
      <c r="F57" s="22"/>
      <c r="G57" s="9"/>
      <c r="H57" s="9"/>
      <c r="I57" s="9"/>
      <c r="J57" s="25">
        <v>23244</v>
      </c>
      <c r="K57" s="25">
        <v>23470</v>
      </c>
      <c r="L57" s="25">
        <v>48971</v>
      </c>
      <c r="AR57" s="28"/>
      <c r="CR57" s="31"/>
    </row>
    <row r="58" spans="1:96" x14ac:dyDescent="0.15">
      <c r="A58" s="18" t="s">
        <v>80</v>
      </c>
      <c r="B58" s="21" t="s">
        <v>29</v>
      </c>
      <c r="C58" s="9">
        <v>2021</v>
      </c>
      <c r="D58" s="9"/>
      <c r="E58" s="9"/>
      <c r="F58" s="22"/>
      <c r="G58" s="22"/>
      <c r="H58" s="22"/>
      <c r="I58" s="22"/>
      <c r="J58" s="25"/>
      <c r="K58" s="26"/>
      <c r="L58" s="26"/>
      <c r="AR58" s="28"/>
      <c r="CR58" s="31"/>
    </row>
    <row r="59" spans="1:96" x14ac:dyDescent="0.15">
      <c r="A59" s="18" t="s">
        <v>81</v>
      </c>
      <c r="B59" s="21" t="s">
        <v>31</v>
      </c>
      <c r="C59" s="9">
        <v>2021</v>
      </c>
      <c r="D59" s="9">
        <v>3211</v>
      </c>
      <c r="E59" s="9"/>
      <c r="F59" s="22"/>
      <c r="G59" s="9"/>
      <c r="H59" s="22"/>
      <c r="I59" s="9"/>
      <c r="J59" s="25">
        <v>2692</v>
      </c>
      <c r="K59" s="26"/>
      <c r="L59" s="25">
        <v>519</v>
      </c>
      <c r="AR59" s="29"/>
      <c r="CR59" s="31"/>
    </row>
    <row r="60" spans="1:96" x14ac:dyDescent="0.15">
      <c r="A60" s="18" t="s">
        <v>32</v>
      </c>
      <c r="B60" s="21" t="s">
        <v>33</v>
      </c>
      <c r="C60" s="9">
        <v>2021</v>
      </c>
      <c r="D60" s="9">
        <v>23975</v>
      </c>
      <c r="E60" s="9"/>
      <c r="F60" s="22"/>
      <c r="G60" s="9"/>
      <c r="H60" s="9"/>
      <c r="I60" s="9"/>
      <c r="J60" s="25">
        <v>8862</v>
      </c>
      <c r="K60" s="25">
        <v>4173</v>
      </c>
      <c r="L60" s="25">
        <v>10940</v>
      </c>
      <c r="AR60" s="28"/>
      <c r="CR60" s="32"/>
    </row>
    <row r="61" spans="1:96" x14ac:dyDescent="0.15">
      <c r="A61" s="18" t="s">
        <v>34</v>
      </c>
      <c r="B61" s="21" t="s">
        <v>35</v>
      </c>
      <c r="C61" s="9">
        <v>2021</v>
      </c>
      <c r="D61" s="9">
        <v>52735</v>
      </c>
      <c r="E61" s="9"/>
      <c r="F61" s="22"/>
      <c r="G61" s="9"/>
      <c r="H61" s="9"/>
      <c r="I61" s="9"/>
      <c r="J61" s="25">
        <v>10014</v>
      </c>
      <c r="K61" s="25">
        <v>29788</v>
      </c>
      <c r="L61" s="25">
        <v>12933</v>
      </c>
      <c r="AR61" s="28"/>
      <c r="CR61" s="31"/>
    </row>
    <row r="62" spans="1:96" x14ac:dyDescent="0.15">
      <c r="A62" s="18" t="s">
        <v>82</v>
      </c>
      <c r="B62" s="21" t="s">
        <v>37</v>
      </c>
      <c r="C62" s="9">
        <v>2021</v>
      </c>
      <c r="D62" s="9">
        <v>96935</v>
      </c>
      <c r="E62" s="9"/>
      <c r="F62" s="22"/>
      <c r="G62" s="9"/>
      <c r="H62" s="9"/>
      <c r="I62" s="9"/>
      <c r="J62" s="25">
        <v>29230</v>
      </c>
      <c r="K62" s="25">
        <v>43984</v>
      </c>
      <c r="L62" s="25">
        <v>23722</v>
      </c>
      <c r="AR62" s="28"/>
      <c r="CR62" s="31"/>
    </row>
    <row r="63" spans="1:96" x14ac:dyDescent="0.15">
      <c r="A63" s="18" t="s">
        <v>83</v>
      </c>
      <c r="B63" s="21" t="s">
        <v>39</v>
      </c>
      <c r="C63" s="9">
        <v>2021</v>
      </c>
      <c r="D63" s="9">
        <v>256815</v>
      </c>
      <c r="E63" s="9"/>
      <c r="F63" s="22"/>
      <c r="G63" s="9"/>
      <c r="H63" s="9"/>
      <c r="I63" s="9"/>
      <c r="J63" s="25">
        <v>61960</v>
      </c>
      <c r="K63" s="25">
        <v>81839</v>
      </c>
      <c r="L63" s="25">
        <v>113015</v>
      </c>
      <c r="AR63" s="28"/>
      <c r="CR63" s="31"/>
    </row>
    <row r="64" spans="1:96" x14ac:dyDescent="0.15">
      <c r="A64" s="18" t="s">
        <v>40</v>
      </c>
      <c r="B64" s="21" t="s">
        <v>41</v>
      </c>
      <c r="C64" s="9">
        <v>2021</v>
      </c>
      <c r="D64" s="9">
        <v>11820</v>
      </c>
      <c r="E64" s="9"/>
      <c r="F64" s="22"/>
      <c r="G64" s="9"/>
      <c r="H64" s="22"/>
      <c r="I64" s="9"/>
      <c r="J64" s="25">
        <v>8769</v>
      </c>
      <c r="K64" s="26"/>
      <c r="L64" s="25">
        <v>3052</v>
      </c>
      <c r="AR64" s="28"/>
      <c r="CR64" s="31"/>
    </row>
    <row r="65" spans="1:96" x14ac:dyDescent="0.15">
      <c r="A65" s="18" t="s">
        <v>84</v>
      </c>
      <c r="B65" s="21" t="s">
        <v>43</v>
      </c>
      <c r="C65" s="9">
        <v>2021</v>
      </c>
      <c r="D65" s="9">
        <v>147507</v>
      </c>
      <c r="E65" s="9"/>
      <c r="F65" s="9"/>
      <c r="G65" s="22"/>
      <c r="H65" s="9"/>
      <c r="I65" s="9"/>
      <c r="J65" s="25">
        <v>114470</v>
      </c>
      <c r="K65" s="25">
        <v>16653</v>
      </c>
      <c r="L65" s="25">
        <v>16385</v>
      </c>
      <c r="AR65" s="28"/>
      <c r="CR65" s="31"/>
    </row>
    <row r="66" spans="1:96" x14ac:dyDescent="0.15">
      <c r="A66" s="18" t="s">
        <v>85</v>
      </c>
      <c r="B66" s="21" t="s">
        <v>45</v>
      </c>
      <c r="C66" s="9">
        <v>2021</v>
      </c>
      <c r="D66" s="9">
        <v>138489</v>
      </c>
      <c r="E66" s="9"/>
      <c r="F66" s="22"/>
      <c r="G66" s="9"/>
      <c r="H66" s="9"/>
      <c r="I66" s="9"/>
      <c r="J66" s="25">
        <v>32426</v>
      </c>
      <c r="K66" s="25">
        <v>80534</v>
      </c>
      <c r="L66" s="25">
        <v>25529</v>
      </c>
      <c r="AR66" s="28"/>
      <c r="CR66" s="31"/>
    </row>
    <row r="67" spans="1:96" x14ac:dyDescent="0.15">
      <c r="A67" s="18" t="s">
        <v>46</v>
      </c>
      <c r="B67" s="21" t="s">
        <v>47</v>
      </c>
      <c r="C67" s="9">
        <v>2021</v>
      </c>
      <c r="D67" s="9">
        <v>153227</v>
      </c>
      <c r="E67" s="9"/>
      <c r="F67" s="22"/>
      <c r="G67" s="9"/>
      <c r="H67" s="9"/>
      <c r="I67" s="9"/>
      <c r="J67" s="25">
        <v>67863</v>
      </c>
      <c r="K67" s="25">
        <v>45847</v>
      </c>
      <c r="L67" s="25">
        <v>39516</v>
      </c>
      <c r="AR67" s="28"/>
      <c r="CR67" s="31"/>
    </row>
    <row r="68" spans="1:96" x14ac:dyDescent="0.15">
      <c r="A68" s="18" t="s">
        <v>48</v>
      </c>
      <c r="B68" s="21" t="s">
        <v>49</v>
      </c>
      <c r="C68" s="9">
        <v>2021</v>
      </c>
      <c r="D68" s="9">
        <v>58234</v>
      </c>
      <c r="E68" s="9"/>
      <c r="F68" s="22"/>
      <c r="G68" s="9"/>
      <c r="H68" s="9"/>
      <c r="I68" s="9"/>
      <c r="J68" s="25">
        <v>10686</v>
      </c>
      <c r="K68" s="25">
        <v>24333</v>
      </c>
      <c r="L68" s="25">
        <v>23214</v>
      </c>
      <c r="AR68" s="28"/>
      <c r="CR68" s="31"/>
    </row>
    <row r="69" spans="1:96" x14ac:dyDescent="0.15">
      <c r="A69" s="18" t="s">
        <v>86</v>
      </c>
      <c r="B69" s="21" t="s">
        <v>51</v>
      </c>
      <c r="C69" s="9">
        <v>2021</v>
      </c>
      <c r="D69" s="9">
        <v>194768</v>
      </c>
      <c r="E69" s="9"/>
      <c r="F69" s="22"/>
      <c r="G69" s="9"/>
      <c r="H69" s="9"/>
      <c r="I69" s="9"/>
      <c r="J69" s="25">
        <v>61549</v>
      </c>
      <c r="K69" s="25">
        <v>20609</v>
      </c>
      <c r="L69" s="25">
        <v>112611</v>
      </c>
      <c r="AR69" s="28"/>
      <c r="CR69" s="31"/>
    </row>
    <row r="70" spans="1:96" x14ac:dyDescent="0.15">
      <c r="A70" s="18" t="s">
        <v>87</v>
      </c>
      <c r="B70" s="21" t="s">
        <v>53</v>
      </c>
      <c r="C70" s="9">
        <v>2021</v>
      </c>
      <c r="D70" s="9">
        <v>8936</v>
      </c>
      <c r="E70" s="9"/>
      <c r="F70" s="22"/>
      <c r="G70" s="9"/>
      <c r="H70" s="22"/>
      <c r="I70" s="9"/>
      <c r="J70" s="25">
        <v>8936</v>
      </c>
      <c r="K70" s="26"/>
      <c r="L70" s="25">
        <v>0</v>
      </c>
      <c r="AR70" s="28"/>
      <c r="CR70" s="33"/>
    </row>
    <row r="71" spans="1:96" x14ac:dyDescent="0.15">
      <c r="A71" s="18" t="s">
        <v>54</v>
      </c>
      <c r="B71" s="21" t="s">
        <v>55</v>
      </c>
      <c r="C71" s="9">
        <v>2021</v>
      </c>
      <c r="D71" s="9">
        <v>117661</v>
      </c>
      <c r="E71" s="9"/>
      <c r="F71" s="22"/>
      <c r="G71" s="22"/>
      <c r="H71" s="9"/>
      <c r="I71" s="9"/>
      <c r="J71" s="25">
        <v>20684</v>
      </c>
      <c r="K71" s="25">
        <v>42439</v>
      </c>
      <c r="L71" s="25">
        <v>54538</v>
      </c>
      <c r="AR71" s="28"/>
    </row>
    <row r="72" spans="1:96" x14ac:dyDescent="0.15">
      <c r="A72" s="18" t="s">
        <v>56</v>
      </c>
      <c r="B72" s="21" t="s">
        <v>57</v>
      </c>
      <c r="C72" s="9">
        <v>2021</v>
      </c>
      <c r="D72" s="9">
        <v>186389</v>
      </c>
      <c r="E72" s="9"/>
      <c r="F72" s="9"/>
      <c r="G72" s="9"/>
      <c r="H72" s="9"/>
      <c r="I72" s="9"/>
      <c r="J72" s="25">
        <v>42576</v>
      </c>
      <c r="K72" s="25">
        <v>111312</v>
      </c>
      <c r="L72" s="25">
        <v>32502</v>
      </c>
      <c r="AR72" s="28"/>
    </row>
    <row r="73" spans="1:96" x14ac:dyDescent="0.15">
      <c r="A73" s="18" t="s">
        <v>88</v>
      </c>
      <c r="B73" s="21" t="s">
        <v>59</v>
      </c>
      <c r="C73" s="9">
        <v>2021</v>
      </c>
      <c r="D73" s="9">
        <v>35434</v>
      </c>
      <c r="E73" s="9"/>
      <c r="F73" s="22"/>
      <c r="G73" s="9"/>
      <c r="H73" s="9"/>
      <c r="I73" s="9"/>
      <c r="J73" s="25">
        <v>5993</v>
      </c>
      <c r="K73" s="25">
        <v>11995</v>
      </c>
      <c r="L73" s="25">
        <v>17446</v>
      </c>
      <c r="AR73" s="28"/>
    </row>
    <row r="74" spans="1:96" x14ac:dyDescent="0.15">
      <c r="A74" s="18" t="s">
        <v>89</v>
      </c>
      <c r="B74" s="21" t="s">
        <v>61</v>
      </c>
      <c r="C74" s="9">
        <v>2021</v>
      </c>
      <c r="D74" s="9">
        <v>149132</v>
      </c>
      <c r="E74" s="9"/>
      <c r="F74" s="22"/>
      <c r="G74" s="9"/>
      <c r="H74" s="9"/>
      <c r="I74" s="9"/>
      <c r="J74" s="25">
        <v>37436</v>
      </c>
      <c r="K74" s="25">
        <v>79675</v>
      </c>
      <c r="L74" s="25">
        <v>32020</v>
      </c>
      <c r="AR74" s="28"/>
    </row>
    <row r="75" spans="1:96" x14ac:dyDescent="0.15">
      <c r="A75" s="18" t="s">
        <v>90</v>
      </c>
      <c r="B75" s="21" t="s">
        <v>63</v>
      </c>
      <c r="C75" s="9">
        <v>2021</v>
      </c>
      <c r="D75" s="9">
        <v>70563</v>
      </c>
      <c r="E75" s="9"/>
      <c r="F75" s="22"/>
      <c r="G75" s="22"/>
      <c r="H75" s="9"/>
      <c r="I75" s="22"/>
      <c r="J75" s="25">
        <v>50565</v>
      </c>
      <c r="K75" s="25">
        <v>19998</v>
      </c>
      <c r="L75" s="26"/>
      <c r="AR75" s="28"/>
    </row>
    <row r="76" spans="1:96" x14ac:dyDescent="0.15">
      <c r="A76" s="18" t="s">
        <v>91</v>
      </c>
      <c r="B76" s="21" t="s">
        <v>65</v>
      </c>
      <c r="C76" s="9">
        <v>2021</v>
      </c>
      <c r="D76" s="9">
        <v>324331</v>
      </c>
      <c r="E76" s="9"/>
      <c r="F76" s="9"/>
      <c r="G76" s="9"/>
      <c r="H76" s="9"/>
      <c r="I76" s="9"/>
      <c r="J76" s="25">
        <v>112437</v>
      </c>
      <c r="K76" s="25">
        <v>181456</v>
      </c>
      <c r="L76" s="25">
        <v>30438</v>
      </c>
      <c r="AR76" s="29"/>
    </row>
    <row r="77" spans="1:96" x14ac:dyDescent="0.15">
      <c r="A77" s="18" t="s">
        <v>66</v>
      </c>
      <c r="B77" s="21" t="s">
        <v>67</v>
      </c>
      <c r="C77" s="9">
        <v>2021</v>
      </c>
      <c r="D77" s="9">
        <v>178184</v>
      </c>
      <c r="E77" s="9"/>
      <c r="F77" s="22"/>
      <c r="G77" s="22"/>
      <c r="H77" s="9"/>
      <c r="I77" s="9"/>
      <c r="J77" s="25">
        <v>90897</v>
      </c>
      <c r="K77" s="25">
        <v>41782</v>
      </c>
      <c r="L77" s="25">
        <v>45505</v>
      </c>
      <c r="AR77" s="28"/>
    </row>
    <row r="78" spans="1:96" x14ac:dyDescent="0.15">
      <c r="A78" s="18" t="s">
        <v>92</v>
      </c>
      <c r="B78" s="21" t="s">
        <v>69</v>
      </c>
      <c r="C78" s="9">
        <v>2021</v>
      </c>
      <c r="D78" s="9">
        <v>165883</v>
      </c>
      <c r="E78" s="9"/>
      <c r="F78" s="22"/>
      <c r="G78" s="22"/>
      <c r="H78" s="9"/>
      <c r="I78" s="9"/>
      <c r="J78" s="25">
        <v>92115</v>
      </c>
      <c r="K78" s="25">
        <v>30300</v>
      </c>
      <c r="L78" s="25">
        <v>43468</v>
      </c>
      <c r="AR78" s="28"/>
    </row>
    <row r="79" spans="1:96" x14ac:dyDescent="0.15">
      <c r="A79" s="18" t="s">
        <v>70</v>
      </c>
      <c r="B79" s="21" t="s">
        <v>71</v>
      </c>
      <c r="C79" s="9">
        <v>2021</v>
      </c>
      <c r="D79" s="9">
        <v>100414</v>
      </c>
      <c r="E79" s="9"/>
      <c r="F79" s="22"/>
      <c r="G79" s="22"/>
      <c r="H79" s="9"/>
      <c r="I79" s="9"/>
      <c r="J79" s="25">
        <v>44910</v>
      </c>
      <c r="K79" s="25">
        <v>5793</v>
      </c>
      <c r="L79" s="25">
        <v>49710</v>
      </c>
      <c r="AR79" s="28"/>
    </row>
    <row r="80" spans="1:96" x14ac:dyDescent="0.15">
      <c r="A80" s="18" t="s">
        <v>93</v>
      </c>
      <c r="B80" s="21" t="s">
        <v>73</v>
      </c>
      <c r="C80" s="9">
        <v>2021</v>
      </c>
      <c r="D80" s="9">
        <v>169802</v>
      </c>
      <c r="E80" s="9"/>
      <c r="F80" s="9"/>
      <c r="G80" s="9"/>
      <c r="H80" s="9"/>
      <c r="I80" s="9"/>
      <c r="J80" s="25">
        <v>42786</v>
      </c>
      <c r="K80" s="25">
        <v>95037</v>
      </c>
      <c r="L80" s="25">
        <v>31980</v>
      </c>
      <c r="AR80" s="28"/>
    </row>
    <row r="81" spans="1:44" x14ac:dyDescent="0.15">
      <c r="A81" s="18" t="s">
        <v>74</v>
      </c>
      <c r="B81" s="21" t="s">
        <v>75</v>
      </c>
      <c r="C81" s="9">
        <v>2021</v>
      </c>
      <c r="D81" s="9">
        <v>28436</v>
      </c>
      <c r="E81" s="9"/>
      <c r="F81" s="22"/>
      <c r="G81" s="22"/>
      <c r="H81" s="22"/>
      <c r="I81" s="9"/>
      <c r="J81" s="25">
        <v>650</v>
      </c>
      <c r="K81" s="26"/>
      <c r="L81" s="25">
        <v>27785</v>
      </c>
      <c r="AR81" s="28"/>
    </row>
    <row r="82" spans="1:44" x14ac:dyDescent="0.15">
      <c r="A82" s="49"/>
      <c r="B82" s="17"/>
      <c r="C82" s="31"/>
      <c r="D82" s="31"/>
      <c r="E82" s="31"/>
      <c r="F82" s="32"/>
      <c r="G82" s="32"/>
      <c r="H82" s="32"/>
      <c r="I82" s="31"/>
      <c r="J82" s="51"/>
      <c r="K82" s="52"/>
      <c r="L82" s="51"/>
      <c r="AR82" s="28"/>
    </row>
    <row r="83" spans="1:44" x14ac:dyDescent="0.15">
      <c r="A83" s="49"/>
      <c r="B83" s="17"/>
      <c r="C83" s="31"/>
      <c r="D83" s="31"/>
      <c r="E83" s="31"/>
      <c r="F83" s="32"/>
      <c r="G83" s="32"/>
      <c r="H83" s="32"/>
      <c r="I83" s="31"/>
      <c r="J83" s="51"/>
      <c r="K83" s="52"/>
      <c r="L83" s="51"/>
      <c r="AR83" s="28"/>
    </row>
    <row r="84" spans="1:44" x14ac:dyDescent="0.15">
      <c r="A84" s="11" t="s">
        <v>94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spans="1:44" x14ac:dyDescent="0.15">
      <c r="A85" s="11" t="s">
        <v>0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spans="1:44" x14ac:dyDescent="0.15">
      <c r="A86" s="11" t="s">
        <v>1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spans="1:44" x14ac:dyDescent="0.15">
      <c r="A87" s="11" t="s">
        <v>2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spans="1:44" ht="14.65" customHeight="1" x14ac:dyDescent="0.15">
      <c r="A88" s="59" t="s">
        <v>3</v>
      </c>
      <c r="B88" s="59" t="s">
        <v>4</v>
      </c>
      <c r="C88" s="57" t="s">
        <v>97</v>
      </c>
      <c r="D88" s="59" t="s">
        <v>5</v>
      </c>
      <c r="E88" s="63" t="s">
        <v>6</v>
      </c>
      <c r="F88" s="64"/>
      <c r="G88" s="64"/>
      <c r="H88" s="64"/>
      <c r="I88" s="64"/>
      <c r="J88" s="64"/>
      <c r="K88" s="64"/>
      <c r="L88" s="65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spans="1:44" ht="64.150000000000006" customHeight="1" x14ac:dyDescent="0.15">
      <c r="A89" s="56"/>
      <c r="B89" s="56"/>
      <c r="C89" s="58"/>
      <c r="D89" s="56"/>
      <c r="E89" s="8" t="s">
        <v>99</v>
      </c>
      <c r="F89" s="8" t="s">
        <v>100</v>
      </c>
      <c r="G89" s="8" t="s">
        <v>101</v>
      </c>
      <c r="H89" s="8" t="s">
        <v>102</v>
      </c>
      <c r="I89" s="8" t="s">
        <v>103</v>
      </c>
      <c r="J89" s="23" t="s">
        <v>7</v>
      </c>
      <c r="K89" s="23" t="s">
        <v>8</v>
      </c>
      <c r="L89" s="23" t="s">
        <v>9</v>
      </c>
    </row>
    <row r="90" spans="1:44" ht="24" x14ac:dyDescent="0.15">
      <c r="A90" s="13" t="s">
        <v>10</v>
      </c>
      <c r="B90" s="14" t="s">
        <v>11</v>
      </c>
      <c r="C90" s="15">
        <v>2020</v>
      </c>
      <c r="D90" s="15">
        <v>6933696</v>
      </c>
      <c r="E90" s="15">
        <v>3000060</v>
      </c>
      <c r="F90" s="15">
        <v>151496</v>
      </c>
      <c r="G90" s="15">
        <v>387884</v>
      </c>
      <c r="H90" s="15">
        <v>1774608</v>
      </c>
      <c r="I90" s="15">
        <v>1619648</v>
      </c>
      <c r="J90" s="24">
        <v>3539440</v>
      </c>
      <c r="K90" s="24">
        <v>1774608</v>
      </c>
      <c r="L90" s="24">
        <v>1619648</v>
      </c>
    </row>
    <row r="91" spans="1:44" x14ac:dyDescent="0.15">
      <c r="A91" s="8" t="s">
        <v>12</v>
      </c>
      <c r="B91" s="16" t="s">
        <v>13</v>
      </c>
      <c r="C91" s="15">
        <v>2020</v>
      </c>
      <c r="D91" s="15">
        <v>41762</v>
      </c>
      <c r="E91" s="15">
        <v>14909</v>
      </c>
      <c r="F91" s="9"/>
      <c r="G91" s="15">
        <v>120</v>
      </c>
      <c r="H91" s="15">
        <v>26733</v>
      </c>
      <c r="I91" s="9"/>
      <c r="J91" s="24">
        <v>15029</v>
      </c>
      <c r="K91" s="24">
        <v>26733</v>
      </c>
      <c r="L91" s="25"/>
    </row>
    <row r="92" spans="1:44" x14ac:dyDescent="0.15">
      <c r="A92" s="8" t="s">
        <v>14</v>
      </c>
      <c r="B92" s="16" t="s">
        <v>15</v>
      </c>
      <c r="C92" s="15">
        <v>2020</v>
      </c>
      <c r="D92" s="15">
        <v>2535</v>
      </c>
      <c r="E92" s="15">
        <v>1878</v>
      </c>
      <c r="F92" s="9"/>
      <c r="G92" s="15">
        <v>647</v>
      </c>
      <c r="H92" s="9"/>
      <c r="I92" s="15">
        <v>10</v>
      </c>
      <c r="J92" s="24">
        <v>2525</v>
      </c>
      <c r="K92" s="25"/>
      <c r="L92" s="24">
        <v>10</v>
      </c>
    </row>
    <row r="93" spans="1:44" x14ac:dyDescent="0.15">
      <c r="A93" s="8" t="s">
        <v>16</v>
      </c>
      <c r="B93" s="16" t="s">
        <v>17</v>
      </c>
      <c r="C93" s="15">
        <v>2020</v>
      </c>
      <c r="D93" s="15">
        <v>446772</v>
      </c>
      <c r="E93" s="15">
        <v>241999</v>
      </c>
      <c r="F93" s="15">
        <v>36732</v>
      </c>
      <c r="G93" s="15">
        <v>5100</v>
      </c>
      <c r="H93" s="15">
        <v>149635</v>
      </c>
      <c r="I93" s="15">
        <v>13306</v>
      </c>
      <c r="J93" s="24">
        <v>283831</v>
      </c>
      <c r="K93" s="24">
        <v>149635</v>
      </c>
      <c r="L93" s="24">
        <v>13306</v>
      </c>
    </row>
    <row r="94" spans="1:44" x14ac:dyDescent="0.15">
      <c r="A94" s="8" t="s">
        <v>18</v>
      </c>
      <c r="B94" s="16" t="s">
        <v>19</v>
      </c>
      <c r="C94" s="15">
        <v>2020</v>
      </c>
      <c r="D94" s="15">
        <v>272071</v>
      </c>
      <c r="E94" s="15">
        <v>201658</v>
      </c>
      <c r="F94" s="9"/>
      <c r="G94" s="9"/>
      <c r="H94" s="15">
        <v>46666</v>
      </c>
      <c r="I94" s="15">
        <v>23747</v>
      </c>
      <c r="J94" s="24">
        <v>201658</v>
      </c>
      <c r="K94" s="24">
        <v>46666</v>
      </c>
      <c r="L94" s="24">
        <v>23747</v>
      </c>
    </row>
    <row r="95" spans="1:44" ht="24" x14ac:dyDescent="0.15">
      <c r="A95" s="8" t="s">
        <v>20</v>
      </c>
      <c r="B95" s="16" t="s">
        <v>21</v>
      </c>
      <c r="C95" s="15">
        <v>2020</v>
      </c>
      <c r="D95" s="15">
        <v>649981</v>
      </c>
      <c r="E95" s="15">
        <v>301516</v>
      </c>
      <c r="F95" s="15">
        <v>28665</v>
      </c>
      <c r="G95" s="15">
        <v>5998</v>
      </c>
      <c r="H95" s="15">
        <v>129869</v>
      </c>
      <c r="I95" s="15">
        <v>183933</v>
      </c>
      <c r="J95" s="24">
        <v>336179</v>
      </c>
      <c r="K95" s="24">
        <v>129869</v>
      </c>
      <c r="L95" s="24">
        <v>183933</v>
      </c>
    </row>
    <row r="96" spans="1:44" x14ac:dyDescent="0.15">
      <c r="A96" s="8" t="s">
        <v>22</v>
      </c>
      <c r="B96" s="16" t="s">
        <v>23</v>
      </c>
      <c r="C96" s="15">
        <v>2020</v>
      </c>
      <c r="D96" s="15">
        <v>158008</v>
      </c>
      <c r="E96" s="15">
        <v>30152</v>
      </c>
      <c r="F96" s="15">
        <v>13334</v>
      </c>
      <c r="G96" s="15">
        <v>7529</v>
      </c>
      <c r="H96" s="15">
        <v>55334</v>
      </c>
      <c r="I96" s="15">
        <v>51659</v>
      </c>
      <c r="J96" s="24">
        <v>51015</v>
      </c>
      <c r="K96" s="24">
        <v>55334</v>
      </c>
      <c r="L96" s="24">
        <v>51659</v>
      </c>
    </row>
    <row r="97" spans="1:12" x14ac:dyDescent="0.15">
      <c r="A97" s="8" t="s">
        <v>24</v>
      </c>
      <c r="B97" s="16" t="s">
        <v>25</v>
      </c>
      <c r="C97" s="15">
        <v>2020</v>
      </c>
      <c r="D97" s="15">
        <v>123892</v>
      </c>
      <c r="E97" s="15">
        <v>37573</v>
      </c>
      <c r="F97" s="9"/>
      <c r="G97" s="15">
        <v>9202</v>
      </c>
      <c r="H97" s="9"/>
      <c r="I97" s="15">
        <v>77117</v>
      </c>
      <c r="J97" s="24">
        <v>46775</v>
      </c>
      <c r="K97" s="25"/>
      <c r="L97" s="24">
        <v>77117</v>
      </c>
    </row>
    <row r="98" spans="1:12" ht="24" x14ac:dyDescent="0.15">
      <c r="A98" s="8" t="s">
        <v>26</v>
      </c>
      <c r="B98" s="16" t="s">
        <v>27</v>
      </c>
      <c r="C98" s="15">
        <v>2020</v>
      </c>
      <c r="D98" s="15">
        <v>121280</v>
      </c>
      <c r="E98" s="15">
        <v>53725</v>
      </c>
      <c r="F98" s="9"/>
      <c r="G98" s="9"/>
      <c r="H98" s="15">
        <v>20268</v>
      </c>
      <c r="I98" s="15">
        <v>47287</v>
      </c>
      <c r="J98" s="24">
        <v>53725</v>
      </c>
      <c r="K98" s="24">
        <v>20268</v>
      </c>
      <c r="L98" s="24">
        <v>47287</v>
      </c>
    </row>
    <row r="99" spans="1:12" x14ac:dyDescent="0.15">
      <c r="A99" s="8" t="s">
        <v>28</v>
      </c>
      <c r="B99" s="16" t="s">
        <v>29</v>
      </c>
      <c r="C99" s="15">
        <v>2020</v>
      </c>
      <c r="D99" s="15">
        <v>5444</v>
      </c>
      <c r="E99" s="15">
        <v>5444</v>
      </c>
      <c r="F99" s="9"/>
      <c r="G99" s="9"/>
      <c r="H99" s="9"/>
      <c r="I99" s="9"/>
      <c r="J99" s="24">
        <v>5444</v>
      </c>
      <c r="K99" s="25"/>
      <c r="L99" s="25"/>
    </row>
    <row r="100" spans="1:12" x14ac:dyDescent="0.15">
      <c r="A100" s="8" t="s">
        <v>30</v>
      </c>
      <c r="B100" s="16" t="s">
        <v>31</v>
      </c>
      <c r="C100" s="15">
        <v>2020</v>
      </c>
      <c r="D100" s="15">
        <v>51644</v>
      </c>
      <c r="E100" s="15">
        <v>46336</v>
      </c>
      <c r="F100" s="9"/>
      <c r="G100" s="15">
        <v>5193</v>
      </c>
      <c r="H100" s="9"/>
      <c r="I100" s="15">
        <v>115</v>
      </c>
      <c r="J100" s="24">
        <v>51529</v>
      </c>
      <c r="K100" s="25"/>
      <c r="L100" s="24">
        <v>115</v>
      </c>
    </row>
    <row r="101" spans="1:12" x14ac:dyDescent="0.15">
      <c r="A101" s="8" t="s">
        <v>32</v>
      </c>
      <c r="B101" s="16" t="s">
        <v>33</v>
      </c>
      <c r="C101" s="15">
        <v>2020</v>
      </c>
      <c r="D101" s="15">
        <v>119926</v>
      </c>
      <c r="E101" s="15">
        <v>41759</v>
      </c>
      <c r="F101" s="9"/>
      <c r="G101" s="15">
        <v>5337</v>
      </c>
      <c r="H101" s="15">
        <v>2489</v>
      </c>
      <c r="I101" s="15">
        <v>70341</v>
      </c>
      <c r="J101" s="24">
        <v>47096</v>
      </c>
      <c r="K101" s="24">
        <v>2489</v>
      </c>
      <c r="L101" s="24">
        <v>70341</v>
      </c>
    </row>
    <row r="102" spans="1:12" x14ac:dyDescent="0.15">
      <c r="A102" s="8" t="s">
        <v>34</v>
      </c>
      <c r="B102" s="16" t="s">
        <v>35</v>
      </c>
      <c r="C102" s="15">
        <v>2020</v>
      </c>
      <c r="D102" s="15">
        <v>151465</v>
      </c>
      <c r="E102" s="15">
        <v>59639</v>
      </c>
      <c r="F102" s="9"/>
      <c r="G102" s="15">
        <v>1249</v>
      </c>
      <c r="H102" s="15">
        <v>42144</v>
      </c>
      <c r="I102" s="15">
        <v>48433</v>
      </c>
      <c r="J102" s="24">
        <v>60888</v>
      </c>
      <c r="K102" s="24">
        <v>42144</v>
      </c>
      <c r="L102" s="24">
        <v>48433</v>
      </c>
    </row>
    <row r="103" spans="1:12" x14ac:dyDescent="0.15">
      <c r="A103" s="8" t="s">
        <v>36</v>
      </c>
      <c r="B103" s="16" t="s">
        <v>37</v>
      </c>
      <c r="C103" s="15">
        <v>2020</v>
      </c>
      <c r="D103" s="15">
        <v>204315</v>
      </c>
      <c r="E103" s="15">
        <v>4895</v>
      </c>
      <c r="F103" s="9"/>
      <c r="G103" s="15">
        <v>47157</v>
      </c>
      <c r="H103" s="15">
        <v>134855</v>
      </c>
      <c r="I103" s="15">
        <v>17408</v>
      </c>
      <c r="J103" s="24">
        <v>52052</v>
      </c>
      <c r="K103" s="24">
        <v>134855</v>
      </c>
      <c r="L103" s="24">
        <v>17408</v>
      </c>
    </row>
    <row r="104" spans="1:12" x14ac:dyDescent="0.15">
      <c r="A104" s="8" t="s">
        <v>38</v>
      </c>
      <c r="B104" s="16" t="s">
        <v>39</v>
      </c>
      <c r="C104" s="15">
        <v>2020</v>
      </c>
      <c r="D104" s="15">
        <v>270736</v>
      </c>
      <c r="E104" s="15">
        <v>72022</v>
      </c>
      <c r="F104" s="9"/>
      <c r="G104" s="15">
        <v>3628</v>
      </c>
      <c r="H104" s="15">
        <v>75779</v>
      </c>
      <c r="I104" s="15">
        <v>119307</v>
      </c>
      <c r="J104" s="24">
        <v>75650</v>
      </c>
      <c r="K104" s="24">
        <v>75779</v>
      </c>
      <c r="L104" s="24">
        <v>119307</v>
      </c>
    </row>
    <row r="105" spans="1:12" x14ac:dyDescent="0.15">
      <c r="A105" s="8" t="s">
        <v>40</v>
      </c>
      <c r="B105" s="16" t="s">
        <v>41</v>
      </c>
      <c r="C105" s="15">
        <v>2020</v>
      </c>
      <c r="D105" s="15">
        <v>141753</v>
      </c>
      <c r="E105" s="15">
        <v>102830</v>
      </c>
      <c r="F105" s="9"/>
      <c r="G105" s="15">
        <v>27985</v>
      </c>
      <c r="H105" s="9"/>
      <c r="I105" s="15">
        <v>10938</v>
      </c>
      <c r="J105" s="24">
        <v>130815</v>
      </c>
      <c r="K105" s="25"/>
      <c r="L105" s="24">
        <v>10938</v>
      </c>
    </row>
    <row r="106" spans="1:12" x14ac:dyDescent="0.15">
      <c r="A106" s="8" t="s">
        <v>42</v>
      </c>
      <c r="B106" s="16" t="s">
        <v>43</v>
      </c>
      <c r="C106" s="15">
        <v>2020</v>
      </c>
      <c r="D106" s="15">
        <v>211209</v>
      </c>
      <c r="E106" s="15">
        <v>171883</v>
      </c>
      <c r="F106" s="15">
        <v>17951</v>
      </c>
      <c r="G106" s="9"/>
      <c r="H106" s="15">
        <v>14959</v>
      </c>
      <c r="I106" s="15">
        <v>6416</v>
      </c>
      <c r="J106" s="24">
        <v>189834</v>
      </c>
      <c r="K106" s="24">
        <v>14959</v>
      </c>
      <c r="L106" s="24">
        <v>6416</v>
      </c>
    </row>
    <row r="107" spans="1:12" x14ac:dyDescent="0.15">
      <c r="A107" s="8" t="s">
        <v>44</v>
      </c>
      <c r="B107" s="16" t="s">
        <v>45</v>
      </c>
      <c r="C107" s="15">
        <v>2020</v>
      </c>
      <c r="D107" s="15">
        <v>258160</v>
      </c>
      <c r="E107" s="15">
        <v>111910</v>
      </c>
      <c r="F107" s="9"/>
      <c r="G107" s="15">
        <v>8592</v>
      </c>
      <c r="H107" s="15">
        <v>85225</v>
      </c>
      <c r="I107" s="15">
        <v>52433</v>
      </c>
      <c r="J107" s="24">
        <v>120502</v>
      </c>
      <c r="K107" s="24">
        <v>85225</v>
      </c>
      <c r="L107" s="24">
        <v>52433</v>
      </c>
    </row>
    <row r="108" spans="1:12" x14ac:dyDescent="0.15">
      <c r="A108" s="8" t="s">
        <v>46</v>
      </c>
      <c r="B108" s="16" t="s">
        <v>47</v>
      </c>
      <c r="C108" s="15">
        <v>2020</v>
      </c>
      <c r="D108" s="15">
        <v>574010</v>
      </c>
      <c r="E108" s="15">
        <v>129184</v>
      </c>
      <c r="F108" s="9"/>
      <c r="G108" s="15">
        <v>533</v>
      </c>
      <c r="H108" s="15">
        <v>236244</v>
      </c>
      <c r="I108" s="15">
        <v>208049</v>
      </c>
      <c r="J108" s="24">
        <v>129717</v>
      </c>
      <c r="K108" s="24">
        <v>236244</v>
      </c>
      <c r="L108" s="24">
        <v>208049</v>
      </c>
    </row>
    <row r="109" spans="1:12" x14ac:dyDescent="0.15">
      <c r="A109" s="8" t="s">
        <v>48</v>
      </c>
      <c r="B109" s="16" t="s">
        <v>49</v>
      </c>
      <c r="C109" s="15">
        <v>2020</v>
      </c>
      <c r="D109" s="15">
        <v>264967</v>
      </c>
      <c r="E109" s="15">
        <v>29625</v>
      </c>
      <c r="F109" s="9"/>
      <c r="G109" s="15">
        <v>65835</v>
      </c>
      <c r="H109" s="15">
        <v>103327</v>
      </c>
      <c r="I109" s="15">
        <v>66180</v>
      </c>
      <c r="J109" s="24">
        <v>95460</v>
      </c>
      <c r="K109" s="24">
        <v>103327</v>
      </c>
      <c r="L109" s="24">
        <v>66180</v>
      </c>
    </row>
    <row r="110" spans="1:12" x14ac:dyDescent="0.15">
      <c r="A110" s="8" t="s">
        <v>50</v>
      </c>
      <c r="B110" s="16" t="s">
        <v>51</v>
      </c>
      <c r="C110" s="15">
        <v>2020</v>
      </c>
      <c r="D110" s="15">
        <v>211006</v>
      </c>
      <c r="E110" s="15">
        <v>20998</v>
      </c>
      <c r="F110" s="9"/>
      <c r="G110" s="15">
        <v>163397</v>
      </c>
      <c r="H110" s="15">
        <v>20124</v>
      </c>
      <c r="I110" s="15">
        <v>6487</v>
      </c>
      <c r="J110" s="24">
        <v>184395</v>
      </c>
      <c r="K110" s="24">
        <v>20124</v>
      </c>
      <c r="L110" s="24">
        <v>6487</v>
      </c>
    </row>
    <row r="111" spans="1:12" x14ac:dyDescent="0.15">
      <c r="A111" s="8" t="s">
        <v>52</v>
      </c>
      <c r="B111" s="16" t="s">
        <v>53</v>
      </c>
      <c r="C111" s="15">
        <v>2020</v>
      </c>
      <c r="D111" s="15">
        <v>15162</v>
      </c>
      <c r="E111" s="15">
        <v>2467</v>
      </c>
      <c r="F111" s="9"/>
      <c r="G111" s="15">
        <v>12695</v>
      </c>
      <c r="H111" s="9"/>
      <c r="I111" s="9"/>
      <c r="J111" s="24">
        <v>15162</v>
      </c>
      <c r="K111" s="25"/>
      <c r="L111" s="25"/>
    </row>
    <row r="112" spans="1:12" x14ac:dyDescent="0.15">
      <c r="A112" s="8" t="s">
        <v>54</v>
      </c>
      <c r="B112" s="16" t="s">
        <v>55</v>
      </c>
      <c r="C112" s="15">
        <v>2020</v>
      </c>
      <c r="D112" s="15">
        <v>303153</v>
      </c>
      <c r="E112" s="15">
        <v>78633</v>
      </c>
      <c r="F112" s="9"/>
      <c r="G112" s="9"/>
      <c r="H112" s="15">
        <v>78922</v>
      </c>
      <c r="I112" s="15">
        <v>145598</v>
      </c>
      <c r="J112" s="24">
        <v>78633</v>
      </c>
      <c r="K112" s="24">
        <v>78922</v>
      </c>
      <c r="L112" s="24">
        <v>145598</v>
      </c>
    </row>
    <row r="113" spans="1:96" x14ac:dyDescent="0.15">
      <c r="A113" s="8" t="s">
        <v>56</v>
      </c>
      <c r="B113" s="16" t="s">
        <v>57</v>
      </c>
      <c r="C113" s="15">
        <v>2020</v>
      </c>
      <c r="D113" s="15">
        <v>343922</v>
      </c>
      <c r="E113" s="15">
        <v>118658</v>
      </c>
      <c r="F113" s="9"/>
      <c r="G113" s="15">
        <v>12622</v>
      </c>
      <c r="H113" s="15">
        <v>100578</v>
      </c>
      <c r="I113" s="15">
        <v>112064</v>
      </c>
      <c r="J113" s="24">
        <v>131280</v>
      </c>
      <c r="K113" s="24">
        <v>100578</v>
      </c>
      <c r="L113" s="24">
        <v>112064</v>
      </c>
    </row>
    <row r="114" spans="1:96" x14ac:dyDescent="0.15">
      <c r="A114" s="8" t="s">
        <v>58</v>
      </c>
      <c r="B114" s="16" t="s">
        <v>59</v>
      </c>
      <c r="C114" s="15">
        <v>2020</v>
      </c>
      <c r="D114" s="15">
        <v>280039</v>
      </c>
      <c r="E114" s="15">
        <v>220402</v>
      </c>
      <c r="F114" s="9"/>
      <c r="G114" s="9"/>
      <c r="H114" s="9"/>
      <c r="I114" s="15">
        <v>59637</v>
      </c>
      <c r="J114" s="24">
        <v>220402</v>
      </c>
      <c r="K114" s="25"/>
      <c r="L114" s="24">
        <v>59637</v>
      </c>
    </row>
    <row r="115" spans="1:96" x14ac:dyDescent="0.15">
      <c r="A115" s="8" t="s">
        <v>60</v>
      </c>
      <c r="B115" s="16" t="s">
        <v>61</v>
      </c>
      <c r="C115" s="15">
        <v>2020</v>
      </c>
      <c r="D115" s="15">
        <v>334084</v>
      </c>
      <c r="E115" s="15">
        <v>254181</v>
      </c>
      <c r="F115" s="9"/>
      <c r="G115" s="15">
        <v>205</v>
      </c>
      <c r="H115" s="15">
        <v>53854</v>
      </c>
      <c r="I115" s="15">
        <v>25844</v>
      </c>
      <c r="J115" s="24">
        <v>254386</v>
      </c>
      <c r="K115" s="24">
        <v>53854</v>
      </c>
      <c r="L115" s="24">
        <v>25844</v>
      </c>
    </row>
    <row r="116" spans="1:96" x14ac:dyDescent="0.15">
      <c r="A116" s="8" t="s">
        <v>62</v>
      </c>
      <c r="B116" s="16" t="s">
        <v>63</v>
      </c>
      <c r="C116" s="15">
        <v>2020</v>
      </c>
      <c r="D116" s="15">
        <v>96986</v>
      </c>
      <c r="E116" s="15">
        <v>38453</v>
      </c>
      <c r="F116" s="15">
        <v>14533</v>
      </c>
      <c r="G116" s="9"/>
      <c r="H116" s="15">
        <v>44000</v>
      </c>
      <c r="I116" s="9"/>
      <c r="J116" s="24">
        <v>52986</v>
      </c>
      <c r="K116" s="24">
        <v>44000</v>
      </c>
      <c r="L116" s="25"/>
    </row>
    <row r="117" spans="1:96" x14ac:dyDescent="0.15">
      <c r="A117" s="8" t="s">
        <v>64</v>
      </c>
      <c r="B117" s="16" t="s">
        <v>65</v>
      </c>
      <c r="C117" s="15">
        <v>2020</v>
      </c>
      <c r="D117" s="15">
        <v>324453</v>
      </c>
      <c r="E117" s="15">
        <v>148897</v>
      </c>
      <c r="F117" s="15">
        <v>20281</v>
      </c>
      <c r="G117" s="9"/>
      <c r="H117" s="15">
        <v>84979</v>
      </c>
      <c r="I117" s="15">
        <v>70296</v>
      </c>
      <c r="J117" s="24">
        <v>169178</v>
      </c>
      <c r="K117" s="24">
        <v>84979</v>
      </c>
      <c r="L117" s="24">
        <v>70296</v>
      </c>
    </row>
    <row r="118" spans="1:96" x14ac:dyDescent="0.15">
      <c r="A118" s="8" t="s">
        <v>66</v>
      </c>
      <c r="B118" s="16" t="s">
        <v>67</v>
      </c>
      <c r="C118" s="15">
        <v>2020</v>
      </c>
      <c r="D118" s="15">
        <v>341959</v>
      </c>
      <c r="E118" s="15">
        <v>240723</v>
      </c>
      <c r="F118" s="9"/>
      <c r="G118" s="9"/>
      <c r="H118" s="15">
        <v>67598</v>
      </c>
      <c r="I118" s="15">
        <v>33638</v>
      </c>
      <c r="J118" s="24">
        <v>240723</v>
      </c>
      <c r="K118" s="24">
        <v>67598</v>
      </c>
      <c r="L118" s="24">
        <v>33638</v>
      </c>
    </row>
    <row r="119" spans="1:96" x14ac:dyDescent="0.15">
      <c r="A119" s="8" t="s">
        <v>68</v>
      </c>
      <c r="B119" s="16" t="s">
        <v>69</v>
      </c>
      <c r="C119" s="15">
        <v>2020</v>
      </c>
      <c r="D119" s="15">
        <v>294308</v>
      </c>
      <c r="E119" s="15">
        <v>38169</v>
      </c>
      <c r="F119" s="15">
        <v>20000</v>
      </c>
      <c r="G119" s="9"/>
      <c r="H119" s="15">
        <v>153879</v>
      </c>
      <c r="I119" s="15">
        <v>82260</v>
      </c>
      <c r="J119" s="24">
        <v>58169</v>
      </c>
      <c r="K119" s="24">
        <v>153879</v>
      </c>
      <c r="L119" s="24">
        <v>82260</v>
      </c>
    </row>
    <row r="120" spans="1:96" x14ac:dyDescent="0.15">
      <c r="A120" s="8" t="s">
        <v>70</v>
      </c>
      <c r="B120" s="16" t="s">
        <v>71</v>
      </c>
      <c r="C120" s="15">
        <v>2020</v>
      </c>
      <c r="D120" s="15">
        <v>87032</v>
      </c>
      <c r="E120" s="15">
        <v>58190</v>
      </c>
      <c r="F120" s="9"/>
      <c r="G120" s="9"/>
      <c r="H120" s="15">
        <v>5500</v>
      </c>
      <c r="I120" s="15">
        <v>23342</v>
      </c>
      <c r="J120" s="24">
        <v>58190</v>
      </c>
      <c r="K120" s="24">
        <v>5500</v>
      </c>
      <c r="L120" s="24">
        <v>23342</v>
      </c>
    </row>
    <row r="121" spans="1:96" x14ac:dyDescent="0.15">
      <c r="A121" s="8" t="s">
        <v>72</v>
      </c>
      <c r="B121" s="16" t="s">
        <v>73</v>
      </c>
      <c r="C121" s="15">
        <v>2020</v>
      </c>
      <c r="D121" s="15">
        <v>204196</v>
      </c>
      <c r="E121" s="15">
        <v>119219</v>
      </c>
      <c r="F121" s="9"/>
      <c r="G121" s="15">
        <v>4860</v>
      </c>
      <c r="H121" s="15">
        <v>41647</v>
      </c>
      <c r="I121" s="15">
        <v>38470</v>
      </c>
      <c r="J121" s="24">
        <v>124079</v>
      </c>
      <c r="K121" s="24">
        <v>41647</v>
      </c>
      <c r="L121" s="24">
        <v>38470</v>
      </c>
    </row>
    <row r="122" spans="1:96" ht="24" x14ac:dyDescent="0.15">
      <c r="A122" s="8" t="s">
        <v>74</v>
      </c>
      <c r="B122" s="16" t="s">
        <v>75</v>
      </c>
      <c r="C122" s="15">
        <v>2020</v>
      </c>
      <c r="D122" s="15">
        <v>27466</v>
      </c>
      <c r="E122" s="15">
        <v>2133</v>
      </c>
      <c r="F122" s="9"/>
      <c r="G122" s="9"/>
      <c r="H122" s="9"/>
      <c r="I122" s="15">
        <v>25333</v>
      </c>
      <c r="J122" s="24">
        <v>2133</v>
      </c>
      <c r="K122" s="25"/>
      <c r="L122" s="24">
        <v>25333</v>
      </c>
    </row>
    <row r="123" spans="1:96" x14ac:dyDescent="0.15"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spans="1:96" x14ac:dyDescent="0.15">
      <c r="CR124" s="30"/>
    </row>
    <row r="125" spans="1:96" x14ac:dyDescent="0.15">
      <c r="CR125" s="31"/>
    </row>
    <row r="126" spans="1:96" x14ac:dyDescent="0.15">
      <c r="CR126" s="32"/>
    </row>
    <row r="127" spans="1:96" x14ac:dyDescent="0.15">
      <c r="CR127" s="31"/>
    </row>
  </sheetData>
  <mergeCells count="15">
    <mergeCell ref="E88:L88"/>
    <mergeCell ref="A88:A89"/>
    <mergeCell ref="B88:B89"/>
    <mergeCell ref="C88:C89"/>
    <mergeCell ref="D88:D89"/>
    <mergeCell ref="A47:A48"/>
    <mergeCell ref="B47:B48"/>
    <mergeCell ref="C47:C48"/>
    <mergeCell ref="D47:D48"/>
    <mergeCell ref="E47:L47"/>
    <mergeCell ref="A5:A6"/>
    <mergeCell ref="B5:B6"/>
    <mergeCell ref="C5:C6"/>
    <mergeCell ref="D5:D6"/>
    <mergeCell ref="E5:L5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zoomScale="108" zoomScaleNormal="108" workbookViewId="0">
      <selection activeCell="H3" sqref="H3"/>
    </sheetView>
  </sheetViews>
  <sheetFormatPr defaultColWidth="9.125" defaultRowHeight="13.5" x14ac:dyDescent="0.15"/>
  <cols>
    <col min="1" max="1" width="24.625" customWidth="1"/>
    <col min="2" max="3" width="20.5" customWidth="1"/>
    <col min="4" max="4" width="16.625" customWidth="1"/>
    <col min="5" max="5" width="14.375" customWidth="1"/>
    <col min="8" max="8" width="14.5" customWidth="1"/>
  </cols>
  <sheetData>
    <row r="1" spans="1:8" ht="58.15" customHeight="1" x14ac:dyDescent="0.15">
      <c r="A1" s="7" t="s">
        <v>110</v>
      </c>
      <c r="B1" s="8" t="s">
        <v>4</v>
      </c>
      <c r="C1" s="8" t="s">
        <v>7</v>
      </c>
      <c r="D1" s="8" t="s">
        <v>8</v>
      </c>
      <c r="E1" s="8" t="s">
        <v>9</v>
      </c>
    </row>
    <row r="2" spans="1:8" x14ac:dyDescent="0.15">
      <c r="A2" s="7">
        <v>2020</v>
      </c>
      <c r="B2" s="48" t="s">
        <v>168</v>
      </c>
      <c r="C2" s="9">
        <f>VLOOKUP(B2,'Aforestation by province'!$B$90:$L$122,9,0)</f>
        <v>3539440</v>
      </c>
      <c r="D2" s="9">
        <f>VLOOKUP(B2,'Aforestation by province'!$B$90:$L$122,10,0)</f>
        <v>1774608</v>
      </c>
      <c r="E2" s="9">
        <f>IFERROR(VLOOKUP(B2,'Aforestation by province'!$B$90:$L$122,11,0),0)</f>
        <v>1619648</v>
      </c>
      <c r="H2" t="s">
        <v>111</v>
      </c>
    </row>
    <row r="3" spans="1:8" x14ac:dyDescent="0.15">
      <c r="A3" s="53">
        <v>2021</v>
      </c>
      <c r="B3" s="48" t="s">
        <v>168</v>
      </c>
      <c r="C3" s="9">
        <f>VLOOKUP(B3,'Aforestation by province'!$B$49:$L$81,9,0)</f>
        <v>1507927</v>
      </c>
      <c r="D3" s="9">
        <f>VLOOKUP(B3,'Aforestation by province'!$B$49:$L$81,10,0)</f>
        <v>1235098</v>
      </c>
      <c r="E3" s="9">
        <f>IFERROR(VLOOKUP(B3,'Aforestation by province'!$B$49:$L$81,11,0),0)</f>
        <v>1011349</v>
      </c>
      <c r="H3" s="44" t="s">
        <v>180</v>
      </c>
    </row>
    <row r="4" spans="1:8" x14ac:dyDescent="0.15">
      <c r="A4" s="53">
        <v>2022</v>
      </c>
      <c r="B4" s="48" t="s">
        <v>168</v>
      </c>
      <c r="C4" s="9">
        <f>VLOOKUP(B4,'Aforestation by province'!$B$7:$L$39,9,0)</f>
        <v>1562538</v>
      </c>
      <c r="D4" s="9">
        <f>VLOOKUP(B4,'Aforestation by province'!$B$7:$L$39,10,0)</f>
        <v>1057316</v>
      </c>
      <c r="E4" s="9">
        <f>IFERROR(VLOOKUP(B4,'Aforestation by province'!$B$7:$L$39,11,0),0)</f>
        <v>1582935</v>
      </c>
    </row>
    <row r="5" spans="1:8" x14ac:dyDescent="0.15">
      <c r="A5" s="53">
        <v>2023</v>
      </c>
      <c r="B5" s="48" t="s">
        <v>168</v>
      </c>
      <c r="C5" s="9">
        <v>1400000</v>
      </c>
      <c r="D5" s="9">
        <v>1073000</v>
      </c>
      <c r="E5" s="9">
        <v>1525000</v>
      </c>
    </row>
  </sheetData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4"/>
  <sheetViews>
    <sheetView workbookViewId="0">
      <selection activeCell="H36" sqref="H36"/>
    </sheetView>
  </sheetViews>
  <sheetFormatPr defaultColWidth="9.125" defaultRowHeight="13.5" x14ac:dyDescent="0.15"/>
  <cols>
    <col min="1" max="1" width="31.75" customWidth="1"/>
    <col min="2" max="2" width="16.625" customWidth="1"/>
    <col min="4" max="4" width="11.625"/>
    <col min="8" max="8" width="23.625" customWidth="1"/>
  </cols>
  <sheetData>
    <row r="1" spans="1:9" x14ac:dyDescent="0.15">
      <c r="A1" s="43" t="s">
        <v>112</v>
      </c>
      <c r="B1" s="39" t="s">
        <v>113</v>
      </c>
      <c r="C1" s="39" t="s">
        <v>114</v>
      </c>
      <c r="D1" s="39" t="s">
        <v>115</v>
      </c>
    </row>
    <row r="2" spans="1:9" x14ac:dyDescent="0.15">
      <c r="A2" t="s">
        <v>116</v>
      </c>
      <c r="B2" t="s">
        <v>117</v>
      </c>
      <c r="C2" t="s">
        <v>118</v>
      </c>
      <c r="D2" t="s">
        <v>119</v>
      </c>
    </row>
    <row r="3" spans="1:9" x14ac:dyDescent="0.15">
      <c r="A3" t="s">
        <v>120</v>
      </c>
      <c r="C3">
        <v>26651</v>
      </c>
      <c r="H3" s="5" t="s">
        <v>121</v>
      </c>
      <c r="I3" s="6"/>
    </row>
    <row r="4" spans="1:9" x14ac:dyDescent="0.15">
      <c r="A4" s="47" t="s">
        <v>122</v>
      </c>
      <c r="B4">
        <v>680336</v>
      </c>
      <c r="C4">
        <v>680336</v>
      </c>
      <c r="D4">
        <f>C4/C3</f>
        <v>25.527597463509814</v>
      </c>
      <c r="H4" s="6" t="s">
        <v>123</v>
      </c>
      <c r="I4" s="6">
        <v>247.10499999999999</v>
      </c>
    </row>
    <row r="5" spans="1:9" x14ac:dyDescent="0.15">
      <c r="A5" s="47" t="s">
        <v>124</v>
      </c>
    </row>
    <row r="11" spans="1:9" x14ac:dyDescent="0.15">
      <c r="A11" s="3" t="s">
        <v>125</v>
      </c>
      <c r="B11" s="3"/>
      <c r="C11" s="3"/>
    </row>
    <row r="12" spans="1:9" x14ac:dyDescent="0.15">
      <c r="A12" s="3" t="s">
        <v>126</v>
      </c>
      <c r="B12" s="3"/>
      <c r="C12" s="3"/>
    </row>
    <row r="13" spans="1:9" x14ac:dyDescent="0.15">
      <c r="A13" s="3" t="s">
        <v>127</v>
      </c>
      <c r="B13" s="3"/>
      <c r="C13" s="3"/>
    </row>
    <row r="14" spans="1:9" x14ac:dyDescent="0.15">
      <c r="A14" s="2"/>
      <c r="B14" s="2"/>
      <c r="C14" s="2"/>
    </row>
    <row r="15" spans="1:9" x14ac:dyDescent="0.15">
      <c r="A15" s="1" t="s">
        <v>128</v>
      </c>
      <c r="B15" s="2"/>
      <c r="C15" s="2"/>
    </row>
    <row r="16" spans="1:9" x14ac:dyDescent="0.15">
      <c r="A16" s="2" t="s">
        <v>129</v>
      </c>
      <c r="B16" s="2"/>
      <c r="C16" s="2"/>
    </row>
    <row r="17" spans="1:3" x14ac:dyDescent="0.15">
      <c r="A17" s="2" t="s">
        <v>130</v>
      </c>
      <c r="B17" s="2"/>
      <c r="C17" s="2"/>
    </row>
    <row r="18" spans="1:3" x14ac:dyDescent="0.15">
      <c r="A18" s="2" t="s">
        <v>131</v>
      </c>
      <c r="B18" s="2"/>
      <c r="C18" s="2"/>
    </row>
    <row r="19" spans="1:3" x14ac:dyDescent="0.15">
      <c r="A19" s="2" t="s">
        <v>132</v>
      </c>
      <c r="B19" s="2"/>
      <c r="C19" s="2"/>
    </row>
    <row r="20" spans="1:3" x14ac:dyDescent="0.15">
      <c r="A20" s="2" t="s">
        <v>133</v>
      </c>
      <c r="B20" s="2"/>
      <c r="C20" s="2"/>
    </row>
    <row r="21" spans="1:3" x14ac:dyDescent="0.15">
      <c r="A21" s="2" t="s">
        <v>134</v>
      </c>
      <c r="B21" s="2"/>
      <c r="C21" s="2"/>
    </row>
    <row r="22" spans="1:3" x14ac:dyDescent="0.15">
      <c r="A22" s="2" t="s">
        <v>135</v>
      </c>
      <c r="B22" s="2"/>
      <c r="C22" s="2"/>
    </row>
    <row r="23" spans="1:3" x14ac:dyDescent="0.15">
      <c r="A23" s="50" t="s">
        <v>163</v>
      </c>
      <c r="B23" s="2"/>
      <c r="C23" s="2"/>
    </row>
    <row r="24" spans="1:3" x14ac:dyDescent="0.15">
      <c r="A24" s="2" t="s">
        <v>136</v>
      </c>
      <c r="B24" s="2"/>
      <c r="C24" s="2"/>
    </row>
    <row r="25" spans="1:3" x14ac:dyDescent="0.15">
      <c r="A25" s="2" t="s">
        <v>137</v>
      </c>
      <c r="B25" s="2"/>
      <c r="C25" s="2"/>
    </row>
    <row r="26" spans="1:3" x14ac:dyDescent="0.15">
      <c r="A26" s="2" t="s">
        <v>138</v>
      </c>
      <c r="B26" s="2"/>
      <c r="C26" s="2"/>
    </row>
    <row r="28" spans="1:3" x14ac:dyDescent="0.15">
      <c r="A28" s="4">
        <v>0.02</v>
      </c>
      <c r="B28" s="2" t="s">
        <v>139</v>
      </c>
      <c r="C28" s="2"/>
    </row>
    <row r="29" spans="1:3" x14ac:dyDescent="0.15">
      <c r="A29">
        <f>C4*I4*A28</f>
        <v>3362288.5456000003</v>
      </c>
      <c r="B29" s="2" t="s">
        <v>140</v>
      </c>
    </row>
    <row r="33" spans="1:12" x14ac:dyDescent="0.15">
      <c r="A33" s="48" t="s">
        <v>162</v>
      </c>
    </row>
    <row r="39" spans="1:12" x14ac:dyDescent="0.15">
      <c r="A39" s="43"/>
      <c r="B39" s="39"/>
      <c r="C39" s="39"/>
      <c r="D39" s="39"/>
      <c r="J39" s="44"/>
      <c r="L39" s="2"/>
    </row>
    <row r="41" spans="1:12" x14ac:dyDescent="0.15">
      <c r="H41" s="45"/>
      <c r="I41" s="46"/>
    </row>
    <row r="42" spans="1:12" x14ac:dyDescent="0.15">
      <c r="A42" s="47"/>
      <c r="H42" s="46"/>
      <c r="I42" s="46"/>
    </row>
    <row r="43" spans="1:12" x14ac:dyDescent="0.15">
      <c r="A43" s="47"/>
    </row>
    <row r="46" spans="1:12" x14ac:dyDescent="0.15">
      <c r="A46" s="43"/>
      <c r="B46" s="39"/>
      <c r="C46" s="39"/>
      <c r="D46" s="39"/>
      <c r="J46" s="44"/>
      <c r="L46" s="2"/>
    </row>
    <row r="48" spans="1:12" x14ac:dyDescent="0.15">
      <c r="H48" s="45"/>
      <c r="I48" s="46"/>
    </row>
    <row r="49" spans="1:12" x14ac:dyDescent="0.15">
      <c r="A49" s="47"/>
      <c r="H49" s="46"/>
      <c r="I49" s="46"/>
    </row>
    <row r="50" spans="1:12" x14ac:dyDescent="0.15">
      <c r="A50" s="47"/>
    </row>
    <row r="53" spans="1:12" x14ac:dyDescent="0.15">
      <c r="A53" s="43"/>
      <c r="B53" s="39"/>
      <c r="C53" s="39"/>
      <c r="D53" s="39"/>
      <c r="J53" s="44"/>
      <c r="L53" s="2"/>
    </row>
    <row r="55" spans="1:12" x14ac:dyDescent="0.15">
      <c r="H55" s="45"/>
      <c r="I55" s="46"/>
    </row>
    <row r="56" spans="1:12" x14ac:dyDescent="0.15">
      <c r="A56" s="47"/>
      <c r="H56" s="46"/>
      <c r="I56" s="46"/>
    </row>
    <row r="57" spans="1:12" x14ac:dyDescent="0.15">
      <c r="A57" s="47"/>
    </row>
    <row r="60" spans="1:12" x14ac:dyDescent="0.15">
      <c r="A60" s="43"/>
      <c r="B60" s="39"/>
      <c r="C60" s="39"/>
      <c r="D60" s="39"/>
      <c r="J60" s="44"/>
      <c r="L60" s="2"/>
    </row>
    <row r="62" spans="1:12" x14ac:dyDescent="0.15">
      <c r="H62" s="45"/>
      <c r="I62" s="46"/>
    </row>
    <row r="63" spans="1:12" x14ac:dyDescent="0.15">
      <c r="A63" s="47"/>
      <c r="H63" s="46"/>
      <c r="I63" s="46"/>
    </row>
    <row r="64" spans="1:12" x14ac:dyDescent="0.15">
      <c r="A64" s="47"/>
    </row>
  </sheetData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-0.249977111117893"/>
  </sheetPr>
  <dimension ref="A1:AP49"/>
  <sheetViews>
    <sheetView tabSelected="1" zoomScale="90" zoomScaleNormal="90" workbookViewId="0">
      <selection activeCell="H27" sqref="H27"/>
    </sheetView>
  </sheetViews>
  <sheetFormatPr defaultColWidth="9.125" defaultRowHeight="13.5" x14ac:dyDescent="0.15"/>
  <cols>
    <col min="1" max="1" width="36.125" bestFit="1" customWidth="1"/>
    <col min="2" max="2" width="13.75" customWidth="1"/>
    <col min="3" max="42" width="12.75"/>
  </cols>
  <sheetData>
    <row r="1" spans="1:42" x14ac:dyDescent="0.15">
      <c r="A1" t="s">
        <v>141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142</v>
      </c>
      <c r="B2">
        <f>'set asides_2014to2018'!A29</f>
        <v>3362288.5456000003</v>
      </c>
      <c r="C2">
        <f>$B2</f>
        <v>3362288.5456000003</v>
      </c>
      <c r="D2">
        <f t="shared" ref="D2:M6" si="0">$C2</f>
        <v>3362288.5456000003</v>
      </c>
      <c r="E2">
        <f t="shared" si="0"/>
        <v>3362288.5456000003</v>
      </c>
      <c r="F2">
        <f t="shared" si="0"/>
        <v>3362288.5456000003</v>
      </c>
      <c r="G2">
        <f t="shared" si="0"/>
        <v>3362288.5456000003</v>
      </c>
      <c r="H2">
        <f t="shared" si="0"/>
        <v>3362288.5456000003</v>
      </c>
      <c r="I2">
        <f t="shared" si="0"/>
        <v>3362288.5456000003</v>
      </c>
      <c r="J2">
        <f t="shared" si="0"/>
        <v>3362288.5456000003</v>
      </c>
      <c r="K2">
        <f t="shared" si="0"/>
        <v>3362288.5456000003</v>
      </c>
      <c r="L2">
        <f t="shared" si="0"/>
        <v>3362288.5456000003</v>
      </c>
      <c r="M2">
        <f t="shared" si="0"/>
        <v>3362288.5456000003</v>
      </c>
      <c r="N2">
        <f t="shared" ref="N2:W6" si="1">$C2</f>
        <v>3362288.5456000003</v>
      </c>
      <c r="O2">
        <f t="shared" si="1"/>
        <v>3362288.5456000003</v>
      </c>
      <c r="P2">
        <f t="shared" si="1"/>
        <v>3362288.5456000003</v>
      </c>
      <c r="Q2">
        <f t="shared" si="1"/>
        <v>3362288.5456000003</v>
      </c>
      <c r="R2">
        <f t="shared" si="1"/>
        <v>3362288.5456000003</v>
      </c>
      <c r="S2">
        <f t="shared" si="1"/>
        <v>3362288.5456000003</v>
      </c>
      <c r="T2">
        <f t="shared" si="1"/>
        <v>3362288.5456000003</v>
      </c>
      <c r="U2">
        <f t="shared" si="1"/>
        <v>3362288.5456000003</v>
      </c>
      <c r="V2">
        <f t="shared" si="1"/>
        <v>3362288.5456000003</v>
      </c>
      <c r="W2">
        <f t="shared" si="1"/>
        <v>3362288.5456000003</v>
      </c>
      <c r="X2">
        <f t="shared" ref="X2:AG6" si="2">$C2</f>
        <v>3362288.5456000003</v>
      </c>
      <c r="Y2">
        <f t="shared" si="2"/>
        <v>3362288.5456000003</v>
      </c>
      <c r="Z2">
        <f t="shared" si="2"/>
        <v>3362288.5456000003</v>
      </c>
      <c r="AA2">
        <f t="shared" si="2"/>
        <v>3362288.5456000003</v>
      </c>
      <c r="AB2">
        <f t="shared" si="2"/>
        <v>3362288.5456000003</v>
      </c>
      <c r="AC2">
        <f t="shared" si="2"/>
        <v>3362288.5456000003</v>
      </c>
      <c r="AD2">
        <f t="shared" si="2"/>
        <v>3362288.5456000003</v>
      </c>
      <c r="AE2">
        <f t="shared" si="2"/>
        <v>3362288.5456000003</v>
      </c>
      <c r="AF2">
        <f t="shared" si="2"/>
        <v>3362288.5456000003</v>
      </c>
      <c r="AG2">
        <f t="shared" si="2"/>
        <v>3362288.5456000003</v>
      </c>
      <c r="AH2">
        <f t="shared" ref="AH2:AP6" si="3">$C2</f>
        <v>3362288.5456000003</v>
      </c>
      <c r="AI2">
        <f t="shared" si="3"/>
        <v>3362288.5456000003</v>
      </c>
      <c r="AJ2">
        <f t="shared" si="3"/>
        <v>3362288.5456000003</v>
      </c>
      <c r="AK2">
        <f t="shared" si="3"/>
        <v>3362288.5456000003</v>
      </c>
      <c r="AL2">
        <f t="shared" si="3"/>
        <v>3362288.5456000003</v>
      </c>
      <c r="AM2">
        <f t="shared" si="3"/>
        <v>3362288.5456000003</v>
      </c>
      <c r="AN2">
        <f t="shared" si="3"/>
        <v>3362288.5456000003</v>
      </c>
      <c r="AO2">
        <f t="shared" si="3"/>
        <v>3362288.5456000003</v>
      </c>
      <c r="AP2">
        <f t="shared" si="3"/>
        <v>3362288.5456000003</v>
      </c>
    </row>
    <row r="3" spans="1:42" x14ac:dyDescent="0.15">
      <c r="A3" s="41" t="s">
        <v>143</v>
      </c>
      <c r="B3">
        <f t="array" ref="B3:E3">TRANSPOSE(('2020-2023national total'!C2:C5)*2.47)</f>
        <v>8742416.8000000007</v>
      </c>
      <c r="C3">
        <v>3724579.6900000004</v>
      </c>
      <c r="D3">
        <v>3859468.8600000003</v>
      </c>
      <c r="E3">
        <v>3458000.0000000005</v>
      </c>
      <c r="F3">
        <v>6284131</v>
      </c>
      <c r="G3">
        <v>6284131</v>
      </c>
      <c r="H3">
        <v>6284131</v>
      </c>
      <c r="I3">
        <v>6284131</v>
      </c>
      <c r="J3">
        <v>6284131</v>
      </c>
      <c r="K3">
        <v>6284131</v>
      </c>
      <c r="L3">
        <v>6284131</v>
      </c>
      <c r="M3">
        <v>6284131</v>
      </c>
      <c r="N3">
        <v>6284131</v>
      </c>
      <c r="O3">
        <v>6284131</v>
      </c>
      <c r="P3">
        <v>6284131</v>
      </c>
      <c r="Q3">
        <v>6284131</v>
      </c>
      <c r="R3">
        <v>6284131</v>
      </c>
      <c r="S3">
        <v>6284131</v>
      </c>
      <c r="T3">
        <v>6284131</v>
      </c>
      <c r="U3">
        <v>6284131</v>
      </c>
      <c r="V3">
        <v>6284131</v>
      </c>
      <c r="W3">
        <v>6284131</v>
      </c>
      <c r="X3">
        <v>6284131</v>
      </c>
      <c r="Y3">
        <v>6284131</v>
      </c>
      <c r="Z3">
        <v>6284131</v>
      </c>
      <c r="AA3">
        <v>6284131</v>
      </c>
      <c r="AB3">
        <v>6284131</v>
      </c>
      <c r="AC3">
        <v>6284131</v>
      </c>
      <c r="AD3">
        <v>6284131</v>
      </c>
      <c r="AE3">
        <v>6284131</v>
      </c>
      <c r="AF3">
        <v>6284131</v>
      </c>
      <c r="AG3">
        <v>6284131</v>
      </c>
      <c r="AH3">
        <v>6284131</v>
      </c>
      <c r="AI3">
        <v>6284131</v>
      </c>
      <c r="AJ3">
        <v>6284131</v>
      </c>
      <c r="AK3">
        <v>6284131</v>
      </c>
      <c r="AL3">
        <v>6284131</v>
      </c>
      <c r="AM3">
        <v>6284131</v>
      </c>
      <c r="AN3">
        <v>6284131</v>
      </c>
      <c r="AO3">
        <v>6284131</v>
      </c>
      <c r="AP3">
        <v>6284131</v>
      </c>
    </row>
    <row r="4" spans="1:42" x14ac:dyDescent="0.15">
      <c r="A4" t="s">
        <v>144</v>
      </c>
      <c r="B4">
        <f t="array" ref="B4:E4">TRANSPOSE(('2020-2023national total'!D2:D5)*2.47)</f>
        <v>4383281.7600000007</v>
      </c>
      <c r="C4">
        <v>3050692.06</v>
      </c>
      <c r="D4">
        <v>2611570.52</v>
      </c>
      <c r="E4">
        <v>2650310</v>
      </c>
      <c r="F4">
        <f>E4</f>
        <v>2650310</v>
      </c>
      <c r="G4">
        <f t="shared" ref="G4:AP4" si="4">$E4</f>
        <v>2650310</v>
      </c>
      <c r="H4">
        <f t="shared" si="4"/>
        <v>2650310</v>
      </c>
      <c r="I4">
        <f t="shared" si="4"/>
        <v>2650310</v>
      </c>
      <c r="J4">
        <f t="shared" si="4"/>
        <v>2650310</v>
      </c>
      <c r="K4">
        <f t="shared" si="4"/>
        <v>2650310</v>
      </c>
      <c r="L4">
        <f t="shared" si="4"/>
        <v>2650310</v>
      </c>
      <c r="M4">
        <f t="shared" si="4"/>
        <v>2650310</v>
      </c>
      <c r="N4">
        <f t="shared" si="4"/>
        <v>2650310</v>
      </c>
      <c r="O4">
        <f t="shared" si="4"/>
        <v>2650310</v>
      </c>
      <c r="P4">
        <f t="shared" si="4"/>
        <v>2650310</v>
      </c>
      <c r="Q4">
        <f t="shared" si="4"/>
        <v>2650310</v>
      </c>
      <c r="R4">
        <f t="shared" si="4"/>
        <v>2650310</v>
      </c>
      <c r="S4">
        <f t="shared" si="4"/>
        <v>2650310</v>
      </c>
      <c r="T4">
        <f t="shared" si="4"/>
        <v>2650310</v>
      </c>
      <c r="U4">
        <f t="shared" si="4"/>
        <v>2650310</v>
      </c>
      <c r="V4">
        <f t="shared" si="4"/>
        <v>2650310</v>
      </c>
      <c r="W4">
        <f t="shared" si="4"/>
        <v>2650310</v>
      </c>
      <c r="X4">
        <f t="shared" si="4"/>
        <v>2650310</v>
      </c>
      <c r="Y4">
        <f t="shared" si="4"/>
        <v>2650310</v>
      </c>
      <c r="Z4">
        <f t="shared" si="4"/>
        <v>2650310</v>
      </c>
      <c r="AA4">
        <f t="shared" si="4"/>
        <v>2650310</v>
      </c>
      <c r="AB4">
        <f t="shared" si="4"/>
        <v>2650310</v>
      </c>
      <c r="AC4">
        <f t="shared" si="4"/>
        <v>2650310</v>
      </c>
      <c r="AD4">
        <f t="shared" si="4"/>
        <v>2650310</v>
      </c>
      <c r="AE4">
        <f t="shared" si="4"/>
        <v>2650310</v>
      </c>
      <c r="AF4">
        <f t="shared" si="4"/>
        <v>2650310</v>
      </c>
      <c r="AG4">
        <f t="shared" si="4"/>
        <v>2650310</v>
      </c>
      <c r="AH4">
        <f t="shared" si="4"/>
        <v>2650310</v>
      </c>
      <c r="AI4">
        <f t="shared" si="4"/>
        <v>2650310</v>
      </c>
      <c r="AJ4">
        <f t="shared" si="4"/>
        <v>2650310</v>
      </c>
      <c r="AK4">
        <f t="shared" si="4"/>
        <v>2650310</v>
      </c>
      <c r="AL4">
        <f t="shared" si="4"/>
        <v>2650310</v>
      </c>
      <c r="AM4">
        <f t="shared" si="4"/>
        <v>2650310</v>
      </c>
      <c r="AN4">
        <f t="shared" si="4"/>
        <v>2650310</v>
      </c>
      <c r="AO4">
        <f t="shared" si="4"/>
        <v>2650310</v>
      </c>
      <c r="AP4">
        <f t="shared" si="4"/>
        <v>2650310</v>
      </c>
    </row>
    <row r="5" spans="1:42" x14ac:dyDescent="0.15">
      <c r="A5" t="s">
        <v>145</v>
      </c>
      <c r="B5">
        <v>0</v>
      </c>
      <c r="C5"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1"/>
        <v>0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1"/>
        <v>0</v>
      </c>
      <c r="W5">
        <f t="shared" si="1"/>
        <v>0</v>
      </c>
      <c r="X5">
        <f t="shared" si="2"/>
        <v>0</v>
      </c>
      <c r="Y5">
        <f t="shared" si="2"/>
        <v>0</v>
      </c>
      <c r="Z5">
        <f t="shared" si="2"/>
        <v>0</v>
      </c>
      <c r="AA5">
        <f t="shared" si="2"/>
        <v>0</v>
      </c>
      <c r="AB5">
        <f t="shared" si="2"/>
        <v>0</v>
      </c>
      <c r="AC5">
        <f t="shared" si="2"/>
        <v>0</v>
      </c>
      <c r="AD5">
        <f t="shared" si="2"/>
        <v>0</v>
      </c>
      <c r="AE5">
        <f t="shared" si="2"/>
        <v>0</v>
      </c>
      <c r="AF5">
        <f t="shared" si="2"/>
        <v>0</v>
      </c>
      <c r="AG5">
        <f t="shared" si="2"/>
        <v>0</v>
      </c>
      <c r="AH5">
        <f t="shared" si="3"/>
        <v>0</v>
      </c>
      <c r="AI5">
        <f t="shared" si="3"/>
        <v>0</v>
      </c>
      <c r="AJ5">
        <f t="shared" si="3"/>
        <v>0</v>
      </c>
      <c r="AK5">
        <f t="shared" si="3"/>
        <v>0</v>
      </c>
      <c r="AL5">
        <f t="shared" si="3"/>
        <v>0</v>
      </c>
      <c r="AM5">
        <f t="shared" si="3"/>
        <v>0</v>
      </c>
      <c r="AN5">
        <f t="shared" si="3"/>
        <v>0</v>
      </c>
      <c r="AO5">
        <f t="shared" si="3"/>
        <v>0</v>
      </c>
      <c r="AP5">
        <f t="shared" si="3"/>
        <v>0</v>
      </c>
    </row>
    <row r="6" spans="1:42" x14ac:dyDescent="0.15">
      <c r="A6" t="s">
        <v>146</v>
      </c>
      <c r="B6">
        <v>0</v>
      </c>
      <c r="C6"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1"/>
        <v>0</v>
      </c>
      <c r="W6">
        <f t="shared" si="1"/>
        <v>0</v>
      </c>
      <c r="X6">
        <f t="shared" si="2"/>
        <v>0</v>
      </c>
      <c r="Y6">
        <f t="shared" si="2"/>
        <v>0</v>
      </c>
      <c r="Z6">
        <f t="shared" si="2"/>
        <v>0</v>
      </c>
      <c r="AA6">
        <f t="shared" si="2"/>
        <v>0</v>
      </c>
      <c r="AB6">
        <f t="shared" si="2"/>
        <v>0</v>
      </c>
      <c r="AC6">
        <f t="shared" si="2"/>
        <v>0</v>
      </c>
      <c r="AD6">
        <f t="shared" si="2"/>
        <v>0</v>
      </c>
      <c r="AE6">
        <f t="shared" si="2"/>
        <v>0</v>
      </c>
      <c r="AF6">
        <f t="shared" si="2"/>
        <v>0</v>
      </c>
      <c r="AG6">
        <f t="shared" si="2"/>
        <v>0</v>
      </c>
      <c r="AH6">
        <f t="shared" si="3"/>
        <v>0</v>
      </c>
      <c r="AI6">
        <f t="shared" si="3"/>
        <v>0</v>
      </c>
      <c r="AJ6">
        <f t="shared" si="3"/>
        <v>0</v>
      </c>
      <c r="AK6">
        <f t="shared" si="3"/>
        <v>0</v>
      </c>
      <c r="AL6">
        <f t="shared" si="3"/>
        <v>0</v>
      </c>
      <c r="AM6">
        <f t="shared" si="3"/>
        <v>0</v>
      </c>
      <c r="AN6">
        <f t="shared" si="3"/>
        <v>0</v>
      </c>
      <c r="AO6">
        <f t="shared" si="3"/>
        <v>0</v>
      </c>
      <c r="AP6">
        <f t="shared" si="3"/>
        <v>0</v>
      </c>
    </row>
    <row r="7" spans="1:42" x14ac:dyDescent="0.15">
      <c r="A7" t="s">
        <v>147</v>
      </c>
      <c r="B7">
        <f t="array" ref="B7:E7">TRANSPOSE(('2020-2023national total'!E2:E5)*2.47)</f>
        <v>4000530.5600000005</v>
      </c>
      <c r="C7">
        <v>2498032.0300000003</v>
      </c>
      <c r="D7">
        <v>3909849.45</v>
      </c>
      <c r="E7">
        <v>3766750.0000000005</v>
      </c>
      <c r="F7">
        <f>'Aforestation by province'!R7*'Aforestation by province'!P16/'Aforestation by province'!P17</f>
        <v>4152155.1724137934</v>
      </c>
      <c r="G7">
        <f>F7</f>
        <v>4152155.1724137934</v>
      </c>
      <c r="H7">
        <f t="shared" ref="H7:AP7" si="5">G7</f>
        <v>4152155.1724137934</v>
      </c>
      <c r="I7">
        <f t="shared" si="5"/>
        <v>4152155.1724137934</v>
      </c>
      <c r="J7">
        <f t="shared" si="5"/>
        <v>4152155.1724137934</v>
      </c>
      <c r="K7">
        <f t="shared" si="5"/>
        <v>4152155.1724137934</v>
      </c>
      <c r="L7">
        <f t="shared" si="5"/>
        <v>4152155.1724137934</v>
      </c>
      <c r="M7">
        <f t="shared" si="5"/>
        <v>4152155.1724137934</v>
      </c>
      <c r="N7">
        <f t="shared" si="5"/>
        <v>4152155.1724137934</v>
      </c>
      <c r="O7">
        <f t="shared" si="5"/>
        <v>4152155.1724137934</v>
      </c>
      <c r="P7">
        <f t="shared" si="5"/>
        <v>4152155.1724137934</v>
      </c>
      <c r="Q7">
        <f t="shared" si="5"/>
        <v>4152155.1724137934</v>
      </c>
      <c r="R7">
        <f t="shared" si="5"/>
        <v>4152155.1724137934</v>
      </c>
      <c r="S7">
        <f t="shared" si="5"/>
        <v>4152155.1724137934</v>
      </c>
      <c r="T7">
        <f t="shared" si="5"/>
        <v>4152155.1724137934</v>
      </c>
      <c r="U7">
        <f t="shared" si="5"/>
        <v>4152155.1724137934</v>
      </c>
      <c r="V7">
        <f t="shared" si="5"/>
        <v>4152155.1724137934</v>
      </c>
      <c r="W7">
        <f t="shared" si="5"/>
        <v>4152155.1724137934</v>
      </c>
      <c r="X7">
        <f t="shared" si="5"/>
        <v>4152155.1724137934</v>
      </c>
      <c r="Y7">
        <f t="shared" si="5"/>
        <v>4152155.1724137934</v>
      </c>
      <c r="Z7">
        <f t="shared" si="5"/>
        <v>4152155.1724137934</v>
      </c>
      <c r="AA7">
        <f t="shared" si="5"/>
        <v>4152155.1724137934</v>
      </c>
      <c r="AB7">
        <f t="shared" si="5"/>
        <v>4152155.1724137934</v>
      </c>
      <c r="AC7">
        <f t="shared" si="5"/>
        <v>4152155.1724137934</v>
      </c>
      <c r="AD7">
        <f t="shared" si="5"/>
        <v>4152155.1724137934</v>
      </c>
      <c r="AE7">
        <f t="shared" si="5"/>
        <v>4152155.1724137934</v>
      </c>
      <c r="AF7">
        <f t="shared" si="5"/>
        <v>4152155.1724137934</v>
      </c>
      <c r="AG7">
        <f t="shared" si="5"/>
        <v>4152155.1724137934</v>
      </c>
      <c r="AH7">
        <f t="shared" si="5"/>
        <v>4152155.1724137934</v>
      </c>
      <c r="AI7">
        <f t="shared" si="5"/>
        <v>4152155.1724137934</v>
      </c>
      <c r="AJ7">
        <f t="shared" si="5"/>
        <v>4152155.1724137934</v>
      </c>
      <c r="AK7">
        <f t="shared" si="5"/>
        <v>4152155.1724137934</v>
      </c>
      <c r="AL7">
        <f>AK7</f>
        <v>4152155.1724137934</v>
      </c>
      <c r="AM7">
        <f t="shared" si="5"/>
        <v>4152155.1724137934</v>
      </c>
      <c r="AN7">
        <f t="shared" si="5"/>
        <v>4152155.1724137934</v>
      </c>
      <c r="AO7">
        <f t="shared" si="5"/>
        <v>4152155.1724137934</v>
      </c>
      <c r="AP7">
        <f t="shared" si="5"/>
        <v>4152155.1724137934</v>
      </c>
    </row>
    <row r="11" spans="1:42" x14ac:dyDescent="0.15">
      <c r="A11" s="41"/>
    </row>
    <row r="14" spans="1:42" x14ac:dyDescent="0.15">
      <c r="A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</row>
    <row r="24" spans="1:1" x14ac:dyDescent="0.15">
      <c r="A24" s="44"/>
    </row>
    <row r="37" spans="1:1" x14ac:dyDescent="0.15">
      <c r="A37" s="44"/>
    </row>
    <row r="49" spans="1:1" x14ac:dyDescent="0.15">
      <c r="A49" s="41"/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About</vt:lpstr>
      <vt:lpstr>Aforestation by province</vt:lpstr>
      <vt:lpstr>2020-2023national total</vt:lpstr>
      <vt:lpstr>set asides_2014to2018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guoning</dc:creator>
  <cp:lastModifiedBy>逸群 何</cp:lastModifiedBy>
  <dcterms:created xsi:type="dcterms:W3CDTF">2023-04-04T16:00:14Z</dcterms:created>
  <dcterms:modified xsi:type="dcterms:W3CDTF">2024-11-28T06:28:59Z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2BD14D8714C00E828C5D2E6422B5C5A6</vt:lpwstr>
  </property>
  <property fmtid="{D5CDD505-2E9C-101B-9397-08002B2CF9AE}" pid="3" name="KSOProductBuildVer">
    <vt:lpwstr>2052-5.1.1.7662</vt:lpwstr>
  </property>
</Properties>
</file>