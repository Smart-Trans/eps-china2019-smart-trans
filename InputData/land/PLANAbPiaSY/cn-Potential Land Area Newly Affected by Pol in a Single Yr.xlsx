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Land\PLANAbPiaSY\"/>
    </mc:Choice>
  </mc:AlternateContent>
  <xr:revisionPtr revIDLastSave="0" documentId="13_ncr:1_{972BE336-2A90-452C-9965-BA64D135097D}" xr6:coauthVersionLast="47" xr6:coauthVersionMax="47" xr10:uidLastSave="{00000000-0000-0000-0000-000000000000}"/>
  <bookViews>
    <workbookView xWindow="-120" yWindow="-120" windowWidth="29040" windowHeight="15840" firstSheet="2" activeTab="7" xr2:uid="{50D62159-3801-4744-B2EB-993166927DCE}"/>
  </bookViews>
  <sheets>
    <sheet name="About" sheetId="16" r:id="rId1"/>
    <sheet name="Aforestation by province" sheetId="1" r:id="rId2"/>
    <sheet name="2020-2023national total" sheetId="14" r:id="rId3"/>
    <sheet name="set asides_2014to2018" sheetId="13" r:id="rId4"/>
    <sheet name="Forestry Statistics" sheetId="19" r:id="rId5"/>
    <sheet name="Calculation" sheetId="18" r:id="rId6"/>
    <sheet name="Yearbook Stats" sheetId="17" r:id="rId7"/>
    <sheet name="PLANAbPiaSY" sheetId="15" r:id="rId8"/>
  </sheets>
  <externalReferences>
    <externalReference r:id="rId9"/>
  </externalReferences>
  <definedNames>
    <definedName name="_xlnm._FilterDatabase" localSheetId="5" hidden="1">Calculation!$A$2:$H$2</definedName>
    <definedName name="_xlnm._FilterDatabase" localSheetId="6" hidden="1">'Yearbook Stats'!$A$1:$N$204</definedName>
    <definedName name="acres_per_hectare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5" l="1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C4" i="15"/>
  <c r="B4" i="15"/>
  <c r="J4" i="18"/>
  <c r="K4" i="18"/>
  <c r="L4" i="18"/>
  <c r="J5" i="18"/>
  <c r="K5" i="18"/>
  <c r="L5" i="18"/>
  <c r="J6" i="18"/>
  <c r="K6" i="18"/>
  <c r="L6" i="18"/>
  <c r="J7" i="18"/>
  <c r="K7" i="18"/>
  <c r="L7" i="18"/>
  <c r="J8" i="18"/>
  <c r="K8" i="18"/>
  <c r="L8" i="18"/>
  <c r="L15" i="18" s="1"/>
  <c r="J9" i="18"/>
  <c r="K9" i="18"/>
  <c r="L9" i="18"/>
  <c r="J10" i="18"/>
  <c r="K10" i="18"/>
  <c r="L10" i="18"/>
  <c r="J11" i="18"/>
  <c r="K11" i="18"/>
  <c r="L11" i="18"/>
  <c r="J12" i="18"/>
  <c r="K12" i="18"/>
  <c r="L12" i="18"/>
  <c r="J13" i="18"/>
  <c r="K13" i="18"/>
  <c r="L13" i="18"/>
  <c r="L3" i="18"/>
  <c r="J3" i="18"/>
  <c r="N3" i="18"/>
  <c r="O4" i="18"/>
  <c r="O5" i="18"/>
  <c r="O6" i="18"/>
  <c r="O7" i="18"/>
  <c r="O9" i="18"/>
  <c r="O10" i="18"/>
  <c r="O11" i="18"/>
  <c r="O12" i="18"/>
  <c r="K3" i="18"/>
  <c r="H3" i="18" a="1"/>
  <c r="H3" i="18" s="1"/>
  <c r="H15" i="18" s="1"/>
  <c r="G3" i="18" a="1"/>
  <c r="G3" i="18" s="1"/>
  <c r="F3" i="18" a="1"/>
  <c r="E3" i="18" a="1"/>
  <c r="E3" i="18" s="1"/>
  <c r="D3" i="18" a="1"/>
  <c r="D3" i="18" s="1"/>
  <c r="I3" i="18" a="1"/>
  <c r="I3" i="18" s="1"/>
  <c r="U51" i="19"/>
  <c r="T51" i="19"/>
  <c r="S51" i="19"/>
  <c r="R51" i="19"/>
  <c r="Q51" i="19"/>
  <c r="P51" i="19"/>
  <c r="O51" i="19"/>
  <c r="N51" i="19"/>
  <c r="M51" i="19"/>
  <c r="L51" i="19"/>
  <c r="K51" i="19"/>
  <c r="J51" i="19"/>
  <c r="W50" i="19"/>
  <c r="V50" i="19"/>
  <c r="U50" i="19"/>
  <c r="T50" i="19"/>
  <c r="S50" i="19"/>
  <c r="R50" i="19"/>
  <c r="I50" i="19"/>
  <c r="Z44" i="19"/>
  <c r="Y44" i="19"/>
  <c r="X44" i="19"/>
  <c r="W44" i="19"/>
  <c r="V44" i="19"/>
  <c r="U37" i="19"/>
  <c r="T37" i="19"/>
  <c r="S37" i="19"/>
  <c r="R37" i="19"/>
  <c r="I25" i="19"/>
  <c r="H25" i="19"/>
  <c r="H50" i="19" s="1"/>
  <c r="G25" i="19"/>
  <c r="G50" i="19" s="1"/>
  <c r="P23" i="19"/>
  <c r="O23" i="19"/>
  <c r="N23" i="19"/>
  <c r="M23" i="19"/>
  <c r="L23" i="19"/>
  <c r="K23" i="19"/>
  <c r="J2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5" i="15"/>
  <c r="C6" i="15"/>
  <c r="C2" i="15"/>
  <c r="A29" i="13"/>
  <c r="B2" i="15" s="1"/>
  <c r="C15" i="18"/>
  <c r="C3" i="17"/>
  <c r="C136" i="17"/>
  <c r="R7" i="1"/>
  <c r="Q7" i="1"/>
  <c r="P7" i="1"/>
  <c r="E4" i="14"/>
  <c r="D4" i="14"/>
  <c r="C4" i="14"/>
  <c r="E3" i="14"/>
  <c r="C3" i="14"/>
  <c r="D3" i="14"/>
  <c r="O3" i="18" l="1"/>
  <c r="N4" i="18"/>
  <c r="N7" i="18"/>
  <c r="N9" i="18"/>
  <c r="N10" i="18"/>
  <c r="N12" i="18"/>
  <c r="N5" i="18"/>
  <c r="N8" i="18"/>
  <c r="P8" i="18" s="1"/>
  <c r="F3" i="18"/>
  <c r="N6" i="18"/>
  <c r="M5" i="18"/>
  <c r="M9" i="18"/>
  <c r="M12" i="18"/>
  <c r="M4" i="18"/>
  <c r="M10" i="18"/>
  <c r="M6" i="18"/>
  <c r="M8" i="18"/>
  <c r="M11" i="18"/>
  <c r="M7" i="18"/>
  <c r="D15" i="18"/>
  <c r="M3" i="18"/>
  <c r="O8" i="18"/>
  <c r="E15" i="18"/>
  <c r="G15" i="18"/>
  <c r="N11" i="18"/>
  <c r="K15" i="18"/>
  <c r="F15" i="18"/>
  <c r="E2" i="14"/>
  <c r="D2" i="14"/>
  <c r="C2" i="14"/>
  <c r="D4" i="13"/>
  <c r="D18" i="18" l="1"/>
  <c r="D20" i="18"/>
  <c r="P9" i="18"/>
  <c r="P10" i="18" s="1"/>
  <c r="M13" i="18"/>
  <c r="M15" i="18" s="1"/>
  <c r="B3" i="15" s="1"/>
  <c r="J15" i="18"/>
  <c r="O13" i="18"/>
  <c r="O15" i="18" s="1"/>
  <c r="B7" i="15" s="1"/>
  <c r="D28" i="18"/>
  <c r="N13" i="18"/>
  <c r="N15" i="18" s="1"/>
  <c r="M7" i="15" l="1"/>
  <c r="P7" i="15"/>
  <c r="S7" i="15"/>
  <c r="V7" i="15"/>
  <c r="W7" i="15"/>
  <c r="X7" i="15"/>
  <c r="Y7" i="15"/>
  <c r="Z7" i="15"/>
  <c r="AA7" i="15"/>
  <c r="AB7" i="15"/>
  <c r="AC7" i="15"/>
  <c r="AD7" i="15"/>
  <c r="AE7" i="15"/>
  <c r="N7" i="15"/>
  <c r="R7" i="15"/>
  <c r="U7" i="15"/>
  <c r="AH7" i="15"/>
  <c r="AP7" i="15"/>
  <c r="Q7" i="15"/>
  <c r="AF7" i="15"/>
  <c r="AJ7" i="15"/>
  <c r="AL7" i="15"/>
  <c r="AN7" i="15"/>
  <c r="AQ7" i="15"/>
  <c r="O7" i="15"/>
  <c r="T7" i="15"/>
  <c r="AG7" i="15"/>
  <c r="AP3" i="15"/>
  <c r="T3" i="15"/>
  <c r="Q3" i="15"/>
  <c r="N3" i="15"/>
  <c r="L3" i="15"/>
  <c r="E3" i="15"/>
  <c r="AQ3" i="15"/>
  <c r="AN3" i="15"/>
  <c r="AL3" i="15"/>
  <c r="R3" i="15"/>
  <c r="AJ3" i="15"/>
  <c r="AI3" i="15"/>
  <c r="AG3" i="15"/>
  <c r="AD3" i="15"/>
  <c r="Y3" i="15"/>
  <c r="AK3" i="15"/>
  <c r="AM3" i="15"/>
  <c r="U3" i="15"/>
  <c r="AE3" i="15"/>
  <c r="AH3" i="15"/>
  <c r="AF3" i="15"/>
  <c r="D3" i="15"/>
  <c r="K3" i="15"/>
  <c r="H3" i="15"/>
  <c r="C3" i="15"/>
  <c r="G3" i="15"/>
  <c r="P3" i="15"/>
  <c r="S3" i="15"/>
  <c r="F3" i="15"/>
  <c r="J3" i="15"/>
  <c r="O3" i="15"/>
  <c r="W3" i="15"/>
  <c r="AB3" i="15"/>
  <c r="AC3" i="15"/>
  <c r="V3" i="15"/>
  <c r="Z3" i="15"/>
  <c r="I3" i="15"/>
  <c r="M3" i="15"/>
  <c r="X3" i="15"/>
  <c r="AA3" i="15"/>
  <c r="AO3" i="15"/>
  <c r="AR3" i="15"/>
  <c r="C28" i="18"/>
  <c r="C25" i="18"/>
  <c r="C24" i="18"/>
  <c r="C20" i="18"/>
  <c r="C27" i="18"/>
  <c r="C18" i="18"/>
  <c r="C23" i="18"/>
  <c r="C21" i="18"/>
  <c r="C22" i="18"/>
  <c r="C19" i="18"/>
  <c r="C26" i="18"/>
  <c r="H7" i="15"/>
  <c r="C7" i="15"/>
  <c r="D7" i="15"/>
  <c r="E7" i="15"/>
  <c r="F7" i="15"/>
  <c r="G7" i="15"/>
  <c r="I7" i="15"/>
  <c r="J7" i="15"/>
  <c r="K7" i="15"/>
  <c r="L7" i="15"/>
  <c r="AR7" i="15"/>
  <c r="AO7" i="15"/>
  <c r="AM7" i="15"/>
  <c r="AI7" i="15"/>
  <c r="AK7" i="15"/>
  <c r="E28" i="18"/>
  <c r="E24" i="18"/>
  <c r="E25" i="18"/>
  <c r="E19" i="18"/>
  <c r="E22" i="18"/>
  <c r="E27" i="18"/>
  <c r="E26" i="18"/>
  <c r="E20" i="18"/>
  <c r="E21" i="18"/>
  <c r="E18" i="18"/>
  <c r="E23" i="18"/>
  <c r="P11" i="18"/>
  <c r="D26" i="18"/>
  <c r="D24" i="18"/>
  <c r="D25" i="18"/>
  <c r="D23" i="18"/>
  <c r="D22" i="18"/>
  <c r="D27" i="18"/>
  <c r="D21" i="18"/>
  <c r="D19" i="18"/>
  <c r="O22" i="18" l="1"/>
  <c r="M22" i="18"/>
  <c r="P12" i="18"/>
  <c r="O23" i="18" l="1"/>
  <c r="O24" i="18"/>
  <c r="O26" i="18"/>
  <c r="O25" i="18"/>
  <c r="O27" i="18"/>
  <c r="O28" i="18"/>
  <c r="M23" i="18"/>
  <c r="M26" i="18"/>
  <c r="M25" i="18"/>
  <c r="M28" i="18"/>
  <c r="M24" i="18"/>
  <c r="M27" i="18"/>
  <c r="P13" i="18"/>
  <c r="P15" i="18" s="1"/>
  <c r="N27" i="18" s="1"/>
  <c r="N26" i="18" l="1"/>
  <c r="N23" i="18"/>
  <c r="N24" i="18"/>
  <c r="N25" i="18"/>
  <c r="N2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<sst xmlns="http://schemas.openxmlformats.org/spreadsheetml/2006/main" count="850" uniqueCount="357">
  <si>
    <t>Area of Afforestation by Region(2020)</t>
  </si>
  <si>
    <t>单位:公顷</t>
  </si>
  <si>
    <t>(hectare)</t>
  </si>
  <si>
    <t>地 区</t>
  </si>
  <si>
    <t>Region</t>
  </si>
  <si>
    <t>造 林
总面积
Total
Area of
Afforestation</t>
  </si>
  <si>
    <t>按造林方式分 By Approach</t>
  </si>
  <si>
    <t>植树造林和在造林 afforestation and reforestation</t>
  </si>
  <si>
    <t xml:space="preserve">改善森林管理improved forest management </t>
  </si>
  <si>
    <t>森林恢复forest restoration</t>
  </si>
  <si>
    <t>全 国</t>
  </si>
  <si>
    <t>National Total</t>
  </si>
  <si>
    <t>北 京</t>
  </si>
  <si>
    <t>Beijing</t>
  </si>
  <si>
    <t>天 津</t>
  </si>
  <si>
    <t>Tianjin</t>
  </si>
  <si>
    <t>河北</t>
  </si>
  <si>
    <t>Hebei</t>
  </si>
  <si>
    <t>山 西</t>
  </si>
  <si>
    <t>Shanxi</t>
  </si>
  <si>
    <t>内蒙古</t>
  </si>
  <si>
    <t>Inner Mongolia</t>
  </si>
  <si>
    <t>辽 宁</t>
  </si>
  <si>
    <t>Liaoning</t>
  </si>
  <si>
    <t>吉 林</t>
  </si>
  <si>
    <t>Jilin</t>
  </si>
  <si>
    <t>黑龙江</t>
  </si>
  <si>
    <t>Heilongjiang</t>
  </si>
  <si>
    <t>上 海</t>
  </si>
  <si>
    <t>Shanghai</t>
  </si>
  <si>
    <t>江 苏</t>
  </si>
  <si>
    <t>Jiangsu</t>
  </si>
  <si>
    <t>浙 江</t>
  </si>
  <si>
    <t>Zhejiang</t>
  </si>
  <si>
    <t>安 徽</t>
  </si>
  <si>
    <t>Anhui</t>
  </si>
  <si>
    <t>福 建</t>
  </si>
  <si>
    <t>Fujian</t>
  </si>
  <si>
    <t>江 西</t>
  </si>
  <si>
    <t>Jiangxi</t>
  </si>
  <si>
    <t>山 东</t>
  </si>
  <si>
    <t>Shandong</t>
  </si>
  <si>
    <t>河 南</t>
  </si>
  <si>
    <t>Henan</t>
  </si>
  <si>
    <t>湖北</t>
  </si>
  <si>
    <t>Hubei</t>
  </si>
  <si>
    <t>湖 南</t>
  </si>
  <si>
    <t>Hunan</t>
  </si>
  <si>
    <t>广 东</t>
  </si>
  <si>
    <t>Guangdong</t>
  </si>
  <si>
    <t>广 西</t>
  </si>
  <si>
    <t>Guangxi</t>
  </si>
  <si>
    <t>海 南</t>
  </si>
  <si>
    <t>Hainan</t>
  </si>
  <si>
    <t>重 庆</t>
  </si>
  <si>
    <t>Chongqing</t>
  </si>
  <si>
    <t>四 川</t>
  </si>
  <si>
    <t>Sichuan</t>
  </si>
  <si>
    <t>贵 州</t>
  </si>
  <si>
    <t>Guizhou</t>
  </si>
  <si>
    <t>云南</t>
  </si>
  <si>
    <t>Yunnan</t>
  </si>
  <si>
    <t>西 藏</t>
  </si>
  <si>
    <t>Tibet</t>
  </si>
  <si>
    <t>陕 西</t>
  </si>
  <si>
    <t>Shaanxi</t>
  </si>
  <si>
    <t>甘 肃</t>
  </si>
  <si>
    <t>Gansu</t>
  </si>
  <si>
    <t>青 海</t>
  </si>
  <si>
    <t>Qinghai</t>
  </si>
  <si>
    <t>宁 夏</t>
  </si>
  <si>
    <t>Ningxia</t>
  </si>
  <si>
    <t>新 疆</t>
  </si>
  <si>
    <t>Xinjiang</t>
  </si>
  <si>
    <t>大兴安岭</t>
  </si>
  <si>
    <t>Daxinganling</t>
  </si>
  <si>
    <t>造 林_x000D_
总面积_x000D_
Total_x000D_
Area of_x000D_
Afforestation</t>
  </si>
  <si>
    <t>北京</t>
  </si>
  <si>
    <t>天津</t>
  </si>
  <si>
    <t>辽宁</t>
  </si>
  <si>
    <t>上海</t>
  </si>
  <si>
    <t>江苏</t>
  </si>
  <si>
    <t>福建</t>
  </si>
  <si>
    <t>江西</t>
  </si>
  <si>
    <t>河南</t>
  </si>
  <si>
    <t>湖 北</t>
  </si>
  <si>
    <t>广西</t>
  </si>
  <si>
    <t>海南</t>
  </si>
  <si>
    <t>贵州</t>
  </si>
  <si>
    <t>云 南</t>
  </si>
  <si>
    <t>西藏</t>
  </si>
  <si>
    <t>陕西</t>
  </si>
  <si>
    <t>青海</t>
  </si>
  <si>
    <t>新疆</t>
  </si>
  <si>
    <t>7-3 各地区造林情况(2020年)</t>
  </si>
  <si>
    <t>植树造林和在造林 afforestation and reforestation=人工造林（manual planting）+飞播造林（Airplane planting）+人工更新（artificial regeneration）</t>
  </si>
  <si>
    <t>改善森林管理improved forest management =封山育林 (Closed Hillsides for Afforestation)</t>
  </si>
  <si>
    <t>年份 year</t>
  </si>
  <si>
    <t>森林恢复(forest restoration) = 退化林修复 (Restoration of Degraded Forest)</t>
  </si>
  <si>
    <t>人工造林
Manual
Planting</t>
  </si>
  <si>
    <t>飞播造林
Airplane
Planting</t>
  </si>
  <si>
    <t>人工更新
Artificial
Regeneration</t>
  </si>
  <si>
    <t>封山育林
Closed
Hillsides for
Afforestation</t>
  </si>
  <si>
    <t>退化林修复
Restoration
of Degraded
Forest</t>
  </si>
  <si>
    <t>year</t>
  </si>
  <si>
    <t>人工造林_x000D_
Manual_x000D_
Planting</t>
  </si>
  <si>
    <t>飞播造林_x000D_
Airplane_x000D_
Planting</t>
  </si>
  <si>
    <t>人工更新_x000D_
Artificial_x000D_
Regeneration</t>
  </si>
  <si>
    <t>封山育林_x000D_
Closed_x000D_
Hillsides for_x000D_
Afforestation</t>
  </si>
  <si>
    <t>退化林修复_x000D_
Restoration_x000D_
of Degraded_x000D_
Forest</t>
  </si>
  <si>
    <t>年份year</t>
  </si>
  <si>
    <t>unit conversion=</t>
  </si>
  <si>
    <t>Forest Area by Function</t>
  </si>
  <si>
    <t>Area（unit）</t>
  </si>
  <si>
    <t>Area</t>
  </si>
  <si>
    <t>Share of total</t>
  </si>
  <si>
    <t xml:space="preserve">2014-2018 </t>
  </si>
  <si>
    <t>hundred hectares</t>
  </si>
  <si>
    <t>sq.km</t>
  </si>
  <si>
    <t>%</t>
  </si>
  <si>
    <t>Total forest</t>
  </si>
  <si>
    <t>Unit conversion</t>
  </si>
  <si>
    <t>Commercial forest （用材林）</t>
  </si>
  <si>
    <t>acres per square kilometer</t>
  </si>
  <si>
    <t>Economic forest （经济林）</t>
  </si>
  <si>
    <t>Note</t>
  </si>
  <si>
    <t>We also assume that "commercial forest" is the forest currently being cut by the timber industry,</t>
  </si>
  <si>
    <t>and "economic forest" is the forst that would be cost-effective to cut.</t>
  </si>
  <si>
    <t>How many of these acres are available annually for set-asides?</t>
  </si>
  <si>
    <t>This depends on the speed with which timber harvesting could be scaled</t>
  </si>
  <si>
    <t>down in a given year,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</si>
  <si>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</si>
  <si>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</si>
  <si>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</si>
  <si>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</si>
  <si>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</si>
  <si>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</si>
  <si>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</si>
  <si>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</si>
  <si>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</si>
  <si>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</si>
  <si>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</si>
  <si>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</si>
  <si>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</si>
  <si>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</si>
  <si>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</si>
  <si>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</si>
  <si>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</si>
  <si>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PLANAbPiaSY Potential Land Area Newly Affected by Policy in a Single Year</t>
  </si>
  <si>
    <t>Sources:</t>
  </si>
  <si>
    <t>Trend Data</t>
  </si>
  <si>
    <t>Peatland Restoration</t>
  </si>
  <si>
    <t>ICF International</t>
  </si>
  <si>
    <t>Managing Agricultural Land for Greenhouse Gas Mitigation within the United States</t>
  </si>
  <si>
    <t>https://www.usda.gov/sites/default/files/documents/White_Paper_WEB71816.pdf</t>
  </si>
  <si>
    <t>pages 36-37</t>
  </si>
  <si>
    <t>Notes</t>
  </si>
  <si>
    <t>afforestation, reforestation, improved management &amp; restoration</t>
    <phoneticPr fontId="17" type="noConversion"/>
  </si>
  <si>
    <t>中国森林资源清查 (ckcest.cn)</t>
  </si>
  <si>
    <t>Forest Knowledge Service System</t>
    <phoneticPr fontId="17" type="noConversion"/>
  </si>
  <si>
    <t>Area of Land Forest by Type</t>
    <phoneticPr fontId="17" type="noConversion"/>
  </si>
  <si>
    <t>China Environmental Statistical Yearbook</t>
    <phoneticPr fontId="17" type="noConversion"/>
  </si>
  <si>
    <r>
      <t xml:space="preserve">source: </t>
    </r>
    <r>
      <rPr>
        <sz val="11"/>
        <color rgb="FF00B0F0"/>
        <rFont val="宋体"/>
        <family val="2"/>
        <scheme val="minor"/>
      </rPr>
      <t>https://forest.ckcest.cn/sd/si/zgslzy.html</t>
    </r>
    <phoneticPr fontId="17" type="noConversion"/>
  </si>
  <si>
    <t>period (2016-2050) is 35 years long, so if the policy were to</t>
    <phoneticPr fontId="17" type="noConversion"/>
  </si>
  <si>
    <t>8-3 各地区造林情况(2021年)</t>
    <phoneticPr fontId="17" type="noConversion"/>
  </si>
  <si>
    <t>8-3 各地区造林情况(2022年)</t>
    <phoneticPr fontId="17" type="noConversion"/>
  </si>
  <si>
    <t>A_x000D_
rea of Afforestation by Region (2022)</t>
    <phoneticPr fontId="17" type="noConversion"/>
  </si>
  <si>
    <t>A_x000D_
rea of Afforestation by Region (2021)</t>
    <phoneticPr fontId="17" type="noConversion"/>
  </si>
  <si>
    <t>National Total</t>
    <phoneticPr fontId="17" type="noConversion"/>
  </si>
  <si>
    <t>2013-2023</t>
    <phoneticPr fontId="17" type="noConversion"/>
  </si>
  <si>
    <t>Provincial Forestry Activity</t>
    <phoneticPr fontId="17" type="noConversion"/>
  </si>
  <si>
    <t>2023年中国国土绿化状况公报 (people.com.cn)</t>
  </si>
  <si>
    <t>Report on the state of land greening in China 2023</t>
    <phoneticPr fontId="17" type="noConversion"/>
  </si>
  <si>
    <t xml:space="preserve">forest set asides is the value calculated in 2018
</t>
    <phoneticPr fontId="17" type="noConversion"/>
  </si>
  <si>
    <t>2021-2050</t>
    <phoneticPr fontId="17" type="noConversion"/>
  </si>
  <si>
    <t>造林</t>
    <phoneticPr fontId="17" type="noConversion"/>
  </si>
  <si>
    <t>更新造林</t>
    <phoneticPr fontId="17" type="noConversion"/>
  </si>
  <si>
    <t>单位（百公顷）</t>
    <phoneticPr fontId="17" type="noConversion"/>
  </si>
  <si>
    <t>森林抚育</t>
    <phoneticPr fontId="17" type="noConversion"/>
  </si>
  <si>
    <t>退化林修复</t>
    <phoneticPr fontId="17" type="noConversion"/>
  </si>
  <si>
    <t>1 hectare=2.47 acres</t>
    <phoneticPr fontId="17" type="noConversion"/>
  </si>
  <si>
    <t>公顷到英亩</t>
    <phoneticPr fontId="17" type="noConversion"/>
  </si>
  <si>
    <t>年份</t>
    <phoneticPr fontId="17" type="noConversion"/>
  </si>
  <si>
    <r>
      <rPr>
        <b/>
        <sz val="11"/>
        <rFont val="宋体"/>
        <family val="3"/>
        <charset val="134"/>
      </rPr>
      <t>全国</t>
    </r>
  </si>
  <si>
    <t xml:space="preserve">
</t>
  </si>
  <si>
    <t/>
  </si>
  <si>
    <r>
      <rPr>
        <sz val="11"/>
        <rFont val="SimSun"/>
        <charset val="134"/>
      </rPr>
      <t>大兴安岭</t>
    </r>
  </si>
  <si>
    <t xml:space="preserve">3384
</t>
  </si>
  <si>
    <r>
      <rPr>
        <sz val="11"/>
        <rFont val="宋体"/>
        <family val="3"/>
        <charset val="134"/>
      </rPr>
      <t>新疆</t>
    </r>
  </si>
  <si>
    <t xml:space="preserve">6447
</t>
  </si>
  <si>
    <r>
      <rPr>
        <sz val="11"/>
        <rFont val="宋体"/>
        <family val="3"/>
        <charset val="134"/>
      </rPr>
      <t>宁夏</t>
    </r>
  </si>
  <si>
    <r>
      <rPr>
        <sz val="11"/>
        <rFont val="宋体"/>
        <family val="3"/>
        <charset val="134"/>
      </rPr>
      <t>青海</t>
    </r>
  </si>
  <si>
    <r>
      <rPr>
        <sz val="11"/>
        <rFont val="宋体"/>
        <family val="3"/>
        <charset val="134"/>
      </rPr>
      <t>甘肃</t>
    </r>
  </si>
  <si>
    <t xml:space="preserve">4225
</t>
  </si>
  <si>
    <r>
      <rPr>
        <sz val="11"/>
        <rFont val="宋体"/>
        <family val="3"/>
        <charset val="134"/>
      </rPr>
      <t>陕西</t>
    </r>
  </si>
  <si>
    <r>
      <rPr>
        <sz val="11"/>
        <rFont val="宋体"/>
        <family val="3"/>
        <charset val="134"/>
      </rPr>
      <t>西藏</t>
    </r>
  </si>
  <si>
    <t xml:space="preserve">9
</t>
  </si>
  <si>
    <r>
      <rPr>
        <sz val="11"/>
        <rFont val="宋体"/>
        <family val="3"/>
        <charset val="134"/>
      </rPr>
      <t>云南</t>
    </r>
  </si>
  <si>
    <r>
      <rPr>
        <sz val="11"/>
        <rFont val="宋体"/>
        <family val="3"/>
        <charset val="134"/>
      </rPr>
      <t>贵州</t>
    </r>
  </si>
  <si>
    <t xml:space="preserve">4936
</t>
  </si>
  <si>
    <r>
      <rPr>
        <sz val="11"/>
        <rFont val="宋体"/>
        <family val="3"/>
        <charset val="134"/>
      </rPr>
      <t>四川</t>
    </r>
  </si>
  <si>
    <t xml:space="preserve">633
</t>
  </si>
  <si>
    <r>
      <rPr>
        <sz val="11"/>
        <rFont val="宋体"/>
        <family val="3"/>
        <charset val="134"/>
      </rPr>
      <t>重庆</t>
    </r>
  </si>
  <si>
    <t xml:space="preserve">8053
</t>
  </si>
  <si>
    <r>
      <rPr>
        <sz val="11"/>
        <rFont val="宋体"/>
        <family val="3"/>
        <charset val="134"/>
      </rPr>
      <t>海南</t>
    </r>
  </si>
  <si>
    <t xml:space="preserve">92668
</t>
  </si>
  <si>
    <r>
      <rPr>
        <sz val="11"/>
        <rFont val="宋体"/>
        <family val="3"/>
        <charset val="134"/>
      </rPr>
      <t>广西</t>
    </r>
  </si>
  <si>
    <t xml:space="preserve">34817
</t>
  </si>
  <si>
    <r>
      <rPr>
        <sz val="11"/>
        <rFont val="宋体"/>
        <family val="3"/>
        <charset val="134"/>
      </rPr>
      <t>广东</t>
    </r>
  </si>
  <si>
    <t xml:space="preserve">8545
</t>
  </si>
  <si>
    <r>
      <rPr>
        <sz val="11"/>
        <rFont val="宋体"/>
        <family val="3"/>
        <charset val="134"/>
      </rPr>
      <t>湖南</t>
    </r>
  </si>
  <si>
    <t xml:space="preserve">4004
</t>
  </si>
  <si>
    <r>
      <rPr>
        <sz val="11"/>
        <rFont val="宋体"/>
        <family val="3"/>
        <charset val="134"/>
      </rPr>
      <t>湖北</t>
    </r>
  </si>
  <si>
    <r>
      <rPr>
        <sz val="11"/>
        <rFont val="宋体"/>
        <family val="3"/>
        <charset val="134"/>
      </rPr>
      <t>河南</t>
    </r>
  </si>
  <si>
    <t xml:space="preserve">31473
</t>
  </si>
  <si>
    <r>
      <rPr>
        <sz val="11"/>
        <rFont val="宋体"/>
        <family val="3"/>
        <charset val="134"/>
      </rPr>
      <t>山东</t>
    </r>
  </si>
  <si>
    <t xml:space="preserve">6344
</t>
  </si>
  <si>
    <r>
      <rPr>
        <sz val="11"/>
        <rFont val="宋体"/>
        <family val="3"/>
        <charset val="134"/>
      </rPr>
      <t>江西</t>
    </r>
  </si>
  <si>
    <t xml:space="preserve">61129
</t>
  </si>
  <si>
    <r>
      <rPr>
        <sz val="11"/>
        <rFont val="宋体"/>
        <family val="3"/>
        <charset val="134"/>
      </rPr>
      <t>福建</t>
    </r>
  </si>
  <si>
    <t xml:space="preserve">6113
</t>
  </si>
  <si>
    <r>
      <rPr>
        <sz val="11"/>
        <rFont val="宋体"/>
        <family val="3"/>
        <charset val="134"/>
      </rPr>
      <t>安徽</t>
    </r>
  </si>
  <si>
    <t xml:space="preserve">8445
</t>
  </si>
  <si>
    <r>
      <rPr>
        <sz val="11"/>
        <rFont val="宋体"/>
        <family val="3"/>
        <charset val="134"/>
      </rPr>
      <t>浙江</t>
    </r>
  </si>
  <si>
    <t xml:space="preserve">2461
</t>
  </si>
  <si>
    <r>
      <rPr>
        <sz val="11"/>
        <rFont val="宋体"/>
        <family val="3"/>
        <charset val="134"/>
      </rPr>
      <t>江苏</t>
    </r>
  </si>
  <si>
    <r>
      <rPr>
        <sz val="11"/>
        <rFont val="宋体"/>
        <family val="3"/>
        <charset val="134"/>
      </rPr>
      <t>上海</t>
    </r>
  </si>
  <si>
    <t xml:space="preserve">74
</t>
  </si>
  <si>
    <r>
      <rPr>
        <sz val="11"/>
        <rFont val="宋体"/>
        <family val="3"/>
        <charset val="134"/>
      </rPr>
      <t>黑龙江</t>
    </r>
  </si>
  <si>
    <t xml:space="preserve">9703
</t>
  </si>
  <si>
    <r>
      <rPr>
        <sz val="11"/>
        <rFont val="宋体"/>
        <family val="3"/>
        <charset val="134"/>
      </rPr>
      <t>吉林</t>
    </r>
  </si>
  <si>
    <t xml:space="preserve">6950
</t>
  </si>
  <si>
    <r>
      <rPr>
        <sz val="11"/>
        <rFont val="宋体"/>
        <family val="3"/>
        <charset val="134"/>
      </rPr>
      <t>辽宁</t>
    </r>
  </si>
  <si>
    <t xml:space="preserve">2166
</t>
  </si>
  <si>
    <r>
      <rPr>
        <sz val="11"/>
        <rFont val="宋体"/>
        <family val="3"/>
        <charset val="134"/>
      </rPr>
      <t>内蒙古</t>
    </r>
  </si>
  <si>
    <r>
      <rPr>
        <sz val="11"/>
        <rFont val="宋体"/>
        <family val="3"/>
        <charset val="134"/>
      </rPr>
      <t>山西</t>
    </r>
  </si>
  <si>
    <t xml:space="preserve">2800
</t>
  </si>
  <si>
    <r>
      <rPr>
        <sz val="11"/>
        <rFont val="宋体"/>
        <family val="3"/>
        <charset val="134"/>
      </rPr>
      <t>河北</t>
    </r>
  </si>
  <si>
    <r>
      <rPr>
        <sz val="11"/>
        <rFont val="宋体"/>
        <family val="3"/>
        <charset val="134"/>
      </rPr>
      <t>天津</t>
    </r>
  </si>
  <si>
    <t xml:space="preserve">60
</t>
  </si>
  <si>
    <r>
      <rPr>
        <sz val="11"/>
        <rFont val="宋体"/>
        <family val="3"/>
        <charset val="134"/>
      </rPr>
      <t>北京</t>
    </r>
  </si>
  <si>
    <t xml:space="preserve">305439
</t>
  </si>
  <si>
    <t>全国</t>
    <phoneticPr fontId="50" type="noConversion"/>
  </si>
  <si>
    <r>
      <rPr>
        <b/>
        <sz val="11"/>
        <rFont val="等线"/>
        <family val="3"/>
        <charset val="134"/>
      </rPr>
      <t>治理沙化石漠化</t>
    </r>
    <phoneticPr fontId="50" type="noConversion"/>
  </si>
  <si>
    <r>
      <rPr>
        <b/>
        <sz val="11"/>
        <rFont val="SimSun"/>
        <charset val="134"/>
      </rPr>
      <t>围栏封育</t>
    </r>
  </si>
  <si>
    <r>
      <rPr>
        <b/>
        <sz val="11"/>
        <rFont val="SimSun"/>
        <charset val="134"/>
      </rPr>
      <t>草原改良</t>
    </r>
  </si>
  <si>
    <r>
      <rPr>
        <b/>
        <sz val="11"/>
        <rFont val="SimSun"/>
        <charset val="134"/>
      </rPr>
      <t>飞播种草</t>
    </r>
  </si>
  <si>
    <r>
      <rPr>
        <b/>
        <sz val="11"/>
        <rFont val="SimSun"/>
        <charset val="134"/>
      </rPr>
      <t>人工种草</t>
    </r>
  </si>
  <si>
    <r>
      <rPr>
        <b/>
        <sz val="11"/>
        <rFont val="SimSun"/>
        <charset val="134"/>
      </rPr>
      <t>种草改良</t>
    </r>
    <r>
      <rPr>
        <b/>
        <sz val="11"/>
        <rFont val="等线"/>
        <family val="1"/>
        <charset val="134"/>
      </rPr>
      <t>面积</t>
    </r>
    <r>
      <rPr>
        <b/>
        <sz val="11"/>
        <rFont val="SimSun"/>
        <charset val="134"/>
      </rPr>
      <t>合计</t>
    </r>
    <phoneticPr fontId="50" type="noConversion"/>
  </si>
  <si>
    <r>
      <rPr>
        <b/>
        <sz val="11"/>
        <rFont val="SimSun"/>
        <charset val="134"/>
      </rPr>
      <t>人工更新</t>
    </r>
  </si>
  <si>
    <r>
      <rPr>
        <b/>
        <sz val="11"/>
        <rFont val="SimSun"/>
        <charset val="134"/>
      </rPr>
      <t>退化林修复</t>
    </r>
  </si>
  <si>
    <r>
      <rPr>
        <b/>
        <sz val="11"/>
        <rFont val="SimSun"/>
        <charset val="134"/>
      </rPr>
      <t>封山育林</t>
    </r>
  </si>
  <si>
    <r>
      <rPr>
        <b/>
        <sz val="11"/>
        <rFont val="SimSun"/>
        <charset val="134"/>
      </rPr>
      <t>飞播造林</t>
    </r>
  </si>
  <si>
    <r>
      <rPr>
        <b/>
        <sz val="11"/>
        <rFont val="SimSun"/>
        <charset val="134"/>
      </rPr>
      <t>人工造林</t>
    </r>
  </si>
  <si>
    <r>
      <rPr>
        <b/>
        <sz val="11"/>
        <rFont val="SimSun"/>
        <charset val="134"/>
      </rPr>
      <t>造林</t>
    </r>
    <r>
      <rPr>
        <b/>
        <sz val="11"/>
        <rFont val="微软雅黑"/>
        <family val="1"/>
        <charset val="134"/>
      </rPr>
      <t>总面积</t>
    </r>
    <phoneticPr fontId="50" type="noConversion"/>
  </si>
  <si>
    <r>
      <rPr>
        <b/>
        <sz val="10"/>
        <rFont val="宋体"/>
        <family val="3"/>
        <charset val="134"/>
      </rPr>
      <t>全国</t>
    </r>
  </si>
  <si>
    <t>FOPITY Value</t>
    <phoneticPr fontId="50" type="noConversion"/>
  </si>
  <si>
    <r>
      <rPr>
        <sz val="10"/>
        <rFont val="宋体"/>
        <family val="3"/>
        <charset val="134"/>
      </rPr>
      <t>森林恢复</t>
    </r>
    <r>
      <rPr>
        <sz val="10"/>
        <rFont val="Times New Roman"/>
        <family val="1"/>
      </rPr>
      <t>forest restoration</t>
    </r>
  </si>
  <si>
    <r>
      <rPr>
        <sz val="10"/>
        <rFont val="宋体"/>
        <family val="3"/>
        <charset val="134"/>
      </rPr>
      <t>改善森林管理</t>
    </r>
    <r>
      <rPr>
        <sz val="10"/>
        <rFont val="Times New Roman"/>
        <family val="1"/>
      </rPr>
      <t xml:space="preserve">improved forest management </t>
    </r>
  </si>
  <si>
    <r>
      <rPr>
        <sz val="10"/>
        <rFont val="宋体"/>
        <family val="3"/>
        <charset val="134"/>
      </rPr>
      <t>植树造林和在造林</t>
    </r>
    <r>
      <rPr>
        <sz val="10"/>
        <rFont val="Times New Roman"/>
        <family val="1"/>
      </rPr>
      <t xml:space="preserve"> afforestation and reforestation</t>
    </r>
  </si>
  <si>
    <t>Policy Value for 14th FYP</t>
    <phoneticPr fontId="50" type="noConversion"/>
  </si>
  <si>
    <t>Policy Action Achieved</t>
    <phoneticPr fontId="50" type="noConversion"/>
  </si>
  <si>
    <t>Potential Maximum</t>
    <phoneticPr fontId="50" type="noConversion"/>
  </si>
  <si>
    <t>In Acres</t>
    <phoneticPr fontId="50" type="noConversion"/>
  </si>
  <si>
    <t>Year</t>
    <phoneticPr fontId="50" type="noConversion"/>
  </si>
  <si>
    <t>Region</t>
    <phoneticPr fontId="50" type="noConversion"/>
  </si>
  <si>
    <t>Cumulative</t>
    <phoneticPr fontId="17" type="noConversion"/>
  </si>
  <si>
    <r>
      <rPr>
        <b/>
        <sz val="11"/>
        <rFont val="等线"/>
        <family val="3"/>
        <charset val="134"/>
      </rPr>
      <t>指标名称</t>
    </r>
  </si>
  <si>
    <r>
      <t>2000</t>
    </r>
    <r>
      <rPr>
        <b/>
        <sz val="11"/>
        <color rgb="FF0F1115"/>
        <rFont val="等线"/>
        <family val="3"/>
        <charset val="134"/>
      </rPr>
      <t>年</t>
    </r>
  </si>
  <si>
    <r>
      <t>2001</t>
    </r>
    <r>
      <rPr>
        <b/>
        <sz val="11"/>
        <color rgb="FF0F1115"/>
        <rFont val="等线"/>
        <family val="3"/>
        <charset val="134"/>
      </rPr>
      <t>年</t>
    </r>
  </si>
  <si>
    <r>
      <t>2002</t>
    </r>
    <r>
      <rPr>
        <b/>
        <sz val="11"/>
        <color rgb="FF0F1115"/>
        <rFont val="等线"/>
        <family val="3"/>
        <charset val="134"/>
      </rPr>
      <t>年</t>
    </r>
  </si>
  <si>
    <r>
      <t>2003</t>
    </r>
    <r>
      <rPr>
        <b/>
        <sz val="11"/>
        <rFont val="等线"/>
        <family val="3"/>
        <charset val="134"/>
      </rPr>
      <t>年</t>
    </r>
  </si>
  <si>
    <r>
      <t>2004</t>
    </r>
    <r>
      <rPr>
        <b/>
        <sz val="11"/>
        <rFont val="等线"/>
        <family val="3"/>
        <charset val="134"/>
      </rPr>
      <t>年</t>
    </r>
  </si>
  <si>
    <r>
      <t>2005</t>
    </r>
    <r>
      <rPr>
        <b/>
        <sz val="11"/>
        <rFont val="等线"/>
        <family val="3"/>
        <charset val="134"/>
      </rPr>
      <t>年</t>
    </r>
  </si>
  <si>
    <r>
      <t>2006</t>
    </r>
    <r>
      <rPr>
        <b/>
        <sz val="11"/>
        <rFont val="等线"/>
        <family val="3"/>
        <charset val="134"/>
      </rPr>
      <t>年</t>
    </r>
  </si>
  <si>
    <r>
      <t>2007</t>
    </r>
    <r>
      <rPr>
        <b/>
        <sz val="11"/>
        <rFont val="等线"/>
        <family val="3"/>
        <charset val="134"/>
      </rPr>
      <t>年</t>
    </r>
  </si>
  <si>
    <r>
      <t>2008</t>
    </r>
    <r>
      <rPr>
        <b/>
        <sz val="11"/>
        <rFont val="等线"/>
        <family val="3"/>
        <charset val="134"/>
      </rPr>
      <t>年</t>
    </r>
  </si>
  <si>
    <r>
      <t>2009</t>
    </r>
    <r>
      <rPr>
        <b/>
        <sz val="11"/>
        <rFont val="等线"/>
        <family val="3"/>
        <charset val="134"/>
      </rPr>
      <t>年</t>
    </r>
  </si>
  <si>
    <r>
      <t>2010</t>
    </r>
    <r>
      <rPr>
        <b/>
        <sz val="11"/>
        <rFont val="等线"/>
        <family val="3"/>
        <charset val="134"/>
      </rPr>
      <t>年</t>
    </r>
  </si>
  <si>
    <r>
      <t>2011</t>
    </r>
    <r>
      <rPr>
        <b/>
        <sz val="11"/>
        <rFont val="等线"/>
        <family val="3"/>
        <charset val="134"/>
      </rPr>
      <t>年</t>
    </r>
  </si>
  <si>
    <r>
      <t>2012</t>
    </r>
    <r>
      <rPr>
        <b/>
        <sz val="11"/>
        <rFont val="等线"/>
        <family val="3"/>
        <charset val="134"/>
      </rPr>
      <t>年</t>
    </r>
  </si>
  <si>
    <r>
      <t>2013</t>
    </r>
    <r>
      <rPr>
        <b/>
        <sz val="11"/>
        <rFont val="等线"/>
        <family val="3"/>
        <charset val="134"/>
      </rPr>
      <t>年</t>
    </r>
  </si>
  <si>
    <r>
      <t>2014</t>
    </r>
    <r>
      <rPr>
        <b/>
        <sz val="11"/>
        <rFont val="等线"/>
        <family val="3"/>
        <charset val="134"/>
      </rPr>
      <t>年</t>
    </r>
  </si>
  <si>
    <r>
      <t>2015</t>
    </r>
    <r>
      <rPr>
        <b/>
        <sz val="11"/>
        <rFont val="等线"/>
        <family val="3"/>
        <charset val="134"/>
      </rPr>
      <t>年</t>
    </r>
  </si>
  <si>
    <r>
      <t>2016</t>
    </r>
    <r>
      <rPr>
        <b/>
        <sz val="11"/>
        <rFont val="等线"/>
        <family val="3"/>
        <charset val="134"/>
      </rPr>
      <t>年</t>
    </r>
  </si>
  <si>
    <r>
      <t>2017</t>
    </r>
    <r>
      <rPr>
        <b/>
        <sz val="11"/>
        <rFont val="等线"/>
        <family val="3"/>
        <charset val="134"/>
      </rPr>
      <t>年</t>
    </r>
  </si>
  <si>
    <r>
      <t>2018</t>
    </r>
    <r>
      <rPr>
        <b/>
        <sz val="11"/>
        <rFont val="等线"/>
        <family val="3"/>
        <charset val="134"/>
      </rPr>
      <t>年</t>
    </r>
  </si>
  <si>
    <r>
      <t>2019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</si>
  <si>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2020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</si>
  <si>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2021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</si>
  <si>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2022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</si>
  <si>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2023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</si>
  <si>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2024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</si>
  <si>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t>2025</t>
    </r>
    <r>
      <rPr>
        <b/>
        <sz val="11"/>
        <rFont val="等线"/>
        <family val="3"/>
        <charset val="134"/>
      </rPr>
      <t>年</t>
    </r>
    <r>
      <rPr>
        <sz val="10"/>
        <color rgb="FF0F1115"/>
        <rFont val="Segoe UI"/>
        <family val="2"/>
      </rPr>
      <t/>
    </r>
  </si>
  <si>
    <r>
      <rPr>
        <b/>
        <sz val="11"/>
        <rFont val="等线"/>
        <family val="3"/>
        <charset val="134"/>
      </rPr>
      <t>总造林面积</t>
    </r>
    <phoneticPr fontId="50" type="noConversion"/>
  </si>
  <si>
    <r>
      <rPr>
        <sz val="11"/>
        <color rgb="FF0F1115"/>
        <rFont val="等线"/>
        <family val="3"/>
        <charset val="134"/>
      </rPr>
      <t>公顷</t>
    </r>
    <phoneticPr fontId="50" type="noConversion"/>
  </si>
  <si>
    <r>
      <rPr>
        <sz val="11"/>
        <rFont val="等线"/>
        <family val="3"/>
        <charset val="134"/>
      </rPr>
      <t>造林面积（当年</t>
    </r>
    <r>
      <rPr>
        <sz val="11"/>
        <rFont val="Calibri"/>
        <family val="2"/>
      </rPr>
      <t>/</t>
    </r>
    <r>
      <rPr>
        <sz val="11"/>
        <rFont val="等线"/>
        <family val="3"/>
        <charset val="134"/>
      </rPr>
      <t>荒山）</t>
    </r>
  </si>
  <si>
    <r>
      <rPr>
        <sz val="11"/>
        <rFont val="等线"/>
        <family val="3"/>
        <charset val="134"/>
      </rPr>
      <t>人工造林</t>
    </r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</si>
  <si>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新造混交林面积</t>
    </r>
    <phoneticPr fontId="50" type="noConversion"/>
  </si>
  <si>
    <t>-</t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</si>
  <si>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新造灌木林面积</t>
    </r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</si>
  <si>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新造竹林面积</t>
    </r>
  </si>
  <si>
    <r>
      <rPr>
        <sz val="11"/>
        <rFont val="等线"/>
        <family val="3"/>
        <charset val="134"/>
      </rPr>
      <t>飞播造林</t>
    </r>
  </si>
  <si>
    <r>
      <rPr>
        <sz val="11"/>
        <rFont val="等线"/>
        <family val="3"/>
        <charset val="134"/>
      </rPr>
      <t>荒山飞播造林面积</t>
    </r>
    <phoneticPr fontId="50" type="noConversion"/>
  </si>
  <si>
    <r>
      <rPr>
        <sz val="11"/>
        <rFont val="等线"/>
        <family val="3"/>
        <charset val="134"/>
      </rPr>
      <t>飞播营林面积</t>
    </r>
    <phoneticPr fontId="50" type="noConversion"/>
  </si>
  <si>
    <r>
      <rPr>
        <sz val="11"/>
        <rFont val="等线"/>
        <family val="3"/>
        <charset val="134"/>
      </rPr>
      <t>人工更新（原迹地更新）面积</t>
    </r>
    <phoneticPr fontId="50" type="noConversion"/>
  </si>
  <si>
    <r>
      <rPr>
        <sz val="11"/>
        <rFont val="等线"/>
        <family val="3"/>
        <charset val="134"/>
      </rPr>
      <t>其中：人工更新面积</t>
    </r>
    <phoneticPr fontId="50" type="noConversion"/>
  </si>
  <si>
    <t>—</t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</si>
  <si>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新造混交林面积</t>
    </r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</si>
  <si>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人工促进天然更新面积</t>
    </r>
  </si>
  <si>
    <r>
      <rPr>
        <sz val="11"/>
        <rFont val="等线"/>
        <family val="3"/>
        <charset val="134"/>
      </rPr>
      <t>退化林修复</t>
    </r>
    <phoneticPr fontId="17" type="noConversion"/>
  </si>
  <si>
    <r>
      <t xml:space="preserve">    </t>
    </r>
    <r>
      <rPr>
        <sz val="11"/>
        <rFont val="等线"/>
        <family val="3"/>
        <charset val="134"/>
      </rPr>
      <t>其中</t>
    </r>
    <r>
      <rPr>
        <sz val="11"/>
        <rFont val="Calibri"/>
        <family val="2"/>
      </rPr>
      <t>:</t>
    </r>
    <r>
      <rPr>
        <sz val="11"/>
        <rFont val="等线"/>
        <family val="3"/>
        <charset val="134"/>
      </rPr>
      <t>纯林改造混交林面积</t>
    </r>
    <phoneticPr fontId="50" type="noConversion"/>
  </si>
  <si>
    <r>
      <t xml:space="preserve">    (1)</t>
    </r>
    <r>
      <rPr>
        <sz val="11"/>
        <rFont val="等线"/>
        <family val="3"/>
        <charset val="134"/>
      </rPr>
      <t>低效林改造面积</t>
    </r>
  </si>
  <si>
    <r>
      <t xml:space="preserve">    (2)</t>
    </r>
    <r>
      <rPr>
        <sz val="11"/>
        <rFont val="等线"/>
        <family val="3"/>
        <charset val="134"/>
      </rPr>
      <t>退化林防护林改造面积</t>
    </r>
  </si>
  <si>
    <r>
      <rPr>
        <sz val="11"/>
        <rFont val="等线"/>
        <family val="3"/>
        <charset val="134"/>
      </rPr>
      <t>年末实有封山育林面积</t>
    </r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</si>
  <si>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无林地和疏林地封育面积</t>
    </r>
    <phoneticPr fontId="50" type="noConversion"/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</si>
  <si>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有林地封育面积</t>
    </r>
    <phoneticPr fontId="50" type="noConversion"/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</si>
  <si>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灌木林封育面积</t>
    </r>
    <phoneticPr fontId="50" type="noConversion"/>
  </si>
  <si>
    <r>
      <rPr>
        <sz val="11"/>
        <rFont val="等线"/>
        <family val="3"/>
        <charset val="134"/>
      </rPr>
      <t>其中：本年新封面积</t>
    </r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</si>
  <si>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无林地和疏林地新封</t>
    </r>
    <phoneticPr fontId="50" type="noConversion"/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</si>
  <si>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有林地和灌木林地新封</t>
    </r>
    <phoneticPr fontId="50" type="noConversion"/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</si>
  <si>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有林地新封面积</t>
    </r>
    <phoneticPr fontId="50" type="noConversion"/>
  </si>
  <si>
    <r>
      <rPr>
        <sz val="11"/>
        <rFont val="Calibri"/>
        <family val="3"/>
      </rPr>
      <t xml:space="preserve">    </t>
    </r>
    <r>
      <rPr>
        <sz val="11"/>
        <rFont val="等线"/>
        <family val="3"/>
        <charset val="134"/>
      </rPr>
      <t>新造幼林地封山育林</t>
    </r>
    <phoneticPr fontId="50" type="noConversion"/>
  </si>
  <si>
    <t>零星（四旁）植树</t>
    <phoneticPr fontId="50" type="noConversion"/>
  </si>
  <si>
    <r>
      <rPr>
        <sz val="11"/>
        <color rgb="FF0F1115"/>
        <rFont val="等线"/>
        <family val="3"/>
        <charset val="134"/>
      </rPr>
      <t>万株</t>
    </r>
  </si>
  <si>
    <r>
      <rPr>
        <sz val="11"/>
        <rFont val="等线"/>
        <family val="3"/>
        <charset val="134"/>
      </rPr>
      <t>退耕地造林面积</t>
    </r>
  </si>
  <si>
    <r>
      <rPr>
        <sz val="11"/>
        <rFont val="等线"/>
        <family val="3"/>
        <charset val="134"/>
      </rPr>
      <t>森林管护面积</t>
    </r>
  </si>
  <si>
    <r>
      <rPr>
        <sz val="11"/>
        <rFont val="等线"/>
        <family val="3"/>
        <charset val="134"/>
      </rPr>
      <t>森林抚育总面积</t>
    </r>
    <phoneticPr fontId="17" type="noConversion"/>
  </si>
  <si>
    <r>
      <t xml:space="preserve">    </t>
    </r>
    <r>
      <rPr>
        <sz val="11"/>
        <rFont val="等线"/>
        <family val="3"/>
        <charset val="134"/>
      </rPr>
      <t>抚育采伐</t>
    </r>
    <phoneticPr fontId="17" type="noConversion"/>
  </si>
  <si>
    <r>
      <t xml:space="preserve">    </t>
    </r>
    <r>
      <rPr>
        <sz val="11"/>
        <rFont val="等线"/>
        <family val="3"/>
        <charset val="134"/>
      </rPr>
      <t>补植抚育</t>
    </r>
    <phoneticPr fontId="17" type="noConversion"/>
  </si>
  <si>
    <r>
      <t xml:space="preserve">    </t>
    </r>
    <r>
      <rPr>
        <sz val="11"/>
        <rFont val="等线"/>
        <family val="3"/>
        <charset val="134"/>
      </rPr>
      <t>人工促进天然更新</t>
    </r>
    <phoneticPr fontId="17" type="noConversion"/>
  </si>
  <si>
    <r>
      <t xml:space="preserve">    </t>
    </r>
    <r>
      <rPr>
        <sz val="11"/>
        <rFont val="等线"/>
        <family val="3"/>
        <charset val="134"/>
      </rPr>
      <t>其他综合抚育</t>
    </r>
    <phoneticPr fontId="17" type="noConversion"/>
  </si>
  <si>
    <r>
      <rPr>
        <sz val="11"/>
        <rFont val="等线"/>
        <family val="3"/>
        <charset val="134"/>
      </rPr>
      <t>低产（低效）林改造面积</t>
    </r>
  </si>
  <si>
    <r>
      <rPr>
        <sz val="11"/>
        <color rgb="FF0F1115"/>
        <rFont val="等线"/>
        <family val="3"/>
        <charset val="134"/>
      </rPr>
      <t>幼林抚育</t>
    </r>
  </si>
  <si>
    <r>
      <rPr>
        <sz val="11"/>
        <color rgb="FF0F1115"/>
        <rFont val="等线"/>
        <family val="3"/>
        <charset val="134"/>
      </rPr>
      <t>幼林抚育作业面积</t>
    </r>
    <phoneticPr fontId="50" type="noConversion"/>
  </si>
  <si>
    <r>
      <rPr>
        <sz val="11"/>
        <color rgb="FF0F1115"/>
        <rFont val="等线"/>
        <family val="3"/>
        <charset val="134"/>
      </rPr>
      <t>公顷次</t>
    </r>
  </si>
  <si>
    <r>
      <rPr>
        <sz val="11"/>
        <color rgb="FF0F1115"/>
        <rFont val="等线"/>
        <family val="3"/>
        <charset val="134"/>
      </rPr>
      <t>幼林抚育实际面积</t>
    </r>
  </si>
  <si>
    <r>
      <rPr>
        <sz val="11"/>
        <color rgb="FF0F1115"/>
        <rFont val="等线"/>
        <family val="3"/>
        <charset val="134"/>
      </rPr>
      <t>成林抚育面积</t>
    </r>
  </si>
  <si>
    <r>
      <rPr>
        <sz val="11"/>
        <color rgb="FF0F1115"/>
        <rFont val="等线"/>
        <family val="3"/>
        <charset val="134"/>
      </rPr>
      <t>其中：中幼龄林抚育面积</t>
    </r>
  </si>
  <si>
    <r>
      <rPr>
        <sz val="11"/>
        <color rgb="FF0F1115"/>
        <rFont val="等线"/>
        <family val="3"/>
        <charset val="134"/>
      </rPr>
      <t>抚育改造出材量</t>
    </r>
    <phoneticPr fontId="50" type="noConversion"/>
  </si>
  <si>
    <r>
      <rPr>
        <sz val="11"/>
        <color rgb="FF0F1115"/>
        <rFont val="等线"/>
        <family val="3"/>
        <charset val="134"/>
      </rPr>
      <t>万立方米</t>
    </r>
    <phoneticPr fontId="50" type="noConversion"/>
  </si>
  <si>
    <r>
      <rPr>
        <sz val="11"/>
        <color rgb="FF0F1115"/>
        <rFont val="等线"/>
        <family val="3"/>
        <charset val="134"/>
      </rPr>
      <t>其中：中幼龄林出材量</t>
    </r>
    <phoneticPr fontId="50" type="noConversion"/>
  </si>
  <si>
    <r>
      <rPr>
        <sz val="11"/>
        <color rgb="FF0F1115"/>
        <rFont val="等线"/>
        <family val="3"/>
        <charset val="134"/>
      </rPr>
      <t>有林地造林面积</t>
    </r>
  </si>
  <si>
    <r>
      <rPr>
        <sz val="11"/>
        <color rgb="FF0F1115"/>
        <rFont val="等线"/>
        <family val="3"/>
        <charset val="134"/>
      </rPr>
      <t>林冠下造林</t>
    </r>
  </si>
  <si>
    <r>
      <rPr>
        <sz val="11"/>
        <color rgb="FF0F1115"/>
        <rFont val="等线"/>
        <family val="3"/>
        <charset val="134"/>
      </rPr>
      <t>有林地和灌木林地新封</t>
    </r>
  </si>
  <si>
    <r>
      <rPr>
        <sz val="11"/>
        <color rgb="FF0F1115"/>
        <rFont val="等线"/>
        <family val="3"/>
        <charset val="134"/>
      </rPr>
      <t>飞播营林面积</t>
    </r>
    <phoneticPr fontId="50" type="noConversion"/>
  </si>
  <si>
    <r>
      <rPr>
        <sz val="11"/>
        <color rgb="FF0F1115"/>
        <rFont val="等线"/>
        <family val="3"/>
        <charset val="134"/>
      </rPr>
      <t>林木种子采集量（吨）</t>
    </r>
  </si>
  <si>
    <r>
      <rPr>
        <sz val="11"/>
        <color rgb="FF0F1115"/>
        <rFont val="等线"/>
        <family val="3"/>
        <charset val="134"/>
      </rPr>
      <t>育苗面积</t>
    </r>
  </si>
  <si>
    <r>
      <rPr>
        <sz val="11"/>
        <color rgb="FF0F1115"/>
        <rFont val="等线"/>
        <family val="3"/>
        <charset val="134"/>
      </rPr>
      <t>其中：本年新育苗面积</t>
    </r>
  </si>
  <si>
    <r>
      <rPr>
        <sz val="11"/>
        <color rgb="FF0F1115"/>
        <rFont val="等线"/>
        <family val="3"/>
        <charset val="134"/>
      </rPr>
      <t>当年苗木产量（万株）</t>
    </r>
  </si>
  <si>
    <r>
      <rPr>
        <sz val="11"/>
        <color rgb="FF0F1115"/>
        <rFont val="等线"/>
        <family val="3"/>
        <charset val="134"/>
      </rPr>
      <t>母树林</t>
    </r>
    <r>
      <rPr>
        <sz val="11"/>
        <color rgb="FF0F1115"/>
        <rFont val="Calibri"/>
        <family val="2"/>
      </rPr>
      <t>/</t>
    </r>
    <r>
      <rPr>
        <sz val="11"/>
        <color rgb="FF0F1115"/>
        <rFont val="等线"/>
        <family val="3"/>
        <charset val="134"/>
      </rPr>
      <t>种子园</t>
    </r>
  </si>
  <si>
    <r>
      <rPr>
        <sz val="11"/>
        <color rgb="FF0F1115"/>
        <rFont val="等线"/>
        <family val="3"/>
        <charset val="134"/>
      </rPr>
      <t>年末实有母树林面积</t>
    </r>
  </si>
  <si>
    <r>
      <rPr>
        <sz val="11"/>
        <color rgb="FF0F1115"/>
        <rFont val="等线"/>
        <family val="3"/>
        <charset val="134"/>
      </rPr>
      <t>年末实有种子园面积</t>
    </r>
  </si>
  <si>
    <r>
      <rPr>
        <sz val="11"/>
        <color rgb="FF0F1115"/>
        <rFont val="等线"/>
        <family val="3"/>
        <charset val="134"/>
      </rPr>
      <t>其他（</t>
    </r>
    <r>
      <rPr>
        <sz val="11"/>
        <color rgb="FF0F1115"/>
        <rFont val="Calibri"/>
        <family val="2"/>
      </rPr>
      <t>2002</t>
    </r>
    <r>
      <rPr>
        <sz val="11"/>
        <color rgb="FF0F1115"/>
        <rFont val="等线"/>
        <family val="3"/>
        <charset val="134"/>
      </rPr>
      <t>年起）</t>
    </r>
  </si>
  <si>
    <r>
      <rPr>
        <sz val="11"/>
        <color rgb="FF0F1115"/>
        <rFont val="等线"/>
        <family val="3"/>
        <charset val="134"/>
      </rPr>
      <t>当年花卉种植面积（公顷）</t>
    </r>
  </si>
  <si>
    <r>
      <rPr>
        <sz val="11"/>
        <color rgb="FF0F1115"/>
        <rFont val="等线"/>
        <family val="3"/>
        <charset val="134"/>
      </rPr>
      <t>其中：草坪面积（公顷）</t>
    </r>
  </si>
  <si>
    <t>森林（中幼龄木）抚育面积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</si>
</sst>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,##0_);[Red]\(#,##0\)"/>
    <numFmt numFmtId="177" formatCode="0.00000_ "/>
    <numFmt numFmtId="178" formatCode="0.000_ "/>
  </numFmts>
  <fonts count="7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theme="0" tint="-0.499984740745262"/>
      <name val="宋体"/>
      <family val="2"/>
      <scheme val="minor"/>
    </font>
    <font>
      <sz val="11"/>
      <color theme="0" tint="-0.499984740745262"/>
      <name val="宋体"/>
      <family val="2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B0F0"/>
      <name val="宋体"/>
      <family val="2"/>
      <scheme val="minor"/>
    </font>
    <font>
      <u/>
      <sz val="11"/>
      <color rgb="FF0000FF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 tint="-0.499984740745262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name val="SimSun"/>
      <charset val="134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等线"/>
      <family val="3"/>
      <charset val="134"/>
    </font>
    <font>
      <b/>
      <sz val="11"/>
      <name val="SimSun"/>
      <charset val="134"/>
    </font>
    <font>
      <b/>
      <sz val="11"/>
      <name val="等线"/>
      <family val="1"/>
      <charset val="134"/>
    </font>
    <font>
      <b/>
      <sz val="11"/>
      <name val="微软雅黑"/>
      <family val="1"/>
      <charset val="134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</font>
    <font>
      <b/>
      <sz val="11"/>
      <color rgb="FF0F1115"/>
      <name val="Calibri"/>
      <family val="2"/>
    </font>
    <font>
      <b/>
      <sz val="11"/>
      <color rgb="FF0F1115"/>
      <name val="等线"/>
      <family val="3"/>
      <charset val="134"/>
    </font>
    <font>
      <sz val="10"/>
      <color rgb="FF0F1115"/>
      <name val="Segoe UI"/>
      <family val="2"/>
    </font>
    <font>
      <sz val="11"/>
      <color rgb="FF0F1115"/>
      <name val="Calibri"/>
      <family val="2"/>
    </font>
    <font>
      <sz val="11"/>
      <color rgb="FF0F1115"/>
      <name val="等线"/>
      <family val="3"/>
      <charset val="134"/>
    </font>
    <font>
      <sz val="11"/>
      <color theme="1"/>
      <name val="宋体"/>
      <family val="3"/>
      <charset val="134"/>
      <scheme val="major"/>
    </font>
    <font>
      <sz val="11"/>
      <name val="Calibri"/>
      <family val="2"/>
    </font>
    <font>
      <sz val="11"/>
      <name val="等线"/>
      <family val="3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3"/>
    </font>
    <font>
      <sz val="11"/>
      <color rgb="FFFF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12" applyNumberFormat="0" applyAlignment="0" applyProtection="0">
      <alignment vertical="center"/>
    </xf>
    <xf numFmtId="0" fontId="35" fillId="9" borderId="13" applyNumberFormat="0" applyAlignment="0" applyProtection="0">
      <alignment vertical="center"/>
    </xf>
    <xf numFmtId="0" fontId="36" fillId="9" borderId="12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0" borderId="15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11" borderId="16" applyNumberFormat="0" applyFont="0" applyAlignment="0" applyProtection="0">
      <alignment vertical="center"/>
    </xf>
    <xf numFmtId="0" fontId="44" fillId="0" borderId="0"/>
    <xf numFmtId="0" fontId="4" fillId="0" borderId="0"/>
    <xf numFmtId="0" fontId="3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</cellStyleXfs>
  <cellXfs count="170">
    <xf numFmtId="0" fontId="0" fillId="0" borderId="0" xfId="0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9" fontId="7" fillId="2" borderId="0" xfId="0" applyNumberFormat="1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0" fillId="0" borderId="1" xfId="0" applyBorder="1">
      <alignment vertical="center"/>
    </xf>
    <xf numFmtId="49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right" vertical="center"/>
    </xf>
    <xf numFmtId="0" fontId="0" fillId="0" borderId="0" xfId="0" applyAlignment="1"/>
    <xf numFmtId="49" fontId="11" fillId="0" borderId="0" xfId="2" applyNumberFormat="1" applyFont="1" applyAlignment="1"/>
    <xf numFmtId="0" fontId="11" fillId="0" borderId="0" xfId="2" applyFont="1">
      <alignment vertical="center"/>
    </xf>
    <xf numFmtId="49" fontId="12" fillId="0" borderId="1" xfId="2" applyNumberFormat="1" applyFont="1" applyBorder="1" applyAlignment="1">
      <alignment horizontal="center" vertical="center" wrapText="1"/>
    </xf>
    <xf numFmtId="49" fontId="12" fillId="0" borderId="1" xfId="2" applyNumberFormat="1" applyFont="1" applyBorder="1" applyAlignment="1">
      <alignment horizontal="left" vertical="center" wrapText="1"/>
    </xf>
    <xf numFmtId="0" fontId="11" fillId="0" borderId="1" xfId="2" applyFont="1" applyBorder="1" applyAlignment="1">
      <alignment horizontal="right" vertical="center" wrapText="1"/>
    </xf>
    <xf numFmtId="49" fontId="11" fillId="0" borderId="1" xfId="2" applyNumberFormat="1" applyFont="1" applyBorder="1" applyAlignment="1">
      <alignment horizontal="left" vertical="center" wrapText="1"/>
    </xf>
    <xf numFmtId="49" fontId="11" fillId="0" borderId="0" xfId="2" applyNumberFormat="1" applyFont="1">
      <alignment vertical="center"/>
    </xf>
    <xf numFmtId="49" fontId="11" fillId="0" borderId="1" xfId="2" applyNumberFormat="1" applyFont="1" applyBorder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/>
    </xf>
    <xf numFmtId="49" fontId="12" fillId="0" borderId="1" xfId="2" applyNumberFormat="1" applyFont="1" applyBorder="1">
      <alignment vertical="center"/>
    </xf>
    <xf numFmtId="49" fontId="11" fillId="0" borderId="1" xfId="2" applyNumberFormat="1" applyFont="1" applyBorder="1">
      <alignment vertical="center"/>
    </xf>
    <xf numFmtId="49" fontId="11" fillId="0" borderId="1" xfId="2" applyNumberFormat="1" applyFont="1" applyBorder="1" applyAlignment="1">
      <alignment horizontal="right" vertical="center"/>
    </xf>
    <xf numFmtId="49" fontId="11" fillId="3" borderId="1" xfId="2" applyNumberFormat="1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right" vertical="center"/>
    </xf>
    <xf numFmtId="49" fontId="11" fillId="3" borderId="1" xfId="2" applyNumberFormat="1" applyFont="1" applyFill="1" applyBorder="1" applyAlignment="1">
      <alignment horizontal="right" vertical="center"/>
    </xf>
    <xf numFmtId="0" fontId="13" fillId="0" borderId="0" xfId="0" applyFont="1" applyAlignment="1"/>
    <xf numFmtId="0" fontId="11" fillId="0" borderId="0" xfId="0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0" fontId="11" fillId="0" borderId="7" xfId="2" applyFont="1" applyBorder="1" applyAlignment="1">
      <alignment horizontal="right" vertical="center"/>
    </xf>
    <xf numFmtId="0" fontId="11" fillId="0" borderId="0" xfId="2" applyFont="1" applyAlignment="1">
      <alignment horizontal="right" vertical="center"/>
    </xf>
    <xf numFmtId="49" fontId="11" fillId="0" borderId="0" xfId="2" applyNumberFormat="1" applyFont="1" applyAlignment="1">
      <alignment horizontal="right" vertical="center"/>
    </xf>
    <xf numFmtId="0" fontId="11" fillId="0" borderId="8" xfId="2" applyFont="1" applyBorder="1" applyAlignment="1">
      <alignment horizontal="right" vertical="center"/>
    </xf>
    <xf numFmtId="0" fontId="18" fillId="0" borderId="0" xfId="0" applyFont="1" applyAlignment="1"/>
    <xf numFmtId="0" fontId="18" fillId="4" borderId="0" xfId="0" applyFont="1" applyFill="1" applyAlignment="1"/>
    <xf numFmtId="0" fontId="0" fillId="0" borderId="0" xfId="0" applyAlignment="1">
      <alignment horizontal="left"/>
    </xf>
    <xf numFmtId="0" fontId="14" fillId="0" borderId="0" xfId="1" applyAlignment="1"/>
    <xf numFmtId="0" fontId="19" fillId="0" borderId="0" xfId="0" applyFont="1" applyAlignment="1"/>
    <xf numFmtId="0" fontId="20" fillId="0" borderId="0" xfId="0" applyFont="1" applyAlignment="1"/>
    <xf numFmtId="0" fontId="20" fillId="0" borderId="0" xfId="0" applyFont="1" applyAlignment="1">
      <alignment horizontal="left"/>
    </xf>
    <xf numFmtId="0" fontId="21" fillId="0" borderId="0" xfId="0" applyFont="1">
      <alignment vertical="center"/>
    </xf>
    <xf numFmtId="0" fontId="22" fillId="0" borderId="0" xfId="1" applyFont="1">
      <alignment vertical="center"/>
    </xf>
    <xf numFmtId="0" fontId="23" fillId="0" borderId="0" xfId="0" applyFont="1" applyAlignment="1"/>
    <xf numFmtId="0" fontId="20" fillId="0" borderId="0" xfId="0" applyFont="1">
      <alignment vertical="center"/>
    </xf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5" fillId="0" borderId="0" xfId="0" applyFont="1">
      <alignment vertical="center"/>
    </xf>
    <xf numFmtId="49" fontId="11" fillId="0" borderId="0" xfId="2" applyNumberFormat="1" applyFont="1" applyAlignment="1">
      <alignment horizontal="center" vertical="center"/>
    </xf>
    <xf numFmtId="0" fontId="5" fillId="0" borderId="0" xfId="0" applyFont="1" applyAlignment="1"/>
    <xf numFmtId="0" fontId="11" fillId="3" borderId="0" xfId="2" applyFont="1" applyFill="1" applyAlignment="1">
      <alignment horizontal="right" vertical="center"/>
    </xf>
    <xf numFmtId="49" fontId="11" fillId="3" borderId="0" xfId="2" applyNumberFormat="1" applyFont="1" applyFill="1" applyAlignment="1">
      <alignment horizontal="right" vertical="center"/>
    </xf>
    <xf numFmtId="0" fontId="0" fillId="0" borderId="18" xfId="0" applyBorder="1">
      <alignment vertical="center"/>
    </xf>
    <xf numFmtId="0" fontId="14" fillId="0" borderId="0" xfId="1">
      <alignment vertical="center"/>
    </xf>
    <xf numFmtId="0" fontId="3" fillId="0" borderId="0" xfId="47">
      <alignment vertical="center"/>
    </xf>
    <xf numFmtId="0" fontId="3" fillId="0" borderId="0" xfId="47" applyAlignment="1">
      <alignment horizontal="center" vertical="center"/>
    </xf>
    <xf numFmtId="176" fontId="45" fillId="36" borderId="1" xfId="48" applyNumberFormat="1" applyFont="1" applyFill="1" applyBorder="1" applyAlignment="1">
      <alignment horizontal="center" vertical="center"/>
    </xf>
    <xf numFmtId="0" fontId="45" fillId="36" borderId="1" xfId="48" applyFont="1" applyFill="1" applyBorder="1" applyAlignment="1">
      <alignment horizontal="center" vertical="center"/>
    </xf>
    <xf numFmtId="176" fontId="46" fillId="36" borderId="1" xfId="48" applyNumberFormat="1" applyFont="1" applyFill="1" applyBorder="1" applyAlignment="1">
      <alignment horizontal="center" vertical="center"/>
    </xf>
    <xf numFmtId="176" fontId="45" fillId="0" borderId="1" xfId="48" applyNumberFormat="1" applyFont="1" applyBorder="1" applyAlignment="1">
      <alignment horizontal="center" vertical="center"/>
    </xf>
    <xf numFmtId="0" fontId="45" fillId="0" borderId="1" xfId="48" applyFont="1" applyBorder="1" applyAlignment="1">
      <alignment horizontal="center" vertical="center"/>
    </xf>
    <xf numFmtId="176" fontId="46" fillId="0" borderId="1" xfId="48" applyNumberFormat="1" applyFont="1" applyBorder="1" applyAlignment="1">
      <alignment horizontal="center" vertical="center"/>
    </xf>
    <xf numFmtId="0" fontId="55" fillId="0" borderId="0" xfId="47" applyFont="1">
      <alignment vertical="center"/>
    </xf>
    <xf numFmtId="177" fontId="56" fillId="0" borderId="1" xfId="47" applyNumberFormat="1" applyFont="1" applyBorder="1">
      <alignment vertical="center"/>
    </xf>
    <xf numFmtId="0" fontId="56" fillId="0" borderId="0" xfId="47" applyFont="1">
      <alignment vertical="center"/>
    </xf>
    <xf numFmtId="178" fontId="56" fillId="0" borderId="1" xfId="47" applyNumberFormat="1" applyFont="1" applyBorder="1" applyAlignment="1">
      <alignment horizontal="center" vertical="center"/>
    </xf>
    <xf numFmtId="0" fontId="57" fillId="36" borderId="1" xfId="48" applyFont="1" applyFill="1" applyBorder="1" applyAlignment="1">
      <alignment horizontal="center" vertical="center"/>
    </xf>
    <xf numFmtId="176" fontId="58" fillId="36" borderId="1" xfId="48" applyNumberFormat="1" applyFont="1" applyFill="1" applyBorder="1" applyAlignment="1">
      <alignment horizontal="center" vertical="center"/>
    </xf>
    <xf numFmtId="178" fontId="59" fillId="0" borderId="1" xfId="47" applyNumberFormat="1" applyFont="1" applyBorder="1" applyAlignment="1">
      <alignment horizontal="center" vertical="center"/>
    </xf>
    <xf numFmtId="49" fontId="57" fillId="3" borderId="1" xfId="2" applyNumberFormat="1" applyFont="1" applyFill="1" applyBorder="1" applyAlignment="1">
      <alignment horizontal="center" vertical="center" wrapText="1"/>
    </xf>
    <xf numFmtId="176" fontId="57" fillId="37" borderId="1" xfId="48" applyNumberFormat="1" applyFont="1" applyFill="1" applyBorder="1" applyAlignment="1">
      <alignment horizontal="center" vertical="center"/>
    </xf>
    <xf numFmtId="176" fontId="60" fillId="36" borderId="1" xfId="48" applyNumberFormat="1" applyFont="1" applyFill="1" applyBorder="1" applyAlignment="1">
      <alignment horizontal="center" vertical="center"/>
    </xf>
    <xf numFmtId="176" fontId="57" fillId="36" borderId="1" xfId="48" applyNumberFormat="1" applyFont="1" applyFill="1" applyBorder="1" applyAlignment="1">
      <alignment horizontal="center" vertical="center"/>
    </xf>
    <xf numFmtId="0" fontId="20" fillId="0" borderId="0" xfId="47" applyFont="1">
      <alignment vertical="center"/>
    </xf>
    <xf numFmtId="0" fontId="2" fillId="0" borderId="0" xfId="47" applyFont="1">
      <alignment vertical="center"/>
    </xf>
    <xf numFmtId="176" fontId="57" fillId="38" borderId="1" xfId="48" applyNumberFormat="1" applyFont="1" applyFill="1" applyBorder="1" applyAlignment="1">
      <alignment horizontal="center" vertical="center"/>
    </xf>
    <xf numFmtId="0" fontId="55" fillId="38" borderId="0" xfId="47" applyFont="1" applyFill="1">
      <alignment vertical="center"/>
    </xf>
    <xf numFmtId="0" fontId="3" fillId="38" borderId="0" xfId="47" applyFill="1">
      <alignment vertical="center"/>
    </xf>
    <xf numFmtId="0" fontId="3" fillId="38" borderId="1" xfId="47" applyFill="1" applyBorder="1">
      <alignment vertical="center"/>
    </xf>
    <xf numFmtId="178" fontId="59" fillId="38" borderId="1" xfId="47" applyNumberFormat="1" applyFont="1" applyFill="1" applyBorder="1" applyAlignment="1">
      <alignment horizontal="center" vertical="center"/>
    </xf>
    <xf numFmtId="177" fontId="56" fillId="38" borderId="1" xfId="47" applyNumberFormat="1" applyFont="1" applyFill="1" applyBorder="1">
      <alignment vertical="center"/>
    </xf>
    <xf numFmtId="0" fontId="61" fillId="0" borderId="1" xfId="49" applyFont="1" applyBorder="1" applyAlignment="1">
      <alignment horizontal="left" vertical="center" wrapText="1" indent="1"/>
    </xf>
    <xf numFmtId="0" fontId="62" fillId="0" borderId="1" xfId="49" applyFont="1" applyBorder="1" applyAlignment="1">
      <alignment horizontal="center" vertical="center" wrapText="1"/>
    </xf>
    <xf numFmtId="176" fontId="62" fillId="0" borderId="1" xfId="49" applyNumberFormat="1" applyFont="1" applyBorder="1" applyAlignment="1">
      <alignment horizontal="center" vertical="center" wrapText="1"/>
    </xf>
    <xf numFmtId="176" fontId="61" fillId="0" borderId="1" xfId="49" applyNumberFormat="1" applyFont="1" applyBorder="1" applyAlignment="1">
      <alignment horizontal="center" vertical="center" wrapText="1"/>
    </xf>
    <xf numFmtId="0" fontId="23" fillId="0" borderId="0" xfId="49" applyFont="1">
      <alignment vertical="center"/>
    </xf>
    <xf numFmtId="0" fontId="61" fillId="0" borderId="1" xfId="49" applyFont="1" applyBorder="1" applyAlignment="1">
      <alignment horizontal="left" vertical="center" wrapText="1"/>
    </xf>
    <xf numFmtId="0" fontId="65" fillId="0" borderId="1" xfId="49" applyFont="1" applyBorder="1" applyAlignment="1">
      <alignment horizontal="center" vertical="center" wrapText="1"/>
    </xf>
    <xf numFmtId="176" fontId="65" fillId="0" borderId="1" xfId="49" applyNumberFormat="1" applyFont="1" applyBorder="1" applyAlignment="1">
      <alignment horizontal="center" vertical="center" wrapText="1"/>
    </xf>
    <xf numFmtId="0" fontId="67" fillId="0" borderId="0" xfId="49" applyFont="1">
      <alignment vertical="center"/>
    </xf>
    <xf numFmtId="0" fontId="68" fillId="0" borderId="1" xfId="49" applyFont="1" applyBorder="1" applyAlignment="1">
      <alignment horizontal="left" vertical="center" wrapText="1"/>
    </xf>
    <xf numFmtId="176" fontId="68" fillId="0" borderId="1" xfId="49" applyNumberFormat="1" applyFont="1" applyBorder="1" applyAlignment="1">
      <alignment horizontal="center" vertical="center"/>
    </xf>
    <xf numFmtId="176" fontId="70" fillId="0" borderId="1" xfId="49" applyNumberFormat="1" applyFont="1" applyBorder="1" applyAlignment="1">
      <alignment horizontal="center" vertical="center"/>
    </xf>
    <xf numFmtId="0" fontId="68" fillId="3" borderId="1" xfId="49" applyFont="1" applyFill="1" applyBorder="1" applyAlignment="1">
      <alignment horizontal="left" vertical="center" wrapText="1"/>
    </xf>
    <xf numFmtId="0" fontId="65" fillId="3" borderId="1" xfId="49" applyFont="1" applyFill="1" applyBorder="1" applyAlignment="1">
      <alignment horizontal="center" vertical="center" wrapText="1"/>
    </xf>
    <xf numFmtId="176" fontId="65" fillId="3" borderId="1" xfId="49" applyNumberFormat="1" applyFont="1" applyFill="1" applyBorder="1" applyAlignment="1">
      <alignment horizontal="center" vertical="center" wrapText="1"/>
    </xf>
    <xf numFmtId="176" fontId="71" fillId="3" borderId="1" xfId="49" applyNumberFormat="1" applyFont="1" applyFill="1" applyBorder="1" applyAlignment="1">
      <alignment horizontal="center" vertical="top" wrapText="1"/>
    </xf>
    <xf numFmtId="49" fontId="68" fillId="3" borderId="1" xfId="49" applyNumberFormat="1" applyFont="1" applyFill="1" applyBorder="1" applyAlignment="1">
      <alignment horizontal="left" vertical="center"/>
    </xf>
    <xf numFmtId="176" fontId="70" fillId="3" borderId="1" xfId="49" applyNumberFormat="1" applyFont="1" applyFill="1" applyBorder="1" applyAlignment="1">
      <alignment horizontal="center" vertical="center"/>
    </xf>
    <xf numFmtId="0" fontId="68" fillId="38" borderId="1" xfId="49" applyFont="1" applyFill="1" applyBorder="1" applyAlignment="1">
      <alignment horizontal="left" vertical="center" wrapText="1"/>
    </xf>
    <xf numFmtId="0" fontId="65" fillId="38" borderId="1" xfId="49" applyFont="1" applyFill="1" applyBorder="1" applyAlignment="1">
      <alignment horizontal="center" vertical="center" wrapText="1"/>
    </xf>
    <xf numFmtId="176" fontId="65" fillId="38" borderId="1" xfId="49" applyNumberFormat="1" applyFont="1" applyFill="1" applyBorder="1" applyAlignment="1">
      <alignment horizontal="center" vertical="center" wrapText="1"/>
    </xf>
    <xf numFmtId="176" fontId="68" fillId="38" borderId="1" xfId="49" applyNumberFormat="1" applyFont="1" applyFill="1" applyBorder="1" applyAlignment="1">
      <alignment horizontal="center" vertical="center"/>
    </xf>
    <xf numFmtId="176" fontId="71" fillId="38" borderId="1" xfId="49" applyNumberFormat="1" applyFont="1" applyFill="1" applyBorder="1" applyAlignment="1">
      <alignment horizontal="center" vertical="top" wrapText="1"/>
    </xf>
    <xf numFmtId="176" fontId="70" fillId="38" borderId="1" xfId="49" applyNumberFormat="1" applyFont="1" applyFill="1" applyBorder="1" applyAlignment="1">
      <alignment horizontal="center" vertical="center"/>
    </xf>
    <xf numFmtId="0" fontId="68" fillId="39" borderId="1" xfId="49" applyFont="1" applyFill="1" applyBorder="1" applyAlignment="1">
      <alignment horizontal="left" vertical="center" wrapText="1"/>
    </xf>
    <xf numFmtId="0" fontId="65" fillId="39" borderId="1" xfId="49" applyFont="1" applyFill="1" applyBorder="1" applyAlignment="1">
      <alignment horizontal="center" vertical="center" wrapText="1"/>
    </xf>
    <xf numFmtId="176" fontId="65" fillId="39" borderId="1" xfId="49" applyNumberFormat="1" applyFont="1" applyFill="1" applyBorder="1" applyAlignment="1">
      <alignment horizontal="center" vertical="center" wrapText="1"/>
    </xf>
    <xf numFmtId="176" fontId="68" fillId="39" borderId="1" xfId="49" applyNumberFormat="1" applyFont="1" applyFill="1" applyBorder="1" applyAlignment="1">
      <alignment horizontal="center" vertical="center"/>
    </xf>
    <xf numFmtId="176" fontId="71" fillId="39" borderId="1" xfId="49" applyNumberFormat="1" applyFont="1" applyFill="1" applyBorder="1" applyAlignment="1">
      <alignment horizontal="center" vertical="top" wrapText="1"/>
    </xf>
    <xf numFmtId="176" fontId="70" fillId="39" borderId="1" xfId="49" applyNumberFormat="1" applyFont="1" applyFill="1" applyBorder="1" applyAlignment="1">
      <alignment horizontal="center" vertical="center"/>
    </xf>
    <xf numFmtId="0" fontId="68" fillId="36" borderId="1" xfId="49" applyFont="1" applyFill="1" applyBorder="1" applyAlignment="1">
      <alignment horizontal="left" vertical="center" wrapText="1"/>
    </xf>
    <xf numFmtId="0" fontId="65" fillId="36" borderId="1" xfId="49" applyFont="1" applyFill="1" applyBorder="1" applyAlignment="1">
      <alignment horizontal="center" vertical="center" wrapText="1"/>
    </xf>
    <xf numFmtId="176" fontId="65" fillId="36" borderId="1" xfId="49" applyNumberFormat="1" applyFont="1" applyFill="1" applyBorder="1" applyAlignment="1">
      <alignment horizontal="center" vertical="center" wrapText="1"/>
    </xf>
    <xf numFmtId="176" fontId="70" fillId="36" borderId="1" xfId="49" applyNumberFormat="1" applyFont="1" applyFill="1" applyBorder="1" applyAlignment="1">
      <alignment horizontal="center" vertical="center"/>
    </xf>
    <xf numFmtId="176" fontId="71" fillId="36" borderId="1" xfId="49" applyNumberFormat="1" applyFont="1" applyFill="1" applyBorder="1" applyAlignment="1">
      <alignment horizontal="center" vertical="top" wrapText="1"/>
    </xf>
    <xf numFmtId="49" fontId="68" fillId="36" borderId="1" xfId="49" applyNumberFormat="1" applyFont="1" applyFill="1" applyBorder="1">
      <alignment vertical="center"/>
    </xf>
    <xf numFmtId="176" fontId="68" fillId="36" borderId="1" xfId="49" applyNumberFormat="1" applyFont="1" applyFill="1" applyBorder="1" applyAlignment="1">
      <alignment horizontal="center" vertical="center"/>
    </xf>
    <xf numFmtId="0" fontId="72" fillId="0" borderId="1" xfId="49" applyFont="1" applyBorder="1" applyAlignment="1">
      <alignment horizontal="left" vertical="center"/>
    </xf>
    <xf numFmtId="0" fontId="68" fillId="40" borderId="1" xfId="49" applyFont="1" applyFill="1" applyBorder="1" applyAlignment="1">
      <alignment horizontal="left" vertical="center" wrapText="1"/>
    </xf>
    <xf numFmtId="0" fontId="65" fillId="40" borderId="1" xfId="49" applyFont="1" applyFill="1" applyBorder="1" applyAlignment="1">
      <alignment horizontal="center" vertical="center" wrapText="1"/>
    </xf>
    <xf numFmtId="176" fontId="65" fillId="40" borderId="1" xfId="49" applyNumberFormat="1" applyFont="1" applyFill="1" applyBorder="1" applyAlignment="1">
      <alignment horizontal="center" vertical="center" wrapText="1"/>
    </xf>
    <xf numFmtId="176" fontId="73" fillId="40" borderId="1" xfId="49" applyNumberFormat="1" applyFont="1" applyFill="1" applyBorder="1" applyAlignment="1">
      <alignment horizontal="center" vertical="center" wrapText="1"/>
    </xf>
    <xf numFmtId="176" fontId="68" fillId="40" borderId="1" xfId="49" applyNumberFormat="1" applyFont="1" applyFill="1" applyBorder="1" applyAlignment="1">
      <alignment horizontal="center" vertical="center"/>
    </xf>
    <xf numFmtId="176" fontId="71" fillId="40" borderId="1" xfId="49" applyNumberFormat="1" applyFont="1" applyFill="1" applyBorder="1" applyAlignment="1">
      <alignment horizontal="center" vertical="top" wrapText="1"/>
    </xf>
    <xf numFmtId="0" fontId="72" fillId="40" borderId="1" xfId="49" applyFont="1" applyFill="1" applyBorder="1" applyAlignment="1">
      <alignment horizontal="left" vertical="center" wrapText="1"/>
    </xf>
    <xf numFmtId="176" fontId="70" fillId="40" borderId="1" xfId="49" applyNumberFormat="1" applyFont="1" applyFill="1" applyBorder="1" applyAlignment="1">
      <alignment horizontal="center" vertical="center"/>
    </xf>
    <xf numFmtId="0" fontId="72" fillId="40" borderId="1" xfId="49" applyFont="1" applyFill="1" applyBorder="1" applyAlignment="1">
      <alignment horizontal="left" vertical="center"/>
    </xf>
    <xf numFmtId="0" fontId="68" fillId="41" borderId="1" xfId="49" applyFont="1" applyFill="1" applyBorder="1" applyAlignment="1">
      <alignment horizontal="right" vertical="center"/>
    </xf>
    <xf numFmtId="0" fontId="70" fillId="41" borderId="1" xfId="49" applyFont="1" applyFill="1" applyBorder="1" applyAlignment="1">
      <alignment horizontal="center" vertical="center"/>
    </xf>
    <xf numFmtId="176" fontId="65" fillId="41" borderId="1" xfId="49" applyNumberFormat="1" applyFont="1" applyFill="1" applyBorder="1" applyAlignment="1">
      <alignment horizontal="center" vertical="center" wrapText="1"/>
    </xf>
    <xf numFmtId="176" fontId="70" fillId="41" borderId="1" xfId="49" applyNumberFormat="1" applyFont="1" applyFill="1" applyBorder="1" applyAlignment="1">
      <alignment horizontal="center" vertical="center"/>
    </xf>
    <xf numFmtId="0" fontId="69" fillId="0" borderId="1" xfId="49" applyFont="1" applyBorder="1" applyAlignment="1">
      <alignment horizontal="left" vertical="center" wrapText="1"/>
    </xf>
    <xf numFmtId="0" fontId="68" fillId="41" borderId="1" xfId="49" applyFont="1" applyFill="1" applyBorder="1" applyAlignment="1">
      <alignment horizontal="left" vertical="center" wrapText="1" indent="1"/>
    </xf>
    <xf numFmtId="0" fontId="65" fillId="41" borderId="1" xfId="49" applyFont="1" applyFill="1" applyBorder="1" applyAlignment="1">
      <alignment horizontal="center" vertical="center" wrapText="1"/>
    </xf>
    <xf numFmtId="0" fontId="68" fillId="0" borderId="1" xfId="49" applyFont="1" applyBorder="1" applyAlignment="1">
      <alignment horizontal="left" vertical="center" wrapText="1" indent="1"/>
    </xf>
    <xf numFmtId="176" fontId="71" fillId="0" borderId="1" xfId="49" applyNumberFormat="1" applyFont="1" applyBorder="1" applyAlignment="1">
      <alignment horizontal="center" vertical="top" wrapText="1"/>
    </xf>
    <xf numFmtId="176" fontId="73" fillId="0" borderId="1" xfId="49" applyNumberFormat="1" applyFont="1" applyBorder="1" applyAlignment="1">
      <alignment horizontal="center" vertical="center"/>
    </xf>
    <xf numFmtId="0" fontId="65" fillId="41" borderId="4" xfId="49" applyFont="1" applyFill="1" applyBorder="1" applyAlignment="1">
      <alignment horizontal="left" vertical="center" wrapText="1" indent="1"/>
    </xf>
    <xf numFmtId="0" fontId="65" fillId="41" borderId="4" xfId="49" applyFont="1" applyFill="1" applyBorder="1" applyAlignment="1">
      <alignment horizontal="center" vertical="center" wrapText="1"/>
    </xf>
    <xf numFmtId="0" fontId="67" fillId="41" borderId="0" xfId="49" applyFont="1" applyFill="1">
      <alignment vertical="center"/>
    </xf>
    <xf numFmtId="0" fontId="65" fillId="0" borderId="4" xfId="49" applyFont="1" applyBorder="1" applyAlignment="1">
      <alignment horizontal="left" vertical="center" wrapText="1" indent="1"/>
    </xf>
    <xf numFmtId="0" fontId="65" fillId="0" borderId="4" xfId="49" applyFont="1" applyBorder="1" applyAlignment="1">
      <alignment horizontal="center" vertical="center" wrapText="1"/>
    </xf>
    <xf numFmtId="0" fontId="70" fillId="41" borderId="0" xfId="49" applyFont="1" applyFill="1">
      <alignment vertical="center"/>
    </xf>
    <xf numFmtId="0" fontId="70" fillId="41" borderId="0" xfId="49" applyFont="1" applyFill="1" applyAlignment="1">
      <alignment horizontal="center" vertical="center"/>
    </xf>
    <xf numFmtId="176" fontId="70" fillId="41" borderId="0" xfId="49" applyNumberFormat="1" applyFont="1" applyFill="1" applyAlignment="1">
      <alignment horizontal="center" vertical="center"/>
    </xf>
    <xf numFmtId="176" fontId="73" fillId="0" borderId="1" xfId="49" applyNumberFormat="1" applyFont="1" applyBorder="1" applyAlignment="1">
      <alignment horizontal="center" vertical="center" wrapText="1"/>
    </xf>
    <xf numFmtId="0" fontId="70" fillId="0" borderId="0" xfId="49" applyFont="1">
      <alignment vertical="center"/>
    </xf>
    <xf numFmtId="0" fontId="70" fillId="0" borderId="0" xfId="49" applyFont="1" applyAlignment="1">
      <alignment horizontal="center" vertical="center"/>
    </xf>
    <xf numFmtId="176" fontId="70" fillId="0" borderId="0" xfId="49" applyNumberFormat="1" applyFont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49" fontId="11" fillId="0" borderId="6" xfId="2" applyNumberFormat="1" applyFont="1" applyBorder="1" applyAlignment="1">
      <alignment horizontal="center" vertical="center" wrapText="1"/>
    </xf>
    <xf numFmtId="49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49" fontId="11" fillId="0" borderId="1" xfId="2" applyNumberFormat="1" applyFont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49" fontId="11" fillId="0" borderId="6" xfId="2" applyNumberFormat="1" applyFont="1" applyBorder="1" applyAlignment="1">
      <alignment horizontal="center" vertical="center"/>
    </xf>
    <xf numFmtId="0" fontId="56" fillId="0" borderId="2" xfId="47" applyFont="1" applyBorder="1" applyAlignment="1">
      <alignment horizontal="center" vertical="center" wrapText="1"/>
    </xf>
    <xf numFmtId="0" fontId="56" fillId="0" borderId="18" xfId="47" applyFont="1" applyBorder="1" applyAlignment="1">
      <alignment horizontal="center" vertical="center" wrapText="1"/>
    </xf>
    <xf numFmtId="0" fontId="56" fillId="0" borderId="3" xfId="47" applyFont="1" applyBorder="1" applyAlignment="1">
      <alignment horizontal="center" vertical="center" wrapText="1"/>
    </xf>
    <xf numFmtId="0" fontId="55" fillId="0" borderId="2" xfId="47" applyFont="1" applyBorder="1" applyAlignment="1">
      <alignment horizontal="center" vertical="center"/>
    </xf>
    <xf numFmtId="0" fontId="55" fillId="0" borderId="3" xfId="47" applyFont="1" applyBorder="1" applyAlignment="1">
      <alignment horizontal="center" vertical="center"/>
    </xf>
    <xf numFmtId="0" fontId="59" fillId="0" borderId="1" xfId="47" applyFont="1" applyBorder="1" applyAlignment="1">
      <alignment horizontal="center" vertical="center" wrapText="1"/>
    </xf>
    <xf numFmtId="49" fontId="57" fillId="3" borderId="1" xfId="2" applyNumberFormat="1" applyFont="1" applyFill="1" applyBorder="1" applyAlignment="1">
      <alignment horizontal="center" vertical="center" wrapText="1"/>
    </xf>
    <xf numFmtId="176" fontId="58" fillId="36" borderId="1" xfId="48" applyNumberFormat="1" applyFont="1" applyFill="1" applyBorder="1" applyAlignment="1">
      <alignment horizontal="center" vertical="center"/>
    </xf>
  </cellXfs>
  <cellStyles count="50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Normal 2" xfId="2" xr:uid="{00000000-0005-0000-0000-00002D000000}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2" xfId="43" xr:uid="{B7FFF025-6FE5-4E26-877D-FAD7C4F3CF5B}"/>
    <cellStyle name="常规 2 2" xfId="48" xr:uid="{42E19C52-D8FC-425E-AA66-A08399CDC786}"/>
    <cellStyle name="常规 3" xfId="45" xr:uid="{398F77A7-4AB6-491F-AF67-8B9DF8D69362}"/>
    <cellStyle name="常规 4" xfId="46" xr:uid="{331BFF98-C758-46CE-86BB-1304D2195B94}"/>
    <cellStyle name="常规 5" xfId="47" xr:uid="{ACA7A438-5B82-4244-A6D5-5ECCEB8BF20B}"/>
    <cellStyle name="常规 6" xfId="49" xr:uid="{9B26930D-96D4-48A7-8AB4-51549D964972}"/>
    <cellStyle name="超链接" xfId="1" builtinId="8"/>
    <cellStyle name="好" xfId="8" builtinId="26" customBuiltin="1"/>
    <cellStyle name="汇总" xfId="18" builtinId="25" customBuiltin="1"/>
    <cellStyle name="计算" xfId="13" builtinId="22" customBuiltin="1"/>
    <cellStyle name="检查单元格" xfId="15" builtinId="23" customBuiltin="1"/>
    <cellStyle name="解释性文本" xfId="17" builtinId="53" customBuiltin="1"/>
    <cellStyle name="警告文本" xfId="16" builtinId="11" customBuiltin="1"/>
    <cellStyle name="链接单元格" xfId="14" builtinId="24" customBuiltin="1"/>
    <cellStyle name="适中" xfId="10" builtinId="28" customBuiltin="1"/>
    <cellStyle name="输出" xfId="12" builtinId="21" customBuiltin="1"/>
    <cellStyle name="输入" xfId="11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 2" xfId="44" xr:uid="{CF98FE57-BCBE-4309-9C26-BA02FA6E018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976025A0-D1EA-48C5-A970-57C65870E6D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C65D5BB-F1F1-406C-94D6-E28913C4DE8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Calculation!$D$2</c:f>
              <c:strCache>
                <c:ptCount val="1"/>
                <c:pt idx="0">
                  <c:v>人工造林_x000d_
Manual_x000d_
Planting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Calculation!$A$3:$B$13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全国</c:v>
                  </c:pt>
                  <c:pt idx="1">
                    <c:v>全国</c:v>
                  </c:pt>
                  <c:pt idx="2">
                    <c:v>全国</c:v>
                  </c:pt>
                  <c:pt idx="3">
                    <c:v>全国</c:v>
                  </c:pt>
                  <c:pt idx="4">
                    <c:v>全国</c:v>
                  </c:pt>
                  <c:pt idx="5">
                    <c:v>全国</c:v>
                  </c:pt>
                  <c:pt idx="6">
                    <c:v>全国</c:v>
                  </c:pt>
                  <c:pt idx="7">
                    <c:v>全国</c:v>
                  </c:pt>
                  <c:pt idx="8">
                    <c:v>全国</c:v>
                  </c:pt>
                  <c:pt idx="9">
                    <c:v>全国</c:v>
                  </c:pt>
                  <c:pt idx="10">
                    <c:v>全国</c:v>
                  </c:pt>
                </c:lvl>
              </c:multiLvlStrCache>
            </c:multiLvlStrRef>
          </c:cat>
          <c:val>
            <c:numRef>
              <c:f>Calculation!$D$3:$D$13</c:f>
              <c:numCache>
                <c:formatCode>#,##0_);[Red]\(#,##0\)</c:formatCode>
                <c:ptCount val="11"/>
                <c:pt idx="0">
                  <c:v>4361827</c:v>
                </c:pt>
                <c:pt idx="1">
                  <c:v>3823656</c:v>
                </c:pt>
                <c:pt idx="2">
                  <c:v>4295890</c:v>
                </c:pt>
                <c:pt idx="3">
                  <c:v>3677952</c:v>
                </c:pt>
                <c:pt idx="4">
                  <c:v>3458315</c:v>
                </c:pt>
                <c:pt idx="5">
                  <c:v>3000060</c:v>
                </c:pt>
                <c:pt idx="6">
                  <c:v>1085095</c:v>
                </c:pt>
                <c:pt idx="7">
                  <c:v>930860</c:v>
                </c:pt>
                <c:pt idx="8">
                  <c:v>1014361</c:v>
                </c:pt>
                <c:pt idx="9">
                  <c:v>797680</c:v>
                </c:pt>
                <c:pt idx="10">
                  <c:v>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0-45FB-9074-DE3CD9DE3F9D}"/>
            </c:ext>
          </c:extLst>
        </c:ser>
        <c:ser>
          <c:idx val="2"/>
          <c:order val="1"/>
          <c:tx>
            <c:strRef>
              <c:f>Calculation!$E$2</c:f>
              <c:strCache>
                <c:ptCount val="1"/>
                <c:pt idx="0">
                  <c:v>飞播造林_x000d_
Airplane_x000d_
Planting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Calculation!$A$3:$B$13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全国</c:v>
                  </c:pt>
                  <c:pt idx="1">
                    <c:v>全国</c:v>
                  </c:pt>
                  <c:pt idx="2">
                    <c:v>全国</c:v>
                  </c:pt>
                  <c:pt idx="3">
                    <c:v>全国</c:v>
                  </c:pt>
                  <c:pt idx="4">
                    <c:v>全国</c:v>
                  </c:pt>
                  <c:pt idx="5">
                    <c:v>全国</c:v>
                  </c:pt>
                  <c:pt idx="6">
                    <c:v>全国</c:v>
                  </c:pt>
                  <c:pt idx="7">
                    <c:v>全国</c:v>
                  </c:pt>
                  <c:pt idx="8">
                    <c:v>全国</c:v>
                  </c:pt>
                  <c:pt idx="9">
                    <c:v>全国</c:v>
                  </c:pt>
                  <c:pt idx="10">
                    <c:v>全国</c:v>
                  </c:pt>
                </c:lvl>
              </c:multiLvlStrCache>
            </c:multiLvlStrRef>
          </c:cat>
          <c:val>
            <c:numRef>
              <c:f>Calculation!$E$3:$E$13</c:f>
              <c:numCache>
                <c:formatCode>#,##0_);[Red]\(#,##0\)</c:formatCode>
                <c:ptCount val="11"/>
                <c:pt idx="0">
                  <c:v>128390</c:v>
                </c:pt>
                <c:pt idx="1">
                  <c:v>162322</c:v>
                </c:pt>
                <c:pt idx="2">
                  <c:v>141220</c:v>
                </c:pt>
                <c:pt idx="3">
                  <c:v>135429</c:v>
                </c:pt>
                <c:pt idx="4">
                  <c:v>125565</c:v>
                </c:pt>
                <c:pt idx="5">
                  <c:v>151496</c:v>
                </c:pt>
                <c:pt idx="6">
                  <c:v>172239</c:v>
                </c:pt>
                <c:pt idx="7">
                  <c:v>166099</c:v>
                </c:pt>
                <c:pt idx="8">
                  <c:v>66997</c:v>
                </c:pt>
                <c:pt idx="9">
                  <c:v>67612</c:v>
                </c:pt>
                <c:pt idx="10">
                  <c:v>48080.135468960842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0-45FB-9074-DE3CD9DE3F9D}"/>
            </c:ext>
          </c:extLst>
        </c:ser>
        <c:ser>
          <c:idx val="3"/>
          <c:order val="2"/>
          <c:tx>
            <c:strRef>
              <c:f>Calculation!$H$2</c:f>
              <c:strCache>
                <c:ptCount val="1"/>
                <c:pt idx="0">
                  <c:v>人工更新_x000d_
Artificial_x000d_
Regeneration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Calculation!$A$3:$B$13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全国</c:v>
                  </c:pt>
                  <c:pt idx="1">
                    <c:v>全国</c:v>
                  </c:pt>
                  <c:pt idx="2">
                    <c:v>全国</c:v>
                  </c:pt>
                  <c:pt idx="3">
                    <c:v>全国</c:v>
                  </c:pt>
                  <c:pt idx="4">
                    <c:v>全国</c:v>
                  </c:pt>
                  <c:pt idx="5">
                    <c:v>全国</c:v>
                  </c:pt>
                  <c:pt idx="6">
                    <c:v>全国</c:v>
                  </c:pt>
                  <c:pt idx="7">
                    <c:v>全国</c:v>
                  </c:pt>
                  <c:pt idx="8">
                    <c:v>全国</c:v>
                  </c:pt>
                  <c:pt idx="9">
                    <c:v>全国</c:v>
                  </c:pt>
                  <c:pt idx="10">
                    <c:v>全国</c:v>
                  </c:pt>
                </c:lvl>
              </c:multiLvlStrCache>
            </c:multiLvlStrRef>
          </c:cat>
          <c:val>
            <c:numRef>
              <c:f>Calculation!$F$3:$F$13</c:f>
              <c:numCache>
                <c:formatCode>#,##0_);[Red]\(#,##0\)</c:formatCode>
                <c:ptCount val="11"/>
                <c:pt idx="0">
                  <c:v>2152877</c:v>
                </c:pt>
                <c:pt idx="1">
                  <c:v>1953638</c:v>
                </c:pt>
                <c:pt idx="2">
                  <c:v>1657169</c:v>
                </c:pt>
                <c:pt idx="3">
                  <c:v>1785067</c:v>
                </c:pt>
                <c:pt idx="4">
                  <c:v>1898314</c:v>
                </c:pt>
                <c:pt idx="5">
                  <c:v>1774608</c:v>
                </c:pt>
                <c:pt idx="6">
                  <c:v>1235098</c:v>
                </c:pt>
                <c:pt idx="7">
                  <c:v>1057316</c:v>
                </c:pt>
                <c:pt idx="8">
                  <c:v>1133101</c:v>
                </c:pt>
                <c:pt idx="9">
                  <c:v>1267032</c:v>
                </c:pt>
                <c:pt idx="10">
                  <c:v>901009.73501018144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0-45FB-9074-DE3CD9DE3F9D}"/>
            </c:ext>
          </c:extLst>
        </c:ser>
        <c:ser>
          <c:idx val="4"/>
          <c:order val="3"/>
          <c:tx>
            <c:strRef>
              <c:f>Calculation!$F$2</c:f>
              <c:strCache>
                <c:ptCount val="1"/>
                <c:pt idx="0">
                  <c:v>封山育林_x000d_
Closed_x000d_
Hillsides for_x000d_
Afforestation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Calculation!$A$3:$B$13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全国</c:v>
                  </c:pt>
                  <c:pt idx="1">
                    <c:v>全国</c:v>
                  </c:pt>
                  <c:pt idx="2">
                    <c:v>全国</c:v>
                  </c:pt>
                  <c:pt idx="3">
                    <c:v>全国</c:v>
                  </c:pt>
                  <c:pt idx="4">
                    <c:v>全国</c:v>
                  </c:pt>
                  <c:pt idx="5">
                    <c:v>全国</c:v>
                  </c:pt>
                  <c:pt idx="6">
                    <c:v>全国</c:v>
                  </c:pt>
                  <c:pt idx="7">
                    <c:v>全国</c:v>
                  </c:pt>
                  <c:pt idx="8">
                    <c:v>全国</c:v>
                  </c:pt>
                  <c:pt idx="9">
                    <c:v>全国</c:v>
                  </c:pt>
                  <c:pt idx="10">
                    <c:v>全国</c:v>
                  </c:pt>
                </c:lvl>
              </c:multiLvlStrCache>
            </c:multiLvlStrRef>
          </c:cat>
          <c:val>
            <c:numRef>
              <c:f>Calculation!$G$3:$G$13</c:f>
              <c:numCache>
                <c:formatCode>#,##0_);[Red]\(#,##0\)</c:formatCode>
                <c:ptCount val="11"/>
                <c:pt idx="0">
                  <c:v>739334</c:v>
                </c:pt>
                <c:pt idx="1">
                  <c:v>991088</c:v>
                </c:pt>
                <c:pt idx="2">
                  <c:v>1280993</c:v>
                </c:pt>
                <c:pt idx="3">
                  <c:v>1329166</c:v>
                </c:pt>
                <c:pt idx="4">
                  <c:v>1537877</c:v>
                </c:pt>
                <c:pt idx="5">
                  <c:v>1619648</c:v>
                </c:pt>
                <c:pt idx="6">
                  <c:v>1011349</c:v>
                </c:pt>
                <c:pt idx="7">
                  <c:v>1582935</c:v>
                </c:pt>
                <c:pt idx="8">
                  <c:v>1795750</c:v>
                </c:pt>
                <c:pt idx="9">
                  <c:v>1884367</c:v>
                </c:pt>
                <c:pt idx="10">
                  <c:v>1340007.9961136978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10-45FB-9074-DE3CD9DE3F9D}"/>
            </c:ext>
          </c:extLst>
        </c:ser>
        <c:ser>
          <c:idx val="5"/>
          <c:order val="4"/>
          <c:tx>
            <c:strRef>
              <c:f>Calculation!$G$2</c:f>
              <c:strCache>
                <c:ptCount val="1"/>
                <c:pt idx="0">
                  <c:v>退化林修复_x000d_
Restoration_x000d_
of Degraded_x000d_
Forest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Calculation!$A$3:$B$13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全国</c:v>
                  </c:pt>
                  <c:pt idx="1">
                    <c:v>全国</c:v>
                  </c:pt>
                  <c:pt idx="2">
                    <c:v>全国</c:v>
                  </c:pt>
                  <c:pt idx="3">
                    <c:v>全国</c:v>
                  </c:pt>
                  <c:pt idx="4">
                    <c:v>全国</c:v>
                  </c:pt>
                  <c:pt idx="5">
                    <c:v>全国</c:v>
                  </c:pt>
                  <c:pt idx="6">
                    <c:v>全国</c:v>
                  </c:pt>
                  <c:pt idx="7">
                    <c:v>全国</c:v>
                  </c:pt>
                  <c:pt idx="8">
                    <c:v>全国</c:v>
                  </c:pt>
                  <c:pt idx="9">
                    <c:v>全国</c:v>
                  </c:pt>
                  <c:pt idx="10">
                    <c:v>全国</c:v>
                  </c:pt>
                </c:lvl>
              </c:multiLvlStrCache>
            </c:multiLvlStrRef>
          </c:cat>
          <c:val>
            <c:numRef>
              <c:f>Calculation!$H$3:$H$13</c:f>
              <c:numCache>
                <c:formatCode>#,##0_);[Red]\(#,##0\)</c:formatCode>
                <c:ptCount val="11"/>
                <c:pt idx="0">
                  <c:v>299577</c:v>
                </c:pt>
                <c:pt idx="1">
                  <c:v>272805</c:v>
                </c:pt>
                <c:pt idx="2">
                  <c:v>305439</c:v>
                </c:pt>
                <c:pt idx="3">
                  <c:v>371859</c:v>
                </c:pt>
                <c:pt idx="4">
                  <c:v>370223</c:v>
                </c:pt>
                <c:pt idx="5">
                  <c:v>387884</c:v>
                </c:pt>
                <c:pt idx="6">
                  <c:v>250593</c:v>
                </c:pt>
                <c:pt idx="7">
                  <c:v>465579</c:v>
                </c:pt>
                <c:pt idx="8">
                  <c:v>625911</c:v>
                </c:pt>
                <c:pt idx="9">
                  <c:v>624231</c:v>
                </c:pt>
                <c:pt idx="10">
                  <c:v>443902.13340715988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10-45FB-9074-DE3CD9DE3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410815"/>
        <c:axId val="550414655"/>
      </c:barChart>
      <c:catAx>
        <c:axId val="5504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414655"/>
        <c:crosses val="autoZero"/>
        <c:auto val="1"/>
        <c:lblAlgn val="ctr"/>
        <c:lblOffset val="100"/>
        <c:noMultiLvlLbl val="0"/>
      </c:catAx>
      <c:valAx>
        <c:axId val="55041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4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25</xdr:col>
      <xdr:colOff>395288</xdr:colOff>
      <xdr:row>14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109997B-1BB3-491B-B96D-07000B60B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Desktop\Old%20U.S.%20land\VFC\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 refreshError="1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aper.people.com.cn/rmrb/html/2024-03/13/nw.D110000renmrb_20240313_2-14.htm" TargetMode="External"/><Relationship Id="rId2" Type="http://schemas.openxmlformats.org/officeDocument/2006/relationships/hyperlink" Target="https://forest.ckcest.cn/sd/si/zgslzy.html" TargetMode="External"/><Relationship Id="rId1" Type="http://schemas.openxmlformats.org/officeDocument/2006/relationships/hyperlink" Target="https://www.usda.gov/sites/default/files/documents/White_Paper_WEB7181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916D-E856-480A-B1DD-657DB001D8FD}">
  <dimension ref="A1:B29"/>
  <sheetViews>
    <sheetView workbookViewId="0"/>
  </sheetViews>
  <sheetFormatPr defaultColWidth="8.75" defaultRowHeight="13.5"/>
  <cols>
    <col min="2" max="2" width="56.375" customWidth="1"/>
  </cols>
  <sheetData>
    <row r="1" spans="1:2">
      <c r="A1" s="34" t="s">
        <v>148</v>
      </c>
      <c r="B1" s="10"/>
    </row>
    <row r="2" spans="1:2">
      <c r="A2" s="10"/>
      <c r="B2" s="10"/>
    </row>
    <row r="3" spans="1:2">
      <c r="A3" s="34" t="s">
        <v>149</v>
      </c>
      <c r="B3" s="35" t="s">
        <v>157</v>
      </c>
    </row>
    <row r="4" spans="1:2">
      <c r="A4" s="10"/>
      <c r="B4" s="39" t="s">
        <v>161</v>
      </c>
    </row>
    <row r="5" spans="1:2">
      <c r="A5" s="10"/>
      <c r="B5" s="39" t="s">
        <v>169</v>
      </c>
    </row>
    <row r="6" spans="1:2">
      <c r="A6" s="10"/>
      <c r="B6" s="39"/>
    </row>
    <row r="7" spans="1:2">
      <c r="A7" s="10"/>
      <c r="B7" s="40" t="s">
        <v>172</v>
      </c>
    </row>
    <row r="8" spans="1:2">
      <c r="A8" s="10"/>
      <c r="B8" s="54" t="s">
        <v>171</v>
      </c>
    </row>
    <row r="9" spans="1:2">
      <c r="A9" s="10"/>
      <c r="B9" s="39" t="s">
        <v>170</v>
      </c>
    </row>
    <row r="10" spans="1:2">
      <c r="A10" s="10"/>
      <c r="B10" s="10"/>
    </row>
    <row r="11" spans="1:2">
      <c r="A11" s="10"/>
      <c r="B11" s="10"/>
    </row>
    <row r="12" spans="1:2">
      <c r="A12" s="10"/>
      <c r="B12" s="35" t="s">
        <v>160</v>
      </c>
    </row>
    <row r="13" spans="1:2">
      <c r="A13" s="10"/>
      <c r="B13" s="39" t="s">
        <v>159</v>
      </c>
    </row>
    <row r="14" spans="1:2">
      <c r="A14" s="10"/>
      <c r="B14" s="36">
        <v>2018</v>
      </c>
    </row>
    <row r="15" spans="1:2">
      <c r="A15" s="10"/>
      <c r="B15" s="10" t="s">
        <v>150</v>
      </c>
    </row>
    <row r="16" spans="1:2">
      <c r="A16" s="10"/>
      <c r="B16" s="42" t="s">
        <v>158</v>
      </c>
    </row>
    <row r="17" spans="1:2">
      <c r="A17" s="10"/>
      <c r="B17" s="10"/>
    </row>
    <row r="18" spans="1:2">
      <c r="A18" s="10"/>
      <c r="B18" s="38"/>
    </row>
    <row r="19" spans="1:2">
      <c r="A19" s="10"/>
      <c r="B19" s="35" t="s">
        <v>151</v>
      </c>
    </row>
    <row r="20" spans="1:2">
      <c r="A20" s="10"/>
      <c r="B20" s="10" t="s">
        <v>152</v>
      </c>
    </row>
    <row r="21" spans="1:2">
      <c r="A21" s="10"/>
      <c r="B21" s="36">
        <v>2016</v>
      </c>
    </row>
    <row r="22" spans="1:2">
      <c r="A22" s="10"/>
      <c r="B22" s="10" t="s">
        <v>153</v>
      </c>
    </row>
    <row r="23" spans="1:2">
      <c r="A23" s="10"/>
      <c r="B23" s="37" t="s">
        <v>154</v>
      </c>
    </row>
    <row r="24" spans="1:2">
      <c r="A24" s="10"/>
      <c r="B24" s="10" t="s">
        <v>155</v>
      </c>
    </row>
    <row r="25" spans="1:2">
      <c r="A25" s="10"/>
      <c r="B25" s="10"/>
    </row>
    <row r="26" spans="1:2">
      <c r="A26" s="34" t="s">
        <v>156</v>
      </c>
      <c r="B26" s="44" t="s">
        <v>173</v>
      </c>
    </row>
    <row r="27" spans="1:2">
      <c r="A27" s="44"/>
    </row>
    <row r="28" spans="1:2">
      <c r="B28" s="10"/>
    </row>
    <row r="29" spans="1:2">
      <c r="B29" s="10"/>
    </row>
  </sheetData>
  <phoneticPr fontId="17" type="noConversion"/>
  <hyperlinks>
    <hyperlink ref="B23" r:id="rId1" xr:uid="{938A5F38-C549-4DA9-B527-72C64597AD73}"/>
    <hyperlink ref="B16" r:id="rId2" display="https://forest.ckcest.cn/sd/si/zgslzy.html" xr:uid="{EA2AFC86-380E-4F86-BBCB-B784E9423EB8}"/>
    <hyperlink ref="B8" r:id="rId3" display="http://paper.people.com.cn/rmrb/html/2024-03/13/nw.D110000renmrb_20240313_2-14.htm" xr:uid="{CD60039C-2951-408D-9105-A37CB6BE92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R127"/>
  <sheetViews>
    <sheetView workbookViewId="0"/>
  </sheetViews>
  <sheetFormatPr defaultColWidth="9.625" defaultRowHeight="13.5"/>
  <cols>
    <col min="1" max="6" width="9.625" style="10"/>
    <col min="7" max="7" width="11.375" style="10" customWidth="1"/>
    <col min="8" max="9" width="15.125" style="10" customWidth="1"/>
    <col min="10" max="11" width="9.625" style="10"/>
    <col min="12" max="12" width="12.375" style="10" customWidth="1"/>
    <col min="13" max="16" width="9.625" style="10"/>
    <col min="17" max="17" width="11.625" style="10" bestFit="1" customWidth="1"/>
    <col min="18" max="19" width="9.625" style="10"/>
    <col min="20" max="20" width="11.75" style="10" customWidth="1"/>
    <col min="21" max="16384" width="9.625" style="10"/>
  </cols>
  <sheetData>
    <row r="1" spans="1:96">
      <c r="A1" s="17" t="s">
        <v>165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N1" s="27" t="s">
        <v>95</v>
      </c>
      <c r="CR1" s="31"/>
    </row>
    <row r="2" spans="1:96">
      <c r="A2" s="17" t="s">
        <v>166</v>
      </c>
      <c r="B2" s="12"/>
      <c r="C2" s="12"/>
      <c r="D2" s="12"/>
      <c r="E2" s="12"/>
      <c r="F2" s="12"/>
      <c r="G2" s="12"/>
      <c r="H2" s="12"/>
      <c r="I2" s="12"/>
      <c r="J2" s="12"/>
      <c r="K2" s="12"/>
      <c r="N2" s="27" t="s">
        <v>96</v>
      </c>
      <c r="CR2" s="31"/>
    </row>
    <row r="3" spans="1:96">
      <c r="A3" s="17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N3" s="27" t="s">
        <v>98</v>
      </c>
      <c r="CR3" s="31"/>
    </row>
    <row r="4" spans="1:96">
      <c r="A4" s="17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CR4" s="31"/>
    </row>
    <row r="5" spans="1:96">
      <c r="A5" s="158" t="s">
        <v>3</v>
      </c>
      <c r="B5" s="158" t="s">
        <v>4</v>
      </c>
      <c r="C5" s="156" t="s">
        <v>104</v>
      </c>
      <c r="D5" s="154" t="s">
        <v>76</v>
      </c>
      <c r="E5" s="159" t="s">
        <v>6</v>
      </c>
      <c r="F5" s="160"/>
      <c r="G5" s="160"/>
      <c r="H5" s="160"/>
      <c r="I5" s="160"/>
      <c r="J5" s="160"/>
      <c r="K5" s="160"/>
      <c r="L5" s="161"/>
      <c r="P5" s="39" t="s">
        <v>174</v>
      </c>
      <c r="CR5" s="31"/>
    </row>
    <row r="6" spans="1:96" ht="72">
      <c r="A6" s="155"/>
      <c r="B6" s="155"/>
      <c r="C6" s="157"/>
      <c r="D6" s="155"/>
      <c r="E6" s="8" t="s">
        <v>105</v>
      </c>
      <c r="F6" s="8" t="s">
        <v>106</v>
      </c>
      <c r="G6" s="8" t="s">
        <v>107</v>
      </c>
      <c r="H6" s="8" t="s">
        <v>108</v>
      </c>
      <c r="I6" s="8" t="s">
        <v>109</v>
      </c>
      <c r="J6" s="23" t="s">
        <v>7</v>
      </c>
      <c r="K6" s="23" t="s">
        <v>8</v>
      </c>
      <c r="L6" s="23" t="s">
        <v>9</v>
      </c>
      <c r="P6" s="23" t="s">
        <v>7</v>
      </c>
      <c r="Q6" s="23" t="s">
        <v>8</v>
      </c>
      <c r="R6" s="23" t="s">
        <v>9</v>
      </c>
      <c r="CR6" s="32"/>
    </row>
    <row r="7" spans="1:96">
      <c r="A7" s="19" t="s">
        <v>10</v>
      </c>
      <c r="B7" s="20" t="s">
        <v>11</v>
      </c>
      <c r="C7" s="9">
        <v>2021</v>
      </c>
      <c r="D7" s="9">
        <v>4202790</v>
      </c>
      <c r="E7" s="9"/>
      <c r="F7" s="9"/>
      <c r="G7" s="9"/>
      <c r="H7" s="9"/>
      <c r="I7" s="9"/>
      <c r="J7" s="25">
        <v>1562538</v>
      </c>
      <c r="K7" s="25">
        <v>1057316</v>
      </c>
      <c r="L7" s="25">
        <v>1582935</v>
      </c>
      <c r="P7" s="10">
        <f>(P11+Q11)*R11</f>
        <v>73781300</v>
      </c>
      <c r="Q7" s="10">
        <f>P14*R14</f>
        <v>271750000</v>
      </c>
      <c r="R7" s="10">
        <f>Q14*R14</f>
        <v>48750000</v>
      </c>
      <c r="CR7" s="31"/>
    </row>
    <row r="8" spans="1:96">
      <c r="A8" s="18" t="s">
        <v>77</v>
      </c>
      <c r="B8" s="21" t="s">
        <v>13</v>
      </c>
      <c r="C8" s="9">
        <v>2021</v>
      </c>
      <c r="D8" s="9">
        <v>3481</v>
      </c>
      <c r="E8" s="9"/>
      <c r="F8" s="22"/>
      <c r="G8" s="22"/>
      <c r="H8" s="9"/>
      <c r="I8" s="22"/>
      <c r="J8" s="25">
        <v>3482</v>
      </c>
      <c r="K8" s="25"/>
      <c r="L8" s="26"/>
      <c r="AR8" s="28"/>
      <c r="CR8" s="31"/>
    </row>
    <row r="9" spans="1:96">
      <c r="A9" s="18" t="s">
        <v>78</v>
      </c>
      <c r="B9" s="21" t="s">
        <v>15</v>
      </c>
      <c r="C9" s="9">
        <v>2021</v>
      </c>
      <c r="D9" s="9">
        <v>5458</v>
      </c>
      <c r="E9" s="9"/>
      <c r="F9" s="22"/>
      <c r="G9" s="22"/>
      <c r="H9" s="22"/>
      <c r="I9" s="9"/>
      <c r="J9" s="25">
        <v>0</v>
      </c>
      <c r="K9" s="26">
        <v>5458</v>
      </c>
      <c r="L9" s="25"/>
      <c r="AR9" s="28"/>
      <c r="CR9" s="31"/>
    </row>
    <row r="10" spans="1:96">
      <c r="A10" s="18" t="s">
        <v>16</v>
      </c>
      <c r="B10" s="21" t="s">
        <v>17</v>
      </c>
      <c r="C10" s="9">
        <v>2021</v>
      </c>
      <c r="D10" s="9">
        <v>193707</v>
      </c>
      <c r="E10" s="9"/>
      <c r="F10" s="9"/>
      <c r="G10" s="9"/>
      <c r="H10" s="9"/>
      <c r="I10" s="9"/>
      <c r="J10" s="25">
        <v>77533</v>
      </c>
      <c r="K10" s="25">
        <v>85294</v>
      </c>
      <c r="L10" s="25">
        <v>30880</v>
      </c>
      <c r="P10" s="39" t="s">
        <v>175</v>
      </c>
      <c r="Q10" s="39" t="s">
        <v>176</v>
      </c>
      <c r="R10" s="39" t="s">
        <v>177</v>
      </c>
      <c r="AR10" s="29"/>
      <c r="CR10" s="32"/>
    </row>
    <row r="11" spans="1:96">
      <c r="A11" s="18" t="s">
        <v>18</v>
      </c>
      <c r="B11" s="21" t="s">
        <v>19</v>
      </c>
      <c r="C11" s="9">
        <v>2021</v>
      </c>
      <c r="D11" s="9">
        <v>362017</v>
      </c>
      <c r="E11" s="9"/>
      <c r="F11" s="22"/>
      <c r="G11" s="22"/>
      <c r="H11" s="9"/>
      <c r="I11" s="9"/>
      <c r="J11" s="25">
        <v>243564</v>
      </c>
      <c r="K11" s="25">
        <v>63654</v>
      </c>
      <c r="L11" s="25">
        <v>54798</v>
      </c>
      <c r="P11" s="10">
        <v>494908</v>
      </c>
      <c r="Q11" s="10">
        <v>242905</v>
      </c>
      <c r="R11" s="10">
        <v>100</v>
      </c>
      <c r="AR11" s="28"/>
      <c r="CR11" s="31"/>
    </row>
    <row r="12" spans="1:96">
      <c r="A12" s="18" t="s">
        <v>20</v>
      </c>
      <c r="B12" s="21" t="s">
        <v>21</v>
      </c>
      <c r="C12" s="9">
        <v>2021</v>
      </c>
      <c r="D12" s="9">
        <v>261710</v>
      </c>
      <c r="E12" s="9"/>
      <c r="F12" s="9"/>
      <c r="G12" s="9"/>
      <c r="H12" s="9"/>
      <c r="I12" s="9"/>
      <c r="J12" s="25">
        <v>118881</v>
      </c>
      <c r="K12" s="25">
        <v>30543</v>
      </c>
      <c r="L12" s="25">
        <v>112285</v>
      </c>
      <c r="AR12" s="29"/>
      <c r="CR12" s="31"/>
    </row>
    <row r="13" spans="1:96">
      <c r="A13" s="18" t="s">
        <v>79</v>
      </c>
      <c r="B13" s="21" t="s">
        <v>23</v>
      </c>
      <c r="C13" s="9">
        <v>2021</v>
      </c>
      <c r="D13" s="9">
        <v>67403</v>
      </c>
      <c r="E13" s="9"/>
      <c r="F13" s="9"/>
      <c r="G13" s="9"/>
      <c r="H13" s="9"/>
      <c r="I13" s="9"/>
      <c r="J13" s="25">
        <v>32583</v>
      </c>
      <c r="K13" s="25">
        <v>3334</v>
      </c>
      <c r="L13" s="25">
        <v>31487</v>
      </c>
      <c r="P13" s="39" t="s">
        <v>178</v>
      </c>
      <c r="Q13" s="39" t="s">
        <v>179</v>
      </c>
      <c r="R13" s="39" t="s">
        <v>177</v>
      </c>
      <c r="AR13" s="28"/>
      <c r="CR13" s="31"/>
    </row>
    <row r="14" spans="1:96">
      <c r="A14" s="18" t="s">
        <v>24</v>
      </c>
      <c r="B14" s="21" t="s">
        <v>25</v>
      </c>
      <c r="C14" s="9">
        <v>2021</v>
      </c>
      <c r="D14" s="9">
        <v>131037</v>
      </c>
      <c r="E14" s="9"/>
      <c r="F14" s="22"/>
      <c r="G14" s="9"/>
      <c r="H14" s="22"/>
      <c r="I14" s="9"/>
      <c r="J14" s="25">
        <v>16907</v>
      </c>
      <c r="K14" s="26">
        <v>5105</v>
      </c>
      <c r="L14" s="25">
        <v>109026</v>
      </c>
      <c r="P14" s="10">
        <v>2717500</v>
      </c>
      <c r="Q14" s="10">
        <v>487500</v>
      </c>
      <c r="R14" s="10">
        <v>100</v>
      </c>
      <c r="AR14" s="28"/>
      <c r="CR14" s="31"/>
    </row>
    <row r="15" spans="1:96">
      <c r="A15" s="18" t="s">
        <v>26</v>
      </c>
      <c r="B15" s="21" t="s">
        <v>27</v>
      </c>
      <c r="C15" s="9">
        <v>2021</v>
      </c>
      <c r="D15" s="9">
        <v>75470</v>
      </c>
      <c r="E15" s="9"/>
      <c r="F15" s="22"/>
      <c r="G15" s="9"/>
      <c r="H15" s="9"/>
      <c r="I15" s="9"/>
      <c r="J15" s="25">
        <v>14527</v>
      </c>
      <c r="K15" s="25">
        <v>27212</v>
      </c>
      <c r="L15" s="25">
        <v>33732</v>
      </c>
      <c r="AR15" s="28"/>
      <c r="CR15" s="31"/>
    </row>
    <row r="16" spans="1:96">
      <c r="A16" s="18" t="s">
        <v>80</v>
      </c>
      <c r="B16" s="21" t="s">
        <v>29</v>
      </c>
      <c r="C16" s="9">
        <v>2021</v>
      </c>
      <c r="D16" s="9">
        <v>35</v>
      </c>
      <c r="E16" s="9"/>
      <c r="F16" s="22"/>
      <c r="G16" s="22"/>
      <c r="H16" s="22"/>
      <c r="I16" s="22"/>
      <c r="J16" s="25">
        <v>35</v>
      </c>
      <c r="K16" s="26"/>
      <c r="L16" s="26"/>
      <c r="O16" s="39" t="s">
        <v>181</v>
      </c>
      <c r="P16" s="10">
        <v>2.4700000000000002</v>
      </c>
      <c r="AR16" s="28"/>
      <c r="CR16" s="31"/>
    </row>
    <row r="17" spans="1:96">
      <c r="A17" s="18" t="s">
        <v>81</v>
      </c>
      <c r="B17" s="21" t="s">
        <v>31</v>
      </c>
      <c r="C17" s="9">
        <v>2021</v>
      </c>
      <c r="D17" s="9">
        <v>2588</v>
      </c>
      <c r="E17" s="9"/>
      <c r="F17" s="22"/>
      <c r="G17" s="9"/>
      <c r="H17" s="22"/>
      <c r="I17" s="9"/>
      <c r="J17" s="25">
        <v>2206</v>
      </c>
      <c r="K17" s="26"/>
      <c r="L17" s="25">
        <v>382</v>
      </c>
      <c r="O17" s="39" t="s">
        <v>182</v>
      </c>
      <c r="P17" s="10">
        <v>29</v>
      </c>
      <c r="AR17" s="29"/>
      <c r="CR17" s="31"/>
    </row>
    <row r="18" spans="1:96">
      <c r="A18" s="18" t="s">
        <v>32</v>
      </c>
      <c r="B18" s="21" t="s">
        <v>33</v>
      </c>
      <c r="C18" s="9">
        <v>2021</v>
      </c>
      <c r="D18" s="9">
        <v>13632</v>
      </c>
      <c r="E18" s="9"/>
      <c r="F18" s="22"/>
      <c r="G18" s="9"/>
      <c r="H18" s="9"/>
      <c r="I18" s="9"/>
      <c r="J18" s="25">
        <v>8424</v>
      </c>
      <c r="K18" s="25"/>
      <c r="L18" s="25">
        <v>5208</v>
      </c>
      <c r="AR18" s="28"/>
      <c r="CR18" s="32"/>
    </row>
    <row r="19" spans="1:96">
      <c r="A19" s="18" t="s">
        <v>34</v>
      </c>
      <c r="B19" s="21" t="s">
        <v>35</v>
      </c>
      <c r="C19" s="9">
        <v>2021</v>
      </c>
      <c r="D19" s="9">
        <v>37964</v>
      </c>
      <c r="E19" s="9"/>
      <c r="F19" s="22"/>
      <c r="G19" s="9"/>
      <c r="H19" s="9"/>
      <c r="I19" s="9"/>
      <c r="J19" s="25">
        <v>10433</v>
      </c>
      <c r="K19" s="25">
        <v>14160</v>
      </c>
      <c r="L19" s="25">
        <v>13372</v>
      </c>
      <c r="AR19" s="28"/>
      <c r="CR19" s="31"/>
    </row>
    <row r="20" spans="1:96">
      <c r="A20" s="18" t="s">
        <v>82</v>
      </c>
      <c r="B20" s="21" t="s">
        <v>37</v>
      </c>
      <c r="C20" s="9">
        <v>2021</v>
      </c>
      <c r="D20" s="9">
        <v>111123</v>
      </c>
      <c r="E20" s="9"/>
      <c r="F20" s="22"/>
      <c r="G20" s="9"/>
      <c r="H20" s="9"/>
      <c r="I20" s="9"/>
      <c r="J20" s="25">
        <v>45674</v>
      </c>
      <c r="K20" s="25">
        <v>32579</v>
      </c>
      <c r="L20" s="25">
        <v>32870</v>
      </c>
      <c r="AR20" s="28"/>
      <c r="CR20" s="31"/>
    </row>
    <row r="21" spans="1:96">
      <c r="A21" s="18" t="s">
        <v>83</v>
      </c>
      <c r="B21" s="21" t="s">
        <v>39</v>
      </c>
      <c r="C21" s="9">
        <v>2021</v>
      </c>
      <c r="D21" s="9">
        <v>257812</v>
      </c>
      <c r="E21" s="9"/>
      <c r="F21" s="22"/>
      <c r="G21" s="9"/>
      <c r="H21" s="9"/>
      <c r="I21" s="9"/>
      <c r="J21" s="25">
        <v>71450</v>
      </c>
      <c r="K21" s="25">
        <v>46506</v>
      </c>
      <c r="L21" s="25">
        <v>139855</v>
      </c>
      <c r="AR21" s="28"/>
      <c r="CR21" s="31"/>
    </row>
    <row r="22" spans="1:96">
      <c r="A22" s="18" t="s">
        <v>40</v>
      </c>
      <c r="B22" s="21" t="s">
        <v>41</v>
      </c>
      <c r="C22" s="9">
        <v>2021</v>
      </c>
      <c r="D22" s="9">
        <v>15491</v>
      </c>
      <c r="E22" s="9"/>
      <c r="F22" s="22"/>
      <c r="G22" s="9"/>
      <c r="H22" s="22"/>
      <c r="I22" s="9"/>
      <c r="J22" s="25">
        <v>8010</v>
      </c>
      <c r="K22" s="26"/>
      <c r="L22" s="25">
        <v>7481</v>
      </c>
      <c r="AR22" s="28"/>
      <c r="CR22" s="31"/>
    </row>
    <row r="23" spans="1:96">
      <c r="A23" s="18" t="s">
        <v>84</v>
      </c>
      <c r="B23" s="21" t="s">
        <v>43</v>
      </c>
      <c r="C23" s="9">
        <v>2021</v>
      </c>
      <c r="D23" s="9">
        <v>114527</v>
      </c>
      <c r="E23" s="9"/>
      <c r="F23" s="9"/>
      <c r="G23" s="22"/>
      <c r="H23" s="9"/>
      <c r="I23" s="9"/>
      <c r="J23" s="25">
        <v>63057</v>
      </c>
      <c r="K23" s="25">
        <v>22335</v>
      </c>
      <c r="L23" s="25">
        <v>29135</v>
      </c>
      <c r="AR23" s="28"/>
      <c r="CR23" s="31"/>
    </row>
    <row r="24" spans="1:96">
      <c r="A24" s="18" t="s">
        <v>85</v>
      </c>
      <c r="B24" s="21" t="s">
        <v>45</v>
      </c>
      <c r="C24" s="9">
        <v>2021</v>
      </c>
      <c r="D24" s="9">
        <v>176322</v>
      </c>
      <c r="E24" s="9"/>
      <c r="F24" s="22"/>
      <c r="G24" s="9"/>
      <c r="H24" s="9"/>
      <c r="I24" s="9"/>
      <c r="J24" s="25">
        <v>50094</v>
      </c>
      <c r="K24" s="25">
        <v>64218</v>
      </c>
      <c r="L24" s="25">
        <v>62009</v>
      </c>
      <c r="AR24" s="28"/>
      <c r="CR24" s="31"/>
    </row>
    <row r="25" spans="1:96">
      <c r="A25" s="18" t="s">
        <v>46</v>
      </c>
      <c r="B25" s="21" t="s">
        <v>47</v>
      </c>
      <c r="C25" s="9">
        <v>2021</v>
      </c>
      <c r="D25" s="9">
        <v>300184</v>
      </c>
      <c r="E25" s="9"/>
      <c r="F25" s="22"/>
      <c r="G25" s="9"/>
      <c r="H25" s="9"/>
      <c r="I25" s="9"/>
      <c r="J25" s="25">
        <v>103447</v>
      </c>
      <c r="K25" s="25">
        <v>70462</v>
      </c>
      <c r="L25" s="25">
        <v>126275</v>
      </c>
      <c r="AR25" s="28"/>
      <c r="CR25" s="31"/>
    </row>
    <row r="26" spans="1:96">
      <c r="A26" s="18" t="s">
        <v>48</v>
      </c>
      <c r="B26" s="21" t="s">
        <v>49</v>
      </c>
      <c r="C26" s="9">
        <v>2021</v>
      </c>
      <c r="D26" s="9">
        <v>175918</v>
      </c>
      <c r="E26" s="9"/>
      <c r="F26" s="22"/>
      <c r="G26" s="9"/>
      <c r="H26" s="9"/>
      <c r="I26" s="9"/>
      <c r="J26" s="25">
        <v>103284</v>
      </c>
      <c r="K26" s="25">
        <v>29129</v>
      </c>
      <c r="L26" s="25">
        <v>43504</v>
      </c>
      <c r="AR26" s="28"/>
      <c r="CR26" s="31"/>
    </row>
    <row r="27" spans="1:96">
      <c r="A27" s="18" t="s">
        <v>86</v>
      </c>
      <c r="B27" s="21" t="s">
        <v>51</v>
      </c>
      <c r="C27" s="9">
        <v>2021</v>
      </c>
      <c r="D27" s="9">
        <v>119183</v>
      </c>
      <c r="E27" s="9"/>
      <c r="F27" s="22"/>
      <c r="G27" s="9"/>
      <c r="H27" s="9"/>
      <c r="I27" s="9"/>
      <c r="J27" s="25">
        <v>85109</v>
      </c>
      <c r="K27" s="25">
        <v>3122</v>
      </c>
      <c r="L27" s="25">
        <v>30952</v>
      </c>
      <c r="AR27" s="28"/>
      <c r="CR27" s="31"/>
    </row>
    <row r="28" spans="1:96">
      <c r="A28" s="18" t="s">
        <v>87</v>
      </c>
      <c r="B28" s="21" t="s">
        <v>53</v>
      </c>
      <c r="C28" s="9">
        <v>2021</v>
      </c>
      <c r="D28" s="9">
        <v>10517</v>
      </c>
      <c r="E28" s="9"/>
      <c r="F28" s="22"/>
      <c r="G28" s="9"/>
      <c r="H28" s="22"/>
      <c r="I28" s="9"/>
      <c r="J28" s="25">
        <v>10510</v>
      </c>
      <c r="K28" s="26"/>
      <c r="L28" s="25">
        <v>8</v>
      </c>
      <c r="AR28" s="28"/>
      <c r="CR28" s="33"/>
    </row>
    <row r="29" spans="1:96">
      <c r="A29" s="18" t="s">
        <v>54</v>
      </c>
      <c r="B29" s="21" t="s">
        <v>55</v>
      </c>
      <c r="C29" s="9">
        <v>2021</v>
      </c>
      <c r="D29" s="9">
        <v>133463</v>
      </c>
      <c r="E29" s="9"/>
      <c r="F29" s="22"/>
      <c r="G29" s="22"/>
      <c r="H29" s="9"/>
      <c r="I29" s="9"/>
      <c r="J29" s="25">
        <v>19889</v>
      </c>
      <c r="K29" s="25">
        <v>28533</v>
      </c>
      <c r="L29" s="25">
        <v>85042</v>
      </c>
      <c r="AR29" s="28"/>
    </row>
    <row r="30" spans="1:96">
      <c r="A30" s="18" t="s">
        <v>56</v>
      </c>
      <c r="B30" s="21" t="s">
        <v>57</v>
      </c>
      <c r="C30" s="9">
        <v>2021</v>
      </c>
      <c r="D30" s="9">
        <v>163238</v>
      </c>
      <c r="E30" s="9"/>
      <c r="F30" s="9"/>
      <c r="G30" s="9"/>
      <c r="H30" s="9"/>
      <c r="I30" s="9"/>
      <c r="J30" s="25">
        <v>21557</v>
      </c>
      <c r="K30" s="25">
        <v>69580</v>
      </c>
      <c r="L30" s="25">
        <v>72101</v>
      </c>
      <c r="AR30" s="28"/>
    </row>
    <row r="31" spans="1:96">
      <c r="A31" s="18" t="s">
        <v>88</v>
      </c>
      <c r="B31" s="21" t="s">
        <v>59</v>
      </c>
      <c r="C31" s="9">
        <v>2021</v>
      </c>
      <c r="D31" s="9">
        <v>184517</v>
      </c>
      <c r="E31" s="9"/>
      <c r="F31" s="22"/>
      <c r="G31" s="9"/>
      <c r="H31" s="9"/>
      <c r="I31" s="9"/>
      <c r="J31" s="25">
        <v>49212</v>
      </c>
      <c r="K31" s="25">
        <v>3332</v>
      </c>
      <c r="L31" s="25">
        <v>131974</v>
      </c>
      <c r="AR31" s="28"/>
    </row>
    <row r="32" spans="1:96">
      <c r="A32" s="18" t="s">
        <v>89</v>
      </c>
      <c r="B32" s="21" t="s">
        <v>61</v>
      </c>
      <c r="C32" s="9">
        <v>2021</v>
      </c>
      <c r="D32" s="9">
        <v>186903</v>
      </c>
      <c r="E32" s="9"/>
      <c r="F32" s="22"/>
      <c r="G32" s="9"/>
      <c r="H32" s="9"/>
      <c r="I32" s="9"/>
      <c r="J32" s="25">
        <v>33263</v>
      </c>
      <c r="K32" s="25">
        <v>64804</v>
      </c>
      <c r="L32" s="25">
        <v>88836</v>
      </c>
      <c r="AR32" s="28"/>
    </row>
    <row r="33" spans="1:96">
      <c r="A33" s="18" t="s">
        <v>90</v>
      </c>
      <c r="B33" s="21" t="s">
        <v>63</v>
      </c>
      <c r="C33" s="9">
        <v>2021</v>
      </c>
      <c r="D33" s="9">
        <v>66937</v>
      </c>
      <c r="E33" s="9"/>
      <c r="F33" s="22"/>
      <c r="G33" s="22"/>
      <c r="H33" s="9"/>
      <c r="I33" s="22"/>
      <c r="J33" s="25">
        <v>65681</v>
      </c>
      <c r="K33" s="25">
        <v>1256</v>
      </c>
      <c r="L33" s="26"/>
      <c r="AR33" s="28"/>
    </row>
    <row r="34" spans="1:96">
      <c r="A34" s="18" t="s">
        <v>91</v>
      </c>
      <c r="B34" s="21" t="s">
        <v>65</v>
      </c>
      <c r="C34" s="9">
        <v>2021</v>
      </c>
      <c r="D34" s="9">
        <v>381952</v>
      </c>
      <c r="E34" s="9"/>
      <c r="F34" s="9"/>
      <c r="G34" s="9"/>
      <c r="H34" s="9"/>
      <c r="I34" s="9"/>
      <c r="J34" s="25">
        <v>97336</v>
      </c>
      <c r="K34" s="25">
        <v>174312</v>
      </c>
      <c r="L34" s="25">
        <v>110305</v>
      </c>
      <c r="AR34" s="29"/>
    </row>
    <row r="35" spans="1:96">
      <c r="A35" s="18" t="s">
        <v>66</v>
      </c>
      <c r="B35" s="21" t="s">
        <v>67</v>
      </c>
      <c r="C35" s="9">
        <v>2021</v>
      </c>
      <c r="D35" s="9">
        <v>252005</v>
      </c>
      <c r="E35" s="9"/>
      <c r="F35" s="22"/>
      <c r="G35" s="22"/>
      <c r="H35" s="9"/>
      <c r="I35" s="9"/>
      <c r="J35" s="25">
        <v>103002</v>
      </c>
      <c r="K35" s="25">
        <v>52080</v>
      </c>
      <c r="L35" s="25">
        <v>96923</v>
      </c>
      <c r="AR35" s="28"/>
    </row>
    <row r="36" spans="1:96">
      <c r="A36" s="18" t="s">
        <v>92</v>
      </c>
      <c r="B36" s="21" t="s">
        <v>69</v>
      </c>
      <c r="C36" s="9">
        <v>2021</v>
      </c>
      <c r="D36" s="9">
        <v>146631</v>
      </c>
      <c r="E36" s="9"/>
      <c r="F36" s="22"/>
      <c r="G36" s="22"/>
      <c r="H36" s="9"/>
      <c r="I36" s="9"/>
      <c r="J36" s="25">
        <v>22737</v>
      </c>
      <c r="K36" s="25">
        <v>80750</v>
      </c>
      <c r="L36" s="25">
        <v>43143</v>
      </c>
      <c r="AR36" s="28"/>
    </row>
    <row r="37" spans="1:96">
      <c r="A37" s="18" t="s">
        <v>70</v>
      </c>
      <c r="B37" s="21" t="s">
        <v>71</v>
      </c>
      <c r="C37" s="9">
        <v>2021</v>
      </c>
      <c r="D37" s="9">
        <v>109814</v>
      </c>
      <c r="E37" s="9"/>
      <c r="F37" s="22"/>
      <c r="G37" s="22"/>
      <c r="H37" s="9"/>
      <c r="I37" s="9"/>
      <c r="J37" s="25">
        <v>52691</v>
      </c>
      <c r="K37" s="25">
        <v>4723</v>
      </c>
      <c r="L37" s="25">
        <v>52401</v>
      </c>
      <c r="AR37" s="28"/>
    </row>
    <row r="38" spans="1:96">
      <c r="A38" s="18" t="s">
        <v>93</v>
      </c>
      <c r="B38" s="21" t="s">
        <v>73</v>
      </c>
      <c r="C38" s="9">
        <v>2021</v>
      </c>
      <c r="D38" s="9">
        <v>128487</v>
      </c>
      <c r="E38" s="9"/>
      <c r="F38" s="9"/>
      <c r="G38" s="9"/>
      <c r="H38" s="9"/>
      <c r="I38" s="9"/>
      <c r="J38" s="25">
        <v>27680</v>
      </c>
      <c r="K38" s="25">
        <v>74834</v>
      </c>
      <c r="L38" s="25">
        <v>25974</v>
      </c>
      <c r="AR38" s="28"/>
    </row>
    <row r="39" spans="1:96">
      <c r="A39" s="18" t="s">
        <v>74</v>
      </c>
      <c r="B39" s="21" t="s">
        <v>75</v>
      </c>
      <c r="C39" s="9">
        <v>2021</v>
      </c>
      <c r="D39" s="9">
        <v>13261</v>
      </c>
      <c r="E39" s="9"/>
      <c r="F39" s="22"/>
      <c r="G39" s="22"/>
      <c r="H39" s="22"/>
      <c r="I39" s="9"/>
      <c r="J39" s="25">
        <v>285</v>
      </c>
      <c r="K39" s="26"/>
      <c r="L39" s="25">
        <v>12977</v>
      </c>
      <c r="AR39" s="28"/>
    </row>
    <row r="40" spans="1:96">
      <c r="A40" s="49"/>
      <c r="B40" s="17"/>
      <c r="C40" s="31"/>
      <c r="D40" s="31"/>
      <c r="E40" s="31"/>
      <c r="F40" s="32"/>
      <c r="G40" s="32"/>
      <c r="H40" s="32"/>
      <c r="I40" s="31"/>
      <c r="J40" s="51"/>
      <c r="K40" s="52"/>
      <c r="L40" s="51"/>
      <c r="AR40" s="28"/>
    </row>
    <row r="41" spans="1:96">
      <c r="A41" s="49"/>
      <c r="B41" s="17"/>
      <c r="C41" s="31"/>
      <c r="D41" s="31"/>
      <c r="E41" s="31"/>
      <c r="F41" s="32"/>
      <c r="G41" s="32"/>
      <c r="H41" s="32"/>
      <c r="I41" s="31"/>
      <c r="J41" s="51"/>
      <c r="K41" s="52"/>
      <c r="L41" s="51"/>
      <c r="AR41" s="28"/>
    </row>
    <row r="42" spans="1:96">
      <c r="A42" s="49"/>
      <c r="B42" s="17"/>
      <c r="C42" s="31"/>
      <c r="D42" s="31"/>
      <c r="E42" s="31"/>
      <c r="F42" s="32"/>
      <c r="G42" s="32"/>
      <c r="H42" s="32"/>
      <c r="I42" s="31"/>
      <c r="J42" s="51"/>
      <c r="K42" s="52"/>
      <c r="L42" s="51"/>
      <c r="AR42" s="28"/>
    </row>
    <row r="43" spans="1:96">
      <c r="A43" s="17" t="s">
        <v>164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CR43" s="31"/>
    </row>
    <row r="44" spans="1:96">
      <c r="A44" s="17" t="s">
        <v>167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CR44" s="31"/>
    </row>
    <row r="45" spans="1:96">
      <c r="A45" s="17" t="s">
        <v>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CR45" s="31"/>
    </row>
    <row r="46" spans="1:96">
      <c r="A46" s="17" t="s">
        <v>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CR46" s="31"/>
    </row>
    <row r="47" spans="1:96">
      <c r="A47" s="158" t="s">
        <v>3</v>
      </c>
      <c r="B47" s="158" t="s">
        <v>4</v>
      </c>
      <c r="C47" s="156" t="s">
        <v>104</v>
      </c>
      <c r="D47" s="154" t="s">
        <v>76</v>
      </c>
      <c r="E47" s="159" t="s">
        <v>6</v>
      </c>
      <c r="F47" s="160"/>
      <c r="G47" s="160"/>
      <c r="H47" s="160"/>
      <c r="I47" s="160"/>
      <c r="J47" s="160"/>
      <c r="K47" s="160"/>
      <c r="L47" s="161"/>
      <c r="CR47" s="31"/>
    </row>
    <row r="48" spans="1:96" ht="72">
      <c r="A48" s="155"/>
      <c r="B48" s="155"/>
      <c r="C48" s="157"/>
      <c r="D48" s="155"/>
      <c r="E48" s="8" t="s">
        <v>105</v>
      </c>
      <c r="F48" s="8" t="s">
        <v>106</v>
      </c>
      <c r="G48" s="8" t="s">
        <v>107</v>
      </c>
      <c r="H48" s="8" t="s">
        <v>108</v>
      </c>
      <c r="I48" s="8" t="s">
        <v>109</v>
      </c>
      <c r="J48" s="23" t="s">
        <v>7</v>
      </c>
      <c r="K48" s="23" t="s">
        <v>8</v>
      </c>
      <c r="L48" s="23" t="s">
        <v>9</v>
      </c>
      <c r="CR48" s="32"/>
    </row>
    <row r="49" spans="1:96">
      <c r="A49" s="19" t="s">
        <v>10</v>
      </c>
      <c r="B49" s="20" t="s">
        <v>11</v>
      </c>
      <c r="C49" s="9">
        <v>2021</v>
      </c>
      <c r="D49" s="9">
        <v>3754373</v>
      </c>
      <c r="E49" s="9"/>
      <c r="F49" s="9"/>
      <c r="G49" s="9"/>
      <c r="H49" s="9"/>
      <c r="I49" s="9"/>
      <c r="J49" s="25">
        <v>1507927</v>
      </c>
      <c r="K49" s="25">
        <v>1235098</v>
      </c>
      <c r="L49" s="25">
        <v>1011349</v>
      </c>
      <c r="CR49" s="31"/>
    </row>
    <row r="50" spans="1:96">
      <c r="A50" s="18" t="s">
        <v>77</v>
      </c>
      <c r="B50" s="21" t="s">
        <v>13</v>
      </c>
      <c r="C50" s="9">
        <v>2021</v>
      </c>
      <c r="D50" s="9">
        <v>24783</v>
      </c>
      <c r="E50" s="9"/>
      <c r="F50" s="22"/>
      <c r="G50" s="22"/>
      <c r="H50" s="9"/>
      <c r="I50" s="22"/>
      <c r="J50" s="25">
        <v>8115</v>
      </c>
      <c r="K50" s="25">
        <v>16669</v>
      </c>
      <c r="L50" s="26"/>
      <c r="AR50" s="28"/>
      <c r="CR50" s="31"/>
    </row>
    <row r="51" spans="1:96">
      <c r="A51" s="18" t="s">
        <v>78</v>
      </c>
      <c r="B51" s="21" t="s">
        <v>15</v>
      </c>
      <c r="C51" s="9">
        <v>2021</v>
      </c>
      <c r="D51" s="9">
        <v>5396</v>
      </c>
      <c r="E51" s="9"/>
      <c r="F51" s="22"/>
      <c r="G51" s="22"/>
      <c r="H51" s="22"/>
      <c r="I51" s="9"/>
      <c r="J51" s="25">
        <v>0</v>
      </c>
      <c r="K51" s="26">
        <v>5396</v>
      </c>
      <c r="L51" s="25"/>
      <c r="AR51" s="28"/>
      <c r="CR51" s="31"/>
    </row>
    <row r="52" spans="1:96">
      <c r="A52" s="18" t="s">
        <v>16</v>
      </c>
      <c r="B52" s="21" t="s">
        <v>17</v>
      </c>
      <c r="C52" s="9">
        <v>2021</v>
      </c>
      <c r="D52" s="9">
        <v>181389</v>
      </c>
      <c r="E52" s="9"/>
      <c r="F52" s="9"/>
      <c r="G52" s="9"/>
      <c r="H52" s="9"/>
      <c r="I52" s="9"/>
      <c r="J52" s="25">
        <v>82574</v>
      </c>
      <c r="K52" s="25">
        <v>47684</v>
      </c>
      <c r="L52" s="25">
        <v>51130</v>
      </c>
      <c r="AR52" s="29"/>
      <c r="CR52" s="32"/>
    </row>
    <row r="53" spans="1:96">
      <c r="A53" s="18" t="s">
        <v>18</v>
      </c>
      <c r="B53" s="21" t="s">
        <v>19</v>
      </c>
      <c r="C53" s="9">
        <v>2021</v>
      </c>
      <c r="D53" s="9">
        <v>338830</v>
      </c>
      <c r="E53" s="9"/>
      <c r="F53" s="22"/>
      <c r="G53" s="22"/>
      <c r="H53" s="9"/>
      <c r="I53" s="9"/>
      <c r="J53" s="25">
        <v>245196</v>
      </c>
      <c r="K53" s="25">
        <v>83538</v>
      </c>
      <c r="L53" s="25">
        <v>10096</v>
      </c>
      <c r="AR53" s="28"/>
      <c r="CR53" s="31"/>
    </row>
    <row r="54" spans="1:96">
      <c r="A54" s="18" t="s">
        <v>20</v>
      </c>
      <c r="B54" s="21" t="s">
        <v>21</v>
      </c>
      <c r="C54" s="9">
        <v>2021</v>
      </c>
      <c r="D54" s="9">
        <v>272951</v>
      </c>
      <c r="E54" s="9"/>
      <c r="F54" s="9"/>
      <c r="G54" s="9"/>
      <c r="H54" s="9"/>
      <c r="I54" s="9"/>
      <c r="J54" s="25">
        <v>152001</v>
      </c>
      <c r="K54" s="25">
        <v>63869</v>
      </c>
      <c r="L54" s="25">
        <v>57081</v>
      </c>
      <c r="AR54" s="29"/>
      <c r="CR54" s="31"/>
    </row>
    <row r="55" spans="1:96">
      <c r="A55" s="18" t="s">
        <v>79</v>
      </c>
      <c r="B55" s="21" t="s">
        <v>23</v>
      </c>
      <c r="C55" s="9">
        <v>2021</v>
      </c>
      <c r="D55" s="9">
        <v>56559</v>
      </c>
      <c r="E55" s="9"/>
      <c r="F55" s="9"/>
      <c r="G55" s="9"/>
      <c r="H55" s="9"/>
      <c r="I55" s="9"/>
      <c r="J55" s="25">
        <v>23856</v>
      </c>
      <c r="K55" s="25">
        <v>3835</v>
      </c>
      <c r="L55" s="25">
        <v>28867</v>
      </c>
      <c r="AR55" s="28"/>
      <c r="CR55" s="31"/>
    </row>
    <row r="56" spans="1:96">
      <c r="A56" s="18" t="s">
        <v>24</v>
      </c>
      <c r="B56" s="21" t="s">
        <v>25</v>
      </c>
      <c r="C56" s="9">
        <v>2021</v>
      </c>
      <c r="D56" s="9">
        <v>105897</v>
      </c>
      <c r="E56" s="9"/>
      <c r="F56" s="22"/>
      <c r="G56" s="9"/>
      <c r="H56" s="22"/>
      <c r="I56" s="9"/>
      <c r="J56" s="25">
        <v>14431</v>
      </c>
      <c r="K56" s="26">
        <v>23092</v>
      </c>
      <c r="L56" s="25">
        <v>68375</v>
      </c>
      <c r="AR56" s="28"/>
      <c r="CR56" s="31"/>
    </row>
    <row r="57" spans="1:96">
      <c r="A57" s="18" t="s">
        <v>26</v>
      </c>
      <c r="B57" s="21" t="s">
        <v>27</v>
      </c>
      <c r="C57" s="9">
        <v>2021</v>
      </c>
      <c r="D57" s="9">
        <v>95686</v>
      </c>
      <c r="E57" s="9"/>
      <c r="F57" s="22"/>
      <c r="G57" s="9"/>
      <c r="H57" s="9"/>
      <c r="I57" s="9"/>
      <c r="J57" s="25">
        <v>23244</v>
      </c>
      <c r="K57" s="25">
        <v>23470</v>
      </c>
      <c r="L57" s="25">
        <v>48971</v>
      </c>
      <c r="AR57" s="28"/>
      <c r="CR57" s="31"/>
    </row>
    <row r="58" spans="1:96">
      <c r="A58" s="18" t="s">
        <v>80</v>
      </c>
      <c r="B58" s="21" t="s">
        <v>29</v>
      </c>
      <c r="C58" s="9">
        <v>2021</v>
      </c>
      <c r="D58" s="9"/>
      <c r="E58" s="9"/>
      <c r="F58" s="22"/>
      <c r="G58" s="22"/>
      <c r="H58" s="22"/>
      <c r="I58" s="22"/>
      <c r="J58" s="25"/>
      <c r="K58" s="26"/>
      <c r="L58" s="26"/>
      <c r="AR58" s="28"/>
      <c r="CR58" s="31"/>
    </row>
    <row r="59" spans="1:96">
      <c r="A59" s="18" t="s">
        <v>81</v>
      </c>
      <c r="B59" s="21" t="s">
        <v>31</v>
      </c>
      <c r="C59" s="9">
        <v>2021</v>
      </c>
      <c r="D59" s="9">
        <v>3211</v>
      </c>
      <c r="E59" s="9"/>
      <c r="F59" s="22"/>
      <c r="G59" s="9"/>
      <c r="H59" s="22"/>
      <c r="I59" s="9"/>
      <c r="J59" s="25">
        <v>2692</v>
      </c>
      <c r="K59" s="26"/>
      <c r="L59" s="25">
        <v>519</v>
      </c>
      <c r="AR59" s="29"/>
      <c r="CR59" s="31"/>
    </row>
    <row r="60" spans="1:96">
      <c r="A60" s="18" t="s">
        <v>32</v>
      </c>
      <c r="B60" s="21" t="s">
        <v>33</v>
      </c>
      <c r="C60" s="9">
        <v>2021</v>
      </c>
      <c r="D60" s="9">
        <v>23975</v>
      </c>
      <c r="E60" s="9"/>
      <c r="F60" s="22"/>
      <c r="G60" s="9"/>
      <c r="H60" s="9"/>
      <c r="I60" s="9"/>
      <c r="J60" s="25">
        <v>8862</v>
      </c>
      <c r="K60" s="25">
        <v>4173</v>
      </c>
      <c r="L60" s="25">
        <v>10940</v>
      </c>
      <c r="AR60" s="28"/>
      <c r="CR60" s="32"/>
    </row>
    <row r="61" spans="1:96">
      <c r="A61" s="18" t="s">
        <v>34</v>
      </c>
      <c r="B61" s="21" t="s">
        <v>35</v>
      </c>
      <c r="C61" s="9">
        <v>2021</v>
      </c>
      <c r="D61" s="9">
        <v>52735</v>
      </c>
      <c r="E61" s="9"/>
      <c r="F61" s="22"/>
      <c r="G61" s="9"/>
      <c r="H61" s="9"/>
      <c r="I61" s="9"/>
      <c r="J61" s="25">
        <v>10014</v>
      </c>
      <c r="K61" s="25">
        <v>29788</v>
      </c>
      <c r="L61" s="25">
        <v>12933</v>
      </c>
      <c r="AR61" s="28"/>
      <c r="CR61" s="31"/>
    </row>
    <row r="62" spans="1:96">
      <c r="A62" s="18" t="s">
        <v>82</v>
      </c>
      <c r="B62" s="21" t="s">
        <v>37</v>
      </c>
      <c r="C62" s="9">
        <v>2021</v>
      </c>
      <c r="D62" s="9">
        <v>96935</v>
      </c>
      <c r="E62" s="9"/>
      <c r="F62" s="22"/>
      <c r="G62" s="9"/>
      <c r="H62" s="9"/>
      <c r="I62" s="9"/>
      <c r="J62" s="25">
        <v>29230</v>
      </c>
      <c r="K62" s="25">
        <v>43984</v>
      </c>
      <c r="L62" s="25">
        <v>23722</v>
      </c>
      <c r="AR62" s="28"/>
      <c r="CR62" s="31"/>
    </row>
    <row r="63" spans="1:96">
      <c r="A63" s="18" t="s">
        <v>83</v>
      </c>
      <c r="B63" s="21" t="s">
        <v>39</v>
      </c>
      <c r="C63" s="9">
        <v>2021</v>
      </c>
      <c r="D63" s="9">
        <v>256815</v>
      </c>
      <c r="E63" s="9"/>
      <c r="F63" s="22"/>
      <c r="G63" s="9"/>
      <c r="H63" s="9"/>
      <c r="I63" s="9"/>
      <c r="J63" s="25">
        <v>61960</v>
      </c>
      <c r="K63" s="25">
        <v>81839</v>
      </c>
      <c r="L63" s="25">
        <v>113015</v>
      </c>
      <c r="AR63" s="28"/>
      <c r="CR63" s="31"/>
    </row>
    <row r="64" spans="1:96">
      <c r="A64" s="18" t="s">
        <v>40</v>
      </c>
      <c r="B64" s="21" t="s">
        <v>41</v>
      </c>
      <c r="C64" s="9">
        <v>2021</v>
      </c>
      <c r="D64" s="9">
        <v>11820</v>
      </c>
      <c r="E64" s="9"/>
      <c r="F64" s="22"/>
      <c r="G64" s="9"/>
      <c r="H64" s="22"/>
      <c r="I64" s="9"/>
      <c r="J64" s="25">
        <v>8769</v>
      </c>
      <c r="K64" s="26"/>
      <c r="L64" s="25">
        <v>3052</v>
      </c>
      <c r="AR64" s="28"/>
      <c r="CR64" s="31"/>
    </row>
    <row r="65" spans="1:96">
      <c r="A65" s="18" t="s">
        <v>84</v>
      </c>
      <c r="B65" s="21" t="s">
        <v>43</v>
      </c>
      <c r="C65" s="9">
        <v>2021</v>
      </c>
      <c r="D65" s="9">
        <v>147507</v>
      </c>
      <c r="E65" s="9"/>
      <c r="F65" s="9"/>
      <c r="G65" s="22"/>
      <c r="H65" s="9"/>
      <c r="I65" s="9"/>
      <c r="J65" s="25">
        <v>114470</v>
      </c>
      <c r="K65" s="25">
        <v>16653</v>
      </c>
      <c r="L65" s="25">
        <v>16385</v>
      </c>
      <c r="AR65" s="28"/>
      <c r="CR65" s="31"/>
    </row>
    <row r="66" spans="1:96">
      <c r="A66" s="18" t="s">
        <v>85</v>
      </c>
      <c r="B66" s="21" t="s">
        <v>45</v>
      </c>
      <c r="C66" s="9">
        <v>2021</v>
      </c>
      <c r="D66" s="9">
        <v>138489</v>
      </c>
      <c r="E66" s="9"/>
      <c r="F66" s="22"/>
      <c r="G66" s="9"/>
      <c r="H66" s="9"/>
      <c r="I66" s="9"/>
      <c r="J66" s="25">
        <v>32426</v>
      </c>
      <c r="K66" s="25">
        <v>80534</v>
      </c>
      <c r="L66" s="25">
        <v>25529</v>
      </c>
      <c r="AR66" s="28"/>
      <c r="CR66" s="31"/>
    </row>
    <row r="67" spans="1:96">
      <c r="A67" s="18" t="s">
        <v>46</v>
      </c>
      <c r="B67" s="21" t="s">
        <v>47</v>
      </c>
      <c r="C67" s="9">
        <v>2021</v>
      </c>
      <c r="D67" s="9">
        <v>153227</v>
      </c>
      <c r="E67" s="9"/>
      <c r="F67" s="22"/>
      <c r="G67" s="9"/>
      <c r="H67" s="9"/>
      <c r="I67" s="9"/>
      <c r="J67" s="25">
        <v>67863</v>
      </c>
      <c r="K67" s="25">
        <v>45847</v>
      </c>
      <c r="L67" s="25">
        <v>39516</v>
      </c>
      <c r="AR67" s="28"/>
      <c r="CR67" s="31"/>
    </row>
    <row r="68" spans="1:96">
      <c r="A68" s="18" t="s">
        <v>48</v>
      </c>
      <c r="B68" s="21" t="s">
        <v>49</v>
      </c>
      <c r="C68" s="9">
        <v>2021</v>
      </c>
      <c r="D68" s="9">
        <v>58234</v>
      </c>
      <c r="E68" s="9"/>
      <c r="F68" s="22"/>
      <c r="G68" s="9"/>
      <c r="H68" s="9"/>
      <c r="I68" s="9"/>
      <c r="J68" s="25">
        <v>10686</v>
      </c>
      <c r="K68" s="25">
        <v>24333</v>
      </c>
      <c r="L68" s="25">
        <v>23214</v>
      </c>
      <c r="AR68" s="28"/>
      <c r="CR68" s="31"/>
    </row>
    <row r="69" spans="1:96">
      <c r="A69" s="18" t="s">
        <v>86</v>
      </c>
      <c r="B69" s="21" t="s">
        <v>51</v>
      </c>
      <c r="C69" s="9">
        <v>2021</v>
      </c>
      <c r="D69" s="9">
        <v>194768</v>
      </c>
      <c r="E69" s="9"/>
      <c r="F69" s="22"/>
      <c r="G69" s="9"/>
      <c r="H69" s="9"/>
      <c r="I69" s="9"/>
      <c r="J69" s="25">
        <v>61549</v>
      </c>
      <c r="K69" s="25">
        <v>20609</v>
      </c>
      <c r="L69" s="25">
        <v>112611</v>
      </c>
      <c r="AR69" s="28"/>
      <c r="CR69" s="31"/>
    </row>
    <row r="70" spans="1:96">
      <c r="A70" s="18" t="s">
        <v>87</v>
      </c>
      <c r="B70" s="21" t="s">
        <v>53</v>
      </c>
      <c r="C70" s="9">
        <v>2021</v>
      </c>
      <c r="D70" s="9">
        <v>8936</v>
      </c>
      <c r="E70" s="9"/>
      <c r="F70" s="22"/>
      <c r="G70" s="9"/>
      <c r="H70" s="22"/>
      <c r="I70" s="9"/>
      <c r="J70" s="25">
        <v>8936</v>
      </c>
      <c r="K70" s="26"/>
      <c r="L70" s="25">
        <v>0</v>
      </c>
      <c r="AR70" s="28"/>
      <c r="CR70" s="33"/>
    </row>
    <row r="71" spans="1:96">
      <c r="A71" s="18" t="s">
        <v>54</v>
      </c>
      <c r="B71" s="21" t="s">
        <v>55</v>
      </c>
      <c r="C71" s="9">
        <v>2021</v>
      </c>
      <c r="D71" s="9">
        <v>117661</v>
      </c>
      <c r="E71" s="9"/>
      <c r="F71" s="22"/>
      <c r="G71" s="22"/>
      <c r="H71" s="9"/>
      <c r="I71" s="9"/>
      <c r="J71" s="25">
        <v>20684</v>
      </c>
      <c r="K71" s="25">
        <v>42439</v>
      </c>
      <c r="L71" s="25">
        <v>54538</v>
      </c>
      <c r="AR71" s="28"/>
    </row>
    <row r="72" spans="1:96">
      <c r="A72" s="18" t="s">
        <v>56</v>
      </c>
      <c r="B72" s="21" t="s">
        <v>57</v>
      </c>
      <c r="C72" s="9">
        <v>2021</v>
      </c>
      <c r="D72" s="9">
        <v>186389</v>
      </c>
      <c r="E72" s="9"/>
      <c r="F72" s="9"/>
      <c r="G72" s="9"/>
      <c r="H72" s="9"/>
      <c r="I72" s="9"/>
      <c r="J72" s="25">
        <v>42576</v>
      </c>
      <c r="K72" s="25">
        <v>111312</v>
      </c>
      <c r="L72" s="25">
        <v>32502</v>
      </c>
      <c r="AR72" s="28"/>
    </row>
    <row r="73" spans="1:96">
      <c r="A73" s="18" t="s">
        <v>88</v>
      </c>
      <c r="B73" s="21" t="s">
        <v>59</v>
      </c>
      <c r="C73" s="9">
        <v>2021</v>
      </c>
      <c r="D73" s="9">
        <v>35434</v>
      </c>
      <c r="E73" s="9"/>
      <c r="F73" s="22"/>
      <c r="G73" s="9"/>
      <c r="H73" s="9"/>
      <c r="I73" s="9"/>
      <c r="J73" s="25">
        <v>5993</v>
      </c>
      <c r="K73" s="25">
        <v>11995</v>
      </c>
      <c r="L73" s="25">
        <v>17446</v>
      </c>
      <c r="AR73" s="28"/>
    </row>
    <row r="74" spans="1:96">
      <c r="A74" s="18" t="s">
        <v>89</v>
      </c>
      <c r="B74" s="21" t="s">
        <v>61</v>
      </c>
      <c r="C74" s="9">
        <v>2021</v>
      </c>
      <c r="D74" s="9">
        <v>149132</v>
      </c>
      <c r="E74" s="9"/>
      <c r="F74" s="22"/>
      <c r="G74" s="9"/>
      <c r="H74" s="9"/>
      <c r="I74" s="9"/>
      <c r="J74" s="25">
        <v>37436</v>
      </c>
      <c r="K74" s="25">
        <v>79675</v>
      </c>
      <c r="L74" s="25">
        <v>32020</v>
      </c>
      <c r="AR74" s="28"/>
    </row>
    <row r="75" spans="1:96">
      <c r="A75" s="18" t="s">
        <v>90</v>
      </c>
      <c r="B75" s="21" t="s">
        <v>63</v>
      </c>
      <c r="C75" s="9">
        <v>2021</v>
      </c>
      <c r="D75" s="9">
        <v>70563</v>
      </c>
      <c r="E75" s="9"/>
      <c r="F75" s="22"/>
      <c r="G75" s="22"/>
      <c r="H75" s="9"/>
      <c r="I75" s="22"/>
      <c r="J75" s="25">
        <v>50565</v>
      </c>
      <c r="K75" s="25">
        <v>19998</v>
      </c>
      <c r="L75" s="26"/>
      <c r="AR75" s="28"/>
    </row>
    <row r="76" spans="1:96">
      <c r="A76" s="18" t="s">
        <v>91</v>
      </c>
      <c r="B76" s="21" t="s">
        <v>65</v>
      </c>
      <c r="C76" s="9">
        <v>2021</v>
      </c>
      <c r="D76" s="9">
        <v>324331</v>
      </c>
      <c r="E76" s="9"/>
      <c r="F76" s="9"/>
      <c r="G76" s="9"/>
      <c r="H76" s="9"/>
      <c r="I76" s="9"/>
      <c r="J76" s="25">
        <v>112437</v>
      </c>
      <c r="K76" s="25">
        <v>181456</v>
      </c>
      <c r="L76" s="25">
        <v>30438</v>
      </c>
      <c r="AR76" s="29"/>
    </row>
    <row r="77" spans="1:96">
      <c r="A77" s="18" t="s">
        <v>66</v>
      </c>
      <c r="B77" s="21" t="s">
        <v>67</v>
      </c>
      <c r="C77" s="9">
        <v>2021</v>
      </c>
      <c r="D77" s="9">
        <v>178184</v>
      </c>
      <c r="E77" s="9"/>
      <c r="F77" s="22"/>
      <c r="G77" s="22"/>
      <c r="H77" s="9"/>
      <c r="I77" s="9"/>
      <c r="J77" s="25">
        <v>90897</v>
      </c>
      <c r="K77" s="25">
        <v>41782</v>
      </c>
      <c r="L77" s="25">
        <v>45505</v>
      </c>
      <c r="AR77" s="28"/>
    </row>
    <row r="78" spans="1:96">
      <c r="A78" s="18" t="s">
        <v>92</v>
      </c>
      <c r="B78" s="21" t="s">
        <v>69</v>
      </c>
      <c r="C78" s="9">
        <v>2021</v>
      </c>
      <c r="D78" s="9">
        <v>165883</v>
      </c>
      <c r="E78" s="9"/>
      <c r="F78" s="22"/>
      <c r="G78" s="22"/>
      <c r="H78" s="9"/>
      <c r="I78" s="9"/>
      <c r="J78" s="25">
        <v>92115</v>
      </c>
      <c r="K78" s="25">
        <v>30300</v>
      </c>
      <c r="L78" s="25">
        <v>43468</v>
      </c>
      <c r="AR78" s="28"/>
    </row>
    <row r="79" spans="1:96">
      <c r="A79" s="18" t="s">
        <v>70</v>
      </c>
      <c r="B79" s="21" t="s">
        <v>71</v>
      </c>
      <c r="C79" s="9">
        <v>2021</v>
      </c>
      <c r="D79" s="9">
        <v>100414</v>
      </c>
      <c r="E79" s="9"/>
      <c r="F79" s="22"/>
      <c r="G79" s="22"/>
      <c r="H79" s="9"/>
      <c r="I79" s="9"/>
      <c r="J79" s="25">
        <v>44910</v>
      </c>
      <c r="K79" s="25">
        <v>5793</v>
      </c>
      <c r="L79" s="25">
        <v>49710</v>
      </c>
      <c r="AR79" s="28"/>
    </row>
    <row r="80" spans="1:96">
      <c r="A80" s="18" t="s">
        <v>93</v>
      </c>
      <c r="B80" s="21" t="s">
        <v>73</v>
      </c>
      <c r="C80" s="9">
        <v>2021</v>
      </c>
      <c r="D80" s="9">
        <v>169802</v>
      </c>
      <c r="E80" s="9"/>
      <c r="F80" s="9"/>
      <c r="G80" s="9"/>
      <c r="H80" s="9"/>
      <c r="I80" s="9"/>
      <c r="J80" s="25">
        <v>42786</v>
      </c>
      <c r="K80" s="25">
        <v>95037</v>
      </c>
      <c r="L80" s="25">
        <v>31980</v>
      </c>
      <c r="AR80" s="28"/>
    </row>
    <row r="81" spans="1:44">
      <c r="A81" s="18" t="s">
        <v>74</v>
      </c>
      <c r="B81" s="21" t="s">
        <v>75</v>
      </c>
      <c r="C81" s="9">
        <v>2021</v>
      </c>
      <c r="D81" s="9">
        <v>28436</v>
      </c>
      <c r="E81" s="9"/>
      <c r="F81" s="22"/>
      <c r="G81" s="22"/>
      <c r="H81" s="22"/>
      <c r="I81" s="9"/>
      <c r="J81" s="25">
        <v>650</v>
      </c>
      <c r="K81" s="26"/>
      <c r="L81" s="25">
        <v>27785</v>
      </c>
      <c r="AR81" s="28"/>
    </row>
    <row r="82" spans="1:44">
      <c r="A82" s="49"/>
      <c r="B82" s="17"/>
      <c r="C82" s="31"/>
      <c r="D82" s="31"/>
      <c r="E82" s="31"/>
      <c r="F82" s="32"/>
      <c r="G82" s="32"/>
      <c r="H82" s="32"/>
      <c r="I82" s="31"/>
      <c r="J82" s="51"/>
      <c r="K82" s="52"/>
      <c r="L82" s="51"/>
      <c r="AR82" s="28"/>
    </row>
    <row r="83" spans="1:44">
      <c r="A83" s="49"/>
      <c r="B83" s="17"/>
      <c r="C83" s="31"/>
      <c r="D83" s="31"/>
      <c r="E83" s="31"/>
      <c r="F83" s="32"/>
      <c r="G83" s="32"/>
      <c r="H83" s="32"/>
      <c r="I83" s="31"/>
      <c r="J83" s="51"/>
      <c r="K83" s="52"/>
      <c r="L83" s="51"/>
      <c r="AR83" s="28"/>
    </row>
    <row r="84" spans="1:44">
      <c r="A84" s="11" t="s">
        <v>94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44">
      <c r="A85" s="11" t="s">
        <v>0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44">
      <c r="A86" s="11" t="s">
        <v>1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44">
      <c r="A87" s="11" t="s">
        <v>2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44" ht="14.65" customHeight="1">
      <c r="A88" s="154" t="s">
        <v>3</v>
      </c>
      <c r="B88" s="154" t="s">
        <v>4</v>
      </c>
      <c r="C88" s="156" t="s">
        <v>97</v>
      </c>
      <c r="D88" s="154" t="s">
        <v>5</v>
      </c>
      <c r="E88" s="151" t="s">
        <v>6</v>
      </c>
      <c r="F88" s="152"/>
      <c r="G88" s="152"/>
      <c r="H88" s="152"/>
      <c r="I88" s="152"/>
      <c r="J88" s="152"/>
      <c r="K88" s="152"/>
      <c r="L88" s="153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44" ht="64.150000000000006" customHeight="1">
      <c r="A89" s="155"/>
      <c r="B89" s="155"/>
      <c r="C89" s="157"/>
      <c r="D89" s="155"/>
      <c r="E89" s="8" t="s">
        <v>99</v>
      </c>
      <c r="F89" s="8" t="s">
        <v>100</v>
      </c>
      <c r="G89" s="8" t="s">
        <v>101</v>
      </c>
      <c r="H89" s="8" t="s">
        <v>102</v>
      </c>
      <c r="I89" s="8" t="s">
        <v>103</v>
      </c>
      <c r="J89" s="23" t="s">
        <v>7</v>
      </c>
      <c r="K89" s="23" t="s">
        <v>8</v>
      </c>
      <c r="L89" s="23" t="s">
        <v>9</v>
      </c>
    </row>
    <row r="90" spans="1:44" ht="24">
      <c r="A90" s="13" t="s">
        <v>10</v>
      </c>
      <c r="B90" s="14" t="s">
        <v>11</v>
      </c>
      <c r="C90" s="15">
        <v>2020</v>
      </c>
      <c r="D90" s="15">
        <v>6933696</v>
      </c>
      <c r="E90" s="15">
        <v>3000060</v>
      </c>
      <c r="F90" s="15">
        <v>151496</v>
      </c>
      <c r="G90" s="15">
        <v>387884</v>
      </c>
      <c r="H90" s="15">
        <v>1774608</v>
      </c>
      <c r="I90" s="15">
        <v>1619648</v>
      </c>
      <c r="J90" s="24">
        <v>3539440</v>
      </c>
      <c r="K90" s="24">
        <v>1774608</v>
      </c>
      <c r="L90" s="24">
        <v>1619648</v>
      </c>
    </row>
    <row r="91" spans="1:44">
      <c r="A91" s="8" t="s">
        <v>12</v>
      </c>
      <c r="B91" s="16" t="s">
        <v>13</v>
      </c>
      <c r="C91" s="15">
        <v>2020</v>
      </c>
      <c r="D91" s="15">
        <v>41762</v>
      </c>
      <c r="E91" s="15">
        <v>14909</v>
      </c>
      <c r="F91" s="9"/>
      <c r="G91" s="15">
        <v>120</v>
      </c>
      <c r="H91" s="15">
        <v>26733</v>
      </c>
      <c r="I91" s="9"/>
      <c r="J91" s="24">
        <v>15029</v>
      </c>
      <c r="K91" s="24">
        <v>26733</v>
      </c>
      <c r="L91" s="25"/>
    </row>
    <row r="92" spans="1:44">
      <c r="A92" s="8" t="s">
        <v>14</v>
      </c>
      <c r="B92" s="16" t="s">
        <v>15</v>
      </c>
      <c r="C92" s="15">
        <v>2020</v>
      </c>
      <c r="D92" s="15">
        <v>2535</v>
      </c>
      <c r="E92" s="15">
        <v>1878</v>
      </c>
      <c r="F92" s="9"/>
      <c r="G92" s="15">
        <v>647</v>
      </c>
      <c r="H92" s="9"/>
      <c r="I92" s="15">
        <v>10</v>
      </c>
      <c r="J92" s="24">
        <v>2525</v>
      </c>
      <c r="K92" s="25"/>
      <c r="L92" s="24">
        <v>10</v>
      </c>
    </row>
    <row r="93" spans="1:44">
      <c r="A93" s="8" t="s">
        <v>16</v>
      </c>
      <c r="B93" s="16" t="s">
        <v>17</v>
      </c>
      <c r="C93" s="15">
        <v>2020</v>
      </c>
      <c r="D93" s="15">
        <v>446772</v>
      </c>
      <c r="E93" s="15">
        <v>241999</v>
      </c>
      <c r="F93" s="15">
        <v>36732</v>
      </c>
      <c r="G93" s="15">
        <v>5100</v>
      </c>
      <c r="H93" s="15">
        <v>149635</v>
      </c>
      <c r="I93" s="15">
        <v>13306</v>
      </c>
      <c r="J93" s="24">
        <v>283831</v>
      </c>
      <c r="K93" s="24">
        <v>149635</v>
      </c>
      <c r="L93" s="24">
        <v>13306</v>
      </c>
    </row>
    <row r="94" spans="1:44">
      <c r="A94" s="8" t="s">
        <v>18</v>
      </c>
      <c r="B94" s="16" t="s">
        <v>19</v>
      </c>
      <c r="C94" s="15">
        <v>2020</v>
      </c>
      <c r="D94" s="15">
        <v>272071</v>
      </c>
      <c r="E94" s="15">
        <v>201658</v>
      </c>
      <c r="F94" s="9"/>
      <c r="G94" s="9"/>
      <c r="H94" s="15">
        <v>46666</v>
      </c>
      <c r="I94" s="15">
        <v>23747</v>
      </c>
      <c r="J94" s="24">
        <v>201658</v>
      </c>
      <c r="K94" s="24">
        <v>46666</v>
      </c>
      <c r="L94" s="24">
        <v>23747</v>
      </c>
    </row>
    <row r="95" spans="1:44" ht="24">
      <c r="A95" s="8" t="s">
        <v>20</v>
      </c>
      <c r="B95" s="16" t="s">
        <v>21</v>
      </c>
      <c r="C95" s="15">
        <v>2020</v>
      </c>
      <c r="D95" s="15">
        <v>649981</v>
      </c>
      <c r="E95" s="15">
        <v>301516</v>
      </c>
      <c r="F95" s="15">
        <v>28665</v>
      </c>
      <c r="G95" s="15">
        <v>5998</v>
      </c>
      <c r="H95" s="15">
        <v>129869</v>
      </c>
      <c r="I95" s="15">
        <v>183933</v>
      </c>
      <c r="J95" s="24">
        <v>336179</v>
      </c>
      <c r="K95" s="24">
        <v>129869</v>
      </c>
      <c r="L95" s="24">
        <v>183933</v>
      </c>
    </row>
    <row r="96" spans="1:44">
      <c r="A96" s="8" t="s">
        <v>22</v>
      </c>
      <c r="B96" s="16" t="s">
        <v>23</v>
      </c>
      <c r="C96" s="15">
        <v>2020</v>
      </c>
      <c r="D96" s="15">
        <v>158008</v>
      </c>
      <c r="E96" s="15">
        <v>30152</v>
      </c>
      <c r="F96" s="15">
        <v>13334</v>
      </c>
      <c r="G96" s="15">
        <v>7529</v>
      </c>
      <c r="H96" s="15">
        <v>55334</v>
      </c>
      <c r="I96" s="15">
        <v>51659</v>
      </c>
      <c r="J96" s="24">
        <v>51015</v>
      </c>
      <c r="K96" s="24">
        <v>55334</v>
      </c>
      <c r="L96" s="24">
        <v>51659</v>
      </c>
    </row>
    <row r="97" spans="1:12">
      <c r="A97" s="8" t="s">
        <v>24</v>
      </c>
      <c r="B97" s="16" t="s">
        <v>25</v>
      </c>
      <c r="C97" s="15">
        <v>2020</v>
      </c>
      <c r="D97" s="15">
        <v>123892</v>
      </c>
      <c r="E97" s="15">
        <v>37573</v>
      </c>
      <c r="F97" s="9"/>
      <c r="G97" s="15">
        <v>9202</v>
      </c>
      <c r="H97" s="9"/>
      <c r="I97" s="15">
        <v>77117</v>
      </c>
      <c r="J97" s="24">
        <v>46775</v>
      </c>
      <c r="K97" s="25"/>
      <c r="L97" s="24">
        <v>77117</v>
      </c>
    </row>
    <row r="98" spans="1:12" ht="24">
      <c r="A98" s="8" t="s">
        <v>26</v>
      </c>
      <c r="B98" s="16" t="s">
        <v>27</v>
      </c>
      <c r="C98" s="15">
        <v>2020</v>
      </c>
      <c r="D98" s="15">
        <v>121280</v>
      </c>
      <c r="E98" s="15">
        <v>53725</v>
      </c>
      <c r="F98" s="9"/>
      <c r="G98" s="9"/>
      <c r="H98" s="15">
        <v>20268</v>
      </c>
      <c r="I98" s="15">
        <v>47287</v>
      </c>
      <c r="J98" s="24">
        <v>53725</v>
      </c>
      <c r="K98" s="24">
        <v>20268</v>
      </c>
      <c r="L98" s="24">
        <v>47287</v>
      </c>
    </row>
    <row r="99" spans="1:12">
      <c r="A99" s="8" t="s">
        <v>28</v>
      </c>
      <c r="B99" s="16" t="s">
        <v>29</v>
      </c>
      <c r="C99" s="15">
        <v>2020</v>
      </c>
      <c r="D99" s="15">
        <v>5444</v>
      </c>
      <c r="E99" s="15">
        <v>5444</v>
      </c>
      <c r="F99" s="9"/>
      <c r="G99" s="9"/>
      <c r="H99" s="9"/>
      <c r="I99" s="9"/>
      <c r="J99" s="24">
        <v>5444</v>
      </c>
      <c r="K99" s="25"/>
      <c r="L99" s="25"/>
    </row>
    <row r="100" spans="1:12">
      <c r="A100" s="8" t="s">
        <v>30</v>
      </c>
      <c r="B100" s="16" t="s">
        <v>31</v>
      </c>
      <c r="C100" s="15">
        <v>2020</v>
      </c>
      <c r="D100" s="15">
        <v>51644</v>
      </c>
      <c r="E100" s="15">
        <v>46336</v>
      </c>
      <c r="F100" s="9"/>
      <c r="G100" s="15">
        <v>5193</v>
      </c>
      <c r="H100" s="9"/>
      <c r="I100" s="15">
        <v>115</v>
      </c>
      <c r="J100" s="24">
        <v>51529</v>
      </c>
      <c r="K100" s="25"/>
      <c r="L100" s="24">
        <v>115</v>
      </c>
    </row>
    <row r="101" spans="1:12">
      <c r="A101" s="8" t="s">
        <v>32</v>
      </c>
      <c r="B101" s="16" t="s">
        <v>33</v>
      </c>
      <c r="C101" s="15">
        <v>2020</v>
      </c>
      <c r="D101" s="15">
        <v>119926</v>
      </c>
      <c r="E101" s="15">
        <v>41759</v>
      </c>
      <c r="F101" s="9"/>
      <c r="G101" s="15">
        <v>5337</v>
      </c>
      <c r="H101" s="15">
        <v>2489</v>
      </c>
      <c r="I101" s="15">
        <v>70341</v>
      </c>
      <c r="J101" s="24">
        <v>47096</v>
      </c>
      <c r="K101" s="24">
        <v>2489</v>
      </c>
      <c r="L101" s="24">
        <v>70341</v>
      </c>
    </row>
    <row r="102" spans="1:12">
      <c r="A102" s="8" t="s">
        <v>34</v>
      </c>
      <c r="B102" s="16" t="s">
        <v>35</v>
      </c>
      <c r="C102" s="15">
        <v>2020</v>
      </c>
      <c r="D102" s="15">
        <v>151465</v>
      </c>
      <c r="E102" s="15">
        <v>59639</v>
      </c>
      <c r="F102" s="9"/>
      <c r="G102" s="15">
        <v>1249</v>
      </c>
      <c r="H102" s="15">
        <v>42144</v>
      </c>
      <c r="I102" s="15">
        <v>48433</v>
      </c>
      <c r="J102" s="24">
        <v>60888</v>
      </c>
      <c r="K102" s="24">
        <v>42144</v>
      </c>
      <c r="L102" s="24">
        <v>48433</v>
      </c>
    </row>
    <row r="103" spans="1:12">
      <c r="A103" s="8" t="s">
        <v>36</v>
      </c>
      <c r="B103" s="16" t="s">
        <v>37</v>
      </c>
      <c r="C103" s="15">
        <v>2020</v>
      </c>
      <c r="D103" s="15">
        <v>204315</v>
      </c>
      <c r="E103" s="15">
        <v>4895</v>
      </c>
      <c r="F103" s="9"/>
      <c r="G103" s="15">
        <v>47157</v>
      </c>
      <c r="H103" s="15">
        <v>134855</v>
      </c>
      <c r="I103" s="15">
        <v>17408</v>
      </c>
      <c r="J103" s="24">
        <v>52052</v>
      </c>
      <c r="K103" s="24">
        <v>134855</v>
      </c>
      <c r="L103" s="24">
        <v>17408</v>
      </c>
    </row>
    <row r="104" spans="1:12">
      <c r="A104" s="8" t="s">
        <v>38</v>
      </c>
      <c r="B104" s="16" t="s">
        <v>39</v>
      </c>
      <c r="C104" s="15">
        <v>2020</v>
      </c>
      <c r="D104" s="15">
        <v>270736</v>
      </c>
      <c r="E104" s="15">
        <v>72022</v>
      </c>
      <c r="F104" s="9"/>
      <c r="G104" s="15">
        <v>3628</v>
      </c>
      <c r="H104" s="15">
        <v>75779</v>
      </c>
      <c r="I104" s="15">
        <v>119307</v>
      </c>
      <c r="J104" s="24">
        <v>75650</v>
      </c>
      <c r="K104" s="24">
        <v>75779</v>
      </c>
      <c r="L104" s="24">
        <v>119307</v>
      </c>
    </row>
    <row r="105" spans="1:12">
      <c r="A105" s="8" t="s">
        <v>40</v>
      </c>
      <c r="B105" s="16" t="s">
        <v>41</v>
      </c>
      <c r="C105" s="15">
        <v>2020</v>
      </c>
      <c r="D105" s="15">
        <v>141753</v>
      </c>
      <c r="E105" s="15">
        <v>102830</v>
      </c>
      <c r="F105" s="9"/>
      <c r="G105" s="15">
        <v>27985</v>
      </c>
      <c r="H105" s="9"/>
      <c r="I105" s="15">
        <v>10938</v>
      </c>
      <c r="J105" s="24">
        <v>130815</v>
      </c>
      <c r="K105" s="25"/>
      <c r="L105" s="24">
        <v>10938</v>
      </c>
    </row>
    <row r="106" spans="1:12">
      <c r="A106" s="8" t="s">
        <v>42</v>
      </c>
      <c r="B106" s="16" t="s">
        <v>43</v>
      </c>
      <c r="C106" s="15">
        <v>2020</v>
      </c>
      <c r="D106" s="15">
        <v>211209</v>
      </c>
      <c r="E106" s="15">
        <v>171883</v>
      </c>
      <c r="F106" s="15">
        <v>17951</v>
      </c>
      <c r="G106" s="9"/>
      <c r="H106" s="15">
        <v>14959</v>
      </c>
      <c r="I106" s="15">
        <v>6416</v>
      </c>
      <c r="J106" s="24">
        <v>189834</v>
      </c>
      <c r="K106" s="24">
        <v>14959</v>
      </c>
      <c r="L106" s="24">
        <v>6416</v>
      </c>
    </row>
    <row r="107" spans="1:12">
      <c r="A107" s="8" t="s">
        <v>44</v>
      </c>
      <c r="B107" s="16" t="s">
        <v>45</v>
      </c>
      <c r="C107" s="15">
        <v>2020</v>
      </c>
      <c r="D107" s="15">
        <v>258160</v>
      </c>
      <c r="E107" s="15">
        <v>111910</v>
      </c>
      <c r="F107" s="9"/>
      <c r="G107" s="15">
        <v>8592</v>
      </c>
      <c r="H107" s="15">
        <v>85225</v>
      </c>
      <c r="I107" s="15">
        <v>52433</v>
      </c>
      <c r="J107" s="24">
        <v>120502</v>
      </c>
      <c r="K107" s="24">
        <v>85225</v>
      </c>
      <c r="L107" s="24">
        <v>52433</v>
      </c>
    </row>
    <row r="108" spans="1:12">
      <c r="A108" s="8" t="s">
        <v>46</v>
      </c>
      <c r="B108" s="16" t="s">
        <v>47</v>
      </c>
      <c r="C108" s="15">
        <v>2020</v>
      </c>
      <c r="D108" s="15">
        <v>574010</v>
      </c>
      <c r="E108" s="15">
        <v>129184</v>
      </c>
      <c r="F108" s="9"/>
      <c r="G108" s="15">
        <v>533</v>
      </c>
      <c r="H108" s="15">
        <v>236244</v>
      </c>
      <c r="I108" s="15">
        <v>208049</v>
      </c>
      <c r="J108" s="24">
        <v>129717</v>
      </c>
      <c r="K108" s="24">
        <v>236244</v>
      </c>
      <c r="L108" s="24">
        <v>208049</v>
      </c>
    </row>
    <row r="109" spans="1:12">
      <c r="A109" s="8" t="s">
        <v>48</v>
      </c>
      <c r="B109" s="16" t="s">
        <v>49</v>
      </c>
      <c r="C109" s="15">
        <v>2020</v>
      </c>
      <c r="D109" s="15">
        <v>264967</v>
      </c>
      <c r="E109" s="15">
        <v>29625</v>
      </c>
      <c r="F109" s="9"/>
      <c r="G109" s="15">
        <v>65835</v>
      </c>
      <c r="H109" s="15">
        <v>103327</v>
      </c>
      <c r="I109" s="15">
        <v>66180</v>
      </c>
      <c r="J109" s="24">
        <v>95460</v>
      </c>
      <c r="K109" s="24">
        <v>103327</v>
      </c>
      <c r="L109" s="24">
        <v>66180</v>
      </c>
    </row>
    <row r="110" spans="1:12">
      <c r="A110" s="8" t="s">
        <v>50</v>
      </c>
      <c r="B110" s="16" t="s">
        <v>51</v>
      </c>
      <c r="C110" s="15">
        <v>2020</v>
      </c>
      <c r="D110" s="15">
        <v>211006</v>
      </c>
      <c r="E110" s="15">
        <v>20998</v>
      </c>
      <c r="F110" s="9"/>
      <c r="G110" s="15">
        <v>163397</v>
      </c>
      <c r="H110" s="15">
        <v>20124</v>
      </c>
      <c r="I110" s="15">
        <v>6487</v>
      </c>
      <c r="J110" s="24">
        <v>184395</v>
      </c>
      <c r="K110" s="24">
        <v>20124</v>
      </c>
      <c r="L110" s="24">
        <v>6487</v>
      </c>
    </row>
    <row r="111" spans="1:12">
      <c r="A111" s="8" t="s">
        <v>52</v>
      </c>
      <c r="B111" s="16" t="s">
        <v>53</v>
      </c>
      <c r="C111" s="15">
        <v>2020</v>
      </c>
      <c r="D111" s="15">
        <v>15162</v>
      </c>
      <c r="E111" s="15">
        <v>2467</v>
      </c>
      <c r="F111" s="9"/>
      <c r="G111" s="15">
        <v>12695</v>
      </c>
      <c r="H111" s="9"/>
      <c r="I111" s="9"/>
      <c r="J111" s="24">
        <v>15162</v>
      </c>
      <c r="K111" s="25"/>
      <c r="L111" s="25"/>
    </row>
    <row r="112" spans="1:12">
      <c r="A112" s="8" t="s">
        <v>54</v>
      </c>
      <c r="B112" s="16" t="s">
        <v>55</v>
      </c>
      <c r="C112" s="15">
        <v>2020</v>
      </c>
      <c r="D112" s="15">
        <v>303153</v>
      </c>
      <c r="E112" s="15">
        <v>78633</v>
      </c>
      <c r="F112" s="9"/>
      <c r="G112" s="9"/>
      <c r="H112" s="15">
        <v>78922</v>
      </c>
      <c r="I112" s="15">
        <v>145598</v>
      </c>
      <c r="J112" s="24">
        <v>78633</v>
      </c>
      <c r="K112" s="24">
        <v>78922</v>
      </c>
      <c r="L112" s="24">
        <v>145598</v>
      </c>
    </row>
    <row r="113" spans="1:96">
      <c r="A113" s="8" t="s">
        <v>56</v>
      </c>
      <c r="B113" s="16" t="s">
        <v>57</v>
      </c>
      <c r="C113" s="15">
        <v>2020</v>
      </c>
      <c r="D113" s="15">
        <v>343922</v>
      </c>
      <c r="E113" s="15">
        <v>118658</v>
      </c>
      <c r="F113" s="9"/>
      <c r="G113" s="15">
        <v>12622</v>
      </c>
      <c r="H113" s="15">
        <v>100578</v>
      </c>
      <c r="I113" s="15">
        <v>112064</v>
      </c>
      <c r="J113" s="24">
        <v>131280</v>
      </c>
      <c r="K113" s="24">
        <v>100578</v>
      </c>
      <c r="L113" s="24">
        <v>112064</v>
      </c>
    </row>
    <row r="114" spans="1:96">
      <c r="A114" s="8" t="s">
        <v>58</v>
      </c>
      <c r="B114" s="16" t="s">
        <v>59</v>
      </c>
      <c r="C114" s="15">
        <v>2020</v>
      </c>
      <c r="D114" s="15">
        <v>280039</v>
      </c>
      <c r="E114" s="15">
        <v>220402</v>
      </c>
      <c r="F114" s="9"/>
      <c r="G114" s="9"/>
      <c r="H114" s="9"/>
      <c r="I114" s="15">
        <v>59637</v>
      </c>
      <c r="J114" s="24">
        <v>220402</v>
      </c>
      <c r="K114" s="25"/>
      <c r="L114" s="24">
        <v>59637</v>
      </c>
    </row>
    <row r="115" spans="1:96">
      <c r="A115" s="8" t="s">
        <v>60</v>
      </c>
      <c r="B115" s="16" t="s">
        <v>61</v>
      </c>
      <c r="C115" s="15">
        <v>2020</v>
      </c>
      <c r="D115" s="15">
        <v>334084</v>
      </c>
      <c r="E115" s="15">
        <v>254181</v>
      </c>
      <c r="F115" s="9"/>
      <c r="G115" s="15">
        <v>205</v>
      </c>
      <c r="H115" s="15">
        <v>53854</v>
      </c>
      <c r="I115" s="15">
        <v>25844</v>
      </c>
      <c r="J115" s="24">
        <v>254386</v>
      </c>
      <c r="K115" s="24">
        <v>53854</v>
      </c>
      <c r="L115" s="24">
        <v>25844</v>
      </c>
    </row>
    <row r="116" spans="1:96">
      <c r="A116" s="8" t="s">
        <v>62</v>
      </c>
      <c r="B116" s="16" t="s">
        <v>63</v>
      </c>
      <c r="C116" s="15">
        <v>2020</v>
      </c>
      <c r="D116" s="15">
        <v>96986</v>
      </c>
      <c r="E116" s="15">
        <v>38453</v>
      </c>
      <c r="F116" s="15">
        <v>14533</v>
      </c>
      <c r="G116" s="9"/>
      <c r="H116" s="15">
        <v>44000</v>
      </c>
      <c r="I116" s="9"/>
      <c r="J116" s="24">
        <v>52986</v>
      </c>
      <c r="K116" s="24">
        <v>44000</v>
      </c>
      <c r="L116" s="25"/>
    </row>
    <row r="117" spans="1:96">
      <c r="A117" s="8" t="s">
        <v>64</v>
      </c>
      <c r="B117" s="16" t="s">
        <v>65</v>
      </c>
      <c r="C117" s="15">
        <v>2020</v>
      </c>
      <c r="D117" s="15">
        <v>324453</v>
      </c>
      <c r="E117" s="15">
        <v>148897</v>
      </c>
      <c r="F117" s="15">
        <v>20281</v>
      </c>
      <c r="G117" s="9"/>
      <c r="H117" s="15">
        <v>84979</v>
      </c>
      <c r="I117" s="15">
        <v>70296</v>
      </c>
      <c r="J117" s="24">
        <v>169178</v>
      </c>
      <c r="K117" s="24">
        <v>84979</v>
      </c>
      <c r="L117" s="24">
        <v>70296</v>
      </c>
    </row>
    <row r="118" spans="1:96">
      <c r="A118" s="8" t="s">
        <v>66</v>
      </c>
      <c r="B118" s="16" t="s">
        <v>67</v>
      </c>
      <c r="C118" s="15">
        <v>2020</v>
      </c>
      <c r="D118" s="15">
        <v>341959</v>
      </c>
      <c r="E118" s="15">
        <v>240723</v>
      </c>
      <c r="F118" s="9"/>
      <c r="G118" s="9"/>
      <c r="H118" s="15">
        <v>67598</v>
      </c>
      <c r="I118" s="15">
        <v>33638</v>
      </c>
      <c r="J118" s="24">
        <v>240723</v>
      </c>
      <c r="K118" s="24">
        <v>67598</v>
      </c>
      <c r="L118" s="24">
        <v>33638</v>
      </c>
    </row>
    <row r="119" spans="1:96">
      <c r="A119" s="8" t="s">
        <v>68</v>
      </c>
      <c r="B119" s="16" t="s">
        <v>69</v>
      </c>
      <c r="C119" s="15">
        <v>2020</v>
      </c>
      <c r="D119" s="15">
        <v>294308</v>
      </c>
      <c r="E119" s="15">
        <v>38169</v>
      </c>
      <c r="F119" s="15">
        <v>20000</v>
      </c>
      <c r="G119" s="9"/>
      <c r="H119" s="15">
        <v>153879</v>
      </c>
      <c r="I119" s="15">
        <v>82260</v>
      </c>
      <c r="J119" s="24">
        <v>58169</v>
      </c>
      <c r="K119" s="24">
        <v>153879</v>
      </c>
      <c r="L119" s="24">
        <v>82260</v>
      </c>
    </row>
    <row r="120" spans="1:96">
      <c r="A120" s="8" t="s">
        <v>70</v>
      </c>
      <c r="B120" s="16" t="s">
        <v>71</v>
      </c>
      <c r="C120" s="15">
        <v>2020</v>
      </c>
      <c r="D120" s="15">
        <v>87032</v>
      </c>
      <c r="E120" s="15">
        <v>58190</v>
      </c>
      <c r="F120" s="9"/>
      <c r="G120" s="9"/>
      <c r="H120" s="15">
        <v>5500</v>
      </c>
      <c r="I120" s="15">
        <v>23342</v>
      </c>
      <c r="J120" s="24">
        <v>58190</v>
      </c>
      <c r="K120" s="24">
        <v>5500</v>
      </c>
      <c r="L120" s="24">
        <v>23342</v>
      </c>
    </row>
    <row r="121" spans="1:96">
      <c r="A121" s="8" t="s">
        <v>72</v>
      </c>
      <c r="B121" s="16" t="s">
        <v>73</v>
      </c>
      <c r="C121" s="15">
        <v>2020</v>
      </c>
      <c r="D121" s="15">
        <v>204196</v>
      </c>
      <c r="E121" s="15">
        <v>119219</v>
      </c>
      <c r="F121" s="9"/>
      <c r="G121" s="15">
        <v>4860</v>
      </c>
      <c r="H121" s="15">
        <v>41647</v>
      </c>
      <c r="I121" s="15">
        <v>38470</v>
      </c>
      <c r="J121" s="24">
        <v>124079</v>
      </c>
      <c r="K121" s="24">
        <v>41647</v>
      </c>
      <c r="L121" s="24">
        <v>38470</v>
      </c>
    </row>
    <row r="122" spans="1:96" ht="24">
      <c r="A122" s="8" t="s">
        <v>74</v>
      </c>
      <c r="B122" s="16" t="s">
        <v>75</v>
      </c>
      <c r="C122" s="15">
        <v>2020</v>
      </c>
      <c r="D122" s="15">
        <v>27466</v>
      </c>
      <c r="E122" s="15">
        <v>2133</v>
      </c>
      <c r="F122" s="9"/>
      <c r="G122" s="9"/>
      <c r="H122" s="9"/>
      <c r="I122" s="15">
        <v>25333</v>
      </c>
      <c r="J122" s="24">
        <v>2133</v>
      </c>
      <c r="K122" s="25"/>
      <c r="L122" s="24">
        <v>25333</v>
      </c>
    </row>
    <row r="123" spans="1:96"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96">
      <c r="CR124" s="30"/>
    </row>
    <row r="125" spans="1:96">
      <c r="CR125" s="31"/>
    </row>
    <row r="126" spans="1:96">
      <c r="CR126" s="32"/>
    </row>
    <row r="127" spans="1:96">
      <c r="CR127" s="31"/>
    </row>
  </sheetData>
  <mergeCells count="15">
    <mergeCell ref="A5:A6"/>
    <mergeCell ref="B5:B6"/>
    <mergeCell ref="C5:C6"/>
    <mergeCell ref="D5:D6"/>
    <mergeCell ref="E5:L5"/>
    <mergeCell ref="A47:A48"/>
    <mergeCell ref="B47:B48"/>
    <mergeCell ref="C47:C48"/>
    <mergeCell ref="D47:D48"/>
    <mergeCell ref="E47:L47"/>
    <mergeCell ref="E88:L88"/>
    <mergeCell ref="A88:A89"/>
    <mergeCell ref="B88:B89"/>
    <mergeCell ref="C88:C89"/>
    <mergeCell ref="D88:D89"/>
  </mergeCells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ColWidth="9.125" defaultRowHeight="13.5"/>
  <cols>
    <col min="1" max="1" width="24.625" customWidth="1"/>
    <col min="2" max="3" width="20.5" customWidth="1"/>
    <col min="4" max="4" width="16.625" customWidth="1"/>
    <col min="5" max="5" width="14.375" customWidth="1"/>
    <col min="8" max="8" width="14.5" customWidth="1"/>
  </cols>
  <sheetData>
    <row r="1" spans="1:5" ht="58.15" customHeight="1">
      <c r="A1" s="7" t="s">
        <v>110</v>
      </c>
      <c r="B1" s="8" t="s">
        <v>4</v>
      </c>
      <c r="C1" s="8" t="s">
        <v>7</v>
      </c>
      <c r="D1" s="8" t="s">
        <v>8</v>
      </c>
      <c r="E1" s="8" t="s">
        <v>9</v>
      </c>
    </row>
    <row r="2" spans="1:5">
      <c r="A2" s="7">
        <v>2020</v>
      </c>
      <c r="B2" s="48" t="s">
        <v>168</v>
      </c>
      <c r="C2" s="9">
        <f>VLOOKUP(B2,'Aforestation by province'!$B$90:$L$122,9,0)</f>
        <v>3539440</v>
      </c>
      <c r="D2" s="9">
        <f>VLOOKUP(B2,'Aforestation by province'!$B$90:$L$122,10,0)</f>
        <v>1774608</v>
      </c>
      <c r="E2" s="9">
        <f>IFERROR(VLOOKUP(B2,'Aforestation by province'!$B$90:$L$122,11,0),0)</f>
        <v>1619648</v>
      </c>
    </row>
    <row r="3" spans="1:5">
      <c r="A3" s="53">
        <v>2021</v>
      </c>
      <c r="B3" s="48" t="s">
        <v>168</v>
      </c>
      <c r="C3" s="9">
        <f>VLOOKUP(B3,'Aforestation by province'!$B$49:$L$81,9,0)</f>
        <v>1507927</v>
      </c>
      <c r="D3" s="9">
        <f>VLOOKUP(B3,'Aforestation by province'!$B$49:$L$81,10,0)</f>
        <v>1235098</v>
      </c>
      <c r="E3" s="9">
        <f>IFERROR(VLOOKUP(B3,'Aforestation by province'!$B$49:$L$81,11,0),0)</f>
        <v>1011349</v>
      </c>
    </row>
    <row r="4" spans="1:5">
      <c r="A4" s="53">
        <v>2022</v>
      </c>
      <c r="B4" s="48" t="s">
        <v>168</v>
      </c>
      <c r="C4" s="9">
        <f>VLOOKUP(B4,'Aforestation by province'!$B$7:$L$39,9,0)</f>
        <v>1562538</v>
      </c>
      <c r="D4" s="9">
        <f>VLOOKUP(B4,'Aforestation by province'!$B$7:$L$39,10,0)</f>
        <v>1057316</v>
      </c>
      <c r="E4" s="9">
        <f>IFERROR(VLOOKUP(B4,'Aforestation by province'!$B$7:$L$39,11,0),0)</f>
        <v>1582935</v>
      </c>
    </row>
    <row r="5" spans="1:5">
      <c r="A5" s="53">
        <v>2023</v>
      </c>
      <c r="B5" s="48" t="s">
        <v>168</v>
      </c>
      <c r="C5" s="9">
        <v>1400000</v>
      </c>
      <c r="D5" s="9">
        <v>1073000</v>
      </c>
      <c r="E5" s="9">
        <v>1525000</v>
      </c>
    </row>
  </sheetData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4"/>
  <sheetViews>
    <sheetView workbookViewId="0"/>
  </sheetViews>
  <sheetFormatPr defaultColWidth="9.125" defaultRowHeight="13.5"/>
  <cols>
    <col min="1" max="1" width="31.75" customWidth="1"/>
    <col min="2" max="2" width="16.625" customWidth="1"/>
    <col min="4" max="4" width="11.625"/>
    <col min="8" max="8" width="23.625" customWidth="1"/>
  </cols>
  <sheetData>
    <row r="1" spans="1:9">
      <c r="A1" s="43" t="s">
        <v>112</v>
      </c>
      <c r="B1" s="39" t="s">
        <v>113</v>
      </c>
      <c r="C1" s="39" t="s">
        <v>114</v>
      </c>
      <c r="D1" s="39" t="s">
        <v>115</v>
      </c>
    </row>
    <row r="2" spans="1:9">
      <c r="A2" t="s">
        <v>116</v>
      </c>
      <c r="B2" t="s">
        <v>117</v>
      </c>
      <c r="C2" t="s">
        <v>118</v>
      </c>
      <c r="D2" t="s">
        <v>119</v>
      </c>
    </row>
    <row r="3" spans="1:9">
      <c r="A3" t="s">
        <v>120</v>
      </c>
      <c r="C3">
        <v>26651</v>
      </c>
      <c r="H3" s="5" t="s">
        <v>121</v>
      </c>
      <c r="I3" s="6"/>
    </row>
    <row r="4" spans="1:9">
      <c r="A4" s="47" t="s">
        <v>122</v>
      </c>
      <c r="B4">
        <v>680336</v>
      </c>
      <c r="C4">
        <v>680336</v>
      </c>
      <c r="D4">
        <f>C4/C3</f>
        <v>25.527597463509814</v>
      </c>
      <c r="H4" s="6" t="s">
        <v>123</v>
      </c>
      <c r="I4" s="6">
        <v>247.10499999999999</v>
      </c>
    </row>
    <row r="5" spans="1:9">
      <c r="A5" s="47" t="s">
        <v>124</v>
      </c>
    </row>
    <row r="11" spans="1:9">
      <c r="A11" s="3" t="s">
        <v>125</v>
      </c>
      <c r="B11" s="3"/>
      <c r="C11" s="3"/>
    </row>
    <row r="12" spans="1:9">
      <c r="A12" s="3" t="s">
        <v>126</v>
      </c>
      <c r="B12" s="3"/>
      <c r="C12" s="3"/>
    </row>
    <row r="13" spans="1:9">
      <c r="A13" s="3" t="s">
        <v>127</v>
      </c>
      <c r="B13" s="3"/>
      <c r="C13" s="3"/>
    </row>
    <row r="14" spans="1:9">
      <c r="A14" s="2"/>
      <c r="B14" s="2"/>
      <c r="C14" s="2"/>
    </row>
    <row r="15" spans="1:9">
      <c r="A15" s="1" t="s">
        <v>128</v>
      </c>
      <c r="B15" s="2"/>
      <c r="C15" s="2"/>
    </row>
    <row r="16" spans="1:9">
      <c r="A16" s="2" t="s">
        <v>129</v>
      </c>
      <c r="B16" s="2"/>
      <c r="C16" s="2"/>
    </row>
    <row r="17" spans="1:3">
      <c r="A17" s="2" t="s">
        <v>130</v>
      </c>
      <c r="B17" s="2"/>
      <c r="C17" s="2"/>
    </row>
    <row r="18" spans="1:3">
      <c r="A18" s="2" t="s">
        <v>131</v>
      </c>
      <c r="B18" s="2"/>
      <c r="C18" s="2"/>
    </row>
    <row r="19" spans="1:3">
      <c r="A19" s="2" t="s">
        <v>132</v>
      </c>
      <c r="B19" s="2"/>
      <c r="C19" s="2"/>
    </row>
    <row r="20" spans="1:3">
      <c r="A20" s="2" t="s">
        <v>133</v>
      </c>
      <c r="B20" s="2"/>
      <c r="C20" s="2"/>
    </row>
    <row r="21" spans="1:3">
      <c r="A21" s="2" t="s">
        <v>134</v>
      </c>
      <c r="B21" s="2"/>
      <c r="C21" s="2"/>
    </row>
    <row r="22" spans="1:3">
      <c r="A22" s="2" t="s">
        <v>135</v>
      </c>
      <c r="B22" s="2"/>
      <c r="C22" s="2"/>
    </row>
    <row r="23" spans="1:3">
      <c r="A23" s="50" t="s">
        <v>163</v>
      </c>
      <c r="B23" s="2"/>
      <c r="C23" s="2"/>
    </row>
    <row r="24" spans="1:3">
      <c r="A24" s="2" t="s">
        <v>136</v>
      </c>
      <c r="B24" s="2"/>
      <c r="C24" s="2"/>
    </row>
    <row r="25" spans="1:3">
      <c r="A25" s="2" t="s">
        <v>137</v>
      </c>
      <c r="B25" s="2"/>
      <c r="C25" s="2"/>
    </row>
    <row r="26" spans="1:3">
      <c r="A26" s="2" t="s">
        <v>138</v>
      </c>
      <c r="B26" s="2"/>
      <c r="C26" s="2"/>
    </row>
    <row r="28" spans="1:3">
      <c r="A28" s="4">
        <v>0.02</v>
      </c>
      <c r="B28" s="2" t="s">
        <v>139</v>
      </c>
      <c r="C28" s="2"/>
    </row>
    <row r="29" spans="1:3">
      <c r="A29">
        <f>ROUND(C4*I4*A28,0)</f>
        <v>3362289</v>
      </c>
      <c r="B29" s="2" t="s">
        <v>140</v>
      </c>
    </row>
    <row r="33" spans="1:12">
      <c r="A33" s="48" t="s">
        <v>162</v>
      </c>
    </row>
    <row r="39" spans="1:12">
      <c r="A39" s="43"/>
      <c r="B39" s="39"/>
      <c r="C39" s="39"/>
      <c r="D39" s="39"/>
      <c r="J39" s="44"/>
      <c r="L39" s="2"/>
    </row>
    <row r="41" spans="1:12">
      <c r="H41" s="45"/>
      <c r="I41" s="46"/>
    </row>
    <row r="42" spans="1:12">
      <c r="A42" s="47"/>
      <c r="H42" s="46"/>
      <c r="I42" s="46"/>
    </row>
    <row r="43" spans="1:12">
      <c r="A43" s="47"/>
    </row>
    <row r="46" spans="1:12">
      <c r="A46" s="43"/>
      <c r="B46" s="39"/>
      <c r="C46" s="39"/>
      <c r="D46" s="39"/>
      <c r="J46" s="44"/>
      <c r="L46" s="2"/>
    </row>
    <row r="48" spans="1:12">
      <c r="H48" s="45"/>
      <c r="I48" s="46"/>
    </row>
    <row r="49" spans="1:12">
      <c r="A49" s="47"/>
      <c r="H49" s="46"/>
      <c r="I49" s="46"/>
    </row>
    <row r="50" spans="1:12">
      <c r="A50" s="47"/>
    </row>
    <row r="53" spans="1:12">
      <c r="A53" s="43"/>
      <c r="B53" s="39"/>
      <c r="C53" s="39"/>
      <c r="D53" s="39"/>
      <c r="J53" s="44"/>
      <c r="L53" s="2"/>
    </row>
    <row r="55" spans="1:12">
      <c r="H55" s="45"/>
      <c r="I55" s="46"/>
    </row>
    <row r="56" spans="1:12">
      <c r="A56" s="47"/>
      <c r="H56" s="46"/>
      <c r="I56" s="46"/>
    </row>
    <row r="57" spans="1:12">
      <c r="A57" s="47"/>
    </row>
    <row r="60" spans="1:12">
      <c r="A60" s="43"/>
      <c r="B60" s="39"/>
      <c r="C60" s="39"/>
      <c r="D60" s="39"/>
      <c r="J60" s="44"/>
      <c r="L60" s="2"/>
    </row>
    <row r="62" spans="1:12">
      <c r="H62" s="45"/>
      <c r="I62" s="46"/>
    </row>
    <row r="63" spans="1:12">
      <c r="A63" s="47"/>
      <c r="H63" s="46"/>
      <c r="I63" s="46"/>
    </row>
    <row r="64" spans="1:12">
      <c r="A64" s="47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55A2-3FBF-453E-9E99-52E3436F1B96}">
  <dimension ref="A1:AB62"/>
  <sheetViews>
    <sheetView workbookViewId="0"/>
  </sheetViews>
  <sheetFormatPr defaultRowHeight="15"/>
  <cols>
    <col min="1" max="1" width="25.875" style="148" customWidth="1"/>
    <col min="2" max="2" width="8.75" style="149" customWidth="1"/>
    <col min="3" max="28" width="11.625" style="150" customWidth="1"/>
    <col min="29" max="16384" width="9" style="90"/>
  </cols>
  <sheetData>
    <row r="1" spans="1:28" s="86" customFormat="1">
      <c r="A1" s="82" t="s">
        <v>267</v>
      </c>
      <c r="B1" s="83"/>
      <c r="C1" s="84" t="s">
        <v>268</v>
      </c>
      <c r="D1" s="84" t="s">
        <v>269</v>
      </c>
      <c r="E1" s="84" t="s">
        <v>270</v>
      </c>
      <c r="F1" s="85" t="s">
        <v>271</v>
      </c>
      <c r="G1" s="85" t="s">
        <v>272</v>
      </c>
      <c r="H1" s="85" t="s">
        <v>273</v>
      </c>
      <c r="I1" s="85" t="s">
        <v>274</v>
      </c>
      <c r="J1" s="85" t="s">
        <v>275</v>
      </c>
      <c r="K1" s="85" t="s">
        <v>276</v>
      </c>
      <c r="L1" s="85" t="s">
        <v>277</v>
      </c>
      <c r="M1" s="85" t="s">
        <v>278</v>
      </c>
      <c r="N1" s="85" t="s">
        <v>279</v>
      </c>
      <c r="O1" s="85" t="s">
        <v>280</v>
      </c>
      <c r="P1" s="85" t="s">
        <v>281</v>
      </c>
      <c r="Q1" s="85" t="s">
        <v>282</v>
      </c>
      <c r="R1" s="85" t="s">
        <v>283</v>
      </c>
      <c r="S1" s="85" t="s">
        <v>284</v>
      </c>
      <c r="T1" s="85" t="s">
        <v>285</v>
      </c>
      <c r="U1" s="85" t="s">
        <v>286</v>
      </c>
      <c r="V1" s="85" t="s">
        <v>287</v>
      </c>
      <c r="W1" s="85" t="s">
        <v>288</v>
      </c>
      <c r="X1" s="85" t="s">
        <v>289</v>
      </c>
      <c r="Y1" s="85" t="s">
        <v>290</v>
      </c>
      <c r="Z1" s="85" t="s">
        <v>291</v>
      </c>
      <c r="AA1" s="85" t="s">
        <v>292</v>
      </c>
      <c r="AB1" s="85" t="s">
        <v>293</v>
      </c>
    </row>
    <row r="2" spans="1:28">
      <c r="A2" s="87" t="s">
        <v>294</v>
      </c>
      <c r="B2" s="88" t="s">
        <v>295</v>
      </c>
      <c r="C2" s="89">
        <f>C4+C8+C11+C15+C23</f>
        <v>12154978</v>
      </c>
      <c r="D2" s="89">
        <f t="shared" ref="D2:AB2" si="0">D4+D8+D11+D15+D23</f>
        <v>11290268</v>
      </c>
      <c r="E2" s="89">
        <f t="shared" si="0"/>
        <v>10711332</v>
      </c>
      <c r="F2" s="89">
        <f t="shared" si="0"/>
        <v>11222230</v>
      </c>
      <c r="G2" s="89">
        <f t="shared" si="0"/>
        <v>7919530</v>
      </c>
      <c r="H2" s="89">
        <f t="shared" si="0"/>
        <v>6691949</v>
      </c>
      <c r="I2" s="89">
        <f>I4+I8+I11+I15+I23</f>
        <v>4597818</v>
      </c>
      <c r="J2" s="89">
        <f t="shared" si="0"/>
        <v>4682213</v>
      </c>
      <c r="K2" s="89">
        <f t="shared" si="0"/>
        <v>6007020</v>
      </c>
      <c r="L2" s="89">
        <f>L4+L8+L11+L15+L23</f>
        <v>6932683</v>
      </c>
      <c r="M2" s="89">
        <f t="shared" si="0"/>
        <v>6528293</v>
      </c>
      <c r="N2" s="89">
        <f t="shared" si="0"/>
        <v>6619742</v>
      </c>
      <c r="O2" s="89">
        <f t="shared" si="0"/>
        <v>6331892</v>
      </c>
      <c r="P2" s="89">
        <f t="shared" si="0"/>
        <v>6921777</v>
      </c>
      <c r="Q2" s="89">
        <f t="shared" si="0"/>
        <v>6308851</v>
      </c>
      <c r="R2" s="89">
        <f t="shared" si="0"/>
        <v>7682005</v>
      </c>
      <c r="S2" s="89">
        <f t="shared" si="0"/>
        <v>7203509</v>
      </c>
      <c r="T2" s="89">
        <f t="shared" si="0"/>
        <v>7680711</v>
      </c>
      <c r="U2" s="89">
        <f t="shared" si="0"/>
        <v>7299473</v>
      </c>
      <c r="V2" s="89">
        <f t="shared" si="0"/>
        <v>7390294</v>
      </c>
      <c r="W2" s="89">
        <f t="shared" si="0"/>
        <v>6933696</v>
      </c>
      <c r="X2" s="89">
        <f t="shared" si="0"/>
        <v>3754374</v>
      </c>
      <c r="Y2" s="89">
        <f t="shared" si="0"/>
        <v>4202789</v>
      </c>
      <c r="Z2" s="89">
        <f t="shared" si="0"/>
        <v>4636120</v>
      </c>
      <c r="AA2" s="89">
        <f t="shared" si="0"/>
        <v>4640922</v>
      </c>
      <c r="AB2" s="89">
        <f t="shared" si="0"/>
        <v>3563000</v>
      </c>
    </row>
    <row r="3" spans="1:28">
      <c r="A3" s="91" t="s">
        <v>296</v>
      </c>
      <c r="B3" s="88" t="s">
        <v>295</v>
      </c>
      <c r="C3" s="89">
        <v>5105138</v>
      </c>
      <c r="D3" s="89">
        <v>4953038</v>
      </c>
      <c r="E3" s="89">
        <v>7770971</v>
      </c>
      <c r="F3" s="89">
        <v>9118894</v>
      </c>
      <c r="G3" s="89">
        <v>5598079</v>
      </c>
      <c r="H3" s="89">
        <v>3637681</v>
      </c>
      <c r="I3" s="89">
        <v>3838794</v>
      </c>
      <c r="J3" s="89">
        <v>3907711</v>
      </c>
      <c r="K3" s="89">
        <v>5353735</v>
      </c>
      <c r="L3" s="89">
        <v>6262330</v>
      </c>
      <c r="M3" s="89">
        <v>5909919</v>
      </c>
      <c r="N3" s="89">
        <v>5996613</v>
      </c>
      <c r="O3" s="89">
        <v>5595791</v>
      </c>
      <c r="P3" s="89">
        <v>6100057</v>
      </c>
      <c r="Q3" s="89">
        <v>5549612</v>
      </c>
      <c r="R3" s="92">
        <v>7681952</v>
      </c>
      <c r="S3" s="92">
        <v>7203509</v>
      </c>
      <c r="T3" s="92">
        <v>7680711</v>
      </c>
      <c r="U3" s="92">
        <v>7299473</v>
      </c>
      <c r="V3" s="93"/>
      <c r="W3" s="93"/>
      <c r="X3" s="93"/>
      <c r="Y3" s="93"/>
      <c r="Z3" s="93"/>
      <c r="AA3" s="93"/>
      <c r="AB3" s="93"/>
    </row>
    <row r="4" spans="1:28">
      <c r="A4" s="94" t="s">
        <v>297</v>
      </c>
      <c r="B4" s="95" t="s">
        <v>295</v>
      </c>
      <c r="C4" s="96">
        <v>4345008</v>
      </c>
      <c r="D4" s="96">
        <v>3977324</v>
      </c>
      <c r="E4" s="96">
        <v>6896041</v>
      </c>
      <c r="F4" s="96">
        <v>8432486</v>
      </c>
      <c r="G4" s="96">
        <v>5018885</v>
      </c>
      <c r="H4" s="96">
        <v>3221295</v>
      </c>
      <c r="I4" s="96">
        <v>2446122</v>
      </c>
      <c r="J4" s="96">
        <v>2738521</v>
      </c>
      <c r="K4" s="96">
        <v>3684261</v>
      </c>
      <c r="L4" s="96">
        <v>4156293</v>
      </c>
      <c r="M4" s="96">
        <v>3872762</v>
      </c>
      <c r="N4" s="96">
        <v>4065693</v>
      </c>
      <c r="O4" s="96">
        <v>3820704</v>
      </c>
      <c r="P4" s="96">
        <v>4209686</v>
      </c>
      <c r="Q4" s="96">
        <v>4052912</v>
      </c>
      <c r="R4" s="96">
        <v>4361827</v>
      </c>
      <c r="S4" s="96">
        <v>3823656</v>
      </c>
      <c r="T4" s="96">
        <v>4295890</v>
      </c>
      <c r="U4" s="96">
        <v>3677952</v>
      </c>
      <c r="V4" s="97">
        <v>3458315</v>
      </c>
      <c r="W4" s="97">
        <v>3000060</v>
      </c>
      <c r="X4" s="97">
        <v>1085095</v>
      </c>
      <c r="Y4" s="97">
        <v>930860</v>
      </c>
      <c r="Z4" s="97">
        <v>1014361</v>
      </c>
      <c r="AA4" s="97">
        <v>797680</v>
      </c>
      <c r="AB4" s="97">
        <v>830000</v>
      </c>
    </row>
    <row r="5" spans="1:28">
      <c r="A5" s="98" t="s">
        <v>298</v>
      </c>
      <c r="B5" s="95" t="s">
        <v>295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 t="s">
        <v>299</v>
      </c>
      <c r="R5" s="96">
        <v>1145826</v>
      </c>
      <c r="S5" s="96">
        <v>765451</v>
      </c>
      <c r="T5" s="96">
        <v>1416817</v>
      </c>
      <c r="U5" s="96">
        <v>876206</v>
      </c>
      <c r="V5" s="99"/>
      <c r="W5" s="99"/>
      <c r="X5" s="99"/>
      <c r="Y5" s="99"/>
      <c r="Z5" s="99"/>
      <c r="AA5" s="99"/>
      <c r="AB5" s="99"/>
    </row>
    <row r="6" spans="1:28">
      <c r="A6" s="98" t="s">
        <v>300</v>
      </c>
      <c r="B6" s="95" t="s">
        <v>295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>
        <v>311569</v>
      </c>
      <c r="R6" s="96">
        <v>327282</v>
      </c>
      <c r="S6" s="96">
        <v>293437</v>
      </c>
      <c r="T6" s="96">
        <v>372593</v>
      </c>
      <c r="U6" s="96">
        <v>440023</v>
      </c>
      <c r="V6" s="99"/>
      <c r="W6" s="99"/>
      <c r="X6" s="99"/>
      <c r="Y6" s="99"/>
      <c r="Z6" s="99"/>
      <c r="AA6" s="99"/>
      <c r="AB6" s="99"/>
    </row>
    <row r="7" spans="1:28">
      <c r="A7" s="98" t="s">
        <v>301</v>
      </c>
      <c r="B7" s="95" t="s">
        <v>295</v>
      </c>
      <c r="C7" s="96">
        <v>79800</v>
      </c>
      <c r="D7" s="96">
        <v>106909</v>
      </c>
      <c r="E7" s="96">
        <v>128521</v>
      </c>
      <c r="F7" s="96">
        <v>178901</v>
      </c>
      <c r="G7" s="96">
        <v>82058</v>
      </c>
      <c r="H7" s="96">
        <v>87533</v>
      </c>
      <c r="I7" s="96">
        <v>45071</v>
      </c>
      <c r="J7" s="96">
        <v>64227</v>
      </c>
      <c r="K7" s="96">
        <v>80711</v>
      </c>
      <c r="L7" s="96">
        <v>87468</v>
      </c>
      <c r="M7" s="96">
        <v>69978</v>
      </c>
      <c r="N7" s="96">
        <v>74580</v>
      </c>
      <c r="O7" s="96">
        <v>41424</v>
      </c>
      <c r="P7" s="96">
        <v>47794</v>
      </c>
      <c r="Q7" s="96">
        <v>46903</v>
      </c>
      <c r="R7" s="96">
        <v>37204</v>
      </c>
      <c r="S7" s="96">
        <v>31334</v>
      </c>
      <c r="T7" s="96">
        <v>27319</v>
      </c>
      <c r="U7" s="96">
        <v>56470</v>
      </c>
      <c r="V7" s="99"/>
      <c r="W7" s="99"/>
      <c r="X7" s="99"/>
      <c r="Y7" s="99"/>
      <c r="Z7" s="99"/>
      <c r="AA7" s="99"/>
      <c r="AB7" s="99"/>
    </row>
    <row r="8" spans="1:28">
      <c r="A8" s="100" t="s">
        <v>302</v>
      </c>
      <c r="B8" s="101" t="s">
        <v>295</v>
      </c>
      <c r="C8" s="102">
        <v>760130</v>
      </c>
      <c r="D8" s="102">
        <v>975714</v>
      </c>
      <c r="E8" s="102">
        <v>874930</v>
      </c>
      <c r="F8" s="102">
        <v>686408</v>
      </c>
      <c r="G8" s="102">
        <v>579194</v>
      </c>
      <c r="H8" s="102">
        <v>416386</v>
      </c>
      <c r="I8" s="102">
        <v>271803</v>
      </c>
      <c r="J8" s="102">
        <v>118671</v>
      </c>
      <c r="K8" s="102">
        <v>154065</v>
      </c>
      <c r="L8" s="102">
        <v>226337</v>
      </c>
      <c r="M8" s="102">
        <v>195948</v>
      </c>
      <c r="N8" s="102">
        <v>196931</v>
      </c>
      <c r="O8" s="102">
        <v>136409</v>
      </c>
      <c r="P8" s="102">
        <v>154400</v>
      </c>
      <c r="Q8" s="103">
        <v>109654</v>
      </c>
      <c r="R8" s="103">
        <v>128390</v>
      </c>
      <c r="S8" s="103">
        <v>162322</v>
      </c>
      <c r="T8" s="103">
        <v>141220</v>
      </c>
      <c r="U8" s="103">
        <v>135429</v>
      </c>
      <c r="V8" s="104">
        <v>125565</v>
      </c>
      <c r="W8" s="104">
        <v>151496</v>
      </c>
      <c r="X8" s="104">
        <v>172239</v>
      </c>
      <c r="Y8" s="104">
        <v>166099</v>
      </c>
      <c r="Z8" s="104">
        <v>66997</v>
      </c>
      <c r="AA8" s="104">
        <v>67612</v>
      </c>
      <c r="AB8" s="104">
        <v>48080.135468960842</v>
      </c>
    </row>
    <row r="9" spans="1:28">
      <c r="A9" s="100" t="s">
        <v>303</v>
      </c>
      <c r="B9" s="101" t="s">
        <v>295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>
        <v>108055</v>
      </c>
      <c r="R9" s="103">
        <v>127724</v>
      </c>
      <c r="S9" s="103">
        <v>156391</v>
      </c>
      <c r="T9" s="103">
        <v>136954</v>
      </c>
      <c r="U9" s="103">
        <v>125907</v>
      </c>
      <c r="V9" s="105"/>
      <c r="W9" s="105"/>
      <c r="X9" s="105"/>
      <c r="Y9" s="105"/>
      <c r="Z9" s="105"/>
      <c r="AA9" s="105"/>
      <c r="AB9" s="105"/>
    </row>
    <row r="10" spans="1:28">
      <c r="A10" s="100" t="s">
        <v>304</v>
      </c>
      <c r="B10" s="101" t="s">
        <v>295</v>
      </c>
      <c r="C10" s="102"/>
      <c r="D10" s="102"/>
      <c r="E10" s="102"/>
      <c r="F10" s="102"/>
      <c r="G10" s="102"/>
      <c r="H10" s="102"/>
      <c r="I10" s="102"/>
      <c r="J10" s="102">
        <v>5022</v>
      </c>
      <c r="K10" s="102"/>
      <c r="L10" s="102"/>
      <c r="M10" s="102"/>
      <c r="N10" s="102"/>
      <c r="O10" s="102"/>
      <c r="P10" s="102"/>
      <c r="Q10" s="103">
        <v>1599</v>
      </c>
      <c r="R10" s="103">
        <v>666</v>
      </c>
      <c r="S10" s="103">
        <v>5931</v>
      </c>
      <c r="T10" s="103">
        <v>4266</v>
      </c>
      <c r="U10" s="103">
        <v>9522</v>
      </c>
      <c r="V10" s="105"/>
      <c r="W10" s="105"/>
      <c r="X10" s="105"/>
      <c r="Y10" s="105"/>
      <c r="Z10" s="105"/>
      <c r="AA10" s="105"/>
      <c r="AB10" s="105"/>
    </row>
    <row r="11" spans="1:28">
      <c r="A11" s="106" t="s">
        <v>305</v>
      </c>
      <c r="B11" s="107" t="s">
        <v>295</v>
      </c>
      <c r="C11" s="108">
        <v>919799</v>
      </c>
      <c r="D11" s="108">
        <v>515293</v>
      </c>
      <c r="E11" s="108">
        <v>378999</v>
      </c>
      <c r="F11" s="108">
        <v>285994</v>
      </c>
      <c r="G11" s="108">
        <v>319310</v>
      </c>
      <c r="H11" s="108">
        <v>407546</v>
      </c>
      <c r="I11" s="108">
        <v>408240</v>
      </c>
      <c r="J11" s="108">
        <v>390911</v>
      </c>
      <c r="K11" s="108">
        <v>424003</v>
      </c>
      <c r="L11" s="108">
        <v>344254</v>
      </c>
      <c r="M11" s="108">
        <v>306708</v>
      </c>
      <c r="N11" s="108">
        <v>326641</v>
      </c>
      <c r="O11" s="108">
        <v>305065</v>
      </c>
      <c r="P11" s="108">
        <v>303086</v>
      </c>
      <c r="Q11" s="108">
        <v>292453</v>
      </c>
      <c r="R11" s="109">
        <v>299577</v>
      </c>
      <c r="S11" s="109">
        <v>272805</v>
      </c>
      <c r="T11" s="109">
        <v>305439</v>
      </c>
      <c r="U11" s="109">
        <v>371859</v>
      </c>
      <c r="V11" s="110">
        <v>370223</v>
      </c>
      <c r="W11" s="110">
        <v>387884</v>
      </c>
      <c r="X11" s="110">
        <v>250593</v>
      </c>
      <c r="Y11" s="110">
        <v>465579</v>
      </c>
      <c r="Z11" s="110">
        <v>625911</v>
      </c>
      <c r="AA11" s="110">
        <v>624231</v>
      </c>
      <c r="AB11" s="110">
        <v>443902.13340715988</v>
      </c>
    </row>
    <row r="12" spans="1:28">
      <c r="A12" s="106" t="s">
        <v>306</v>
      </c>
      <c r="B12" s="107" t="s">
        <v>295</v>
      </c>
      <c r="C12" s="108">
        <v>568309</v>
      </c>
      <c r="D12" s="108">
        <v>386571</v>
      </c>
      <c r="E12" s="108">
        <v>298369</v>
      </c>
      <c r="F12" s="108">
        <v>220866</v>
      </c>
      <c r="G12" s="108">
        <v>271262</v>
      </c>
      <c r="H12" s="108">
        <v>326952</v>
      </c>
      <c r="I12" s="108">
        <v>300202</v>
      </c>
      <c r="J12" s="108" t="s">
        <v>307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 spans="1:28">
      <c r="A13" s="106" t="s">
        <v>308</v>
      </c>
      <c r="B13" s="107" t="s">
        <v>295</v>
      </c>
      <c r="C13" s="108"/>
      <c r="D13" s="108"/>
      <c r="E13" s="108"/>
      <c r="F13" s="108"/>
      <c r="G13" s="108"/>
      <c r="H13" s="108"/>
      <c r="I13" s="108"/>
      <c r="J13" s="108"/>
      <c r="K13" s="111"/>
      <c r="L13" s="111"/>
      <c r="M13" s="111"/>
      <c r="N13" s="111"/>
      <c r="O13" s="111"/>
      <c r="P13" s="111"/>
      <c r="Q13" s="111"/>
      <c r="R13" s="111">
        <v>54541</v>
      </c>
      <c r="S13" s="111">
        <v>44782</v>
      </c>
      <c r="T13" s="111">
        <v>45936</v>
      </c>
      <c r="U13" s="111">
        <v>31913</v>
      </c>
      <c r="V13" s="111"/>
      <c r="W13" s="111"/>
      <c r="X13" s="111"/>
      <c r="Y13" s="111"/>
      <c r="Z13" s="111"/>
      <c r="AA13" s="111"/>
      <c r="AB13" s="111"/>
    </row>
    <row r="14" spans="1:28">
      <c r="A14" s="106" t="s">
        <v>309</v>
      </c>
      <c r="B14" s="107" t="s">
        <v>295</v>
      </c>
      <c r="C14" s="108"/>
      <c r="D14" s="108"/>
      <c r="E14" s="108"/>
      <c r="F14" s="108"/>
      <c r="G14" s="108"/>
      <c r="H14" s="108"/>
      <c r="I14" s="108"/>
      <c r="J14" s="108"/>
      <c r="K14" s="111"/>
      <c r="L14" s="111"/>
      <c r="M14" s="111"/>
      <c r="N14" s="111"/>
      <c r="O14" s="111"/>
      <c r="P14" s="111"/>
      <c r="Q14" s="111"/>
      <c r="R14" s="111">
        <v>56825</v>
      </c>
      <c r="S14" s="111">
        <v>46979</v>
      </c>
      <c r="T14" s="111">
        <v>36295</v>
      </c>
      <c r="U14" s="111">
        <v>189794</v>
      </c>
      <c r="V14" s="111"/>
      <c r="W14" s="111"/>
      <c r="X14" s="111"/>
      <c r="Y14" s="111"/>
      <c r="Z14" s="111"/>
      <c r="AA14" s="111"/>
      <c r="AB14" s="111"/>
    </row>
    <row r="15" spans="1:28">
      <c r="A15" s="112" t="s">
        <v>310</v>
      </c>
      <c r="B15" s="113" t="s">
        <v>295</v>
      </c>
      <c r="C15" s="114"/>
      <c r="D15" s="114"/>
      <c r="E15" s="114"/>
      <c r="F15" s="114"/>
      <c r="G15" s="114"/>
      <c r="H15" s="114"/>
      <c r="I15" s="114"/>
      <c r="J15" s="114"/>
      <c r="K15" s="115"/>
      <c r="L15" s="115"/>
      <c r="M15" s="115"/>
      <c r="N15" s="115"/>
      <c r="O15" s="115"/>
      <c r="P15" s="115"/>
      <c r="Q15" s="115"/>
      <c r="R15" s="116">
        <v>739334</v>
      </c>
      <c r="S15" s="116">
        <v>991088</v>
      </c>
      <c r="T15" s="116">
        <v>1280993</v>
      </c>
      <c r="U15" s="116">
        <v>1329166</v>
      </c>
      <c r="V15" s="116">
        <v>1537877</v>
      </c>
      <c r="W15" s="116">
        <v>1619648</v>
      </c>
      <c r="X15" s="116">
        <v>1011349</v>
      </c>
      <c r="Y15" s="116">
        <v>1582935</v>
      </c>
      <c r="Z15" s="116">
        <v>1795750</v>
      </c>
      <c r="AA15" s="116">
        <v>1884367</v>
      </c>
      <c r="AB15" s="116">
        <v>1340007.9961136978</v>
      </c>
    </row>
    <row r="16" spans="1:28">
      <c r="A16" s="117" t="s">
        <v>311</v>
      </c>
      <c r="B16" s="113" t="s">
        <v>295</v>
      </c>
      <c r="C16" s="114"/>
      <c r="D16" s="114"/>
      <c r="E16" s="114"/>
      <c r="F16" s="114"/>
      <c r="G16" s="114"/>
      <c r="H16" s="114"/>
      <c r="I16" s="114"/>
      <c r="J16" s="114"/>
      <c r="K16" s="115"/>
      <c r="L16" s="115"/>
      <c r="M16" s="115"/>
      <c r="N16" s="115"/>
      <c r="O16" s="115"/>
      <c r="P16" s="115"/>
      <c r="Q16" s="115"/>
      <c r="R16" s="118">
        <v>29491</v>
      </c>
      <c r="S16" s="118">
        <v>46291</v>
      </c>
      <c r="T16" s="118">
        <v>93056</v>
      </c>
      <c r="U16" s="118">
        <v>69309</v>
      </c>
      <c r="V16" s="116"/>
      <c r="W16" s="116"/>
      <c r="X16" s="116"/>
      <c r="Y16" s="116"/>
      <c r="Z16" s="116"/>
      <c r="AA16" s="116"/>
      <c r="AB16" s="116"/>
    </row>
    <row r="17" spans="1:28">
      <c r="A17" s="117" t="s">
        <v>312</v>
      </c>
      <c r="B17" s="113" t="s">
        <v>295</v>
      </c>
      <c r="C17" s="114">
        <v>1073420</v>
      </c>
      <c r="D17" s="114">
        <v>703774</v>
      </c>
      <c r="E17" s="114">
        <v>575934</v>
      </c>
      <c r="F17" s="114">
        <v>264040</v>
      </c>
      <c r="G17" s="114">
        <v>279516</v>
      </c>
      <c r="H17" s="114">
        <v>328060</v>
      </c>
      <c r="I17" s="114">
        <v>296056</v>
      </c>
      <c r="J17" s="114">
        <v>290609</v>
      </c>
      <c r="K17" s="114">
        <v>395861</v>
      </c>
      <c r="L17" s="114">
        <v>543412</v>
      </c>
      <c r="M17" s="114">
        <v>665598</v>
      </c>
      <c r="N17" s="114">
        <v>788810</v>
      </c>
      <c r="O17" s="114">
        <v>707499</v>
      </c>
      <c r="P17" s="114">
        <v>758327</v>
      </c>
      <c r="Q17" s="114">
        <v>687375</v>
      </c>
      <c r="R17" s="118">
        <v>684752</v>
      </c>
      <c r="S17" s="118">
        <v>718305</v>
      </c>
      <c r="T17" s="118">
        <v>764190</v>
      </c>
      <c r="U17" s="118">
        <v>846156</v>
      </c>
      <c r="V17" s="116"/>
      <c r="W17" s="116"/>
      <c r="X17" s="116"/>
      <c r="Y17" s="116"/>
      <c r="Z17" s="116"/>
      <c r="AA17" s="116"/>
      <c r="AB17" s="116"/>
    </row>
    <row r="18" spans="1:28">
      <c r="A18" s="117" t="s">
        <v>313</v>
      </c>
      <c r="B18" s="113" t="s">
        <v>295</v>
      </c>
      <c r="C18" s="114"/>
      <c r="D18" s="114"/>
      <c r="E18" s="114"/>
      <c r="F18" s="114"/>
      <c r="G18" s="114"/>
      <c r="H18" s="114"/>
      <c r="I18" s="114"/>
      <c r="J18" s="114"/>
      <c r="K18" s="115"/>
      <c r="L18" s="115"/>
      <c r="M18" s="115"/>
      <c r="N18" s="115"/>
      <c r="O18" s="115"/>
      <c r="P18" s="115"/>
      <c r="Q18" s="115"/>
      <c r="R18" s="118">
        <v>54529</v>
      </c>
      <c r="S18" s="118">
        <v>272783</v>
      </c>
      <c r="T18" s="118">
        <v>516803</v>
      </c>
      <c r="U18" s="118">
        <v>483010</v>
      </c>
      <c r="V18" s="116"/>
      <c r="W18" s="116"/>
      <c r="X18" s="116"/>
      <c r="Y18" s="116"/>
      <c r="Z18" s="116"/>
      <c r="AA18" s="116"/>
      <c r="AB18" s="116"/>
    </row>
    <row r="19" spans="1:28">
      <c r="A19" s="91" t="s">
        <v>314</v>
      </c>
      <c r="B19" s="88" t="s">
        <v>295</v>
      </c>
      <c r="C19" s="89">
        <v>32584372</v>
      </c>
      <c r="D19" s="89">
        <v>35426636</v>
      </c>
      <c r="E19" s="89">
        <v>29301513</v>
      </c>
      <c r="F19" s="89">
        <v>23055394</v>
      </c>
      <c r="G19" s="89">
        <v>21585588</v>
      </c>
      <c r="H19" s="89">
        <v>21994790</v>
      </c>
      <c r="I19" s="89">
        <v>20202327</v>
      </c>
      <c r="J19" s="89">
        <v>20643218</v>
      </c>
      <c r="K19" s="89">
        <v>21526252</v>
      </c>
      <c r="L19" s="89">
        <v>21537816</v>
      </c>
      <c r="M19" s="89">
        <v>23938134</v>
      </c>
      <c r="N19" s="89">
        <v>23481113</v>
      </c>
      <c r="O19" s="89">
        <v>24140908</v>
      </c>
      <c r="P19" s="89">
        <v>25178730</v>
      </c>
      <c r="Q19" s="89">
        <v>24719474</v>
      </c>
      <c r="R19" s="92">
        <v>27509897</v>
      </c>
      <c r="S19" s="92">
        <v>25497053</v>
      </c>
      <c r="T19" s="92">
        <v>24682804</v>
      </c>
      <c r="U19" s="92">
        <v>24596091</v>
      </c>
      <c r="V19" s="93"/>
      <c r="W19" s="93"/>
      <c r="X19" s="93"/>
      <c r="Y19" s="93"/>
      <c r="Z19" s="93"/>
      <c r="AA19" s="93"/>
      <c r="AB19" s="93"/>
    </row>
    <row r="20" spans="1:28">
      <c r="A20" s="119" t="s">
        <v>315</v>
      </c>
      <c r="B20" s="88" t="s">
        <v>295</v>
      </c>
      <c r="C20" s="89"/>
      <c r="D20" s="89"/>
      <c r="E20" s="89"/>
      <c r="F20" s="89"/>
      <c r="G20" s="89">
        <v>9002889</v>
      </c>
      <c r="H20" s="89">
        <v>9992981</v>
      </c>
      <c r="I20" s="89">
        <v>9433425</v>
      </c>
      <c r="J20" s="89"/>
      <c r="K20" s="89"/>
      <c r="L20" s="89"/>
      <c r="M20" s="89"/>
      <c r="N20" s="89"/>
      <c r="O20" s="89"/>
      <c r="P20" s="89"/>
      <c r="Q20" s="89"/>
      <c r="R20" s="92"/>
      <c r="S20" s="92"/>
      <c r="T20" s="92"/>
      <c r="U20" s="92"/>
      <c r="V20" s="93"/>
      <c r="W20" s="93"/>
      <c r="X20" s="93"/>
      <c r="Y20" s="93"/>
      <c r="Z20" s="93"/>
      <c r="AA20" s="93"/>
      <c r="AB20" s="93"/>
    </row>
    <row r="21" spans="1:28">
      <c r="A21" s="119" t="s">
        <v>316</v>
      </c>
      <c r="B21" s="88" t="s">
        <v>295</v>
      </c>
      <c r="C21" s="89"/>
      <c r="D21" s="89"/>
      <c r="E21" s="89"/>
      <c r="F21" s="89"/>
      <c r="G21" s="89">
        <v>7432555</v>
      </c>
      <c r="H21" s="89">
        <v>7272836</v>
      </c>
      <c r="I21" s="89">
        <v>6526637</v>
      </c>
      <c r="J21" s="89"/>
      <c r="K21" s="89"/>
      <c r="L21" s="89"/>
      <c r="M21" s="89"/>
      <c r="N21" s="89"/>
      <c r="O21" s="89"/>
      <c r="P21" s="89"/>
      <c r="Q21" s="89"/>
      <c r="R21" s="92"/>
      <c r="S21" s="92"/>
      <c r="T21" s="92"/>
      <c r="U21" s="92"/>
      <c r="V21" s="93"/>
      <c r="W21" s="93"/>
      <c r="X21" s="93"/>
      <c r="Y21" s="93"/>
      <c r="Z21" s="93"/>
      <c r="AA21" s="93"/>
      <c r="AB21" s="93"/>
    </row>
    <row r="22" spans="1:28">
      <c r="A22" s="119" t="s">
        <v>317</v>
      </c>
      <c r="B22" s="88" t="s">
        <v>295</v>
      </c>
      <c r="C22" s="89"/>
      <c r="D22" s="89"/>
      <c r="E22" s="89"/>
      <c r="F22" s="89"/>
      <c r="G22" s="89">
        <v>5150144</v>
      </c>
      <c r="H22" s="89">
        <v>4728972</v>
      </c>
      <c r="I22" s="89">
        <v>4242265</v>
      </c>
      <c r="J22" s="89"/>
      <c r="K22" s="89"/>
      <c r="L22" s="89"/>
      <c r="M22" s="89"/>
      <c r="N22" s="89"/>
      <c r="O22" s="89"/>
      <c r="P22" s="89"/>
      <c r="Q22" s="89"/>
      <c r="R22" s="92"/>
      <c r="S22" s="92"/>
      <c r="T22" s="92"/>
      <c r="U22" s="92"/>
      <c r="V22" s="93"/>
      <c r="W22" s="93"/>
      <c r="X22" s="93"/>
      <c r="Y22" s="93"/>
      <c r="Z22" s="93"/>
      <c r="AA22" s="93"/>
      <c r="AB22" s="93"/>
    </row>
    <row r="23" spans="1:28">
      <c r="A23" s="120" t="s">
        <v>318</v>
      </c>
      <c r="B23" s="121" t="s">
        <v>295</v>
      </c>
      <c r="C23" s="122">
        <v>6130041</v>
      </c>
      <c r="D23" s="122">
        <v>5821937</v>
      </c>
      <c r="E23" s="122">
        <v>2561362</v>
      </c>
      <c r="F23" s="122">
        <v>1817342</v>
      </c>
      <c r="G23" s="122">
        <v>2002141</v>
      </c>
      <c r="H23" s="122">
        <v>2646722</v>
      </c>
      <c r="I23" s="122">
        <v>1471653</v>
      </c>
      <c r="J23" s="123">
        <f>J24+J25+J28</f>
        <v>1434110</v>
      </c>
      <c r="K23" s="123">
        <f t="shared" ref="K23:P23" si="1">K24+K25+K28</f>
        <v>1744691</v>
      </c>
      <c r="L23" s="123">
        <f t="shared" si="1"/>
        <v>2205799</v>
      </c>
      <c r="M23" s="123">
        <f t="shared" si="1"/>
        <v>2152875</v>
      </c>
      <c r="N23" s="123">
        <f t="shared" si="1"/>
        <v>2030477</v>
      </c>
      <c r="O23" s="123">
        <f t="shared" si="1"/>
        <v>2069714</v>
      </c>
      <c r="P23" s="123">
        <f t="shared" si="1"/>
        <v>2254605</v>
      </c>
      <c r="Q23" s="124">
        <v>1853832</v>
      </c>
      <c r="R23" s="124">
        <v>2152877</v>
      </c>
      <c r="S23" s="124">
        <v>1953638</v>
      </c>
      <c r="T23" s="124">
        <v>1657169</v>
      </c>
      <c r="U23" s="124">
        <v>1785067</v>
      </c>
      <c r="V23" s="125">
        <v>1898314</v>
      </c>
      <c r="W23" s="125">
        <v>1774608</v>
      </c>
      <c r="X23" s="125">
        <v>1235098</v>
      </c>
      <c r="Y23" s="125">
        <v>1057316</v>
      </c>
      <c r="Z23" s="125">
        <v>1133101</v>
      </c>
      <c r="AA23" s="125">
        <v>1267032</v>
      </c>
      <c r="AB23" s="125">
        <v>901009.73501018144</v>
      </c>
    </row>
    <row r="24" spans="1:28">
      <c r="A24" s="126" t="s">
        <v>319</v>
      </c>
      <c r="B24" s="121" t="s">
        <v>295</v>
      </c>
      <c r="C24" s="122">
        <v>6130041</v>
      </c>
      <c r="D24" s="122">
        <v>5821937</v>
      </c>
      <c r="E24" s="122">
        <v>2561362</v>
      </c>
      <c r="F24" s="122">
        <v>1817342</v>
      </c>
      <c r="G24" s="122">
        <v>1196546</v>
      </c>
      <c r="H24" s="122">
        <v>1762999</v>
      </c>
      <c r="I24" s="122">
        <v>1120869</v>
      </c>
      <c r="J24" s="122">
        <v>1050519</v>
      </c>
      <c r="K24" s="122">
        <v>1515409</v>
      </c>
      <c r="L24" s="122">
        <v>1879700</v>
      </c>
      <c r="M24" s="122">
        <v>1841209</v>
      </c>
      <c r="N24" s="122">
        <v>1733989</v>
      </c>
      <c r="O24" s="122">
        <v>1638678</v>
      </c>
      <c r="P24" s="122">
        <v>1735971</v>
      </c>
      <c r="Q24" s="122">
        <v>1388645</v>
      </c>
      <c r="R24" s="124">
        <v>1544074</v>
      </c>
      <c r="S24" s="124">
        <v>1399471</v>
      </c>
      <c r="T24" s="124">
        <v>984741</v>
      </c>
      <c r="U24" s="124">
        <v>1034079</v>
      </c>
      <c r="V24" s="127">
        <v>1072561</v>
      </c>
      <c r="W24" s="127">
        <v>1025026</v>
      </c>
      <c r="X24" s="127"/>
      <c r="Y24" s="127"/>
      <c r="Z24" s="127"/>
      <c r="AA24" s="127"/>
      <c r="AB24" s="127"/>
    </row>
    <row r="25" spans="1:28">
      <c r="A25" s="126" t="s">
        <v>320</v>
      </c>
      <c r="B25" s="121" t="s">
        <v>295</v>
      </c>
      <c r="C25" s="122" t="s">
        <v>307</v>
      </c>
      <c r="D25" s="122" t="s">
        <v>307</v>
      </c>
      <c r="E25" s="122" t="s">
        <v>307</v>
      </c>
      <c r="F25" s="122" t="s">
        <v>307</v>
      </c>
      <c r="G25" s="123">
        <f>G26+G27</f>
        <v>805595</v>
      </c>
      <c r="H25" s="123">
        <f>H26+H27</f>
        <v>883723</v>
      </c>
      <c r="I25" s="123">
        <f>I26+I27</f>
        <v>350784</v>
      </c>
      <c r="J25" s="122">
        <v>383591</v>
      </c>
      <c r="K25" s="122">
        <v>229282</v>
      </c>
      <c r="L25" s="122">
        <v>326099</v>
      </c>
      <c r="M25" s="122">
        <v>311666</v>
      </c>
      <c r="N25" s="122">
        <v>296488</v>
      </c>
      <c r="O25" s="122">
        <v>431036</v>
      </c>
      <c r="P25" s="122">
        <v>518634</v>
      </c>
      <c r="Q25" s="124">
        <v>465187</v>
      </c>
      <c r="R25" s="124">
        <v>608803</v>
      </c>
      <c r="S25" s="124">
        <v>554167</v>
      </c>
      <c r="T25" s="124">
        <v>672428</v>
      </c>
      <c r="U25" s="124">
        <v>750988</v>
      </c>
      <c r="V25" s="127">
        <v>781476</v>
      </c>
      <c r="W25" s="127">
        <v>680500</v>
      </c>
      <c r="X25" s="127"/>
      <c r="Y25" s="127"/>
      <c r="Z25" s="127"/>
      <c r="AA25" s="127"/>
      <c r="AB25" s="127"/>
    </row>
    <row r="26" spans="1:28">
      <c r="A26" s="128" t="s">
        <v>321</v>
      </c>
      <c r="B26" s="121" t="s">
        <v>295</v>
      </c>
      <c r="C26" s="122"/>
      <c r="D26" s="122"/>
      <c r="E26" s="122"/>
      <c r="F26" s="122"/>
      <c r="G26" s="122">
        <v>518419</v>
      </c>
      <c r="H26" s="122">
        <v>546220</v>
      </c>
      <c r="I26" s="122">
        <v>244278</v>
      </c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</row>
    <row r="27" spans="1:28">
      <c r="A27" s="128" t="s">
        <v>317</v>
      </c>
      <c r="B27" s="121" t="s">
        <v>295</v>
      </c>
      <c r="C27" s="122"/>
      <c r="D27" s="122"/>
      <c r="E27" s="122"/>
      <c r="F27" s="122"/>
      <c r="G27" s="122">
        <v>287176</v>
      </c>
      <c r="H27" s="122">
        <v>337503</v>
      </c>
      <c r="I27" s="122">
        <v>106506</v>
      </c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</row>
    <row r="28" spans="1:28">
      <c r="A28" s="128" t="s">
        <v>322</v>
      </c>
      <c r="B28" s="121" t="s">
        <v>295</v>
      </c>
      <c r="C28" s="122"/>
      <c r="D28" s="122"/>
      <c r="E28" s="122"/>
      <c r="F28" s="122"/>
      <c r="G28" s="122"/>
      <c r="H28" s="122"/>
      <c r="I28" s="122"/>
      <c r="J28" s="122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>
        <v>44277</v>
      </c>
      <c r="W28" s="127">
        <v>69082</v>
      </c>
      <c r="X28" s="127"/>
      <c r="Y28" s="127"/>
      <c r="Z28" s="127"/>
      <c r="AA28" s="127"/>
      <c r="AB28" s="127"/>
    </row>
    <row r="29" spans="1:28">
      <c r="A29" s="129"/>
      <c r="B29" s="130"/>
      <c r="C29" s="131"/>
      <c r="D29" s="131"/>
      <c r="E29" s="131"/>
      <c r="F29" s="131"/>
      <c r="G29" s="131"/>
      <c r="H29" s="131"/>
      <c r="I29" s="131"/>
      <c r="J29" s="131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</row>
    <row r="30" spans="1:28">
      <c r="A30" s="133" t="s">
        <v>323</v>
      </c>
      <c r="B30" s="88" t="s">
        <v>324</v>
      </c>
      <c r="C30" s="89">
        <v>300504</v>
      </c>
      <c r="D30" s="89">
        <v>280448</v>
      </c>
      <c r="E30" s="89">
        <v>264031</v>
      </c>
      <c r="F30" s="89">
        <v>301341</v>
      </c>
      <c r="G30" s="89">
        <v>271139</v>
      </c>
      <c r="H30" s="89">
        <v>214246</v>
      </c>
      <c r="I30" s="89">
        <v>232487</v>
      </c>
      <c r="J30" s="89">
        <v>245438</v>
      </c>
      <c r="K30" s="89">
        <v>235499</v>
      </c>
      <c r="L30" s="89">
        <v>245555</v>
      </c>
      <c r="M30" s="89">
        <v>246930</v>
      </c>
      <c r="N30" s="89">
        <v>245776</v>
      </c>
      <c r="O30" s="89">
        <v>239418</v>
      </c>
      <c r="P30" s="89">
        <v>235734</v>
      </c>
      <c r="Q30" s="89">
        <v>205721</v>
      </c>
      <c r="R30" s="92">
        <v>212374</v>
      </c>
      <c r="S30" s="92">
        <v>183094</v>
      </c>
      <c r="T30" s="92">
        <v>174799</v>
      </c>
      <c r="U30" s="92">
        <v>173967</v>
      </c>
      <c r="V30" s="93"/>
      <c r="W30" s="93"/>
      <c r="X30" s="93"/>
      <c r="Y30" s="93"/>
      <c r="Z30" s="93"/>
      <c r="AA30" s="93"/>
      <c r="AB30" s="93"/>
    </row>
    <row r="31" spans="1:28">
      <c r="A31" s="91" t="s">
        <v>325</v>
      </c>
      <c r="B31" s="88" t="s">
        <v>295</v>
      </c>
      <c r="C31" s="89">
        <v>751731</v>
      </c>
      <c r="D31" s="89">
        <v>653269</v>
      </c>
      <c r="E31" s="89" t="s">
        <v>307</v>
      </c>
      <c r="F31" s="89" t="s">
        <v>307</v>
      </c>
      <c r="G31" s="89" t="s">
        <v>307</v>
      </c>
      <c r="H31" s="89" t="s">
        <v>307</v>
      </c>
      <c r="I31" s="89" t="s">
        <v>307</v>
      </c>
      <c r="J31" s="89" t="s">
        <v>307</v>
      </c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spans="1:28">
      <c r="A32" s="91" t="s">
        <v>326</v>
      </c>
      <c r="B32" s="88" t="s">
        <v>295</v>
      </c>
      <c r="C32" s="89">
        <v>21514468</v>
      </c>
      <c r="D32" s="89">
        <v>120225687</v>
      </c>
      <c r="E32" s="89">
        <v>134058184</v>
      </c>
      <c r="F32" s="89" t="s">
        <v>307</v>
      </c>
      <c r="G32" s="89" t="s">
        <v>307</v>
      </c>
      <c r="H32" s="89" t="s">
        <v>307</v>
      </c>
      <c r="I32" s="89" t="s">
        <v>307</v>
      </c>
      <c r="J32" s="89" t="s">
        <v>307</v>
      </c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spans="1:28">
      <c r="A33" s="134"/>
      <c r="B33" s="135"/>
      <c r="C33" s="131"/>
      <c r="D33" s="131"/>
      <c r="E33" s="131"/>
      <c r="F33" s="131"/>
      <c r="G33" s="131"/>
      <c r="H33" s="131"/>
      <c r="I33" s="131"/>
      <c r="J33" s="131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</row>
    <row r="34" spans="1:28">
      <c r="A34" s="136" t="s">
        <v>327</v>
      </c>
      <c r="B34" s="88" t="s">
        <v>295</v>
      </c>
      <c r="C34" s="137">
        <v>5013000</v>
      </c>
      <c r="D34" s="137">
        <v>4574400</v>
      </c>
      <c r="E34" s="137">
        <v>4816800</v>
      </c>
      <c r="F34" s="137">
        <v>4577700</v>
      </c>
      <c r="G34" s="137">
        <v>5271500</v>
      </c>
      <c r="H34" s="137">
        <v>5010600</v>
      </c>
      <c r="I34" s="137">
        <v>5509600</v>
      </c>
      <c r="J34" s="137">
        <v>6497600</v>
      </c>
      <c r="K34" s="137">
        <v>6235300</v>
      </c>
      <c r="L34" s="137">
        <v>6362600</v>
      </c>
      <c r="M34" s="137">
        <v>6661700</v>
      </c>
      <c r="N34" s="137">
        <v>7334500</v>
      </c>
      <c r="O34" s="137">
        <v>7661700</v>
      </c>
      <c r="P34" s="137">
        <v>7847200</v>
      </c>
      <c r="Q34" s="137">
        <v>9019600</v>
      </c>
      <c r="R34" s="137">
        <v>7812600</v>
      </c>
      <c r="S34" s="137">
        <v>8500400</v>
      </c>
      <c r="T34" s="137">
        <v>8856398</v>
      </c>
      <c r="U34" s="137">
        <v>8675957</v>
      </c>
      <c r="V34" s="137">
        <v>8477587</v>
      </c>
      <c r="W34" s="137">
        <v>9115824</v>
      </c>
      <c r="X34" s="137">
        <v>6422133</v>
      </c>
      <c r="Y34" s="137">
        <v>5737514</v>
      </c>
      <c r="Z34" s="137">
        <v>6471079</v>
      </c>
      <c r="AA34" s="93"/>
      <c r="AB34" s="93"/>
    </row>
    <row r="35" spans="1:28">
      <c r="A35" s="136" t="s">
        <v>328</v>
      </c>
      <c r="B35" s="88" t="s">
        <v>295</v>
      </c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>
        <v>1223827</v>
      </c>
      <c r="Z35" s="137">
        <v>1143776</v>
      </c>
      <c r="AA35" s="93"/>
      <c r="AB35" s="93"/>
    </row>
    <row r="36" spans="1:28">
      <c r="A36" s="136" t="s">
        <v>329</v>
      </c>
      <c r="B36" s="88" t="s">
        <v>295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>
        <v>372882</v>
      </c>
      <c r="Z36" s="137">
        <v>361251</v>
      </c>
      <c r="AA36" s="93"/>
      <c r="AB36" s="93"/>
    </row>
    <row r="37" spans="1:28">
      <c r="A37" s="136" t="s">
        <v>330</v>
      </c>
      <c r="B37" s="88" t="s">
        <v>295</v>
      </c>
      <c r="C37" s="89"/>
      <c r="D37" s="89"/>
      <c r="E37" s="89"/>
      <c r="F37" s="89"/>
      <c r="G37" s="89"/>
      <c r="H37" s="89"/>
      <c r="I37" s="89"/>
      <c r="J37" s="89"/>
      <c r="K37" s="93"/>
      <c r="L37" s="93"/>
      <c r="M37" s="93"/>
      <c r="N37" s="93"/>
      <c r="O37" s="93"/>
      <c r="P37" s="93"/>
      <c r="Q37" s="93"/>
      <c r="R37" s="138">
        <f>R14</f>
        <v>56825</v>
      </c>
      <c r="S37" s="138">
        <f t="shared" ref="S37:U37" si="2">S14</f>
        <v>46979</v>
      </c>
      <c r="T37" s="138">
        <f t="shared" si="2"/>
        <v>36295</v>
      </c>
      <c r="U37" s="138">
        <f t="shared" si="2"/>
        <v>189794</v>
      </c>
      <c r="V37" s="93"/>
      <c r="W37" s="93"/>
      <c r="X37" s="93"/>
      <c r="Y37" s="137">
        <v>206524</v>
      </c>
      <c r="Z37" s="137">
        <v>110140</v>
      </c>
      <c r="AA37" s="93"/>
      <c r="AB37" s="93"/>
    </row>
    <row r="38" spans="1:28">
      <c r="A38" s="136" t="s">
        <v>331</v>
      </c>
      <c r="B38" s="88" t="s">
        <v>295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137">
        <v>3934281</v>
      </c>
      <c r="Z38" s="137">
        <v>4855912</v>
      </c>
      <c r="AA38" s="93"/>
      <c r="AB38" s="93"/>
    </row>
    <row r="39" spans="1:28">
      <c r="A39" s="136" t="s">
        <v>332</v>
      </c>
      <c r="B39" s="88" t="s">
        <v>295</v>
      </c>
      <c r="C39" s="89">
        <v>1073420</v>
      </c>
      <c r="D39" s="89">
        <v>703774</v>
      </c>
      <c r="E39" s="89">
        <v>575934</v>
      </c>
      <c r="F39" s="89">
        <v>264040</v>
      </c>
      <c r="G39" s="89">
        <v>279516</v>
      </c>
      <c r="H39" s="89">
        <v>328060</v>
      </c>
      <c r="I39" s="89">
        <v>296056</v>
      </c>
      <c r="J39" s="89">
        <v>290609</v>
      </c>
      <c r="K39" s="89">
        <v>395861</v>
      </c>
      <c r="L39" s="89">
        <v>543412</v>
      </c>
      <c r="M39" s="89">
        <v>665598</v>
      </c>
      <c r="N39" s="89">
        <v>788810</v>
      </c>
      <c r="O39" s="89">
        <v>707499</v>
      </c>
      <c r="P39" s="89">
        <v>758327</v>
      </c>
      <c r="Q39" s="89">
        <v>687375</v>
      </c>
      <c r="R39" s="92">
        <v>684752</v>
      </c>
      <c r="S39" s="92">
        <v>718305</v>
      </c>
      <c r="T39" s="92">
        <v>764190</v>
      </c>
      <c r="U39" s="92">
        <v>846156</v>
      </c>
      <c r="V39" s="93"/>
      <c r="W39" s="93"/>
      <c r="X39" s="93"/>
      <c r="Y39" s="93"/>
      <c r="Z39" s="93"/>
      <c r="AA39" s="93"/>
      <c r="AB39" s="93"/>
    </row>
    <row r="40" spans="1:28" s="141" customFormat="1">
      <c r="A40" s="139" t="s">
        <v>333</v>
      </c>
      <c r="B40" s="140"/>
      <c r="C40" s="131"/>
      <c r="D40" s="131"/>
      <c r="E40" s="131"/>
      <c r="F40" s="131"/>
      <c r="G40" s="131"/>
      <c r="H40" s="131"/>
      <c r="I40" s="131"/>
      <c r="J40" s="131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</row>
    <row r="41" spans="1:28">
      <c r="A41" s="142" t="s">
        <v>334</v>
      </c>
      <c r="B41" s="143" t="s">
        <v>335</v>
      </c>
      <c r="C41" s="89">
        <v>11825322</v>
      </c>
      <c r="D41" s="89">
        <v>15955330</v>
      </c>
      <c r="E41" s="89">
        <v>11746879</v>
      </c>
      <c r="F41" s="89">
        <v>13879481</v>
      </c>
      <c r="G41" s="89">
        <v>14778920</v>
      </c>
      <c r="H41" s="89">
        <v>17327735</v>
      </c>
      <c r="I41" s="89">
        <v>17637976</v>
      </c>
      <c r="J41" s="89">
        <v>16263151</v>
      </c>
      <c r="K41" s="89">
        <v>15042955</v>
      </c>
      <c r="L41" s="89">
        <v>14878720</v>
      </c>
      <c r="M41" s="89">
        <v>13011459</v>
      </c>
      <c r="N41" s="89">
        <v>12800526</v>
      </c>
      <c r="O41" s="89">
        <v>9396281</v>
      </c>
      <c r="P41" s="89">
        <v>7751527</v>
      </c>
      <c r="Q41" s="89">
        <v>6966646</v>
      </c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 spans="1:28">
      <c r="A42" s="142" t="s">
        <v>336</v>
      </c>
      <c r="B42" s="143" t="s">
        <v>295</v>
      </c>
      <c r="C42" s="89">
        <v>7105272</v>
      </c>
      <c r="D42" s="89">
        <v>7055335</v>
      </c>
      <c r="E42" s="89">
        <v>6929253</v>
      </c>
      <c r="F42" s="89">
        <v>7988515</v>
      </c>
      <c r="G42" s="89">
        <v>8994905</v>
      </c>
      <c r="H42" s="89">
        <v>9879241</v>
      </c>
      <c r="I42" s="89">
        <v>9582760</v>
      </c>
      <c r="J42" s="89">
        <v>9746176</v>
      </c>
      <c r="K42" s="89">
        <v>9281807</v>
      </c>
      <c r="L42" s="89">
        <v>9555999</v>
      </c>
      <c r="M42" s="89">
        <v>7769016</v>
      </c>
      <c r="N42" s="89">
        <v>7349667</v>
      </c>
      <c r="O42" s="89"/>
      <c r="P42" s="89"/>
      <c r="Q42" s="89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 spans="1:28">
      <c r="A43" s="142" t="s">
        <v>337</v>
      </c>
      <c r="B43" s="143" t="s">
        <v>295</v>
      </c>
      <c r="C43" s="89">
        <v>7528960</v>
      </c>
      <c r="D43" s="89">
        <v>6672136</v>
      </c>
      <c r="E43" s="89">
        <v>7351822</v>
      </c>
      <c r="F43" s="89">
        <v>6825614</v>
      </c>
      <c r="G43" s="89">
        <v>7712957</v>
      </c>
      <c r="H43" s="89">
        <v>7827100</v>
      </c>
      <c r="I43" s="89">
        <v>8353279</v>
      </c>
      <c r="J43" s="89">
        <v>9790233</v>
      </c>
      <c r="K43" s="89">
        <v>10442018</v>
      </c>
      <c r="L43" s="89">
        <v>10607972</v>
      </c>
      <c r="M43" s="89">
        <v>10486104</v>
      </c>
      <c r="N43" s="89">
        <v>11322527</v>
      </c>
      <c r="O43" s="89">
        <v>11875006</v>
      </c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spans="1:28">
      <c r="A44" s="142" t="s">
        <v>338</v>
      </c>
      <c r="B44" s="143" t="s">
        <v>295</v>
      </c>
      <c r="C44" s="89">
        <v>5012999</v>
      </c>
      <c r="D44" s="89">
        <v>4574378</v>
      </c>
      <c r="E44" s="89">
        <v>4816840</v>
      </c>
      <c r="F44" s="89">
        <v>4577709</v>
      </c>
      <c r="G44" s="89">
        <v>5271530</v>
      </c>
      <c r="H44" s="89">
        <v>5010578</v>
      </c>
      <c r="I44" s="89">
        <v>5509647</v>
      </c>
      <c r="J44" s="89">
        <v>6497589</v>
      </c>
      <c r="K44" s="89">
        <v>6235347</v>
      </c>
      <c r="L44" s="89">
        <v>6362619</v>
      </c>
      <c r="M44" s="89">
        <v>6661746</v>
      </c>
      <c r="N44" s="89">
        <v>7334450</v>
      </c>
      <c r="O44" s="89">
        <v>7661686</v>
      </c>
      <c r="P44" s="89">
        <v>7847187</v>
      </c>
      <c r="Q44" s="89">
        <v>9019639</v>
      </c>
      <c r="R44" s="92">
        <v>7812621</v>
      </c>
      <c r="S44" s="92">
        <v>8500443</v>
      </c>
      <c r="T44" s="92">
        <v>8856398</v>
      </c>
      <c r="U44" s="92">
        <v>8675957</v>
      </c>
      <c r="V44" s="138">
        <f>V34</f>
        <v>8477587</v>
      </c>
      <c r="W44" s="138">
        <f t="shared" ref="W44:Z44" si="3">W34</f>
        <v>9115824</v>
      </c>
      <c r="X44" s="138">
        <f t="shared" si="3"/>
        <v>6422133</v>
      </c>
      <c r="Y44" s="138">
        <f t="shared" si="3"/>
        <v>5737514</v>
      </c>
      <c r="Z44" s="138">
        <f t="shared" si="3"/>
        <v>6471079</v>
      </c>
      <c r="AA44" s="93"/>
      <c r="AB44" s="93"/>
    </row>
    <row r="45" spans="1:28">
      <c r="A45" s="142" t="s">
        <v>339</v>
      </c>
      <c r="B45" s="143" t="s">
        <v>340</v>
      </c>
      <c r="C45" s="89">
        <v>1206</v>
      </c>
      <c r="D45" s="89">
        <v>880.44</v>
      </c>
      <c r="E45" s="89">
        <v>939.31</v>
      </c>
      <c r="F45" s="89">
        <v>851.08</v>
      </c>
      <c r="G45" s="89">
        <v>1096.01</v>
      </c>
      <c r="H45" s="89">
        <v>837.71</v>
      </c>
      <c r="I45" s="89">
        <v>867.6</v>
      </c>
      <c r="J45" s="89">
        <v>940.31</v>
      </c>
      <c r="K45" s="89">
        <v>845.8682</v>
      </c>
      <c r="L45" s="89">
        <v>752.15589999999997</v>
      </c>
      <c r="M45" s="89">
        <v>876.46479999999997</v>
      </c>
      <c r="N45" s="89">
        <v>740.08489999999995</v>
      </c>
      <c r="O45" s="89">
        <v>771.44669999999996</v>
      </c>
      <c r="P45" s="89" t="s">
        <v>307</v>
      </c>
      <c r="Q45" s="89" t="s">
        <v>307</v>
      </c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spans="1:28">
      <c r="A46" s="142" t="s">
        <v>341</v>
      </c>
      <c r="B46" s="143" t="s">
        <v>340</v>
      </c>
      <c r="C46" s="89">
        <v>762</v>
      </c>
      <c r="D46" s="89">
        <v>605.67999999999995</v>
      </c>
      <c r="E46" s="89">
        <v>734.59</v>
      </c>
      <c r="F46" s="89">
        <v>667.17</v>
      </c>
      <c r="G46" s="89">
        <v>900.22</v>
      </c>
      <c r="H46" s="89">
        <v>670.8</v>
      </c>
      <c r="I46" s="89">
        <v>677.4</v>
      </c>
      <c r="J46" s="89">
        <v>674.08</v>
      </c>
      <c r="K46" s="89">
        <v>573.81610000000001</v>
      </c>
      <c r="L46" s="89">
        <v>535.23979999999995</v>
      </c>
      <c r="M46" s="89">
        <v>550.25559999999996</v>
      </c>
      <c r="N46" s="89">
        <v>536.20339999999999</v>
      </c>
      <c r="O46" s="89">
        <v>573.65250000000003</v>
      </c>
      <c r="P46" s="89" t="s">
        <v>307</v>
      </c>
      <c r="Q46" s="89" t="s">
        <v>307</v>
      </c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</row>
    <row r="47" spans="1:28">
      <c r="A47" s="144"/>
      <c r="B47" s="145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 spans="1:28">
      <c r="A48" s="142" t="s">
        <v>342</v>
      </c>
      <c r="B48" s="143" t="s">
        <v>295</v>
      </c>
      <c r="C48" s="89" t="s">
        <v>307</v>
      </c>
      <c r="D48" s="89" t="s">
        <v>307</v>
      </c>
      <c r="E48" s="89" t="s">
        <v>307</v>
      </c>
      <c r="F48" s="89" t="s">
        <v>307</v>
      </c>
      <c r="G48" s="89" t="s">
        <v>307</v>
      </c>
      <c r="H48" s="89" t="s">
        <v>307</v>
      </c>
      <c r="I48" s="89" t="s">
        <v>307</v>
      </c>
      <c r="J48" s="89">
        <v>504274</v>
      </c>
      <c r="K48" s="89">
        <v>326754</v>
      </c>
      <c r="L48" s="89">
        <v>463485</v>
      </c>
      <c r="M48" s="89">
        <v>388021</v>
      </c>
      <c r="N48" s="89">
        <v>416352</v>
      </c>
      <c r="O48" s="89">
        <v>581520</v>
      </c>
      <c r="P48" s="89">
        <v>688152</v>
      </c>
      <c r="Q48" s="89">
        <v>602625</v>
      </c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</row>
    <row r="49" spans="1:28">
      <c r="A49" s="142" t="s">
        <v>343</v>
      </c>
      <c r="B49" s="143" t="s">
        <v>295</v>
      </c>
      <c r="C49" s="89" t="s">
        <v>307</v>
      </c>
      <c r="D49" s="89" t="s">
        <v>307</v>
      </c>
      <c r="E49" s="89" t="s">
        <v>307</v>
      </c>
      <c r="F49" s="89" t="s">
        <v>307</v>
      </c>
      <c r="G49" s="89" t="s">
        <v>307</v>
      </c>
      <c r="H49" s="89" t="s">
        <v>307</v>
      </c>
      <c r="I49" s="89" t="s">
        <v>307</v>
      </c>
      <c r="J49" s="89">
        <v>115661</v>
      </c>
      <c r="K49" s="89">
        <v>97472</v>
      </c>
      <c r="L49" s="89">
        <v>137386</v>
      </c>
      <c r="M49" s="89">
        <v>76355</v>
      </c>
      <c r="N49" s="89">
        <v>119864</v>
      </c>
      <c r="O49" s="89">
        <v>150484</v>
      </c>
      <c r="P49" s="89">
        <v>169518</v>
      </c>
      <c r="Q49" s="89">
        <v>135839</v>
      </c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spans="1:28">
      <c r="A50" s="142" t="s">
        <v>344</v>
      </c>
      <c r="B50" s="143" t="s">
        <v>295</v>
      </c>
      <c r="C50" s="89" t="s">
        <v>307</v>
      </c>
      <c r="D50" s="89" t="s">
        <v>307</v>
      </c>
      <c r="E50" s="89" t="s">
        <v>307</v>
      </c>
      <c r="F50" s="89" t="s">
        <v>307</v>
      </c>
      <c r="G50" s="147">
        <f>G25</f>
        <v>805595</v>
      </c>
      <c r="H50" s="147">
        <f t="shared" ref="H50:I50" si="4">H25</f>
        <v>883723</v>
      </c>
      <c r="I50" s="147">
        <f t="shared" si="4"/>
        <v>350784</v>
      </c>
      <c r="J50" s="89">
        <v>383591</v>
      </c>
      <c r="K50" s="89">
        <v>229282</v>
      </c>
      <c r="L50" s="89">
        <v>326099</v>
      </c>
      <c r="M50" s="89">
        <v>311666</v>
      </c>
      <c r="N50" s="89">
        <v>296488</v>
      </c>
      <c r="O50" s="89">
        <v>431036</v>
      </c>
      <c r="P50" s="89">
        <v>518634</v>
      </c>
      <c r="Q50" s="89">
        <v>465187</v>
      </c>
      <c r="R50" s="138">
        <f>R25</f>
        <v>608803</v>
      </c>
      <c r="S50" s="138">
        <f t="shared" ref="S50:W50" si="5">S25</f>
        <v>554167</v>
      </c>
      <c r="T50" s="138">
        <f t="shared" si="5"/>
        <v>672428</v>
      </c>
      <c r="U50" s="138">
        <f t="shared" si="5"/>
        <v>750988</v>
      </c>
      <c r="V50" s="138">
        <f t="shared" si="5"/>
        <v>781476</v>
      </c>
      <c r="W50" s="138">
        <f t="shared" si="5"/>
        <v>680500</v>
      </c>
      <c r="X50" s="93"/>
      <c r="Y50" s="93"/>
      <c r="Z50" s="93"/>
      <c r="AA50" s="93"/>
      <c r="AB50" s="93"/>
    </row>
    <row r="51" spans="1:28">
      <c r="A51" s="142" t="s">
        <v>345</v>
      </c>
      <c r="B51" s="143" t="s">
        <v>295</v>
      </c>
      <c r="C51" s="93"/>
      <c r="D51" s="93"/>
      <c r="E51" s="93"/>
      <c r="F51" s="93"/>
      <c r="G51" s="93"/>
      <c r="H51" s="93"/>
      <c r="I51" s="93"/>
      <c r="J51" s="105">
        <f>J10</f>
        <v>5022</v>
      </c>
      <c r="K51" s="138">
        <f>K48-K49-K50</f>
        <v>0</v>
      </c>
      <c r="L51" s="138">
        <f t="shared" ref="L51:P51" si="6">L48-L49-L50</f>
        <v>0</v>
      </c>
      <c r="M51" s="138">
        <f t="shared" si="6"/>
        <v>0</v>
      </c>
      <c r="N51" s="138">
        <f t="shared" si="6"/>
        <v>0</v>
      </c>
      <c r="O51" s="138">
        <f t="shared" si="6"/>
        <v>0</v>
      </c>
      <c r="P51" s="138">
        <f t="shared" si="6"/>
        <v>0</v>
      </c>
      <c r="Q51" s="138">
        <f>Q10</f>
        <v>1599</v>
      </c>
      <c r="R51" s="138">
        <f>R10</f>
        <v>666</v>
      </c>
      <c r="S51" s="138">
        <f>S10</f>
        <v>5931</v>
      </c>
      <c r="T51" s="138">
        <f>T10</f>
        <v>4266</v>
      </c>
      <c r="U51" s="138">
        <f>U10</f>
        <v>9522</v>
      </c>
      <c r="V51" s="93"/>
      <c r="W51" s="93"/>
      <c r="X51" s="93"/>
      <c r="Y51" s="93"/>
      <c r="Z51" s="93"/>
      <c r="AA51" s="93"/>
      <c r="AB51" s="93"/>
    </row>
    <row r="52" spans="1:28">
      <c r="A52" s="144"/>
      <c r="B52" s="145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 spans="1:28">
      <c r="A53" s="142" t="s">
        <v>346</v>
      </c>
      <c r="B53" s="143"/>
      <c r="C53" s="89">
        <v>49977</v>
      </c>
      <c r="D53" s="89">
        <v>134144</v>
      </c>
      <c r="E53" s="89">
        <v>55560</v>
      </c>
      <c r="F53" s="89">
        <v>58745</v>
      </c>
      <c r="G53" s="89">
        <v>63424</v>
      </c>
      <c r="H53" s="89">
        <v>68690</v>
      </c>
      <c r="I53" s="89">
        <v>77537</v>
      </c>
      <c r="J53" s="89">
        <v>69104</v>
      </c>
      <c r="K53" s="89">
        <v>66571</v>
      </c>
      <c r="L53" s="89">
        <v>61265</v>
      </c>
      <c r="M53" s="89">
        <v>50866</v>
      </c>
      <c r="N53" s="89">
        <v>56690</v>
      </c>
      <c r="O53" s="89">
        <v>27831</v>
      </c>
      <c r="P53" s="89">
        <v>26680</v>
      </c>
      <c r="Q53" s="89">
        <v>31422</v>
      </c>
      <c r="R53" s="92">
        <v>26441</v>
      </c>
      <c r="S53" s="92">
        <v>31822</v>
      </c>
      <c r="T53" s="92">
        <v>28763</v>
      </c>
      <c r="U53" s="92">
        <v>30364</v>
      </c>
      <c r="V53" s="92">
        <v>22767</v>
      </c>
      <c r="W53" s="93"/>
      <c r="X53" s="93"/>
      <c r="Y53" s="93"/>
      <c r="Z53" s="93"/>
      <c r="AA53" s="93"/>
      <c r="AB53" s="93"/>
    </row>
    <row r="54" spans="1:28">
      <c r="A54" s="142" t="s">
        <v>347</v>
      </c>
      <c r="B54" s="143"/>
      <c r="C54" s="89">
        <v>278629</v>
      </c>
      <c r="D54" s="89">
        <v>381095</v>
      </c>
      <c r="E54" s="89">
        <v>487129</v>
      </c>
      <c r="F54" s="89">
        <v>571263</v>
      </c>
      <c r="G54" s="89">
        <v>558805</v>
      </c>
      <c r="H54" s="89">
        <v>545191</v>
      </c>
      <c r="I54" s="89">
        <v>577966</v>
      </c>
      <c r="J54" s="89">
        <v>559244</v>
      </c>
      <c r="K54" s="89">
        <v>591072</v>
      </c>
      <c r="L54" s="89">
        <v>661796</v>
      </c>
      <c r="M54" s="89">
        <v>660410</v>
      </c>
      <c r="N54" s="89">
        <v>769168</v>
      </c>
      <c r="O54" s="89">
        <v>915643</v>
      </c>
      <c r="P54" s="89">
        <v>1071459</v>
      </c>
      <c r="Q54" s="89">
        <v>1412326</v>
      </c>
      <c r="R54" s="92">
        <v>1366950</v>
      </c>
      <c r="S54" s="92">
        <v>1407419</v>
      </c>
      <c r="T54" s="92">
        <v>1419171</v>
      </c>
      <c r="U54" s="92">
        <v>1426929</v>
      </c>
      <c r="V54" s="92">
        <v>1415566</v>
      </c>
      <c r="W54" s="93"/>
      <c r="X54" s="93"/>
      <c r="Y54" s="93"/>
      <c r="Z54" s="93"/>
      <c r="AA54" s="93"/>
      <c r="AB54" s="93"/>
    </row>
    <row r="55" spans="1:28">
      <c r="A55" s="142" t="s">
        <v>348</v>
      </c>
      <c r="B55" s="143"/>
      <c r="C55" s="89">
        <v>185197</v>
      </c>
      <c r="D55" s="89">
        <v>231605</v>
      </c>
      <c r="E55" s="89">
        <v>278799</v>
      </c>
      <c r="F55" s="89">
        <v>292462</v>
      </c>
      <c r="G55" s="89">
        <v>230546</v>
      </c>
      <c r="H55" s="89">
        <v>185892</v>
      </c>
      <c r="I55" s="89">
        <v>161093</v>
      </c>
      <c r="J55" s="89">
        <v>166001</v>
      </c>
      <c r="K55" s="89">
        <v>185910</v>
      </c>
      <c r="L55" s="89">
        <v>188748</v>
      </c>
      <c r="M55" s="89">
        <v>196854</v>
      </c>
      <c r="N55" s="89">
        <v>219512</v>
      </c>
      <c r="O55" s="89">
        <v>272013</v>
      </c>
      <c r="P55" s="89">
        <v>299639</v>
      </c>
      <c r="Q55" s="89">
        <v>380891</v>
      </c>
      <c r="R55" s="92">
        <v>81314</v>
      </c>
      <c r="S55" s="92">
        <v>70415</v>
      </c>
      <c r="T55" s="92">
        <v>72002</v>
      </c>
      <c r="U55" s="92">
        <v>69911</v>
      </c>
      <c r="V55" s="93"/>
      <c r="W55" s="93"/>
      <c r="X55" s="93"/>
      <c r="Y55" s="93"/>
      <c r="Z55" s="93"/>
      <c r="AA55" s="93"/>
      <c r="AB55" s="93"/>
    </row>
    <row r="56" spans="1:28">
      <c r="A56" s="142" t="s">
        <v>349</v>
      </c>
      <c r="B56" s="143"/>
      <c r="C56" s="89">
        <v>2716983</v>
      </c>
      <c r="D56" s="89">
        <v>3338239</v>
      </c>
      <c r="E56" s="89">
        <v>3814565</v>
      </c>
      <c r="F56" s="89">
        <v>4667463</v>
      </c>
      <c r="G56" s="89">
        <v>4018174</v>
      </c>
      <c r="H56" s="89">
        <v>2872799</v>
      </c>
      <c r="I56" s="89">
        <v>2959595</v>
      </c>
      <c r="J56" s="89">
        <v>2867516</v>
      </c>
      <c r="K56" s="89">
        <v>3163081</v>
      </c>
      <c r="L56" s="89">
        <v>3343846</v>
      </c>
      <c r="M56" s="89">
        <v>4141786</v>
      </c>
      <c r="N56" s="89">
        <v>5305505</v>
      </c>
      <c r="O56" s="89">
        <v>5707761</v>
      </c>
      <c r="P56" s="89">
        <v>6004062</v>
      </c>
      <c r="Q56" s="89">
        <v>6777066</v>
      </c>
      <c r="R56" s="92">
        <v>6713418</v>
      </c>
      <c r="S56" s="92">
        <v>7043827</v>
      </c>
      <c r="T56" s="92">
        <v>7021893</v>
      </c>
      <c r="U56" s="92">
        <v>6463753</v>
      </c>
      <c r="V56" s="92">
        <v>6320374</v>
      </c>
      <c r="W56" s="93"/>
      <c r="X56" s="93"/>
      <c r="Y56" s="93"/>
      <c r="Z56" s="93"/>
      <c r="AA56" s="93"/>
      <c r="AB56" s="93"/>
    </row>
    <row r="57" spans="1:28">
      <c r="A57" s="142" t="s">
        <v>350</v>
      </c>
      <c r="B57" s="143"/>
      <c r="C57" s="89"/>
      <c r="D57" s="89"/>
      <c r="E57" s="89"/>
      <c r="F57" s="89"/>
      <c r="G57" s="89"/>
      <c r="H57" s="89"/>
      <c r="I57" s="89"/>
      <c r="J57" s="89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 spans="1:28">
      <c r="A58" s="142" t="s">
        <v>351</v>
      </c>
      <c r="B58" s="143"/>
      <c r="C58" s="89">
        <v>279455</v>
      </c>
      <c r="D58" s="89">
        <v>330217</v>
      </c>
      <c r="E58" s="89">
        <v>371240</v>
      </c>
      <c r="F58" s="89">
        <v>329505</v>
      </c>
      <c r="G58" s="89">
        <v>309582</v>
      </c>
      <c r="H58" s="89">
        <v>343755</v>
      </c>
      <c r="I58" s="89">
        <v>400296</v>
      </c>
      <c r="J58" s="89">
        <v>304676</v>
      </c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 spans="1:28">
      <c r="A59" s="142" t="s">
        <v>352</v>
      </c>
      <c r="B59" s="143"/>
      <c r="C59" s="89">
        <v>47494</v>
      </c>
      <c r="D59" s="89">
        <v>85619</v>
      </c>
      <c r="E59" s="89">
        <v>79097</v>
      </c>
      <c r="F59" s="89">
        <v>94099</v>
      </c>
      <c r="G59" s="89">
        <v>99196</v>
      </c>
      <c r="H59" s="89">
        <v>98291</v>
      </c>
      <c r="I59" s="89">
        <v>97605</v>
      </c>
      <c r="J59" s="89">
        <v>79571</v>
      </c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 spans="1:28">
      <c r="A60" s="142" t="s">
        <v>353</v>
      </c>
      <c r="B60" s="143"/>
      <c r="C60" s="89"/>
      <c r="D60" s="89"/>
      <c r="E60" s="89"/>
      <c r="F60" s="89"/>
      <c r="G60" s="89"/>
      <c r="H60" s="89"/>
      <c r="I60" s="89"/>
      <c r="J60" s="89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</row>
    <row r="61" spans="1:28" ht="28.5">
      <c r="A61" s="142" t="s">
        <v>354</v>
      </c>
      <c r="B61" s="143"/>
      <c r="C61" s="89" t="s">
        <v>307</v>
      </c>
      <c r="D61" s="89" t="s">
        <v>307</v>
      </c>
      <c r="E61" s="89">
        <v>213725</v>
      </c>
      <c r="F61" s="89" t="s">
        <v>307</v>
      </c>
      <c r="G61" s="89" t="s">
        <v>307</v>
      </c>
      <c r="H61" s="89" t="s">
        <v>307</v>
      </c>
      <c r="I61" s="89" t="s">
        <v>307</v>
      </c>
      <c r="J61" s="89" t="s">
        <v>307</v>
      </c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</row>
    <row r="62" spans="1:28">
      <c r="A62" s="142" t="s">
        <v>355</v>
      </c>
      <c r="B62" s="143"/>
      <c r="C62" s="89" t="s">
        <v>307</v>
      </c>
      <c r="D62" s="89" t="s">
        <v>307</v>
      </c>
      <c r="E62" s="89">
        <v>67991</v>
      </c>
      <c r="F62" s="89" t="s">
        <v>307</v>
      </c>
      <c r="G62" s="89" t="s">
        <v>307</v>
      </c>
      <c r="H62" s="89" t="s">
        <v>307</v>
      </c>
      <c r="I62" s="89" t="s">
        <v>307</v>
      </c>
      <c r="J62" s="89" t="s">
        <v>307</v>
      </c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B2BF-F20E-4944-9345-8CBE4565034E}">
  <dimension ref="A1:Q28"/>
  <sheetViews>
    <sheetView workbookViewId="0">
      <selection activeCell="J21" sqref="J21"/>
    </sheetView>
  </sheetViews>
  <sheetFormatPr defaultRowHeight="13.5"/>
  <cols>
    <col min="1" max="2" width="9" style="63"/>
    <col min="3" max="15" width="10.875" style="63" customWidth="1"/>
    <col min="16" max="16" width="11.625" style="55" bestFit="1" customWidth="1"/>
    <col min="17" max="16384" width="9" style="55"/>
  </cols>
  <sheetData>
    <row r="1" spans="1:17" ht="14.25" customHeight="1">
      <c r="A1" s="165" t="s">
        <v>265</v>
      </c>
      <c r="B1" s="165" t="s">
        <v>264</v>
      </c>
      <c r="C1" s="154" t="s">
        <v>76</v>
      </c>
      <c r="D1" s="158" t="s">
        <v>6</v>
      </c>
      <c r="E1" s="158"/>
      <c r="F1" s="158"/>
      <c r="G1" s="158"/>
      <c r="H1" s="158"/>
      <c r="I1" s="158"/>
      <c r="J1" s="158"/>
      <c r="K1" s="158"/>
      <c r="L1" s="158"/>
      <c r="M1" s="154" t="s">
        <v>263</v>
      </c>
      <c r="N1" s="154"/>
      <c r="O1" s="154"/>
      <c r="P1" s="75" t="s">
        <v>266</v>
      </c>
      <c r="Q1" s="55" t="s">
        <v>111</v>
      </c>
    </row>
    <row r="2" spans="1:17" ht="72">
      <c r="A2" s="166"/>
      <c r="B2" s="166"/>
      <c r="C2" s="155"/>
      <c r="D2" s="8" t="s">
        <v>105</v>
      </c>
      <c r="E2" s="8" t="s">
        <v>106</v>
      </c>
      <c r="F2" s="8" t="s">
        <v>108</v>
      </c>
      <c r="G2" s="8" t="s">
        <v>109</v>
      </c>
      <c r="H2" s="8" t="s">
        <v>107</v>
      </c>
      <c r="I2" s="8" t="s">
        <v>356</v>
      </c>
      <c r="J2" s="23" t="s">
        <v>7</v>
      </c>
      <c r="K2" s="23" t="s">
        <v>8</v>
      </c>
      <c r="L2" s="23" t="s">
        <v>9</v>
      </c>
      <c r="M2" s="23" t="s">
        <v>7</v>
      </c>
      <c r="N2" s="23" t="s">
        <v>8</v>
      </c>
      <c r="O2" s="23" t="s">
        <v>9</v>
      </c>
      <c r="P2" s="23" t="s">
        <v>8</v>
      </c>
      <c r="Q2" s="74" t="s">
        <v>180</v>
      </c>
    </row>
    <row r="3" spans="1:17">
      <c r="A3" s="68" t="s">
        <v>255</v>
      </c>
      <c r="B3" s="67">
        <v>2015</v>
      </c>
      <c r="C3" s="73">
        <v>7683695</v>
      </c>
      <c r="D3" s="73" cm="1">
        <f t="array" ref="D3:D13">TRANSPOSE('Forestry Statistics'!$R$4:$AB$4)</f>
        <v>4361827</v>
      </c>
      <c r="E3" s="73" cm="1">
        <f t="array" ref="E3:E13">TRANSPOSE('Forestry Statistics'!$R$8:$AB$8)</f>
        <v>128390</v>
      </c>
      <c r="F3" s="73" cm="1">
        <f t="array" ref="F3:F13">TRANSPOSE('Forestry Statistics'!R23:AB23)</f>
        <v>2152877</v>
      </c>
      <c r="G3" s="73" cm="1">
        <f t="array" ref="G3:G13">TRANSPOSE('Forestry Statistics'!R15:AB15)</f>
        <v>739334</v>
      </c>
      <c r="H3" s="73" cm="1">
        <f t="array" ref="H3:H13">TRANSPOSE('Forestry Statistics'!R11:AB11)</f>
        <v>299577</v>
      </c>
      <c r="I3" s="73" cm="1">
        <f t="array" ref="I3:I13">TRANSPOSE('Forestry Statistics'!R34:AB34)</f>
        <v>7812600</v>
      </c>
      <c r="J3" s="71">
        <f>D3+E3+H3</f>
        <v>4789794</v>
      </c>
      <c r="K3" s="71">
        <f>I3</f>
        <v>7812600</v>
      </c>
      <c r="L3" s="71">
        <f>G3+F3</f>
        <v>2892211</v>
      </c>
      <c r="M3" s="71">
        <f t="shared" ref="M3:M13" si="0">ROUND(J3*2.47,0)</f>
        <v>11830791</v>
      </c>
      <c r="N3" s="76">
        <f>ROUND(K3*2.47,0)</f>
        <v>19297122</v>
      </c>
      <c r="O3" s="71">
        <f t="shared" ref="O3:O13" si="1">ROUND(L3*2.47,0)</f>
        <v>7143761</v>
      </c>
      <c r="P3" s="79"/>
    </row>
    <row r="4" spans="1:17">
      <c r="A4" s="68" t="s">
        <v>255</v>
      </c>
      <c r="B4" s="67">
        <v>2016</v>
      </c>
      <c r="C4" s="73">
        <v>7203509</v>
      </c>
      <c r="D4" s="73">
        <v>3823656</v>
      </c>
      <c r="E4" s="73">
        <v>162322</v>
      </c>
      <c r="F4" s="73">
        <v>1953638</v>
      </c>
      <c r="G4" s="73">
        <v>991088</v>
      </c>
      <c r="H4" s="73">
        <v>272805</v>
      </c>
      <c r="I4" s="73">
        <v>8500400</v>
      </c>
      <c r="J4" s="71">
        <f t="shared" ref="J4:J13" si="2">D4+E4+H4</f>
        <v>4258783</v>
      </c>
      <c r="K4" s="71">
        <f t="shared" ref="K4:K13" si="3">I4</f>
        <v>8500400</v>
      </c>
      <c r="L4" s="71">
        <f t="shared" ref="L4:L13" si="4">G4+F4</f>
        <v>2944726</v>
      </c>
      <c r="M4" s="71">
        <f t="shared" si="0"/>
        <v>10519194</v>
      </c>
      <c r="N4" s="76">
        <f t="shared" ref="N3:N13" si="5">ROUND(K4*2.47,0)</f>
        <v>20995988</v>
      </c>
      <c r="O4" s="71">
        <f t="shared" si="1"/>
        <v>7273473</v>
      </c>
      <c r="P4" s="79"/>
    </row>
    <row r="5" spans="1:17">
      <c r="A5" s="68" t="s">
        <v>255</v>
      </c>
      <c r="B5" s="67">
        <v>2017</v>
      </c>
      <c r="C5" s="73">
        <v>7680711</v>
      </c>
      <c r="D5" s="73">
        <v>4295890</v>
      </c>
      <c r="E5" s="73">
        <v>141220</v>
      </c>
      <c r="F5" s="73">
        <v>1657169</v>
      </c>
      <c r="G5" s="73">
        <v>1280993</v>
      </c>
      <c r="H5" s="73">
        <v>305439</v>
      </c>
      <c r="I5" s="73">
        <v>8856398</v>
      </c>
      <c r="J5" s="71">
        <f t="shared" si="2"/>
        <v>4742549</v>
      </c>
      <c r="K5" s="71">
        <f t="shared" si="3"/>
        <v>8856398</v>
      </c>
      <c r="L5" s="71">
        <f t="shared" si="4"/>
        <v>2938162</v>
      </c>
      <c r="M5" s="71">
        <f t="shared" si="0"/>
        <v>11714096</v>
      </c>
      <c r="N5" s="76">
        <f t="shared" si="5"/>
        <v>21875303</v>
      </c>
      <c r="O5" s="71">
        <f t="shared" si="1"/>
        <v>7257260</v>
      </c>
      <c r="P5" s="79"/>
    </row>
    <row r="6" spans="1:17">
      <c r="A6" s="68" t="s">
        <v>255</v>
      </c>
      <c r="B6" s="67">
        <v>2018</v>
      </c>
      <c r="C6" s="73">
        <v>7299473</v>
      </c>
      <c r="D6" s="73">
        <v>3677952</v>
      </c>
      <c r="E6" s="73">
        <v>135429</v>
      </c>
      <c r="F6" s="73">
        <v>1785067</v>
      </c>
      <c r="G6" s="73">
        <v>1329166</v>
      </c>
      <c r="H6" s="73">
        <v>371859</v>
      </c>
      <c r="I6" s="73">
        <v>8675957</v>
      </c>
      <c r="J6" s="71">
        <f t="shared" si="2"/>
        <v>4185240</v>
      </c>
      <c r="K6" s="71">
        <f t="shared" si="3"/>
        <v>8675957</v>
      </c>
      <c r="L6" s="71">
        <f t="shared" si="4"/>
        <v>3114233</v>
      </c>
      <c r="M6" s="71">
        <f t="shared" si="0"/>
        <v>10337543</v>
      </c>
      <c r="N6" s="76">
        <f t="shared" si="5"/>
        <v>21429614</v>
      </c>
      <c r="O6" s="71">
        <f t="shared" si="1"/>
        <v>7692156</v>
      </c>
      <c r="P6" s="79"/>
    </row>
    <row r="7" spans="1:17">
      <c r="A7" s="68" t="s">
        <v>242</v>
      </c>
      <c r="B7" s="67">
        <v>2019</v>
      </c>
      <c r="C7" s="73">
        <v>7390294</v>
      </c>
      <c r="D7" s="73">
        <v>3458315</v>
      </c>
      <c r="E7" s="73">
        <v>125565</v>
      </c>
      <c r="F7" s="73">
        <v>1898314</v>
      </c>
      <c r="G7" s="73">
        <v>1537877</v>
      </c>
      <c r="H7" s="73">
        <v>370223</v>
      </c>
      <c r="I7" s="73">
        <v>8477587</v>
      </c>
      <c r="J7" s="71">
        <f t="shared" si="2"/>
        <v>3954103</v>
      </c>
      <c r="K7" s="71">
        <f t="shared" si="3"/>
        <v>8477587</v>
      </c>
      <c r="L7" s="71">
        <f t="shared" si="4"/>
        <v>3436191</v>
      </c>
      <c r="M7" s="71">
        <f t="shared" si="0"/>
        <v>9766634</v>
      </c>
      <c r="N7" s="76">
        <f t="shared" si="5"/>
        <v>20939640</v>
      </c>
      <c r="O7" s="71">
        <f t="shared" si="1"/>
        <v>8487392</v>
      </c>
      <c r="P7" s="79"/>
    </row>
    <row r="8" spans="1:17">
      <c r="A8" s="68" t="s">
        <v>255</v>
      </c>
      <c r="B8" s="67">
        <v>2020</v>
      </c>
      <c r="C8" s="73">
        <v>6933696</v>
      </c>
      <c r="D8" s="73">
        <v>3000060</v>
      </c>
      <c r="E8" s="73">
        <v>151496</v>
      </c>
      <c r="F8" s="73">
        <v>1774608</v>
      </c>
      <c r="G8" s="73">
        <v>1619648</v>
      </c>
      <c r="H8" s="73">
        <v>387884</v>
      </c>
      <c r="I8" s="73">
        <v>9115824</v>
      </c>
      <c r="J8" s="71">
        <f t="shared" si="2"/>
        <v>3539440</v>
      </c>
      <c r="K8" s="71">
        <f t="shared" si="3"/>
        <v>9115824</v>
      </c>
      <c r="L8" s="71">
        <f t="shared" si="4"/>
        <v>3394256</v>
      </c>
      <c r="M8" s="71">
        <f t="shared" si="0"/>
        <v>8742417</v>
      </c>
      <c r="N8" s="76">
        <f t="shared" si="5"/>
        <v>22516085</v>
      </c>
      <c r="O8" s="71">
        <f t="shared" si="1"/>
        <v>8383812</v>
      </c>
      <c r="P8" s="76">
        <f>N8</f>
        <v>22516085</v>
      </c>
    </row>
    <row r="9" spans="1:17">
      <c r="A9" s="68" t="s">
        <v>255</v>
      </c>
      <c r="B9" s="67">
        <v>2021</v>
      </c>
      <c r="C9" s="73">
        <v>3754373</v>
      </c>
      <c r="D9" s="73">
        <v>1085095</v>
      </c>
      <c r="E9" s="73">
        <v>172239</v>
      </c>
      <c r="F9" s="73">
        <v>1235098</v>
      </c>
      <c r="G9" s="73">
        <v>1011349</v>
      </c>
      <c r="H9" s="73">
        <v>250593</v>
      </c>
      <c r="I9" s="73">
        <v>6422133</v>
      </c>
      <c r="J9" s="71">
        <f t="shared" si="2"/>
        <v>1507927</v>
      </c>
      <c r="K9" s="71">
        <f t="shared" si="3"/>
        <v>6422133</v>
      </c>
      <c r="L9" s="71">
        <f t="shared" si="4"/>
        <v>2246447</v>
      </c>
      <c r="M9" s="71">
        <f t="shared" si="0"/>
        <v>3724580</v>
      </c>
      <c r="N9" s="76">
        <f t="shared" si="5"/>
        <v>15862669</v>
      </c>
      <c r="O9" s="71">
        <f t="shared" si="1"/>
        <v>5548724</v>
      </c>
      <c r="P9" s="76">
        <f>N9+P8</f>
        <v>38378754</v>
      </c>
    </row>
    <row r="10" spans="1:17">
      <c r="A10" s="68" t="s">
        <v>255</v>
      </c>
      <c r="B10" s="67">
        <v>2022</v>
      </c>
      <c r="C10" s="73">
        <v>4202790</v>
      </c>
      <c r="D10" s="73">
        <v>930860</v>
      </c>
      <c r="E10" s="73">
        <v>166099</v>
      </c>
      <c r="F10" s="73">
        <v>1057316</v>
      </c>
      <c r="G10" s="73">
        <v>1582935</v>
      </c>
      <c r="H10" s="73">
        <v>465579</v>
      </c>
      <c r="I10" s="73">
        <v>5737514</v>
      </c>
      <c r="J10" s="71">
        <f t="shared" si="2"/>
        <v>1562538</v>
      </c>
      <c r="K10" s="71">
        <f t="shared" si="3"/>
        <v>5737514</v>
      </c>
      <c r="L10" s="71">
        <f t="shared" si="4"/>
        <v>2640251</v>
      </c>
      <c r="M10" s="71">
        <f t="shared" si="0"/>
        <v>3859469</v>
      </c>
      <c r="N10" s="76">
        <f t="shared" si="5"/>
        <v>14171660</v>
      </c>
      <c r="O10" s="71">
        <f t="shared" si="1"/>
        <v>6521420</v>
      </c>
      <c r="P10" s="76">
        <f t="shared" ref="P10:P13" si="6">N10+P9</f>
        <v>52550414</v>
      </c>
    </row>
    <row r="11" spans="1:17">
      <c r="A11" s="68" t="s">
        <v>255</v>
      </c>
      <c r="B11" s="67">
        <v>2023</v>
      </c>
      <c r="C11" s="73">
        <v>4636119</v>
      </c>
      <c r="D11" s="73">
        <v>1014361</v>
      </c>
      <c r="E11" s="73">
        <v>66997</v>
      </c>
      <c r="F11" s="73">
        <v>1133101</v>
      </c>
      <c r="G11" s="73">
        <v>1795750</v>
      </c>
      <c r="H11" s="73">
        <v>625911</v>
      </c>
      <c r="I11" s="73">
        <v>6471079</v>
      </c>
      <c r="J11" s="71">
        <f t="shared" si="2"/>
        <v>1707269</v>
      </c>
      <c r="K11" s="71">
        <f t="shared" si="3"/>
        <v>6471079</v>
      </c>
      <c r="L11" s="71">
        <f t="shared" si="4"/>
        <v>2928851</v>
      </c>
      <c r="M11" s="71">
        <f t="shared" si="0"/>
        <v>4216954</v>
      </c>
      <c r="N11" s="76">
        <f t="shared" si="5"/>
        <v>15983565</v>
      </c>
      <c r="O11" s="71">
        <f t="shared" si="1"/>
        <v>7234262</v>
      </c>
      <c r="P11" s="76">
        <f t="shared" si="6"/>
        <v>68533979</v>
      </c>
    </row>
    <row r="12" spans="1:17">
      <c r="A12" s="68" t="s">
        <v>255</v>
      </c>
      <c r="B12" s="67">
        <v>2024</v>
      </c>
      <c r="C12" s="73">
        <v>4640922</v>
      </c>
      <c r="D12" s="73">
        <v>797680</v>
      </c>
      <c r="E12" s="73">
        <v>67612</v>
      </c>
      <c r="F12" s="73">
        <v>1267032</v>
      </c>
      <c r="G12" s="73">
        <v>1884367</v>
      </c>
      <c r="H12" s="73">
        <v>624231</v>
      </c>
      <c r="I12" s="73">
        <v>0</v>
      </c>
      <c r="J12" s="71">
        <f t="shared" si="2"/>
        <v>1489523</v>
      </c>
      <c r="K12" s="71">
        <f t="shared" si="3"/>
        <v>0</v>
      </c>
      <c r="L12" s="71">
        <f t="shared" si="4"/>
        <v>3151399</v>
      </c>
      <c r="M12" s="71">
        <f t="shared" si="0"/>
        <v>3679122</v>
      </c>
      <c r="N12" s="76">
        <f t="shared" si="5"/>
        <v>0</v>
      </c>
      <c r="O12" s="71">
        <f t="shared" si="1"/>
        <v>7783956</v>
      </c>
      <c r="P12" s="76">
        <f t="shared" si="6"/>
        <v>68533979</v>
      </c>
    </row>
    <row r="13" spans="1:17">
      <c r="A13" s="68" t="s">
        <v>255</v>
      </c>
      <c r="B13" s="67">
        <v>2025</v>
      </c>
      <c r="C13" s="73">
        <v>3563000</v>
      </c>
      <c r="D13" s="73">
        <v>830000</v>
      </c>
      <c r="E13" s="72">
        <v>48080.135468960842</v>
      </c>
      <c r="F13" s="72">
        <v>901009.73501018144</v>
      </c>
      <c r="G13" s="72">
        <v>1340007.9961136978</v>
      </c>
      <c r="H13" s="72">
        <v>443902.13340715988</v>
      </c>
      <c r="I13" s="72">
        <v>0</v>
      </c>
      <c r="J13" s="71">
        <f t="shared" si="2"/>
        <v>1321982.2688761207</v>
      </c>
      <c r="K13" s="71">
        <f t="shared" si="3"/>
        <v>0</v>
      </c>
      <c r="L13" s="71">
        <f t="shared" si="4"/>
        <v>2241017.7311238791</v>
      </c>
      <c r="M13" s="71">
        <f t="shared" si="0"/>
        <v>3265296</v>
      </c>
      <c r="N13" s="76">
        <f t="shared" si="5"/>
        <v>0</v>
      </c>
      <c r="O13" s="71">
        <f t="shared" si="1"/>
        <v>5535314</v>
      </c>
      <c r="P13" s="76">
        <f t="shared" si="6"/>
        <v>68533979</v>
      </c>
    </row>
    <row r="14" spans="1:17">
      <c r="N14" s="77"/>
      <c r="P14" s="78"/>
    </row>
    <row r="15" spans="1:17">
      <c r="A15" s="169" t="s">
        <v>262</v>
      </c>
      <c r="B15" s="169"/>
      <c r="C15" s="71">
        <f t="shared" ref="C15:H15" si="7">MAX(C3:C13,1.25*MAX(C8:C13))</f>
        <v>8667120</v>
      </c>
      <c r="D15" s="71">
        <f t="shared" si="7"/>
        <v>4361827</v>
      </c>
      <c r="E15" s="71">
        <f t="shared" si="7"/>
        <v>215298.75</v>
      </c>
      <c r="F15" s="71">
        <f t="shared" si="7"/>
        <v>2218260</v>
      </c>
      <c r="G15" s="71">
        <f t="shared" si="7"/>
        <v>2355458.75</v>
      </c>
      <c r="H15" s="71">
        <f t="shared" si="7"/>
        <v>782388.75</v>
      </c>
      <c r="I15" s="71"/>
      <c r="J15" s="71">
        <f t="shared" ref="J15:K15" si="8">ROUND(MAX(J3:J13,1.25*MAX(J8:J13)),0)</f>
        <v>4789794</v>
      </c>
      <c r="K15" s="71">
        <f t="shared" si="8"/>
        <v>11394780</v>
      </c>
      <c r="L15" s="71">
        <f>ROUND(MAX(L3:L13,1.25*MAX(L8:L13)),0)</f>
        <v>4242820</v>
      </c>
      <c r="M15" s="71">
        <f>ROUND(MAX(M3:M13,1.25*MAX(M8:M13)),0)</f>
        <v>11830791</v>
      </c>
      <c r="N15" s="76">
        <f t="shared" ref="N15:O15" si="9">ROUND(MAX(N3:N13,1.25*MAX(N8:N13)),0)</f>
        <v>28145106</v>
      </c>
      <c r="O15" s="71">
        <f t="shared" si="9"/>
        <v>10479765</v>
      </c>
      <c r="P15" s="76">
        <f>_xlfn.FORECAST.LINEAR(2060,P8:P13,B8:B13)</f>
        <v>413751720.95238495</v>
      </c>
    </row>
    <row r="17" spans="1:15" ht="63">
      <c r="A17" s="167" t="s">
        <v>261</v>
      </c>
      <c r="B17" s="167"/>
      <c r="C17" s="70" t="s">
        <v>259</v>
      </c>
      <c r="D17" s="70" t="s">
        <v>258</v>
      </c>
      <c r="E17" s="70" t="s">
        <v>257</v>
      </c>
      <c r="F17" s="65"/>
      <c r="L17" s="168" t="s">
        <v>260</v>
      </c>
      <c r="M17" s="168" t="s">
        <v>259</v>
      </c>
      <c r="N17" s="168" t="s">
        <v>258</v>
      </c>
      <c r="O17" s="168" t="s">
        <v>257</v>
      </c>
    </row>
    <row r="18" spans="1:15">
      <c r="A18" s="68" t="s">
        <v>255</v>
      </c>
      <c r="B18" s="67">
        <v>2015</v>
      </c>
      <c r="C18" s="66">
        <f t="shared" ref="C18:C28" si="10">ROUND(J3/J$15,6)</f>
        <v>1</v>
      </c>
      <c r="D18" s="66">
        <f>ROUND(K3/K$15,6)</f>
        <v>0.68562999999999996</v>
      </c>
      <c r="E18" s="66">
        <f t="shared" ref="E18:E28" si="11">ROUND(L3/L$15,6)</f>
        <v>0.68167199999999994</v>
      </c>
      <c r="F18" s="65"/>
      <c r="L18" s="168"/>
      <c r="M18" s="168"/>
      <c r="N18" s="168"/>
      <c r="O18" s="168"/>
    </row>
    <row r="19" spans="1:15">
      <c r="A19" s="68" t="s">
        <v>255</v>
      </c>
      <c r="B19" s="67">
        <v>2016</v>
      </c>
      <c r="C19" s="66">
        <f t="shared" si="10"/>
        <v>0.88913699999999996</v>
      </c>
      <c r="D19" s="66">
        <f t="shared" ref="D19:D28" si="12">ROUND(K4/K$15,6)</f>
        <v>0.74599099999999996</v>
      </c>
      <c r="E19" s="66">
        <f t="shared" si="11"/>
        <v>0.69404900000000003</v>
      </c>
      <c r="F19" s="65"/>
      <c r="L19" s="168"/>
      <c r="M19" s="168"/>
      <c r="N19" s="168"/>
      <c r="O19" s="168"/>
    </row>
    <row r="20" spans="1:15">
      <c r="A20" s="68" t="s">
        <v>255</v>
      </c>
      <c r="B20" s="67">
        <v>2017</v>
      </c>
      <c r="C20" s="66">
        <f t="shared" si="10"/>
        <v>0.99013600000000002</v>
      </c>
      <c r="D20" s="66">
        <f>ROUND(K5/K$15,6)</f>
        <v>0.77723299999999995</v>
      </c>
      <c r="E20" s="66">
        <f t="shared" si="11"/>
        <v>0.69250199999999995</v>
      </c>
      <c r="F20" s="65"/>
      <c r="L20" s="168"/>
      <c r="M20" s="168"/>
      <c r="N20" s="168"/>
      <c r="O20" s="168"/>
    </row>
    <row r="21" spans="1:15">
      <c r="A21" s="68" t="s">
        <v>255</v>
      </c>
      <c r="B21" s="67">
        <v>2018</v>
      </c>
      <c r="C21" s="66">
        <f t="shared" si="10"/>
        <v>0.87378299999999998</v>
      </c>
      <c r="D21" s="66">
        <f t="shared" si="12"/>
        <v>0.76139699999999999</v>
      </c>
      <c r="E21" s="66">
        <f t="shared" si="11"/>
        <v>0.73400100000000001</v>
      </c>
      <c r="F21" s="65"/>
      <c r="L21" s="168"/>
      <c r="M21" s="168"/>
      <c r="N21" s="168"/>
      <c r="O21" s="168"/>
    </row>
    <row r="22" spans="1:15">
      <c r="A22" s="68" t="s">
        <v>255</v>
      </c>
      <c r="B22" s="67">
        <v>2019</v>
      </c>
      <c r="C22" s="66">
        <f t="shared" si="10"/>
        <v>0.82552700000000001</v>
      </c>
      <c r="D22" s="66">
        <f t="shared" si="12"/>
        <v>0.74398900000000001</v>
      </c>
      <c r="E22" s="66">
        <f t="shared" si="11"/>
        <v>0.80988400000000005</v>
      </c>
      <c r="F22" s="65"/>
      <c r="L22" s="168"/>
      <c r="M22" s="69">
        <f>MAX(C$23:C$28)</f>
        <v>0.73895500000000003</v>
      </c>
      <c r="N22" s="80">
        <v>1</v>
      </c>
      <c r="O22" s="69">
        <f>MAX(E$23:E$28)</f>
        <v>0.8</v>
      </c>
    </row>
    <row r="23" spans="1:15">
      <c r="A23" s="68" t="s">
        <v>255</v>
      </c>
      <c r="B23" s="67">
        <v>2020</v>
      </c>
      <c r="C23" s="66">
        <f t="shared" si="10"/>
        <v>0.73895500000000003</v>
      </c>
      <c r="D23" s="66">
        <f t="shared" si="12"/>
        <v>0.8</v>
      </c>
      <c r="E23" s="66">
        <f t="shared" si="11"/>
        <v>0.8</v>
      </c>
      <c r="F23" s="65"/>
      <c r="L23" s="162" t="s">
        <v>256</v>
      </c>
      <c r="M23" s="64">
        <f t="shared" ref="M23:M28" si="13">ROUND(C23/M$22,6)</f>
        <v>1</v>
      </c>
      <c r="N23" s="81">
        <f t="shared" ref="N23:N28" si="14">P8/P$15</f>
        <v>5.4419314433718523E-2</v>
      </c>
      <c r="O23" s="64">
        <f t="shared" ref="O23:O28" si="15">ROUND(E23/O$22,6)</f>
        <v>1</v>
      </c>
    </row>
    <row r="24" spans="1:15">
      <c r="A24" s="68" t="s">
        <v>255</v>
      </c>
      <c r="B24" s="67">
        <v>2021</v>
      </c>
      <c r="C24" s="66">
        <f t="shared" si="10"/>
        <v>0.31482100000000002</v>
      </c>
      <c r="D24" s="66">
        <f t="shared" si="12"/>
        <v>0.56360299999999997</v>
      </c>
      <c r="E24" s="66">
        <f t="shared" si="11"/>
        <v>0.52947</v>
      </c>
      <c r="F24" s="65"/>
      <c r="L24" s="163"/>
      <c r="M24" s="64">
        <f t="shared" si="13"/>
        <v>0.426035</v>
      </c>
      <c r="N24" s="81">
        <f t="shared" si="14"/>
        <v>9.2757932007288671E-2</v>
      </c>
      <c r="O24" s="64">
        <f t="shared" si="15"/>
        <v>0.66183800000000004</v>
      </c>
    </row>
    <row r="25" spans="1:15">
      <c r="A25" s="68" t="s">
        <v>255</v>
      </c>
      <c r="B25" s="67">
        <v>2022</v>
      </c>
      <c r="C25" s="66">
        <f t="shared" si="10"/>
        <v>0.32622200000000001</v>
      </c>
      <c r="D25" s="66">
        <f t="shared" si="12"/>
        <v>0.503521</v>
      </c>
      <c r="E25" s="66">
        <f t="shared" si="11"/>
        <v>0.62228700000000003</v>
      </c>
      <c r="F25" s="65"/>
      <c r="L25" s="163"/>
      <c r="M25" s="64">
        <f t="shared" si="13"/>
        <v>0.44146400000000002</v>
      </c>
      <c r="N25" s="81">
        <f t="shared" si="14"/>
        <v>0.12700953576468041</v>
      </c>
      <c r="O25" s="64">
        <f t="shared" si="15"/>
        <v>0.77785899999999997</v>
      </c>
    </row>
    <row r="26" spans="1:15">
      <c r="A26" s="68" t="s">
        <v>255</v>
      </c>
      <c r="B26" s="67">
        <v>2023</v>
      </c>
      <c r="C26" s="66">
        <f t="shared" si="10"/>
        <v>0.35643900000000001</v>
      </c>
      <c r="D26" s="66">
        <f t="shared" si="12"/>
        <v>0.56789900000000004</v>
      </c>
      <c r="E26" s="66">
        <f t="shared" si="11"/>
        <v>0.69030800000000003</v>
      </c>
      <c r="F26" s="65"/>
      <c r="L26" s="163"/>
      <c r="M26" s="64">
        <f t="shared" si="13"/>
        <v>0.48235499999999998</v>
      </c>
      <c r="N26" s="81">
        <f t="shared" si="14"/>
        <v>0.16564034789328883</v>
      </c>
      <c r="O26" s="64">
        <f t="shared" si="15"/>
        <v>0.86288500000000001</v>
      </c>
    </row>
    <row r="27" spans="1:15">
      <c r="A27" s="68" t="s">
        <v>255</v>
      </c>
      <c r="B27" s="67">
        <v>2024</v>
      </c>
      <c r="C27" s="66">
        <f t="shared" si="10"/>
        <v>0.31097900000000001</v>
      </c>
      <c r="D27" s="66">
        <f t="shared" si="12"/>
        <v>0</v>
      </c>
      <c r="E27" s="66">
        <f t="shared" si="11"/>
        <v>0.74275999999999998</v>
      </c>
      <c r="F27" s="65"/>
      <c r="L27" s="163"/>
      <c r="M27" s="64">
        <f t="shared" si="13"/>
        <v>0.42083599999999999</v>
      </c>
      <c r="N27" s="81">
        <f t="shared" si="14"/>
        <v>0.16564034789328883</v>
      </c>
      <c r="O27" s="64">
        <f t="shared" si="15"/>
        <v>0.92845</v>
      </c>
    </row>
    <row r="28" spans="1:15">
      <c r="A28" s="68" t="s">
        <v>255</v>
      </c>
      <c r="B28" s="67">
        <v>2025</v>
      </c>
      <c r="C28" s="66">
        <f t="shared" si="10"/>
        <v>0.27600000000000002</v>
      </c>
      <c r="D28" s="66">
        <f t="shared" si="12"/>
        <v>0</v>
      </c>
      <c r="E28" s="66">
        <f t="shared" si="11"/>
        <v>0.52819099999999997</v>
      </c>
      <c r="F28" s="65"/>
      <c r="L28" s="164"/>
      <c r="M28" s="64">
        <f t="shared" si="13"/>
        <v>0.3735</v>
      </c>
      <c r="N28" s="81">
        <f t="shared" si="14"/>
        <v>0.16564034789328883</v>
      </c>
      <c r="O28" s="64">
        <f t="shared" si="15"/>
        <v>0.66023900000000002</v>
      </c>
    </row>
  </sheetData>
  <autoFilter ref="A2:H2" xr:uid="{6ABA816D-A126-4A64-85A2-F87E0F911AEC}">
    <sortState xmlns:xlrd2="http://schemas.microsoft.com/office/spreadsheetml/2017/richdata2" ref="A4:H13">
      <sortCondition ref="B2"/>
    </sortState>
  </autoFilter>
  <mergeCells count="12">
    <mergeCell ref="O17:O21"/>
    <mergeCell ref="A1:A2"/>
    <mergeCell ref="C1:C2"/>
    <mergeCell ref="D1:L1"/>
    <mergeCell ref="M1:O1"/>
    <mergeCell ref="A15:B15"/>
    <mergeCell ref="N17:N21"/>
    <mergeCell ref="L23:L28"/>
    <mergeCell ref="B1:B2"/>
    <mergeCell ref="A17:B17"/>
    <mergeCell ref="L17:L22"/>
    <mergeCell ref="M17:M21"/>
  </mergeCells>
  <phoneticPr fontId="17" type="noConversion"/>
  <conditionalFormatting sqref="C18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035B-9392-44AC-8A8E-7EF18C2802D4}">
  <sheetPr filterMode="1"/>
  <dimension ref="A1:N204"/>
  <sheetViews>
    <sheetView workbookViewId="0"/>
  </sheetViews>
  <sheetFormatPr defaultRowHeight="13.5"/>
  <cols>
    <col min="1" max="1" width="9" style="56" bestFit="1" customWidth="1"/>
    <col min="2" max="2" width="6" style="56" customWidth="1"/>
    <col min="3" max="8" width="12.625" style="55" customWidth="1"/>
    <col min="9" max="9" width="17.25" style="55" bestFit="1" customWidth="1"/>
    <col min="10" max="13" width="9" style="55"/>
    <col min="14" max="14" width="15.125" style="55" bestFit="1" customWidth="1"/>
    <col min="15" max="16384" width="9" style="55"/>
  </cols>
  <sheetData>
    <row r="1" spans="1:14" ht="15">
      <c r="A1" s="62"/>
      <c r="B1" s="61"/>
      <c r="C1" s="62" t="s">
        <v>254</v>
      </c>
      <c r="D1" s="62" t="s">
        <v>253</v>
      </c>
      <c r="E1" s="62" t="s">
        <v>252</v>
      </c>
      <c r="F1" s="62" t="s">
        <v>251</v>
      </c>
      <c r="G1" s="62" t="s">
        <v>250</v>
      </c>
      <c r="H1" s="62" t="s">
        <v>249</v>
      </c>
      <c r="I1" s="62" t="s">
        <v>248</v>
      </c>
      <c r="J1" s="62" t="s">
        <v>247</v>
      </c>
      <c r="K1" s="62" t="s">
        <v>246</v>
      </c>
      <c r="L1" s="62" t="s">
        <v>245</v>
      </c>
      <c r="M1" s="62" t="s">
        <v>244</v>
      </c>
      <c r="N1" s="62" t="s">
        <v>243</v>
      </c>
    </row>
    <row r="2" spans="1:14" ht="15">
      <c r="A2" s="59" t="s">
        <v>183</v>
      </c>
      <c r="B2" s="58">
        <v>2025</v>
      </c>
      <c r="C2" s="57">
        <v>3563000</v>
      </c>
      <c r="D2" s="57">
        <v>830000</v>
      </c>
      <c r="E2" s="57"/>
      <c r="F2" s="57"/>
      <c r="G2" s="57"/>
      <c r="H2" s="57"/>
      <c r="I2" s="60">
        <v>4927</v>
      </c>
      <c r="J2" s="60"/>
      <c r="K2" s="60"/>
      <c r="L2" s="60"/>
      <c r="M2" s="60"/>
      <c r="N2" s="60">
        <v>2783</v>
      </c>
    </row>
    <row r="3" spans="1:14" ht="15">
      <c r="A3" s="59" t="s">
        <v>183</v>
      </c>
      <c r="B3" s="58">
        <v>2024</v>
      </c>
      <c r="C3" s="57">
        <f>6669*2000/3</f>
        <v>4446000</v>
      </c>
      <c r="D3" s="57">
        <v>1180000</v>
      </c>
      <c r="E3" s="57"/>
      <c r="F3" s="57"/>
      <c r="G3" s="57"/>
      <c r="H3" s="57"/>
      <c r="I3" s="60">
        <v>3224</v>
      </c>
      <c r="J3" s="60"/>
      <c r="K3" s="60"/>
      <c r="L3" s="60"/>
      <c r="M3" s="60"/>
      <c r="N3" s="60"/>
    </row>
    <row r="4" spans="1:14" ht="15">
      <c r="A4" s="59" t="s">
        <v>183</v>
      </c>
      <c r="B4" s="58">
        <v>2023</v>
      </c>
      <c r="C4" s="57">
        <v>4636119</v>
      </c>
      <c r="D4" s="57">
        <v>1014361</v>
      </c>
      <c r="E4" s="57">
        <v>66997</v>
      </c>
      <c r="F4" s="57">
        <v>1133101</v>
      </c>
      <c r="G4" s="57">
        <v>1795750</v>
      </c>
      <c r="H4" s="57">
        <v>625911</v>
      </c>
      <c r="I4" s="60">
        <v>4378.3999999999996</v>
      </c>
      <c r="J4" s="60">
        <v>1053.5999999999999</v>
      </c>
      <c r="K4" s="60"/>
      <c r="L4" s="60">
        <v>1063.8</v>
      </c>
      <c r="M4" s="60">
        <v>2261.1</v>
      </c>
      <c r="N4" s="60">
        <v>1905</v>
      </c>
    </row>
    <row r="5" spans="1:14" ht="15" hidden="1">
      <c r="A5" s="62" t="s">
        <v>240</v>
      </c>
      <c r="B5" s="61">
        <v>2023</v>
      </c>
      <c r="C5" s="60">
        <v>847</v>
      </c>
      <c r="D5" s="60">
        <v>389</v>
      </c>
      <c r="E5" s="60"/>
      <c r="F5" s="60"/>
      <c r="G5" s="60">
        <v>459</v>
      </c>
      <c r="H5" s="60"/>
      <c r="I5" s="60"/>
      <c r="J5" s="60"/>
      <c r="K5" s="60"/>
      <c r="L5" s="60"/>
      <c r="M5" s="60"/>
      <c r="N5" s="60"/>
    </row>
    <row r="6" spans="1:14" ht="15" hidden="1">
      <c r="A6" s="62" t="s">
        <v>238</v>
      </c>
      <c r="B6" s="61">
        <v>2023</v>
      </c>
      <c r="C6" s="60">
        <v>5149</v>
      </c>
      <c r="D6" s="60">
        <v>66</v>
      </c>
      <c r="E6" s="60"/>
      <c r="F6" s="60">
        <v>4760</v>
      </c>
      <c r="G6" s="60">
        <v>12</v>
      </c>
      <c r="H6" s="60">
        <v>312</v>
      </c>
      <c r="I6" s="60"/>
      <c r="J6" s="60"/>
      <c r="K6" s="60"/>
      <c r="L6" s="60"/>
      <c r="M6" s="60"/>
      <c r="N6" s="60"/>
    </row>
    <row r="7" spans="1:14" ht="15" hidden="1">
      <c r="A7" s="62" t="s">
        <v>237</v>
      </c>
      <c r="B7" s="61">
        <v>2023</v>
      </c>
      <c r="C7" s="60">
        <v>173678</v>
      </c>
      <c r="D7" s="60">
        <v>58828</v>
      </c>
      <c r="E7" s="60">
        <v>3333</v>
      </c>
      <c r="F7" s="60">
        <v>70392</v>
      </c>
      <c r="G7" s="60">
        <v>39578</v>
      </c>
      <c r="H7" s="60">
        <v>1546</v>
      </c>
      <c r="I7" s="60">
        <v>49.2</v>
      </c>
      <c r="J7" s="60">
        <v>16.2</v>
      </c>
      <c r="K7" s="60"/>
      <c r="L7" s="60">
        <v>14.8</v>
      </c>
      <c r="M7" s="60">
        <v>18.100000000000001</v>
      </c>
      <c r="N7" s="60"/>
    </row>
    <row r="8" spans="1:14" ht="15" hidden="1">
      <c r="A8" s="62" t="s">
        <v>235</v>
      </c>
      <c r="B8" s="61">
        <v>2023</v>
      </c>
      <c r="C8" s="60">
        <v>306235</v>
      </c>
      <c r="D8" s="60">
        <v>204068</v>
      </c>
      <c r="E8" s="60">
        <v>10000</v>
      </c>
      <c r="F8" s="60">
        <v>53613</v>
      </c>
      <c r="G8" s="60">
        <v>38553</v>
      </c>
      <c r="H8" s="60"/>
      <c r="I8" s="60">
        <v>76.7</v>
      </c>
      <c r="J8" s="60">
        <v>36.1</v>
      </c>
      <c r="K8" s="60"/>
      <c r="L8" s="60">
        <v>18.3</v>
      </c>
      <c r="M8" s="60">
        <v>22.3</v>
      </c>
      <c r="N8" s="60"/>
    </row>
    <row r="9" spans="1:14" ht="15" hidden="1">
      <c r="A9" s="62" t="s">
        <v>234</v>
      </c>
      <c r="B9" s="61">
        <v>2023</v>
      </c>
      <c r="C9" s="60">
        <v>314383</v>
      </c>
      <c r="D9" s="60">
        <v>127237</v>
      </c>
      <c r="E9" s="60">
        <v>10667</v>
      </c>
      <c r="F9" s="60">
        <v>21379</v>
      </c>
      <c r="G9" s="60">
        <v>152431</v>
      </c>
      <c r="H9" s="60">
        <v>2668</v>
      </c>
      <c r="I9" s="60">
        <v>586.20000000000005</v>
      </c>
      <c r="J9" s="60">
        <v>180.1</v>
      </c>
      <c r="K9" s="60"/>
      <c r="L9" s="60">
        <v>182.7</v>
      </c>
      <c r="M9" s="60">
        <v>223.3</v>
      </c>
      <c r="N9" s="60"/>
    </row>
    <row r="10" spans="1:14" ht="15" hidden="1">
      <c r="A10" s="62" t="s">
        <v>232</v>
      </c>
      <c r="B10" s="61">
        <v>2023</v>
      </c>
      <c r="C10" s="60">
        <v>63901</v>
      </c>
      <c r="D10" s="60">
        <v>30766</v>
      </c>
      <c r="E10" s="60"/>
      <c r="F10" s="60">
        <v>2001</v>
      </c>
      <c r="G10" s="60">
        <v>26321</v>
      </c>
      <c r="H10" s="60">
        <v>4813</v>
      </c>
      <c r="I10" s="60">
        <v>21.9</v>
      </c>
      <c r="J10" s="60">
        <v>19.899999999999999</v>
      </c>
      <c r="K10" s="60"/>
      <c r="L10" s="60">
        <v>0.9</v>
      </c>
      <c r="M10" s="60">
        <v>1.1000000000000001</v>
      </c>
      <c r="N10" s="60"/>
    </row>
    <row r="11" spans="1:14" ht="15" hidden="1">
      <c r="A11" s="62" t="s">
        <v>230</v>
      </c>
      <c r="B11" s="61">
        <v>2023</v>
      </c>
      <c r="C11" s="60">
        <v>88263</v>
      </c>
      <c r="D11" s="60">
        <v>415</v>
      </c>
      <c r="E11" s="60"/>
      <c r="F11" s="60">
        <v>576</v>
      </c>
      <c r="G11" s="60">
        <v>72429</v>
      </c>
      <c r="H11" s="60">
        <v>14842</v>
      </c>
      <c r="I11" s="60">
        <v>19.899999999999999</v>
      </c>
      <c r="J11" s="60">
        <v>3.3</v>
      </c>
      <c r="K11" s="60"/>
      <c r="L11" s="60">
        <v>7.4</v>
      </c>
      <c r="M11" s="60">
        <v>9.1</v>
      </c>
      <c r="N11" s="60"/>
    </row>
    <row r="12" spans="1:14" ht="15" hidden="1">
      <c r="A12" s="62" t="s">
        <v>228</v>
      </c>
      <c r="B12" s="61">
        <v>2023</v>
      </c>
      <c r="C12" s="60">
        <v>82981</v>
      </c>
      <c r="D12" s="60">
        <v>2765</v>
      </c>
      <c r="E12" s="60"/>
      <c r="F12" s="60">
        <v>32103</v>
      </c>
      <c r="G12" s="60">
        <v>41915</v>
      </c>
      <c r="H12" s="60">
        <v>6198</v>
      </c>
      <c r="I12" s="60">
        <v>18.399999999999999</v>
      </c>
      <c r="J12" s="60">
        <v>7.1</v>
      </c>
      <c r="K12" s="60"/>
      <c r="L12" s="60">
        <v>5.0999999999999996</v>
      </c>
      <c r="M12" s="60">
        <v>6.2</v>
      </c>
      <c r="N12" s="60"/>
    </row>
    <row r="13" spans="1:14" ht="15" hidden="1">
      <c r="A13" s="62" t="s">
        <v>226</v>
      </c>
      <c r="B13" s="61">
        <v>2023</v>
      </c>
      <c r="C13" s="60">
        <v>200</v>
      </c>
      <c r="D13" s="60">
        <v>200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4" ht="15" hidden="1">
      <c r="A14" s="62" t="s">
        <v>225</v>
      </c>
      <c r="B14" s="61">
        <v>2023</v>
      </c>
      <c r="C14" s="60">
        <v>2266</v>
      </c>
      <c r="D14" s="60">
        <v>1009</v>
      </c>
      <c r="E14" s="60"/>
      <c r="F14" s="60">
        <v>67</v>
      </c>
      <c r="G14" s="60">
        <v>482</v>
      </c>
      <c r="H14" s="60">
        <v>708</v>
      </c>
      <c r="I14" s="60"/>
      <c r="J14" s="60"/>
      <c r="K14" s="60"/>
      <c r="L14" s="60"/>
      <c r="M14" s="60"/>
      <c r="N14" s="60"/>
    </row>
    <row r="15" spans="1:14" ht="15" hidden="1">
      <c r="A15" s="62" t="s">
        <v>223</v>
      </c>
      <c r="B15" s="61">
        <v>2023</v>
      </c>
      <c r="C15" s="60">
        <v>20074</v>
      </c>
      <c r="D15" s="60">
        <v>3135</v>
      </c>
      <c r="E15" s="60"/>
      <c r="F15" s="60"/>
      <c r="G15" s="60">
        <v>10683</v>
      </c>
      <c r="H15" s="60">
        <v>6256</v>
      </c>
      <c r="I15" s="60"/>
      <c r="J15" s="60"/>
      <c r="K15" s="60"/>
      <c r="L15" s="60"/>
      <c r="M15" s="60"/>
      <c r="N15" s="60"/>
    </row>
    <row r="16" spans="1:14" ht="15" hidden="1">
      <c r="A16" s="62" t="s">
        <v>221</v>
      </c>
      <c r="B16" s="61">
        <v>2023</v>
      </c>
      <c r="C16" s="60">
        <v>137922</v>
      </c>
      <c r="D16" s="60">
        <v>6541</v>
      </c>
      <c r="E16" s="60"/>
      <c r="F16" s="60">
        <v>70396</v>
      </c>
      <c r="G16" s="60">
        <v>47728</v>
      </c>
      <c r="H16" s="60">
        <v>13257</v>
      </c>
      <c r="I16" s="60"/>
      <c r="J16" s="60"/>
      <c r="K16" s="60"/>
      <c r="L16" s="60"/>
      <c r="M16" s="60"/>
      <c r="N16" s="60"/>
    </row>
    <row r="17" spans="1:14" ht="15" hidden="1">
      <c r="A17" s="62" t="s">
        <v>219</v>
      </c>
      <c r="B17" s="61">
        <v>2023</v>
      </c>
      <c r="C17" s="60">
        <v>152503</v>
      </c>
      <c r="D17" s="60">
        <v>3251</v>
      </c>
      <c r="E17" s="60"/>
      <c r="F17" s="60">
        <v>31988</v>
      </c>
      <c r="G17" s="60">
        <v>70599</v>
      </c>
      <c r="H17" s="60">
        <v>46664</v>
      </c>
      <c r="I17" s="60"/>
      <c r="J17" s="60"/>
      <c r="K17" s="60"/>
      <c r="L17" s="60"/>
      <c r="M17" s="60"/>
      <c r="N17" s="60"/>
    </row>
    <row r="18" spans="1:14" ht="15" hidden="1">
      <c r="A18" s="62" t="s">
        <v>217</v>
      </c>
      <c r="B18" s="61">
        <v>2023</v>
      </c>
      <c r="C18" s="60">
        <v>252818</v>
      </c>
      <c r="D18" s="60">
        <v>18089</v>
      </c>
      <c r="E18" s="60"/>
      <c r="F18" s="60">
        <v>36805</v>
      </c>
      <c r="G18" s="60">
        <v>124555</v>
      </c>
      <c r="H18" s="60">
        <v>73369</v>
      </c>
      <c r="I18" s="60"/>
      <c r="J18" s="60"/>
      <c r="K18" s="60"/>
      <c r="L18" s="60"/>
      <c r="M18" s="60"/>
      <c r="N18" s="60"/>
    </row>
    <row r="19" spans="1:14" ht="15" hidden="1">
      <c r="A19" s="62" t="s">
        <v>215</v>
      </c>
      <c r="B19" s="61">
        <v>2023</v>
      </c>
      <c r="C19" s="60">
        <v>17647</v>
      </c>
      <c r="D19" s="60">
        <v>6493</v>
      </c>
      <c r="E19" s="60"/>
      <c r="F19" s="60"/>
      <c r="G19" s="60">
        <v>8788</v>
      </c>
      <c r="H19" s="60">
        <v>2367</v>
      </c>
      <c r="I19" s="60"/>
      <c r="J19" s="60"/>
      <c r="K19" s="60"/>
      <c r="L19" s="60"/>
      <c r="M19" s="60"/>
      <c r="N19" s="60"/>
    </row>
    <row r="20" spans="1:14" ht="15" hidden="1">
      <c r="A20" s="62" t="s">
        <v>213</v>
      </c>
      <c r="B20" s="61">
        <v>2023</v>
      </c>
      <c r="C20" s="60">
        <v>122113</v>
      </c>
      <c r="D20" s="60">
        <v>20916</v>
      </c>
      <c r="E20" s="60">
        <v>16361</v>
      </c>
      <c r="F20" s="60">
        <v>30352</v>
      </c>
      <c r="G20" s="60">
        <v>34480</v>
      </c>
      <c r="H20" s="60">
        <v>20005</v>
      </c>
      <c r="I20" s="60">
        <v>2</v>
      </c>
      <c r="J20" s="60">
        <v>2</v>
      </c>
      <c r="K20" s="60"/>
      <c r="L20" s="60"/>
      <c r="M20" s="60"/>
      <c r="N20" s="60"/>
    </row>
    <row r="21" spans="1:14" ht="15" hidden="1">
      <c r="A21" s="62" t="s">
        <v>212</v>
      </c>
      <c r="B21" s="61">
        <v>2023</v>
      </c>
      <c r="C21" s="60">
        <v>193950</v>
      </c>
      <c r="D21" s="60">
        <v>30596</v>
      </c>
      <c r="E21" s="60"/>
      <c r="F21" s="60">
        <v>37358</v>
      </c>
      <c r="G21" s="60">
        <v>111265</v>
      </c>
      <c r="H21" s="60">
        <v>14732</v>
      </c>
      <c r="I21" s="60"/>
      <c r="J21" s="60"/>
      <c r="K21" s="60"/>
      <c r="L21" s="60"/>
      <c r="M21" s="60"/>
      <c r="N21" s="60"/>
    </row>
    <row r="22" spans="1:14" ht="15" hidden="1">
      <c r="A22" s="62" t="s">
        <v>210</v>
      </c>
      <c r="B22" s="61">
        <v>2023</v>
      </c>
      <c r="C22" s="60">
        <v>425039</v>
      </c>
      <c r="D22" s="60">
        <v>104337</v>
      </c>
      <c r="E22" s="60"/>
      <c r="F22" s="60">
        <v>125411</v>
      </c>
      <c r="G22" s="60">
        <v>172653</v>
      </c>
      <c r="H22" s="60">
        <v>22637</v>
      </c>
      <c r="I22" s="60">
        <v>13.8</v>
      </c>
      <c r="J22" s="60">
        <v>8</v>
      </c>
      <c r="K22" s="60"/>
      <c r="L22" s="60">
        <v>2.6</v>
      </c>
      <c r="M22" s="60">
        <v>3.2</v>
      </c>
      <c r="N22" s="60"/>
    </row>
    <row r="23" spans="1:14" ht="15" hidden="1">
      <c r="A23" s="62" t="s">
        <v>208</v>
      </c>
      <c r="B23" s="61">
        <v>2023</v>
      </c>
      <c r="C23" s="60">
        <v>153001</v>
      </c>
      <c r="D23" s="60">
        <v>11021</v>
      </c>
      <c r="E23" s="60"/>
      <c r="F23" s="60">
        <v>34287</v>
      </c>
      <c r="G23" s="60">
        <v>58201</v>
      </c>
      <c r="H23" s="60">
        <v>49492</v>
      </c>
      <c r="I23" s="60"/>
      <c r="J23" s="60"/>
      <c r="K23" s="60"/>
      <c r="L23" s="60"/>
      <c r="M23" s="60"/>
      <c r="N23" s="60"/>
    </row>
    <row r="24" spans="1:14" ht="15" hidden="1">
      <c r="A24" s="62" t="s">
        <v>206</v>
      </c>
      <c r="B24" s="61">
        <v>2023</v>
      </c>
      <c r="C24" s="60">
        <v>324309</v>
      </c>
      <c r="D24" s="60">
        <v>20634</v>
      </c>
      <c r="E24" s="60"/>
      <c r="F24" s="60">
        <v>5106</v>
      </c>
      <c r="G24" s="60">
        <v>42064</v>
      </c>
      <c r="H24" s="60">
        <v>256506</v>
      </c>
      <c r="I24" s="60">
        <v>0.9</v>
      </c>
      <c r="J24" s="60">
        <v>0.2</v>
      </c>
      <c r="K24" s="60"/>
      <c r="L24" s="60">
        <v>0.3</v>
      </c>
      <c r="M24" s="60">
        <v>0.4</v>
      </c>
      <c r="N24" s="60"/>
    </row>
    <row r="25" spans="1:14" ht="15" hidden="1">
      <c r="A25" s="62" t="s">
        <v>204</v>
      </c>
      <c r="B25" s="61">
        <v>2023</v>
      </c>
      <c r="C25" s="60">
        <v>12837</v>
      </c>
      <c r="D25" s="60">
        <v>812</v>
      </c>
      <c r="E25" s="60"/>
      <c r="F25" s="60"/>
      <c r="G25" s="60"/>
      <c r="H25" s="60">
        <v>12026</v>
      </c>
      <c r="I25" s="60"/>
      <c r="J25" s="60"/>
      <c r="K25" s="60"/>
      <c r="L25" s="60"/>
      <c r="M25" s="60"/>
      <c r="N25" s="60"/>
    </row>
    <row r="26" spans="1:14" ht="15" hidden="1">
      <c r="A26" s="62" t="s">
        <v>202</v>
      </c>
      <c r="B26" s="61">
        <v>2023</v>
      </c>
      <c r="C26" s="60">
        <v>137423</v>
      </c>
      <c r="D26" s="60">
        <v>23182</v>
      </c>
      <c r="E26" s="60"/>
      <c r="F26" s="60">
        <v>40111</v>
      </c>
      <c r="G26" s="60">
        <v>70231</v>
      </c>
      <c r="H26" s="60">
        <v>3899</v>
      </c>
      <c r="I26" s="60"/>
      <c r="J26" s="60"/>
      <c r="K26" s="60"/>
      <c r="L26" s="60"/>
      <c r="M26" s="60"/>
      <c r="N26" s="60"/>
    </row>
    <row r="27" spans="1:14" ht="15" hidden="1">
      <c r="A27" s="62" t="s">
        <v>200</v>
      </c>
      <c r="B27" s="61">
        <v>2023</v>
      </c>
      <c r="C27" s="60">
        <v>123086</v>
      </c>
      <c r="D27" s="60">
        <v>20943</v>
      </c>
      <c r="E27" s="60"/>
      <c r="F27" s="60">
        <v>21222</v>
      </c>
      <c r="G27" s="60">
        <v>66159</v>
      </c>
      <c r="H27" s="60">
        <v>14762</v>
      </c>
      <c r="I27" s="60">
        <v>254.2</v>
      </c>
      <c r="J27" s="60">
        <v>37.700000000000003</v>
      </c>
      <c r="K27" s="60"/>
      <c r="L27" s="60">
        <v>97.4</v>
      </c>
      <c r="M27" s="60">
        <v>119.1</v>
      </c>
      <c r="N27" s="60"/>
    </row>
    <row r="28" spans="1:14" ht="15" hidden="1">
      <c r="A28" s="62" t="s">
        <v>198</v>
      </c>
      <c r="B28" s="61">
        <v>2023</v>
      </c>
      <c r="C28" s="60">
        <v>230473</v>
      </c>
      <c r="D28" s="60">
        <v>7250</v>
      </c>
      <c r="E28" s="60"/>
      <c r="F28" s="60">
        <v>32191</v>
      </c>
      <c r="G28" s="60">
        <v>182809</v>
      </c>
      <c r="H28" s="60">
        <v>8223</v>
      </c>
      <c r="I28" s="60">
        <v>7.9</v>
      </c>
      <c r="J28" s="60">
        <v>4.3</v>
      </c>
      <c r="K28" s="60"/>
      <c r="L28" s="60">
        <v>1.6</v>
      </c>
      <c r="M28" s="60">
        <v>2</v>
      </c>
      <c r="N28" s="60"/>
    </row>
    <row r="29" spans="1:14" ht="15" hidden="1">
      <c r="A29" s="62" t="s">
        <v>197</v>
      </c>
      <c r="B29" s="61">
        <v>2023</v>
      </c>
      <c r="C29" s="60">
        <v>287370</v>
      </c>
      <c r="D29" s="60">
        <v>42185</v>
      </c>
      <c r="E29" s="60"/>
      <c r="F29" s="60">
        <v>90488</v>
      </c>
      <c r="G29" s="60">
        <v>117575</v>
      </c>
      <c r="H29" s="60">
        <v>37122</v>
      </c>
      <c r="I29" s="60">
        <v>36.700000000000003</v>
      </c>
      <c r="J29" s="60">
        <v>29.4</v>
      </c>
      <c r="K29" s="60"/>
      <c r="L29" s="60">
        <v>3.3</v>
      </c>
      <c r="M29" s="60">
        <v>4</v>
      </c>
      <c r="N29" s="60"/>
    </row>
    <row r="30" spans="1:14" ht="15" hidden="1">
      <c r="A30" s="62" t="s">
        <v>195</v>
      </c>
      <c r="B30" s="61">
        <v>2023</v>
      </c>
      <c r="C30" s="60">
        <v>44942</v>
      </c>
      <c r="D30" s="60">
        <v>4176</v>
      </c>
      <c r="E30" s="60">
        <v>3660</v>
      </c>
      <c r="F30" s="60">
        <v>33981</v>
      </c>
      <c r="G30" s="60">
        <v>2839</v>
      </c>
      <c r="H30" s="60">
        <v>285</v>
      </c>
      <c r="I30" s="60">
        <v>409.5</v>
      </c>
      <c r="J30" s="60">
        <v>165.3</v>
      </c>
      <c r="K30" s="60"/>
      <c r="L30" s="60">
        <v>109.9</v>
      </c>
      <c r="M30" s="60">
        <v>134.30000000000001</v>
      </c>
      <c r="N30" s="60"/>
    </row>
    <row r="31" spans="1:14" ht="15" hidden="1">
      <c r="A31" s="62" t="s">
        <v>194</v>
      </c>
      <c r="B31" s="61">
        <v>2023</v>
      </c>
      <c r="C31" s="60">
        <v>352245</v>
      </c>
      <c r="D31" s="60">
        <v>62026</v>
      </c>
      <c r="E31" s="60">
        <v>22249</v>
      </c>
      <c r="F31" s="60">
        <v>154011</v>
      </c>
      <c r="G31" s="60">
        <v>108145</v>
      </c>
      <c r="H31" s="60">
        <v>5814</v>
      </c>
      <c r="I31" s="60">
        <v>22.6</v>
      </c>
      <c r="J31" s="60">
        <v>9.4</v>
      </c>
      <c r="K31" s="60"/>
      <c r="L31" s="60">
        <v>5.9</v>
      </c>
      <c r="M31" s="60">
        <v>7.2</v>
      </c>
      <c r="N31" s="60"/>
    </row>
    <row r="32" spans="1:14" ht="15" hidden="1">
      <c r="A32" s="62" t="s">
        <v>192</v>
      </c>
      <c r="B32" s="61">
        <v>2023</v>
      </c>
      <c r="C32" s="60">
        <v>269597</v>
      </c>
      <c r="D32" s="60">
        <v>130044</v>
      </c>
      <c r="E32" s="60">
        <v>727</v>
      </c>
      <c r="F32" s="60">
        <v>64448</v>
      </c>
      <c r="G32" s="60">
        <v>74361</v>
      </c>
      <c r="H32" s="60">
        <v>17</v>
      </c>
      <c r="I32" s="60">
        <v>627.6</v>
      </c>
      <c r="J32" s="60">
        <v>296.89999999999998</v>
      </c>
      <c r="K32" s="60"/>
      <c r="L32" s="60">
        <v>148.80000000000001</v>
      </c>
      <c r="M32" s="60">
        <v>181.9</v>
      </c>
      <c r="N32" s="60"/>
    </row>
    <row r="33" spans="1:14" ht="15" hidden="1">
      <c r="A33" s="62" t="s">
        <v>191</v>
      </c>
      <c r="B33" s="61">
        <v>2023</v>
      </c>
      <c r="C33" s="60">
        <v>104677</v>
      </c>
      <c r="D33" s="60">
        <v>16301</v>
      </c>
      <c r="E33" s="60"/>
      <c r="F33" s="60">
        <v>68207</v>
      </c>
      <c r="G33" s="60">
        <v>20169</v>
      </c>
      <c r="H33" s="60"/>
      <c r="I33" s="60">
        <v>1876.7</v>
      </c>
      <c r="J33" s="60">
        <v>147.1</v>
      </c>
      <c r="K33" s="60"/>
      <c r="L33" s="60">
        <v>345.9</v>
      </c>
      <c r="M33" s="60">
        <v>1383.6</v>
      </c>
      <c r="N33" s="60"/>
    </row>
    <row r="34" spans="1:14" ht="15" hidden="1">
      <c r="A34" s="62" t="s">
        <v>190</v>
      </c>
      <c r="B34" s="61">
        <v>2023</v>
      </c>
      <c r="C34" s="60">
        <v>84271</v>
      </c>
      <c r="D34" s="60">
        <v>23999</v>
      </c>
      <c r="E34" s="60"/>
      <c r="F34" s="60">
        <v>5339</v>
      </c>
      <c r="G34" s="60">
        <v>54933</v>
      </c>
      <c r="H34" s="60"/>
      <c r="I34" s="60">
        <v>21.4</v>
      </c>
      <c r="J34" s="60">
        <v>21.1</v>
      </c>
      <c r="K34" s="60"/>
      <c r="L34" s="60">
        <v>0.2</v>
      </c>
      <c r="M34" s="60">
        <v>0.2</v>
      </c>
      <c r="N34" s="60"/>
    </row>
    <row r="35" spans="1:14" ht="15" hidden="1">
      <c r="A35" s="62" t="s">
        <v>188</v>
      </c>
      <c r="B35" s="61">
        <v>2023</v>
      </c>
      <c r="C35" s="60">
        <v>136538</v>
      </c>
      <c r="D35" s="60">
        <v>32688</v>
      </c>
      <c r="E35" s="60"/>
      <c r="F35" s="60">
        <v>66509</v>
      </c>
      <c r="G35" s="60">
        <v>29946</v>
      </c>
      <c r="H35" s="60">
        <v>7394</v>
      </c>
      <c r="I35" s="60">
        <v>333</v>
      </c>
      <c r="J35" s="60">
        <v>69.5</v>
      </c>
      <c r="K35" s="60"/>
      <c r="L35" s="60">
        <v>118.6</v>
      </c>
      <c r="M35" s="60">
        <v>144.9</v>
      </c>
      <c r="N35" s="60"/>
    </row>
    <row r="36" spans="1:14" ht="15" hidden="1">
      <c r="A36" s="62" t="s">
        <v>186</v>
      </c>
      <c r="B36" s="61">
        <v>2023</v>
      </c>
      <c r="C36" s="60">
        <v>15385</v>
      </c>
      <c r="D36" s="60"/>
      <c r="E36" s="60"/>
      <c r="F36" s="60"/>
      <c r="G36" s="60">
        <v>15385</v>
      </c>
      <c r="H36" s="60"/>
      <c r="I36" s="60"/>
      <c r="J36" s="60"/>
      <c r="K36" s="60"/>
      <c r="L36" s="60"/>
      <c r="M36" s="60"/>
      <c r="N36" s="60"/>
    </row>
    <row r="37" spans="1:14" ht="15">
      <c r="A37" s="59" t="s">
        <v>183</v>
      </c>
      <c r="B37" s="58">
        <v>2022</v>
      </c>
      <c r="C37" s="57">
        <v>4202790</v>
      </c>
      <c r="D37" s="57">
        <v>930860</v>
      </c>
      <c r="E37" s="57">
        <v>166099</v>
      </c>
      <c r="F37" s="57">
        <v>1057316</v>
      </c>
      <c r="G37" s="57">
        <v>1582935</v>
      </c>
      <c r="H37" s="57">
        <v>465579</v>
      </c>
      <c r="I37" s="60">
        <v>3214.1</v>
      </c>
      <c r="J37" s="60">
        <v>481.6</v>
      </c>
      <c r="K37" s="60"/>
      <c r="L37" s="60">
        <v>722.3</v>
      </c>
      <c r="M37" s="60">
        <v>2010.2</v>
      </c>
      <c r="N37" s="60"/>
    </row>
    <row r="38" spans="1:14" ht="15" hidden="1">
      <c r="A38" s="62" t="s">
        <v>240</v>
      </c>
      <c r="B38" s="61">
        <v>2022</v>
      </c>
      <c r="C38" s="60">
        <v>3481</v>
      </c>
      <c r="D38" s="60">
        <v>3481</v>
      </c>
      <c r="E38" s="60"/>
      <c r="F38" s="60"/>
      <c r="G38" s="60"/>
      <c r="H38" s="60">
        <v>1</v>
      </c>
      <c r="I38" s="60"/>
      <c r="J38" s="60"/>
      <c r="K38" s="60"/>
      <c r="L38" s="60"/>
      <c r="M38" s="60"/>
      <c r="N38" s="60"/>
    </row>
    <row r="39" spans="1:14" ht="15" hidden="1">
      <c r="A39" s="62" t="s">
        <v>238</v>
      </c>
      <c r="B39" s="61">
        <v>2022</v>
      </c>
      <c r="C39" s="60">
        <v>5458</v>
      </c>
      <c r="D39" s="60"/>
      <c r="E39" s="60"/>
      <c r="F39" s="60">
        <v>5458</v>
      </c>
      <c r="G39" s="60"/>
      <c r="H39" s="60"/>
      <c r="I39" s="60"/>
      <c r="J39" s="60"/>
      <c r="K39" s="60"/>
      <c r="L39" s="60"/>
      <c r="M39" s="60"/>
      <c r="N39" s="60"/>
    </row>
    <row r="40" spans="1:14" ht="15" hidden="1">
      <c r="A40" s="62" t="s">
        <v>237</v>
      </c>
      <c r="B40" s="61">
        <v>2022</v>
      </c>
      <c r="C40" s="60">
        <v>193707</v>
      </c>
      <c r="D40" s="60">
        <v>56685</v>
      </c>
      <c r="E40" s="60">
        <v>17762</v>
      </c>
      <c r="F40" s="60">
        <v>85294</v>
      </c>
      <c r="G40" s="60">
        <v>30880</v>
      </c>
      <c r="H40" s="60">
        <v>3086</v>
      </c>
      <c r="I40" s="60">
        <v>26.6</v>
      </c>
      <c r="J40" s="60">
        <v>2</v>
      </c>
      <c r="K40" s="60"/>
      <c r="L40" s="60">
        <v>3.1</v>
      </c>
      <c r="M40" s="60">
        <v>21.5</v>
      </c>
      <c r="N40" s="60"/>
    </row>
    <row r="41" spans="1:14" ht="15" hidden="1">
      <c r="A41" s="62" t="s">
        <v>235</v>
      </c>
      <c r="B41" s="61">
        <v>2022</v>
      </c>
      <c r="C41" s="60">
        <v>362017</v>
      </c>
      <c r="D41" s="60">
        <v>227011</v>
      </c>
      <c r="E41" s="60">
        <v>11048</v>
      </c>
      <c r="F41" s="60">
        <v>63654</v>
      </c>
      <c r="G41" s="60">
        <v>54798</v>
      </c>
      <c r="H41" s="60">
        <v>5505</v>
      </c>
      <c r="I41" s="60">
        <v>20</v>
      </c>
      <c r="J41" s="60">
        <v>4.7</v>
      </c>
      <c r="K41" s="60"/>
      <c r="L41" s="60">
        <v>7</v>
      </c>
      <c r="M41" s="60">
        <v>8.3000000000000007</v>
      </c>
      <c r="N41" s="60"/>
    </row>
    <row r="42" spans="1:14" ht="15" hidden="1">
      <c r="A42" s="62" t="s">
        <v>234</v>
      </c>
      <c r="B42" s="61">
        <v>2022</v>
      </c>
      <c r="C42" s="60">
        <v>261710</v>
      </c>
      <c r="D42" s="60">
        <v>87884</v>
      </c>
      <c r="E42" s="60">
        <v>17786</v>
      </c>
      <c r="F42" s="60">
        <v>30543</v>
      </c>
      <c r="G42" s="60">
        <v>112285</v>
      </c>
      <c r="H42" s="60">
        <v>13211</v>
      </c>
      <c r="I42" s="60">
        <v>1076.5</v>
      </c>
      <c r="J42" s="60">
        <v>265.89999999999998</v>
      </c>
      <c r="K42" s="60"/>
      <c r="L42" s="60">
        <v>398.8</v>
      </c>
      <c r="M42" s="60">
        <v>411.8</v>
      </c>
      <c r="N42" s="60"/>
    </row>
    <row r="43" spans="1:14" ht="15" hidden="1">
      <c r="A43" s="62" t="s">
        <v>232</v>
      </c>
      <c r="B43" s="61">
        <v>2022</v>
      </c>
      <c r="C43" s="60">
        <v>67403</v>
      </c>
      <c r="D43" s="60">
        <v>27293</v>
      </c>
      <c r="E43" s="60"/>
      <c r="F43" s="60">
        <v>3334</v>
      </c>
      <c r="G43" s="60">
        <v>31487</v>
      </c>
      <c r="H43" s="60">
        <v>5290</v>
      </c>
      <c r="I43" s="60">
        <v>55.6</v>
      </c>
      <c r="J43" s="60">
        <v>21.4</v>
      </c>
      <c r="K43" s="60"/>
      <c r="L43" s="60">
        <v>32.200000000000003</v>
      </c>
      <c r="M43" s="60">
        <v>2</v>
      </c>
      <c r="N43" s="60"/>
    </row>
    <row r="44" spans="1:14" ht="15" hidden="1">
      <c r="A44" s="62" t="s">
        <v>230</v>
      </c>
      <c r="B44" s="61">
        <v>2022</v>
      </c>
      <c r="C44" s="60">
        <v>131037</v>
      </c>
      <c r="D44" s="60">
        <v>1631</v>
      </c>
      <c r="E44" s="60"/>
      <c r="F44" s="60">
        <v>5105</v>
      </c>
      <c r="G44" s="60">
        <v>109026</v>
      </c>
      <c r="H44" s="60">
        <v>15276</v>
      </c>
      <c r="I44" s="60">
        <v>11.9</v>
      </c>
      <c r="J44" s="60">
        <v>0.5</v>
      </c>
      <c r="K44" s="60"/>
      <c r="L44" s="60">
        <v>0.8</v>
      </c>
      <c r="M44" s="60">
        <v>10.7</v>
      </c>
      <c r="N44" s="60"/>
    </row>
    <row r="45" spans="1:14" ht="15" hidden="1">
      <c r="A45" s="62" t="s">
        <v>228</v>
      </c>
      <c r="B45" s="61">
        <v>2022</v>
      </c>
      <c r="C45" s="60">
        <v>75470</v>
      </c>
      <c r="D45" s="60">
        <v>7150</v>
      </c>
      <c r="E45" s="60"/>
      <c r="F45" s="60">
        <v>27212</v>
      </c>
      <c r="G45" s="60">
        <v>33732</v>
      </c>
      <c r="H45" s="60">
        <v>7377</v>
      </c>
      <c r="I45" s="60">
        <v>8.5</v>
      </c>
      <c r="J45" s="60">
        <v>1.5</v>
      </c>
      <c r="K45" s="60"/>
      <c r="L45" s="60">
        <v>2.2000000000000002</v>
      </c>
      <c r="M45" s="60">
        <v>4.9000000000000004</v>
      </c>
      <c r="N45" s="60"/>
    </row>
    <row r="46" spans="1:14" ht="15" hidden="1">
      <c r="A46" s="62" t="s">
        <v>226</v>
      </c>
      <c r="B46" s="61">
        <v>2022</v>
      </c>
      <c r="C46" s="60">
        <v>35</v>
      </c>
      <c r="D46" s="60">
        <v>35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</row>
    <row r="47" spans="1:14" ht="15" hidden="1">
      <c r="A47" s="62" t="s">
        <v>225</v>
      </c>
      <c r="B47" s="61">
        <v>2022</v>
      </c>
      <c r="C47" s="60">
        <v>2588</v>
      </c>
      <c r="D47" s="60">
        <v>1397</v>
      </c>
      <c r="E47" s="60"/>
      <c r="F47" s="60"/>
      <c r="G47" s="60">
        <v>382</v>
      </c>
      <c r="H47" s="60">
        <v>809</v>
      </c>
      <c r="I47" s="60"/>
      <c r="J47" s="60"/>
      <c r="K47" s="60"/>
      <c r="L47" s="60"/>
      <c r="M47" s="60"/>
      <c r="N47" s="60"/>
    </row>
    <row r="48" spans="1:14" ht="15" hidden="1">
      <c r="A48" s="62" t="s">
        <v>223</v>
      </c>
      <c r="B48" s="61">
        <v>2022</v>
      </c>
      <c r="C48" s="60">
        <v>13632</v>
      </c>
      <c r="D48" s="60">
        <v>2666</v>
      </c>
      <c r="E48" s="60"/>
      <c r="F48" s="60"/>
      <c r="G48" s="60">
        <v>5208</v>
      </c>
      <c r="H48" s="60">
        <v>5758</v>
      </c>
      <c r="I48" s="60"/>
      <c r="J48" s="60"/>
      <c r="K48" s="60"/>
      <c r="L48" s="60"/>
      <c r="M48" s="60"/>
      <c r="N48" s="60"/>
    </row>
    <row r="49" spans="1:14" ht="15" hidden="1">
      <c r="A49" s="62" t="s">
        <v>221</v>
      </c>
      <c r="B49" s="61">
        <v>2022</v>
      </c>
      <c r="C49" s="60">
        <v>37964</v>
      </c>
      <c r="D49" s="60">
        <v>5826</v>
      </c>
      <c r="E49" s="60"/>
      <c r="F49" s="60">
        <v>14160</v>
      </c>
      <c r="G49" s="60">
        <v>13372</v>
      </c>
      <c r="H49" s="60">
        <v>4607</v>
      </c>
      <c r="I49" s="60"/>
      <c r="J49" s="60"/>
      <c r="K49" s="60"/>
      <c r="L49" s="60"/>
      <c r="M49" s="60"/>
      <c r="N49" s="60"/>
    </row>
    <row r="50" spans="1:14" ht="15" hidden="1">
      <c r="A50" s="62" t="s">
        <v>219</v>
      </c>
      <c r="B50" s="61">
        <v>2022</v>
      </c>
      <c r="C50" s="60">
        <v>111123</v>
      </c>
      <c r="D50" s="60">
        <v>1517</v>
      </c>
      <c r="E50" s="60"/>
      <c r="F50" s="60">
        <v>32579</v>
      </c>
      <c r="G50" s="60">
        <v>32870</v>
      </c>
      <c r="H50" s="60">
        <v>44157</v>
      </c>
      <c r="I50" s="60"/>
      <c r="J50" s="60"/>
      <c r="K50" s="60"/>
      <c r="L50" s="60"/>
      <c r="M50" s="60"/>
      <c r="N50" s="60"/>
    </row>
    <row r="51" spans="1:14" ht="15" hidden="1">
      <c r="A51" s="62" t="s">
        <v>217</v>
      </c>
      <c r="B51" s="61">
        <v>2022</v>
      </c>
      <c r="C51" s="60">
        <v>257812</v>
      </c>
      <c r="D51" s="60">
        <v>6581</v>
      </c>
      <c r="E51" s="60"/>
      <c r="F51" s="60">
        <v>46506</v>
      </c>
      <c r="G51" s="60">
        <v>139855</v>
      </c>
      <c r="H51" s="60">
        <v>64869</v>
      </c>
      <c r="I51" s="60"/>
      <c r="J51" s="60"/>
      <c r="K51" s="60"/>
      <c r="L51" s="60"/>
      <c r="M51" s="60"/>
      <c r="N51" s="60"/>
    </row>
    <row r="52" spans="1:14" ht="15" hidden="1">
      <c r="A52" s="62" t="s">
        <v>215</v>
      </c>
      <c r="B52" s="61">
        <v>2022</v>
      </c>
      <c r="C52" s="60">
        <v>15491</v>
      </c>
      <c r="D52" s="60">
        <v>4995</v>
      </c>
      <c r="E52" s="60"/>
      <c r="F52" s="60">
        <v>7481</v>
      </c>
      <c r="G52" s="60"/>
      <c r="H52" s="60">
        <v>3015</v>
      </c>
      <c r="I52" s="60"/>
      <c r="J52" s="60"/>
      <c r="K52" s="60"/>
      <c r="L52" s="60"/>
      <c r="M52" s="60"/>
      <c r="N52" s="60"/>
    </row>
    <row r="53" spans="1:14" ht="15" hidden="1">
      <c r="A53" s="62" t="s">
        <v>213</v>
      </c>
      <c r="B53" s="61">
        <v>2022</v>
      </c>
      <c r="C53" s="60">
        <v>114527</v>
      </c>
      <c r="D53" s="60">
        <v>34098</v>
      </c>
      <c r="E53" s="60">
        <v>16314</v>
      </c>
      <c r="F53" s="60">
        <v>22335</v>
      </c>
      <c r="G53" s="60">
        <v>29135</v>
      </c>
      <c r="H53" s="60">
        <v>12645</v>
      </c>
      <c r="I53" s="60">
        <v>19.2</v>
      </c>
      <c r="J53" s="60">
        <v>2.2999999999999998</v>
      </c>
      <c r="K53" s="60"/>
      <c r="L53" s="60">
        <v>3.5</v>
      </c>
      <c r="M53" s="60">
        <v>13.3</v>
      </c>
      <c r="N53" s="60"/>
    </row>
    <row r="54" spans="1:14" ht="15" hidden="1">
      <c r="A54" s="62" t="s">
        <v>212</v>
      </c>
      <c r="B54" s="61">
        <v>2022</v>
      </c>
      <c r="C54" s="60">
        <v>176322</v>
      </c>
      <c r="D54" s="60">
        <v>41277</v>
      </c>
      <c r="E54" s="60"/>
      <c r="F54" s="60">
        <v>64218</v>
      </c>
      <c r="G54" s="60">
        <v>62009</v>
      </c>
      <c r="H54" s="60">
        <v>8817</v>
      </c>
      <c r="I54" s="60"/>
      <c r="J54" s="60"/>
      <c r="K54" s="60"/>
      <c r="L54" s="60"/>
      <c r="M54" s="60"/>
      <c r="N54" s="60"/>
    </row>
    <row r="55" spans="1:14" ht="15" hidden="1">
      <c r="A55" s="62" t="s">
        <v>210</v>
      </c>
      <c r="B55" s="61">
        <v>2022</v>
      </c>
      <c r="C55" s="60">
        <v>300184</v>
      </c>
      <c r="D55" s="60">
        <v>71837</v>
      </c>
      <c r="E55" s="60"/>
      <c r="F55" s="60">
        <v>70462</v>
      </c>
      <c r="G55" s="60">
        <v>126275</v>
      </c>
      <c r="H55" s="60">
        <v>31610</v>
      </c>
      <c r="I55" s="60">
        <v>12.6</v>
      </c>
      <c r="J55" s="60">
        <v>2.2000000000000002</v>
      </c>
      <c r="K55" s="60"/>
      <c r="L55" s="60">
        <v>3.3</v>
      </c>
      <c r="M55" s="60">
        <v>7.1</v>
      </c>
      <c r="N55" s="60"/>
    </row>
    <row r="56" spans="1:14" ht="15" hidden="1">
      <c r="A56" s="62" t="s">
        <v>208</v>
      </c>
      <c r="B56" s="61">
        <v>2022</v>
      </c>
      <c r="C56" s="60">
        <v>175918</v>
      </c>
      <c r="D56" s="60">
        <v>3112</v>
      </c>
      <c r="E56" s="60"/>
      <c r="F56" s="60">
        <v>29129</v>
      </c>
      <c r="G56" s="60">
        <v>43504</v>
      </c>
      <c r="H56" s="60">
        <v>100172</v>
      </c>
      <c r="I56" s="60"/>
      <c r="J56" s="60"/>
      <c r="K56" s="60"/>
      <c r="L56" s="60"/>
      <c r="M56" s="60"/>
      <c r="N56" s="60"/>
    </row>
    <row r="57" spans="1:14" ht="15" hidden="1">
      <c r="A57" s="62" t="s">
        <v>206</v>
      </c>
      <c r="B57" s="61">
        <v>2022</v>
      </c>
      <c r="C57" s="60">
        <v>119183</v>
      </c>
      <c r="D57" s="60">
        <v>5953</v>
      </c>
      <c r="E57" s="60"/>
      <c r="F57" s="60">
        <v>3122</v>
      </c>
      <c r="G57" s="60">
        <v>30952</v>
      </c>
      <c r="H57" s="60">
        <v>79156</v>
      </c>
      <c r="I57" s="60">
        <v>1.2</v>
      </c>
      <c r="J57" s="60">
        <v>0.1</v>
      </c>
      <c r="K57" s="60"/>
      <c r="L57" s="60">
        <v>0.1</v>
      </c>
      <c r="M57" s="60">
        <v>1</v>
      </c>
      <c r="N57" s="60"/>
    </row>
    <row r="58" spans="1:14" ht="15" hidden="1">
      <c r="A58" s="62" t="s">
        <v>204</v>
      </c>
      <c r="B58" s="61">
        <v>2022</v>
      </c>
      <c r="C58" s="60">
        <v>10517</v>
      </c>
      <c r="D58" s="60">
        <v>730</v>
      </c>
      <c r="E58" s="60"/>
      <c r="F58" s="60"/>
      <c r="G58" s="60">
        <v>8</v>
      </c>
      <c r="H58" s="60">
        <v>9780</v>
      </c>
      <c r="I58" s="60"/>
      <c r="J58" s="60"/>
      <c r="K58" s="60"/>
      <c r="L58" s="60"/>
      <c r="M58" s="60"/>
      <c r="N58" s="60"/>
    </row>
    <row r="59" spans="1:14" ht="15" hidden="1">
      <c r="A59" s="62" t="s">
        <v>202</v>
      </c>
      <c r="B59" s="61">
        <v>2022</v>
      </c>
      <c r="C59" s="60">
        <v>133463</v>
      </c>
      <c r="D59" s="60">
        <v>16634</v>
      </c>
      <c r="E59" s="60">
        <v>667</v>
      </c>
      <c r="F59" s="60">
        <v>28533</v>
      </c>
      <c r="G59" s="60">
        <v>85042</v>
      </c>
      <c r="H59" s="60">
        <v>2588</v>
      </c>
      <c r="I59" s="60"/>
      <c r="J59" s="60"/>
      <c r="K59" s="60"/>
      <c r="L59" s="60"/>
      <c r="M59" s="60"/>
      <c r="N59" s="60"/>
    </row>
    <row r="60" spans="1:14" ht="15" hidden="1">
      <c r="A60" s="62" t="s">
        <v>200</v>
      </c>
      <c r="B60" s="61">
        <v>2022</v>
      </c>
      <c r="C60" s="60">
        <v>163238</v>
      </c>
      <c r="D60" s="60">
        <v>13070</v>
      </c>
      <c r="E60" s="60">
        <v>8</v>
      </c>
      <c r="F60" s="60">
        <v>69580</v>
      </c>
      <c r="G60" s="60">
        <v>72101</v>
      </c>
      <c r="H60" s="60">
        <v>8479</v>
      </c>
      <c r="I60" s="60">
        <v>200.4</v>
      </c>
      <c r="J60" s="60">
        <v>18.7</v>
      </c>
      <c r="K60" s="60"/>
      <c r="L60" s="60">
        <v>28</v>
      </c>
      <c r="M60" s="60">
        <v>153.69999999999999</v>
      </c>
      <c r="N60" s="60"/>
    </row>
    <row r="61" spans="1:14" ht="15" hidden="1">
      <c r="A61" s="62" t="s">
        <v>198</v>
      </c>
      <c r="B61" s="61">
        <v>2022</v>
      </c>
      <c r="C61" s="60">
        <v>184517</v>
      </c>
      <c r="D61" s="60">
        <v>32717</v>
      </c>
      <c r="E61" s="60"/>
      <c r="F61" s="60">
        <v>3332</v>
      </c>
      <c r="G61" s="60">
        <v>131974</v>
      </c>
      <c r="H61" s="60">
        <v>16495</v>
      </c>
      <c r="I61" s="60">
        <v>24.9</v>
      </c>
      <c r="J61" s="60">
        <v>7.5</v>
      </c>
      <c r="K61" s="60"/>
      <c r="L61" s="60">
        <v>11.3</v>
      </c>
      <c r="M61" s="60">
        <v>6.1</v>
      </c>
      <c r="N61" s="60"/>
    </row>
    <row r="62" spans="1:14" ht="15" hidden="1">
      <c r="A62" s="62" t="s">
        <v>197</v>
      </c>
      <c r="B62" s="61">
        <v>2022</v>
      </c>
      <c r="C62" s="60">
        <v>186903</v>
      </c>
      <c r="D62" s="60">
        <v>28688</v>
      </c>
      <c r="E62" s="60"/>
      <c r="F62" s="60">
        <v>64804</v>
      </c>
      <c r="G62" s="60">
        <v>88836</v>
      </c>
      <c r="H62" s="60">
        <v>4575</v>
      </c>
      <c r="I62" s="60">
        <v>57</v>
      </c>
      <c r="J62" s="60">
        <v>15.1</v>
      </c>
      <c r="K62" s="60"/>
      <c r="L62" s="60">
        <v>22.6</v>
      </c>
      <c r="M62" s="60">
        <v>19.3</v>
      </c>
      <c r="N62" s="60"/>
    </row>
    <row r="63" spans="1:14" ht="15" hidden="1">
      <c r="A63" s="62" t="s">
        <v>195</v>
      </c>
      <c r="B63" s="61">
        <v>2022</v>
      </c>
      <c r="C63" s="60">
        <v>66937</v>
      </c>
      <c r="D63" s="60">
        <v>13504</v>
      </c>
      <c r="E63" s="60">
        <v>51067</v>
      </c>
      <c r="F63" s="60">
        <v>1256</v>
      </c>
      <c r="G63" s="60"/>
      <c r="H63" s="60">
        <v>1110</v>
      </c>
      <c r="I63" s="60">
        <v>290</v>
      </c>
      <c r="J63" s="60">
        <v>27.7</v>
      </c>
      <c r="K63" s="60"/>
      <c r="L63" s="60">
        <v>41.6</v>
      </c>
      <c r="M63" s="60">
        <v>220.7</v>
      </c>
      <c r="N63" s="60"/>
    </row>
    <row r="64" spans="1:14" ht="15" hidden="1">
      <c r="A64" s="62" t="s">
        <v>194</v>
      </c>
      <c r="B64" s="61">
        <v>2022</v>
      </c>
      <c r="C64" s="60">
        <v>381952</v>
      </c>
      <c r="D64" s="60">
        <v>43717</v>
      </c>
      <c r="E64" s="60">
        <v>50113</v>
      </c>
      <c r="F64" s="60">
        <v>174312</v>
      </c>
      <c r="G64" s="60">
        <v>110305</v>
      </c>
      <c r="H64" s="60">
        <v>3506</v>
      </c>
      <c r="I64" s="60">
        <v>13.2</v>
      </c>
      <c r="J64" s="60">
        <v>1.8</v>
      </c>
      <c r="K64" s="60"/>
      <c r="L64" s="60">
        <v>2.7</v>
      </c>
      <c r="M64" s="60">
        <v>8.8000000000000007</v>
      </c>
      <c r="N64" s="60"/>
    </row>
    <row r="65" spans="1:14" ht="15" hidden="1">
      <c r="A65" s="62" t="s">
        <v>192</v>
      </c>
      <c r="B65" s="61">
        <v>2022</v>
      </c>
      <c r="C65" s="60">
        <v>252005</v>
      </c>
      <c r="D65" s="60">
        <v>102277</v>
      </c>
      <c r="E65" s="60"/>
      <c r="F65" s="60">
        <v>52080</v>
      </c>
      <c r="G65" s="60">
        <v>96923</v>
      </c>
      <c r="H65" s="60">
        <v>725</v>
      </c>
      <c r="I65" s="60">
        <v>368.5</v>
      </c>
      <c r="J65" s="60">
        <v>62.9</v>
      </c>
      <c r="K65" s="60"/>
      <c r="L65" s="60">
        <v>94.4</v>
      </c>
      <c r="M65" s="60">
        <v>211.1</v>
      </c>
      <c r="N65" s="60"/>
    </row>
    <row r="66" spans="1:14" ht="15" hidden="1">
      <c r="A66" s="62" t="s">
        <v>191</v>
      </c>
      <c r="B66" s="61">
        <v>2022</v>
      </c>
      <c r="C66" s="60">
        <v>146631</v>
      </c>
      <c r="D66" s="60">
        <v>17631</v>
      </c>
      <c r="E66" s="60">
        <v>1334</v>
      </c>
      <c r="F66" s="60">
        <v>80750</v>
      </c>
      <c r="G66" s="60">
        <v>43143</v>
      </c>
      <c r="H66" s="60">
        <v>3772</v>
      </c>
      <c r="I66" s="60">
        <v>516.70000000000005</v>
      </c>
      <c r="J66" s="60">
        <v>32.299999999999997</v>
      </c>
      <c r="K66" s="60"/>
      <c r="L66" s="60">
        <v>48.4</v>
      </c>
      <c r="M66" s="60">
        <v>436</v>
      </c>
      <c r="N66" s="60"/>
    </row>
    <row r="67" spans="1:14" ht="15" hidden="1">
      <c r="A67" s="62" t="s">
        <v>190</v>
      </c>
      <c r="B67" s="61">
        <v>2022</v>
      </c>
      <c r="C67" s="60">
        <v>109814</v>
      </c>
      <c r="D67" s="60">
        <v>47633</v>
      </c>
      <c r="E67" s="60"/>
      <c r="F67" s="60">
        <v>4723</v>
      </c>
      <c r="G67" s="60">
        <v>52401</v>
      </c>
      <c r="H67" s="60">
        <v>5058</v>
      </c>
      <c r="I67" s="60">
        <v>18.2</v>
      </c>
      <c r="J67" s="60">
        <v>6.7</v>
      </c>
      <c r="K67" s="60"/>
      <c r="L67" s="60">
        <v>10.1</v>
      </c>
      <c r="M67" s="60">
        <v>1.3</v>
      </c>
      <c r="N67" s="60"/>
    </row>
    <row r="68" spans="1:14" ht="15" hidden="1">
      <c r="A68" s="62" t="s">
        <v>188</v>
      </c>
      <c r="B68" s="61">
        <v>2022</v>
      </c>
      <c r="C68" s="60">
        <v>128487</v>
      </c>
      <c r="D68" s="60">
        <v>23687</v>
      </c>
      <c r="E68" s="60"/>
      <c r="F68" s="60">
        <v>74834</v>
      </c>
      <c r="G68" s="60">
        <v>25974</v>
      </c>
      <c r="H68" s="60">
        <v>3993</v>
      </c>
      <c r="I68" s="60">
        <v>493.2</v>
      </c>
      <c r="J68" s="60">
        <v>8.1999999999999993</v>
      </c>
      <c r="K68" s="60"/>
      <c r="L68" s="60">
        <v>12.3</v>
      </c>
      <c r="M68" s="60">
        <v>472.7</v>
      </c>
      <c r="N68" s="60"/>
    </row>
    <row r="69" spans="1:14" ht="15" hidden="1">
      <c r="A69" s="62" t="s">
        <v>186</v>
      </c>
      <c r="B69" s="61">
        <v>2022</v>
      </c>
      <c r="C69" s="60">
        <v>13261</v>
      </c>
      <c r="D69" s="60">
        <v>145</v>
      </c>
      <c r="E69" s="60"/>
      <c r="F69" s="60"/>
      <c r="G69" s="60">
        <v>12977</v>
      </c>
      <c r="H69" s="60">
        <v>140</v>
      </c>
      <c r="I69" s="60"/>
      <c r="J69" s="60"/>
      <c r="K69" s="60"/>
      <c r="L69" s="60"/>
      <c r="M69" s="60"/>
      <c r="N69" s="60"/>
    </row>
    <row r="70" spans="1:14" ht="15">
      <c r="A70" s="59" t="s">
        <v>183</v>
      </c>
      <c r="B70" s="58">
        <v>2021</v>
      </c>
      <c r="C70" s="57">
        <v>3754373</v>
      </c>
      <c r="D70" s="57">
        <v>1085095</v>
      </c>
      <c r="E70" s="57">
        <v>172239</v>
      </c>
      <c r="F70" s="57">
        <v>1235098</v>
      </c>
      <c r="G70" s="57">
        <v>1011349</v>
      </c>
      <c r="H70" s="57">
        <v>250593</v>
      </c>
      <c r="I70" s="60"/>
      <c r="J70" s="60">
        <v>1313.6</v>
      </c>
      <c r="K70" s="60"/>
      <c r="L70" s="60"/>
      <c r="M70" s="60">
        <v>1981.3</v>
      </c>
      <c r="N70" s="60"/>
    </row>
    <row r="71" spans="1:14" ht="15" hidden="1">
      <c r="A71" s="62" t="s">
        <v>240</v>
      </c>
      <c r="B71" s="61">
        <v>2021</v>
      </c>
      <c r="C71" s="60">
        <v>24783</v>
      </c>
      <c r="D71" s="60">
        <v>8005</v>
      </c>
      <c r="E71" s="60"/>
      <c r="F71" s="60">
        <v>16669</v>
      </c>
      <c r="G71" s="60"/>
      <c r="H71" s="60">
        <v>110</v>
      </c>
      <c r="I71" s="60"/>
      <c r="J71" s="60">
        <v>2</v>
      </c>
      <c r="K71" s="60"/>
      <c r="L71" s="60"/>
      <c r="M71" s="60"/>
      <c r="N71" s="60"/>
    </row>
    <row r="72" spans="1:14" ht="15" hidden="1">
      <c r="A72" s="62" t="s">
        <v>238</v>
      </c>
      <c r="B72" s="61">
        <v>2021</v>
      </c>
      <c r="C72" s="60">
        <v>5396</v>
      </c>
      <c r="D72" s="60"/>
      <c r="E72" s="60"/>
      <c r="F72" s="60">
        <v>5396</v>
      </c>
      <c r="G72" s="60"/>
      <c r="H72" s="60"/>
      <c r="I72" s="60"/>
      <c r="J72" s="60"/>
      <c r="K72" s="60"/>
      <c r="L72" s="60"/>
      <c r="M72" s="60"/>
      <c r="N72" s="60"/>
    </row>
    <row r="73" spans="1:14" ht="15" hidden="1">
      <c r="A73" s="62" t="s">
        <v>237</v>
      </c>
      <c r="B73" s="61">
        <v>2021</v>
      </c>
      <c r="C73" s="60">
        <v>181389</v>
      </c>
      <c r="D73" s="60">
        <v>72844</v>
      </c>
      <c r="E73" s="60">
        <v>4831</v>
      </c>
      <c r="F73" s="60">
        <v>47684</v>
      </c>
      <c r="G73" s="60">
        <v>51130</v>
      </c>
      <c r="H73" s="60">
        <v>4899</v>
      </c>
      <c r="I73" s="60"/>
      <c r="J73" s="60">
        <v>11</v>
      </c>
      <c r="K73" s="60"/>
      <c r="L73" s="60"/>
      <c r="M73" s="60">
        <v>33.700000000000003</v>
      </c>
      <c r="N73" s="60"/>
    </row>
    <row r="74" spans="1:14" ht="15" hidden="1">
      <c r="A74" s="62" t="s">
        <v>235</v>
      </c>
      <c r="B74" s="61">
        <v>2021</v>
      </c>
      <c r="C74" s="60">
        <v>338830</v>
      </c>
      <c r="D74" s="60">
        <v>219727</v>
      </c>
      <c r="E74" s="60">
        <v>13381</v>
      </c>
      <c r="F74" s="60">
        <v>83538</v>
      </c>
      <c r="G74" s="60">
        <v>10096</v>
      </c>
      <c r="H74" s="60">
        <v>12088</v>
      </c>
      <c r="I74" s="60"/>
      <c r="J74" s="60">
        <v>2.1</v>
      </c>
      <c r="K74" s="60"/>
      <c r="L74" s="60"/>
      <c r="M74" s="60">
        <v>43.7</v>
      </c>
      <c r="N74" s="60"/>
    </row>
    <row r="75" spans="1:14" ht="15" hidden="1">
      <c r="A75" s="62" t="s">
        <v>234</v>
      </c>
      <c r="B75" s="61">
        <v>2021</v>
      </c>
      <c r="C75" s="60">
        <v>272951</v>
      </c>
      <c r="D75" s="60">
        <v>128217</v>
      </c>
      <c r="E75" s="60">
        <v>23403</v>
      </c>
      <c r="F75" s="60">
        <v>63869</v>
      </c>
      <c r="G75" s="60">
        <v>57081</v>
      </c>
      <c r="H75" s="60">
        <v>381</v>
      </c>
      <c r="I75" s="60"/>
      <c r="J75" s="60">
        <v>622.4</v>
      </c>
      <c r="K75" s="60"/>
      <c r="L75" s="60"/>
      <c r="M75" s="60">
        <v>393.4</v>
      </c>
      <c r="N75" s="60"/>
    </row>
    <row r="76" spans="1:14" ht="15" hidden="1">
      <c r="A76" s="62" t="s">
        <v>232</v>
      </c>
      <c r="B76" s="61">
        <v>2021</v>
      </c>
      <c r="C76" s="60">
        <v>56559</v>
      </c>
      <c r="D76" s="60">
        <v>18862</v>
      </c>
      <c r="E76" s="60"/>
      <c r="F76" s="60">
        <v>3835</v>
      </c>
      <c r="G76" s="60">
        <v>28867</v>
      </c>
      <c r="H76" s="60">
        <v>4994</v>
      </c>
      <c r="I76" s="60"/>
      <c r="J76" s="60">
        <v>56.4</v>
      </c>
      <c r="K76" s="60"/>
      <c r="L76" s="60"/>
      <c r="M76" s="60"/>
      <c r="N76" s="60"/>
    </row>
    <row r="77" spans="1:14" ht="15" hidden="1">
      <c r="A77" s="62" t="s">
        <v>230</v>
      </c>
      <c r="B77" s="61">
        <v>2021</v>
      </c>
      <c r="C77" s="60">
        <v>105897</v>
      </c>
      <c r="D77" s="60">
        <v>4816</v>
      </c>
      <c r="E77" s="60"/>
      <c r="F77" s="60">
        <v>23092</v>
      </c>
      <c r="G77" s="60">
        <v>68375</v>
      </c>
      <c r="H77" s="60">
        <v>9615</v>
      </c>
      <c r="I77" s="60"/>
      <c r="J77" s="60">
        <v>6.2</v>
      </c>
      <c r="K77" s="60"/>
      <c r="L77" s="60"/>
      <c r="M77" s="60">
        <v>21.6</v>
      </c>
      <c r="N77" s="60"/>
    </row>
    <row r="78" spans="1:14" ht="15" hidden="1">
      <c r="A78" s="62" t="s">
        <v>228</v>
      </c>
      <c r="B78" s="61">
        <v>2021</v>
      </c>
      <c r="C78" s="60">
        <v>95686</v>
      </c>
      <c r="D78" s="60">
        <v>21742</v>
      </c>
      <c r="E78" s="60"/>
      <c r="F78" s="60">
        <v>23470</v>
      </c>
      <c r="G78" s="60">
        <v>48971</v>
      </c>
      <c r="H78" s="60">
        <v>1502</v>
      </c>
      <c r="I78" s="60"/>
      <c r="J78" s="60">
        <v>6.1</v>
      </c>
      <c r="K78" s="60"/>
      <c r="L78" s="60"/>
      <c r="M78" s="60">
        <v>28.7</v>
      </c>
      <c r="N78" s="60"/>
    </row>
    <row r="79" spans="1:14" ht="15" hidden="1">
      <c r="A79" s="62" t="s">
        <v>226</v>
      </c>
      <c r="B79" s="61">
        <v>2021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15" hidden="1">
      <c r="A80" s="62" t="s">
        <v>225</v>
      </c>
      <c r="B80" s="61">
        <v>2021</v>
      </c>
      <c r="C80" s="60">
        <v>3211</v>
      </c>
      <c r="D80" s="60">
        <v>2556</v>
      </c>
      <c r="E80" s="60"/>
      <c r="F80" s="60"/>
      <c r="G80" s="60">
        <v>519</v>
      </c>
      <c r="H80" s="60">
        <v>136</v>
      </c>
      <c r="I80" s="60"/>
      <c r="J80" s="60"/>
      <c r="K80" s="60"/>
      <c r="L80" s="60"/>
      <c r="M80" s="60"/>
      <c r="N80" s="60"/>
    </row>
    <row r="81" spans="1:14" ht="15" hidden="1">
      <c r="A81" s="62" t="s">
        <v>223</v>
      </c>
      <c r="B81" s="61">
        <v>2021</v>
      </c>
      <c r="C81" s="60">
        <v>23975</v>
      </c>
      <c r="D81" s="60">
        <v>8862</v>
      </c>
      <c r="E81" s="60"/>
      <c r="F81" s="60">
        <v>4173</v>
      </c>
      <c r="G81" s="60">
        <v>10940</v>
      </c>
      <c r="H81" s="60"/>
      <c r="I81" s="60"/>
      <c r="J81" s="60"/>
      <c r="K81" s="60"/>
      <c r="L81" s="60"/>
      <c r="M81" s="60"/>
      <c r="N81" s="60"/>
    </row>
    <row r="82" spans="1:14" ht="15" hidden="1">
      <c r="A82" s="62" t="s">
        <v>221</v>
      </c>
      <c r="B82" s="61">
        <v>2021</v>
      </c>
      <c r="C82" s="60">
        <v>52735</v>
      </c>
      <c r="D82" s="60">
        <v>8366</v>
      </c>
      <c r="E82" s="60"/>
      <c r="F82" s="60">
        <v>29788</v>
      </c>
      <c r="G82" s="60">
        <v>12933</v>
      </c>
      <c r="H82" s="60">
        <v>1648</v>
      </c>
      <c r="I82" s="60"/>
      <c r="J82" s="60">
        <v>0.2</v>
      </c>
      <c r="K82" s="60"/>
      <c r="L82" s="60"/>
      <c r="M82" s="60"/>
      <c r="N82" s="60"/>
    </row>
    <row r="83" spans="1:14" ht="15" hidden="1">
      <c r="A83" s="62" t="s">
        <v>219</v>
      </c>
      <c r="B83" s="61">
        <v>2021</v>
      </c>
      <c r="C83" s="60">
        <v>96935</v>
      </c>
      <c r="D83" s="60">
        <v>7145</v>
      </c>
      <c r="E83" s="60"/>
      <c r="F83" s="60">
        <v>43984</v>
      </c>
      <c r="G83" s="60">
        <v>23722</v>
      </c>
      <c r="H83" s="60">
        <v>22085</v>
      </c>
      <c r="I83" s="60"/>
      <c r="J83" s="60"/>
      <c r="K83" s="60"/>
      <c r="L83" s="60"/>
      <c r="M83" s="60"/>
      <c r="N83" s="60"/>
    </row>
    <row r="84" spans="1:14" ht="15" hidden="1">
      <c r="A84" s="62" t="s">
        <v>217</v>
      </c>
      <c r="B84" s="61">
        <v>2021</v>
      </c>
      <c r="C84" s="60">
        <v>256815</v>
      </c>
      <c r="D84" s="60">
        <v>20936</v>
      </c>
      <c r="E84" s="60"/>
      <c r="F84" s="60">
        <v>81839</v>
      </c>
      <c r="G84" s="60">
        <v>113015</v>
      </c>
      <c r="H84" s="60">
        <v>41024</v>
      </c>
      <c r="I84" s="60"/>
      <c r="J84" s="60"/>
      <c r="K84" s="60"/>
      <c r="L84" s="60"/>
      <c r="M84" s="60"/>
      <c r="N84" s="60"/>
    </row>
    <row r="85" spans="1:14" ht="15" hidden="1">
      <c r="A85" s="62" t="s">
        <v>215</v>
      </c>
      <c r="B85" s="61">
        <v>2021</v>
      </c>
      <c r="C85" s="60">
        <v>11820</v>
      </c>
      <c r="D85" s="60">
        <v>6531</v>
      </c>
      <c r="E85" s="60"/>
      <c r="F85" s="60"/>
      <c r="G85" s="60">
        <v>3052</v>
      </c>
      <c r="H85" s="60">
        <v>2238</v>
      </c>
      <c r="I85" s="60"/>
      <c r="J85" s="60"/>
      <c r="K85" s="60"/>
      <c r="L85" s="60"/>
      <c r="M85" s="60"/>
      <c r="N85" s="60"/>
    </row>
    <row r="86" spans="1:14" ht="15" hidden="1">
      <c r="A86" s="62" t="s">
        <v>213</v>
      </c>
      <c r="B86" s="61">
        <v>2021</v>
      </c>
      <c r="C86" s="60">
        <v>147507</v>
      </c>
      <c r="D86" s="60">
        <v>70654</v>
      </c>
      <c r="E86" s="60">
        <v>28163</v>
      </c>
      <c r="F86" s="60">
        <v>16653</v>
      </c>
      <c r="G86" s="60">
        <v>16385</v>
      </c>
      <c r="H86" s="60">
        <v>15653</v>
      </c>
      <c r="I86" s="60"/>
      <c r="J86" s="60">
        <v>3.9</v>
      </c>
      <c r="K86" s="60"/>
      <c r="L86" s="60"/>
      <c r="M86" s="60">
        <v>4.3</v>
      </c>
      <c r="N86" s="60"/>
    </row>
    <row r="87" spans="1:14" ht="15" hidden="1">
      <c r="A87" s="62" t="s">
        <v>212</v>
      </c>
      <c r="B87" s="61">
        <v>2021</v>
      </c>
      <c r="C87" s="60">
        <v>138489</v>
      </c>
      <c r="D87" s="60">
        <v>30628</v>
      </c>
      <c r="E87" s="60"/>
      <c r="F87" s="60">
        <v>80534</v>
      </c>
      <c r="G87" s="60">
        <v>25529</v>
      </c>
      <c r="H87" s="60">
        <v>1798</v>
      </c>
      <c r="I87" s="60"/>
      <c r="J87" s="60">
        <v>0.1</v>
      </c>
      <c r="K87" s="60"/>
      <c r="L87" s="60"/>
      <c r="M87" s="60"/>
      <c r="N87" s="60"/>
    </row>
    <row r="88" spans="1:14" ht="15" hidden="1">
      <c r="A88" s="62" t="s">
        <v>210</v>
      </c>
      <c r="B88" s="61">
        <v>2021</v>
      </c>
      <c r="C88" s="60">
        <v>153227</v>
      </c>
      <c r="D88" s="60">
        <v>67481</v>
      </c>
      <c r="E88" s="60"/>
      <c r="F88" s="60">
        <v>45847</v>
      </c>
      <c r="G88" s="60">
        <v>39516</v>
      </c>
      <c r="H88" s="60">
        <v>382</v>
      </c>
      <c r="I88" s="60"/>
      <c r="J88" s="60">
        <v>0.8</v>
      </c>
      <c r="K88" s="60"/>
      <c r="L88" s="60"/>
      <c r="M88" s="60">
        <v>2.1</v>
      </c>
      <c r="N88" s="60"/>
    </row>
    <row r="89" spans="1:14" ht="15" hidden="1">
      <c r="A89" s="62" t="s">
        <v>208</v>
      </c>
      <c r="B89" s="61">
        <v>2021</v>
      </c>
      <c r="C89" s="60">
        <v>58234</v>
      </c>
      <c r="D89" s="60">
        <v>1801</v>
      </c>
      <c r="E89" s="60"/>
      <c r="F89" s="60">
        <v>24333</v>
      </c>
      <c r="G89" s="60">
        <v>23214</v>
      </c>
      <c r="H89" s="60">
        <v>8885</v>
      </c>
      <c r="I89" s="60"/>
      <c r="J89" s="60"/>
      <c r="K89" s="60"/>
      <c r="L89" s="60"/>
      <c r="M89" s="60"/>
      <c r="N89" s="60"/>
    </row>
    <row r="90" spans="1:14" ht="15" hidden="1">
      <c r="A90" s="62" t="s">
        <v>206</v>
      </c>
      <c r="B90" s="61">
        <v>2021</v>
      </c>
      <c r="C90" s="60">
        <v>194768</v>
      </c>
      <c r="D90" s="60">
        <v>9792</v>
      </c>
      <c r="E90" s="60"/>
      <c r="F90" s="60">
        <v>20609</v>
      </c>
      <c r="G90" s="60">
        <v>112611</v>
      </c>
      <c r="H90" s="60">
        <v>51757</v>
      </c>
      <c r="I90" s="60"/>
      <c r="J90" s="60">
        <v>0.4</v>
      </c>
      <c r="K90" s="60"/>
      <c r="L90" s="60"/>
      <c r="M90" s="60">
        <v>1.3</v>
      </c>
      <c r="N90" s="60"/>
    </row>
    <row r="91" spans="1:14" ht="15" hidden="1">
      <c r="A91" s="62" t="s">
        <v>204</v>
      </c>
      <c r="B91" s="61">
        <v>2021</v>
      </c>
      <c r="C91" s="60">
        <v>8936</v>
      </c>
      <c r="D91" s="60">
        <v>497</v>
      </c>
      <c r="E91" s="60"/>
      <c r="F91" s="60"/>
      <c r="G91" s="60">
        <v>0</v>
      </c>
      <c r="H91" s="60">
        <v>8439</v>
      </c>
      <c r="I91" s="60"/>
      <c r="J91" s="60"/>
      <c r="K91" s="60"/>
      <c r="L91" s="60"/>
      <c r="M91" s="60"/>
      <c r="N91" s="60"/>
    </row>
    <row r="92" spans="1:14" ht="15" hidden="1">
      <c r="A92" s="62" t="s">
        <v>202</v>
      </c>
      <c r="B92" s="61">
        <v>2021</v>
      </c>
      <c r="C92" s="60">
        <v>117661</v>
      </c>
      <c r="D92" s="60">
        <v>14994</v>
      </c>
      <c r="E92" s="60"/>
      <c r="F92" s="60">
        <v>42439</v>
      </c>
      <c r="G92" s="60">
        <v>54538</v>
      </c>
      <c r="H92" s="60">
        <v>5690</v>
      </c>
      <c r="I92" s="60"/>
      <c r="J92" s="60">
        <v>0.1</v>
      </c>
      <c r="K92" s="60"/>
      <c r="L92" s="60"/>
      <c r="M92" s="60">
        <v>0</v>
      </c>
      <c r="N92" s="60"/>
    </row>
    <row r="93" spans="1:14" ht="15" hidden="1">
      <c r="A93" s="62" t="s">
        <v>200</v>
      </c>
      <c r="B93" s="61">
        <v>2021</v>
      </c>
      <c r="C93" s="60">
        <v>186389</v>
      </c>
      <c r="D93" s="60">
        <v>35846</v>
      </c>
      <c r="E93" s="60"/>
      <c r="F93" s="60">
        <v>111312</v>
      </c>
      <c r="G93" s="60">
        <v>32502</v>
      </c>
      <c r="H93" s="60">
        <v>6730</v>
      </c>
      <c r="I93" s="60"/>
      <c r="J93" s="60">
        <v>53.9</v>
      </c>
      <c r="K93" s="60"/>
      <c r="L93" s="60"/>
      <c r="M93" s="60">
        <v>151.80000000000001</v>
      </c>
      <c r="N93" s="60"/>
    </row>
    <row r="94" spans="1:14" ht="15" hidden="1">
      <c r="A94" s="62" t="s">
        <v>198</v>
      </c>
      <c r="B94" s="61">
        <v>2021</v>
      </c>
      <c r="C94" s="60">
        <v>35434</v>
      </c>
      <c r="D94" s="60">
        <v>5326</v>
      </c>
      <c r="E94" s="60"/>
      <c r="F94" s="60">
        <v>11995</v>
      </c>
      <c r="G94" s="60">
        <v>17446</v>
      </c>
      <c r="H94" s="60">
        <v>667</v>
      </c>
      <c r="I94" s="60"/>
      <c r="J94" s="60">
        <v>7.3</v>
      </c>
      <c r="K94" s="60"/>
      <c r="L94" s="60"/>
      <c r="M94" s="60"/>
      <c r="N94" s="60"/>
    </row>
    <row r="95" spans="1:14" ht="15" hidden="1">
      <c r="A95" s="62" t="s">
        <v>197</v>
      </c>
      <c r="B95" s="61">
        <v>2021</v>
      </c>
      <c r="C95" s="60">
        <v>149132</v>
      </c>
      <c r="D95" s="60">
        <v>34634</v>
      </c>
      <c r="E95" s="60"/>
      <c r="F95" s="60">
        <v>79675</v>
      </c>
      <c r="G95" s="60">
        <v>32020</v>
      </c>
      <c r="H95" s="60">
        <v>2802</v>
      </c>
      <c r="I95" s="60"/>
      <c r="J95" s="60">
        <v>60.7</v>
      </c>
      <c r="K95" s="60"/>
      <c r="L95" s="60"/>
      <c r="M95" s="60">
        <v>19</v>
      </c>
      <c r="N95" s="60"/>
    </row>
    <row r="96" spans="1:14" ht="15" hidden="1">
      <c r="A96" s="62" t="s">
        <v>195</v>
      </c>
      <c r="B96" s="61">
        <v>2021</v>
      </c>
      <c r="C96" s="60">
        <v>70563</v>
      </c>
      <c r="D96" s="60">
        <v>5339</v>
      </c>
      <c r="E96" s="60">
        <v>38873</v>
      </c>
      <c r="F96" s="60">
        <v>19998</v>
      </c>
      <c r="G96" s="60"/>
      <c r="H96" s="60">
        <v>6353</v>
      </c>
      <c r="I96" s="60"/>
      <c r="J96" s="60">
        <v>30.9</v>
      </c>
      <c r="K96" s="60"/>
      <c r="L96" s="60"/>
      <c r="M96" s="60">
        <v>463.1</v>
      </c>
      <c r="N96" s="60"/>
    </row>
    <row r="97" spans="1:14" ht="15" hidden="1">
      <c r="A97" s="62" t="s">
        <v>194</v>
      </c>
      <c r="B97" s="61">
        <v>2021</v>
      </c>
      <c r="C97" s="60">
        <v>324331</v>
      </c>
      <c r="D97" s="60">
        <v>59515</v>
      </c>
      <c r="E97" s="60">
        <v>52922</v>
      </c>
      <c r="F97" s="60">
        <v>181456</v>
      </c>
      <c r="G97" s="60">
        <v>30438</v>
      </c>
      <c r="H97" s="60"/>
      <c r="I97" s="60"/>
      <c r="J97" s="60">
        <v>8.6999999999999993</v>
      </c>
      <c r="K97" s="60"/>
      <c r="L97" s="60"/>
      <c r="M97" s="60">
        <v>6.5</v>
      </c>
      <c r="N97" s="60"/>
    </row>
    <row r="98" spans="1:14" ht="15" hidden="1">
      <c r="A98" s="62" t="s">
        <v>192</v>
      </c>
      <c r="B98" s="61">
        <v>2021</v>
      </c>
      <c r="C98" s="60">
        <v>178184</v>
      </c>
      <c r="D98" s="60">
        <v>89634</v>
      </c>
      <c r="E98" s="60"/>
      <c r="F98" s="60">
        <v>41782</v>
      </c>
      <c r="G98" s="60">
        <v>45505</v>
      </c>
      <c r="H98" s="60">
        <v>1263</v>
      </c>
      <c r="I98" s="60"/>
      <c r="J98" s="60">
        <v>81.5</v>
      </c>
      <c r="K98" s="60"/>
      <c r="L98" s="60"/>
      <c r="M98" s="60">
        <v>160.5</v>
      </c>
      <c r="N98" s="60"/>
    </row>
    <row r="99" spans="1:14" ht="15" hidden="1">
      <c r="A99" s="62" t="s">
        <v>191</v>
      </c>
      <c r="B99" s="61">
        <v>2021</v>
      </c>
      <c r="C99" s="60">
        <v>165883</v>
      </c>
      <c r="D99" s="60">
        <v>46650</v>
      </c>
      <c r="E99" s="60">
        <v>10667</v>
      </c>
      <c r="F99" s="60">
        <v>30300</v>
      </c>
      <c r="G99" s="60">
        <v>43468</v>
      </c>
      <c r="H99" s="60">
        <v>34798</v>
      </c>
      <c r="I99" s="60"/>
      <c r="J99" s="60">
        <v>247.5</v>
      </c>
      <c r="K99" s="60"/>
      <c r="L99" s="60"/>
      <c r="M99" s="60">
        <v>314.10000000000002</v>
      </c>
      <c r="N99" s="60"/>
    </row>
    <row r="100" spans="1:14" ht="15" hidden="1">
      <c r="A100" s="62" t="s">
        <v>190</v>
      </c>
      <c r="B100" s="61">
        <v>2021</v>
      </c>
      <c r="C100" s="60">
        <v>100414</v>
      </c>
      <c r="D100" s="60">
        <v>43866</v>
      </c>
      <c r="E100" s="60"/>
      <c r="F100" s="60">
        <v>5793</v>
      </c>
      <c r="G100" s="60">
        <v>49710</v>
      </c>
      <c r="H100" s="60">
        <v>1044</v>
      </c>
      <c r="I100" s="60"/>
      <c r="J100" s="60">
        <v>1.7</v>
      </c>
      <c r="K100" s="60"/>
      <c r="L100" s="60"/>
      <c r="M100" s="60">
        <v>30.3</v>
      </c>
      <c r="N100" s="60"/>
    </row>
    <row r="101" spans="1:14" ht="15" hidden="1">
      <c r="A101" s="62" t="s">
        <v>188</v>
      </c>
      <c r="B101" s="61">
        <v>2021</v>
      </c>
      <c r="C101" s="60">
        <v>169802</v>
      </c>
      <c r="D101" s="60">
        <v>39176</v>
      </c>
      <c r="E101" s="60"/>
      <c r="F101" s="60">
        <v>95037</v>
      </c>
      <c r="G101" s="60">
        <v>31980</v>
      </c>
      <c r="H101" s="60">
        <v>3610</v>
      </c>
      <c r="I101" s="60"/>
      <c r="J101" s="60">
        <v>109.5</v>
      </c>
      <c r="K101" s="60"/>
      <c r="L101" s="60"/>
      <c r="M101" s="60">
        <v>307.2</v>
      </c>
      <c r="N101" s="60"/>
    </row>
    <row r="102" spans="1:14" ht="15" hidden="1">
      <c r="A102" s="62" t="s">
        <v>186</v>
      </c>
      <c r="B102" s="61">
        <v>2021</v>
      </c>
      <c r="C102" s="60">
        <v>28436</v>
      </c>
      <c r="D102" s="60">
        <v>650</v>
      </c>
      <c r="E102" s="60"/>
      <c r="F102" s="60"/>
      <c r="G102" s="60">
        <v>27785</v>
      </c>
      <c r="H102" s="60"/>
      <c r="I102" s="60"/>
      <c r="J102" s="60"/>
      <c r="K102" s="60"/>
      <c r="L102" s="60"/>
      <c r="M102" s="60"/>
      <c r="N102" s="60"/>
    </row>
    <row r="103" spans="1:14" ht="15">
      <c r="A103" s="59" t="s">
        <v>183</v>
      </c>
      <c r="B103" s="58">
        <v>2020</v>
      </c>
      <c r="C103" s="57">
        <v>6933696</v>
      </c>
      <c r="D103" s="57">
        <v>3000060</v>
      </c>
      <c r="E103" s="57">
        <v>151496</v>
      </c>
      <c r="F103" s="57">
        <v>1774608</v>
      </c>
      <c r="G103" s="57">
        <v>1619648</v>
      </c>
      <c r="H103" s="57">
        <v>387884</v>
      </c>
      <c r="I103" s="60"/>
      <c r="J103" s="60">
        <v>1187.0999999999999</v>
      </c>
      <c r="K103" s="60"/>
      <c r="L103" s="60"/>
      <c r="M103" s="60">
        <v>2038.7</v>
      </c>
      <c r="N103" s="60"/>
    </row>
    <row r="104" spans="1:14" ht="15" hidden="1">
      <c r="A104" s="62" t="s">
        <v>240</v>
      </c>
      <c r="B104" s="61">
        <v>2020</v>
      </c>
      <c r="C104" s="60">
        <v>41762</v>
      </c>
      <c r="D104" s="60">
        <v>14909</v>
      </c>
      <c r="E104" s="60"/>
      <c r="F104" s="60">
        <v>26733</v>
      </c>
      <c r="G104" s="60"/>
      <c r="H104" s="60">
        <v>120</v>
      </c>
      <c r="I104" s="60"/>
      <c r="J104" s="60">
        <v>1.1000000000000001</v>
      </c>
      <c r="K104" s="60"/>
      <c r="L104" s="60"/>
      <c r="M104" s="60"/>
      <c r="N104" s="60"/>
    </row>
    <row r="105" spans="1:14" ht="15" hidden="1">
      <c r="A105" s="62" t="s">
        <v>238</v>
      </c>
      <c r="B105" s="61">
        <v>2020</v>
      </c>
      <c r="C105" s="60">
        <v>2535</v>
      </c>
      <c r="D105" s="60">
        <v>1878</v>
      </c>
      <c r="E105" s="60"/>
      <c r="F105" s="60"/>
      <c r="G105" s="60">
        <v>10</v>
      </c>
      <c r="H105" s="60">
        <v>647</v>
      </c>
      <c r="I105" s="60"/>
      <c r="J105" s="60"/>
      <c r="K105" s="60"/>
      <c r="L105" s="60"/>
      <c r="M105" s="60"/>
      <c r="N105" s="60"/>
    </row>
    <row r="106" spans="1:14" ht="15" hidden="1">
      <c r="A106" s="62" t="s">
        <v>237</v>
      </c>
      <c r="B106" s="61">
        <v>2020</v>
      </c>
      <c r="C106" s="60">
        <v>446772</v>
      </c>
      <c r="D106" s="60">
        <v>241999</v>
      </c>
      <c r="E106" s="60">
        <v>36732</v>
      </c>
      <c r="F106" s="60">
        <v>149635</v>
      </c>
      <c r="G106" s="60">
        <v>13306</v>
      </c>
      <c r="H106" s="60">
        <v>5100</v>
      </c>
      <c r="I106" s="60"/>
      <c r="J106" s="60">
        <v>31.7</v>
      </c>
      <c r="K106" s="60"/>
      <c r="L106" s="60"/>
      <c r="M106" s="60">
        <v>44.4</v>
      </c>
      <c r="N106" s="60"/>
    </row>
    <row r="107" spans="1:14" ht="15" hidden="1">
      <c r="A107" s="62" t="s">
        <v>235</v>
      </c>
      <c r="B107" s="61">
        <v>2020</v>
      </c>
      <c r="C107" s="60">
        <v>272071</v>
      </c>
      <c r="D107" s="60">
        <v>201658</v>
      </c>
      <c r="E107" s="60"/>
      <c r="F107" s="60">
        <v>46666</v>
      </c>
      <c r="G107" s="60">
        <v>23747</v>
      </c>
      <c r="H107" s="60"/>
      <c r="I107" s="60"/>
      <c r="J107" s="60">
        <v>1.1000000000000001</v>
      </c>
      <c r="K107" s="60"/>
      <c r="L107" s="60"/>
      <c r="M107" s="60">
        <v>16.8</v>
      </c>
      <c r="N107" s="60"/>
    </row>
    <row r="108" spans="1:14" ht="15" hidden="1">
      <c r="A108" s="62" t="s">
        <v>234</v>
      </c>
      <c r="B108" s="61">
        <v>2020</v>
      </c>
      <c r="C108" s="60">
        <v>649981</v>
      </c>
      <c r="D108" s="60">
        <v>301516</v>
      </c>
      <c r="E108" s="60">
        <v>28665</v>
      </c>
      <c r="F108" s="60">
        <v>129869</v>
      </c>
      <c r="G108" s="60">
        <v>183933</v>
      </c>
      <c r="H108" s="60">
        <v>5998</v>
      </c>
      <c r="I108" s="60"/>
      <c r="J108" s="60">
        <v>378.3</v>
      </c>
      <c r="K108" s="60"/>
      <c r="L108" s="60"/>
      <c r="M108" s="60">
        <v>240.8</v>
      </c>
      <c r="N108" s="60"/>
    </row>
    <row r="109" spans="1:14" ht="15" hidden="1">
      <c r="A109" s="62" t="s">
        <v>232</v>
      </c>
      <c r="B109" s="61">
        <v>2020</v>
      </c>
      <c r="C109" s="60">
        <v>158008</v>
      </c>
      <c r="D109" s="60">
        <v>30152</v>
      </c>
      <c r="E109" s="60">
        <v>13334</v>
      </c>
      <c r="F109" s="60">
        <v>55334</v>
      </c>
      <c r="G109" s="60">
        <v>51659</v>
      </c>
      <c r="H109" s="60">
        <v>7529</v>
      </c>
      <c r="I109" s="60"/>
      <c r="J109" s="60">
        <v>20.8</v>
      </c>
      <c r="K109" s="60"/>
      <c r="L109" s="60"/>
      <c r="M109" s="60">
        <v>19</v>
      </c>
      <c r="N109" s="60"/>
    </row>
    <row r="110" spans="1:14" ht="15" hidden="1">
      <c r="A110" s="62" t="s">
        <v>230</v>
      </c>
      <c r="B110" s="61">
        <v>2020</v>
      </c>
      <c r="C110" s="60">
        <v>123892</v>
      </c>
      <c r="D110" s="60">
        <v>37573</v>
      </c>
      <c r="E110" s="60"/>
      <c r="F110" s="60"/>
      <c r="G110" s="60">
        <v>77117</v>
      </c>
      <c r="H110" s="60">
        <v>9202</v>
      </c>
      <c r="I110" s="60"/>
      <c r="J110" s="60">
        <v>9.5</v>
      </c>
      <c r="K110" s="60"/>
      <c r="L110" s="60"/>
      <c r="M110" s="60">
        <v>15.9</v>
      </c>
      <c r="N110" s="60"/>
    </row>
    <row r="111" spans="1:14" ht="15" hidden="1">
      <c r="A111" s="62" t="s">
        <v>228</v>
      </c>
      <c r="B111" s="61">
        <v>2020</v>
      </c>
      <c r="C111" s="60">
        <v>121280</v>
      </c>
      <c r="D111" s="60">
        <v>53725</v>
      </c>
      <c r="E111" s="60"/>
      <c r="F111" s="60">
        <v>20268</v>
      </c>
      <c r="G111" s="60">
        <v>47287</v>
      </c>
      <c r="H111" s="60"/>
      <c r="I111" s="60"/>
      <c r="J111" s="60">
        <v>14</v>
      </c>
      <c r="K111" s="60"/>
      <c r="L111" s="60"/>
      <c r="M111" s="60">
        <v>13.3</v>
      </c>
      <c r="N111" s="60"/>
    </row>
    <row r="112" spans="1:14" ht="15" hidden="1">
      <c r="A112" s="62" t="s">
        <v>226</v>
      </c>
      <c r="B112" s="61">
        <v>2020</v>
      </c>
      <c r="C112" s="60">
        <v>5444</v>
      </c>
      <c r="D112" s="60">
        <v>5444</v>
      </c>
      <c r="E112" s="60"/>
      <c r="F112" s="60"/>
      <c r="G112" s="60"/>
      <c r="H112" s="60"/>
      <c r="I112" s="60"/>
      <c r="J112" s="60"/>
      <c r="K112" s="60"/>
      <c r="L112" s="60"/>
      <c r="M112" s="60"/>
      <c r="N112" s="60"/>
    </row>
    <row r="113" spans="1:14" ht="15" hidden="1">
      <c r="A113" s="62" t="s">
        <v>225</v>
      </c>
      <c r="B113" s="61">
        <v>2020</v>
      </c>
      <c r="C113" s="60">
        <v>51644</v>
      </c>
      <c r="D113" s="60">
        <v>46336</v>
      </c>
      <c r="E113" s="60"/>
      <c r="F113" s="60"/>
      <c r="G113" s="60">
        <v>115</v>
      </c>
      <c r="H113" s="60">
        <v>5193</v>
      </c>
      <c r="I113" s="60"/>
      <c r="J113" s="60"/>
      <c r="K113" s="60"/>
      <c r="L113" s="60"/>
      <c r="M113" s="60"/>
      <c r="N113" s="60"/>
    </row>
    <row r="114" spans="1:14" ht="15" hidden="1">
      <c r="A114" s="62" t="s">
        <v>223</v>
      </c>
      <c r="B114" s="61">
        <v>2020</v>
      </c>
      <c r="C114" s="60">
        <v>119926</v>
      </c>
      <c r="D114" s="60">
        <v>41759</v>
      </c>
      <c r="E114" s="60"/>
      <c r="F114" s="60">
        <v>2489</v>
      </c>
      <c r="G114" s="60">
        <v>70341</v>
      </c>
      <c r="H114" s="60">
        <v>5337</v>
      </c>
      <c r="I114" s="60"/>
      <c r="J114" s="60"/>
      <c r="K114" s="60"/>
      <c r="L114" s="60"/>
      <c r="M114" s="60"/>
      <c r="N114" s="60"/>
    </row>
    <row r="115" spans="1:14" ht="15" hidden="1">
      <c r="A115" s="62" t="s">
        <v>221</v>
      </c>
      <c r="B115" s="61">
        <v>2020</v>
      </c>
      <c r="C115" s="60">
        <v>151465</v>
      </c>
      <c r="D115" s="60">
        <v>59639</v>
      </c>
      <c r="E115" s="60"/>
      <c r="F115" s="60">
        <v>42144</v>
      </c>
      <c r="G115" s="60">
        <v>48433</v>
      </c>
      <c r="H115" s="60">
        <v>1249</v>
      </c>
      <c r="I115" s="60"/>
      <c r="J115" s="60">
        <v>0.2</v>
      </c>
      <c r="K115" s="60"/>
      <c r="L115" s="60"/>
      <c r="M115" s="60"/>
      <c r="N115" s="60"/>
    </row>
    <row r="116" spans="1:14" ht="15" hidden="1">
      <c r="A116" s="62" t="s">
        <v>219</v>
      </c>
      <c r="B116" s="61">
        <v>2020</v>
      </c>
      <c r="C116" s="60">
        <v>204315</v>
      </c>
      <c r="D116" s="60">
        <v>4895</v>
      </c>
      <c r="E116" s="60"/>
      <c r="F116" s="60">
        <v>134855</v>
      </c>
      <c r="G116" s="60">
        <v>17408</v>
      </c>
      <c r="H116" s="60">
        <v>47157</v>
      </c>
      <c r="I116" s="60"/>
      <c r="J116" s="60"/>
      <c r="K116" s="60"/>
      <c r="L116" s="60"/>
      <c r="M116" s="60"/>
      <c r="N116" s="60"/>
    </row>
    <row r="117" spans="1:14" ht="15" hidden="1">
      <c r="A117" s="62" t="s">
        <v>217</v>
      </c>
      <c r="B117" s="61">
        <v>2020</v>
      </c>
      <c r="C117" s="60">
        <v>270736</v>
      </c>
      <c r="D117" s="60">
        <v>72022</v>
      </c>
      <c r="E117" s="60"/>
      <c r="F117" s="60">
        <v>75779</v>
      </c>
      <c r="G117" s="60">
        <v>119307</v>
      </c>
      <c r="H117" s="60">
        <v>3628</v>
      </c>
      <c r="I117" s="60"/>
      <c r="J117" s="60"/>
      <c r="K117" s="60"/>
      <c r="L117" s="60"/>
      <c r="M117" s="60"/>
      <c r="N117" s="60"/>
    </row>
    <row r="118" spans="1:14" ht="15" hidden="1">
      <c r="A118" s="62" t="s">
        <v>215</v>
      </c>
      <c r="B118" s="61">
        <v>2020</v>
      </c>
      <c r="C118" s="60">
        <v>141753</v>
      </c>
      <c r="D118" s="60">
        <v>102830</v>
      </c>
      <c r="E118" s="60"/>
      <c r="F118" s="60"/>
      <c r="G118" s="60">
        <v>10938</v>
      </c>
      <c r="H118" s="60">
        <v>27985</v>
      </c>
      <c r="I118" s="60"/>
      <c r="J118" s="60"/>
      <c r="K118" s="60"/>
      <c r="L118" s="60"/>
      <c r="M118" s="60"/>
      <c r="N118" s="60"/>
    </row>
    <row r="119" spans="1:14" ht="15" hidden="1">
      <c r="A119" s="62" t="s">
        <v>213</v>
      </c>
      <c r="B119" s="61">
        <v>2020</v>
      </c>
      <c r="C119" s="60">
        <v>211209</v>
      </c>
      <c r="D119" s="60">
        <v>171883</v>
      </c>
      <c r="E119" s="60">
        <v>17951</v>
      </c>
      <c r="F119" s="60">
        <v>14959</v>
      </c>
      <c r="G119" s="60">
        <v>6416</v>
      </c>
      <c r="H119" s="60"/>
      <c r="I119" s="60"/>
      <c r="J119" s="60"/>
      <c r="K119" s="60"/>
      <c r="L119" s="60"/>
      <c r="M119" s="60"/>
      <c r="N119" s="60"/>
    </row>
    <row r="120" spans="1:14" ht="15" hidden="1">
      <c r="A120" s="62" t="s">
        <v>212</v>
      </c>
      <c r="B120" s="61">
        <v>2020</v>
      </c>
      <c r="C120" s="60">
        <v>258160</v>
      </c>
      <c r="D120" s="60">
        <v>111910</v>
      </c>
      <c r="E120" s="60"/>
      <c r="F120" s="60">
        <v>85225</v>
      </c>
      <c r="G120" s="60">
        <v>52433</v>
      </c>
      <c r="H120" s="60">
        <v>8592</v>
      </c>
      <c r="I120" s="60"/>
      <c r="J120" s="60">
        <v>0.1</v>
      </c>
      <c r="K120" s="60"/>
      <c r="L120" s="60"/>
      <c r="M120" s="60"/>
      <c r="N120" s="60"/>
    </row>
    <row r="121" spans="1:14" ht="15" hidden="1">
      <c r="A121" s="62" t="s">
        <v>210</v>
      </c>
      <c r="B121" s="61">
        <v>2020</v>
      </c>
      <c r="C121" s="60">
        <v>574010</v>
      </c>
      <c r="D121" s="60">
        <v>129184</v>
      </c>
      <c r="E121" s="60"/>
      <c r="F121" s="60">
        <v>236244</v>
      </c>
      <c r="G121" s="60">
        <v>208049</v>
      </c>
      <c r="H121" s="60">
        <v>533</v>
      </c>
      <c r="I121" s="60"/>
      <c r="J121" s="60"/>
      <c r="K121" s="60"/>
      <c r="L121" s="60"/>
      <c r="M121" s="60"/>
      <c r="N121" s="60"/>
    </row>
    <row r="122" spans="1:14" ht="15" hidden="1">
      <c r="A122" s="62" t="s">
        <v>208</v>
      </c>
      <c r="B122" s="61">
        <v>2020</v>
      </c>
      <c r="C122" s="60">
        <v>264967</v>
      </c>
      <c r="D122" s="60">
        <v>29625</v>
      </c>
      <c r="E122" s="60"/>
      <c r="F122" s="60">
        <v>103327</v>
      </c>
      <c r="G122" s="60">
        <v>66180</v>
      </c>
      <c r="H122" s="60">
        <v>65835</v>
      </c>
      <c r="I122" s="60"/>
      <c r="J122" s="60"/>
      <c r="K122" s="60"/>
      <c r="L122" s="60"/>
      <c r="M122" s="60"/>
      <c r="N122" s="60"/>
    </row>
    <row r="123" spans="1:14" ht="15" hidden="1">
      <c r="A123" s="62" t="s">
        <v>206</v>
      </c>
      <c r="B123" s="61">
        <v>2020</v>
      </c>
      <c r="C123" s="60">
        <v>211006</v>
      </c>
      <c r="D123" s="60">
        <v>20998</v>
      </c>
      <c r="E123" s="60"/>
      <c r="F123" s="60">
        <v>20124</v>
      </c>
      <c r="G123" s="60">
        <v>6487</v>
      </c>
      <c r="H123" s="60">
        <v>163397</v>
      </c>
      <c r="I123" s="60"/>
      <c r="J123" s="60"/>
      <c r="K123" s="60"/>
      <c r="L123" s="60"/>
      <c r="M123" s="60"/>
      <c r="N123" s="60"/>
    </row>
    <row r="124" spans="1:14" ht="15" hidden="1">
      <c r="A124" s="62" t="s">
        <v>204</v>
      </c>
      <c r="B124" s="61">
        <v>2020</v>
      </c>
      <c r="C124" s="60">
        <v>15162</v>
      </c>
      <c r="D124" s="60">
        <v>2467</v>
      </c>
      <c r="E124" s="60"/>
      <c r="F124" s="60"/>
      <c r="G124" s="60"/>
      <c r="H124" s="60">
        <v>12695</v>
      </c>
      <c r="I124" s="60"/>
      <c r="J124" s="60"/>
      <c r="K124" s="60"/>
      <c r="L124" s="60"/>
      <c r="M124" s="60"/>
      <c r="N124" s="60"/>
    </row>
    <row r="125" spans="1:14" ht="15" hidden="1">
      <c r="A125" s="62" t="s">
        <v>202</v>
      </c>
      <c r="B125" s="61">
        <v>2020</v>
      </c>
      <c r="C125" s="60">
        <v>303153</v>
      </c>
      <c r="D125" s="60">
        <v>78633</v>
      </c>
      <c r="E125" s="60"/>
      <c r="F125" s="60">
        <v>78922</v>
      </c>
      <c r="G125" s="60">
        <v>145598</v>
      </c>
      <c r="H125" s="60"/>
      <c r="I125" s="60"/>
      <c r="J125" s="60">
        <v>0.1</v>
      </c>
      <c r="K125" s="60"/>
      <c r="L125" s="60"/>
      <c r="M125" s="60">
        <v>0</v>
      </c>
      <c r="N125" s="60"/>
    </row>
    <row r="126" spans="1:14" ht="15" hidden="1">
      <c r="A126" s="62" t="s">
        <v>200</v>
      </c>
      <c r="B126" s="61">
        <v>2020</v>
      </c>
      <c r="C126" s="60">
        <v>343922</v>
      </c>
      <c r="D126" s="60">
        <v>118658</v>
      </c>
      <c r="E126" s="60"/>
      <c r="F126" s="60">
        <v>100578</v>
      </c>
      <c r="G126" s="60">
        <v>112064</v>
      </c>
      <c r="H126" s="60">
        <v>12622</v>
      </c>
      <c r="I126" s="60"/>
      <c r="J126" s="60">
        <v>105.3</v>
      </c>
      <c r="K126" s="60"/>
      <c r="L126" s="60"/>
      <c r="M126" s="60">
        <v>143.9</v>
      </c>
      <c r="N126" s="60"/>
    </row>
    <row r="127" spans="1:14" ht="15" hidden="1">
      <c r="A127" s="62" t="s">
        <v>198</v>
      </c>
      <c r="B127" s="61">
        <v>2020</v>
      </c>
      <c r="C127" s="60">
        <v>280039</v>
      </c>
      <c r="D127" s="60">
        <v>220402</v>
      </c>
      <c r="E127" s="60"/>
      <c r="F127" s="60"/>
      <c r="G127" s="60">
        <v>59637</v>
      </c>
      <c r="H127" s="60"/>
      <c r="I127" s="60"/>
      <c r="J127" s="60">
        <v>1.6</v>
      </c>
      <c r="K127" s="60"/>
      <c r="L127" s="60"/>
      <c r="M127" s="60"/>
      <c r="N127" s="60"/>
    </row>
    <row r="128" spans="1:14" ht="15" hidden="1">
      <c r="A128" s="62" t="s">
        <v>197</v>
      </c>
      <c r="B128" s="61">
        <v>2020</v>
      </c>
      <c r="C128" s="60">
        <v>334084</v>
      </c>
      <c r="D128" s="60">
        <v>254181</v>
      </c>
      <c r="E128" s="60"/>
      <c r="F128" s="60">
        <v>53854</v>
      </c>
      <c r="G128" s="60">
        <v>25844</v>
      </c>
      <c r="H128" s="60">
        <v>205</v>
      </c>
      <c r="I128" s="60"/>
      <c r="J128" s="60">
        <v>88.9</v>
      </c>
      <c r="K128" s="60"/>
      <c r="L128" s="60"/>
      <c r="M128" s="60">
        <v>12.4</v>
      </c>
      <c r="N128" s="60"/>
    </row>
    <row r="129" spans="1:14" ht="15" hidden="1">
      <c r="A129" s="62" t="s">
        <v>195</v>
      </c>
      <c r="B129" s="61">
        <v>2020</v>
      </c>
      <c r="C129" s="60">
        <v>96986</v>
      </c>
      <c r="D129" s="60">
        <v>38453</v>
      </c>
      <c r="E129" s="60">
        <v>14533</v>
      </c>
      <c r="F129" s="60">
        <v>44000</v>
      </c>
      <c r="G129" s="60"/>
      <c r="H129" s="60"/>
      <c r="I129" s="60"/>
      <c r="J129" s="60">
        <v>68.099999999999994</v>
      </c>
      <c r="K129" s="60"/>
      <c r="L129" s="60"/>
      <c r="M129" s="60">
        <v>448.7</v>
      </c>
      <c r="N129" s="60"/>
    </row>
    <row r="130" spans="1:14" ht="15" hidden="1">
      <c r="A130" s="62" t="s">
        <v>194</v>
      </c>
      <c r="B130" s="61">
        <v>2020</v>
      </c>
      <c r="C130" s="60">
        <v>324453</v>
      </c>
      <c r="D130" s="60">
        <v>148897</v>
      </c>
      <c r="E130" s="60">
        <v>20281</v>
      </c>
      <c r="F130" s="60">
        <v>84979</v>
      </c>
      <c r="G130" s="60">
        <v>70296</v>
      </c>
      <c r="H130" s="60"/>
      <c r="I130" s="60"/>
      <c r="J130" s="60">
        <v>18.8</v>
      </c>
      <c r="K130" s="60"/>
      <c r="L130" s="60"/>
      <c r="M130" s="60">
        <v>1.3</v>
      </c>
      <c r="N130" s="60"/>
    </row>
    <row r="131" spans="1:14" ht="15" hidden="1">
      <c r="A131" s="62" t="s">
        <v>192</v>
      </c>
      <c r="B131" s="61">
        <v>2020</v>
      </c>
      <c r="C131" s="60">
        <v>341959</v>
      </c>
      <c r="D131" s="60">
        <v>240723</v>
      </c>
      <c r="E131" s="60"/>
      <c r="F131" s="60">
        <v>67598</v>
      </c>
      <c r="G131" s="60">
        <v>33638</v>
      </c>
      <c r="H131" s="60"/>
      <c r="I131" s="60"/>
      <c r="J131" s="60">
        <v>89.9</v>
      </c>
      <c r="K131" s="60"/>
      <c r="L131" s="60"/>
      <c r="M131" s="60">
        <v>162.69999999999999</v>
      </c>
      <c r="N131" s="60"/>
    </row>
    <row r="132" spans="1:14" ht="15" hidden="1">
      <c r="A132" s="62" t="s">
        <v>191</v>
      </c>
      <c r="B132" s="61">
        <v>2020</v>
      </c>
      <c r="C132" s="60">
        <v>294308</v>
      </c>
      <c r="D132" s="60">
        <v>38169</v>
      </c>
      <c r="E132" s="60">
        <v>20000</v>
      </c>
      <c r="F132" s="60">
        <v>153879</v>
      </c>
      <c r="G132" s="60">
        <v>82260</v>
      </c>
      <c r="H132" s="60"/>
      <c r="I132" s="60"/>
      <c r="J132" s="60">
        <v>174.2</v>
      </c>
      <c r="K132" s="60"/>
      <c r="L132" s="60"/>
      <c r="M132" s="60">
        <v>241.6</v>
      </c>
      <c r="N132" s="60"/>
    </row>
    <row r="133" spans="1:14" ht="15" hidden="1">
      <c r="A133" s="62" t="s">
        <v>190</v>
      </c>
      <c r="B133" s="61">
        <v>2020</v>
      </c>
      <c r="C133" s="60">
        <v>87032</v>
      </c>
      <c r="D133" s="60">
        <v>58190</v>
      </c>
      <c r="E133" s="60"/>
      <c r="F133" s="60">
        <v>5500</v>
      </c>
      <c r="G133" s="60">
        <v>23342</v>
      </c>
      <c r="H133" s="60"/>
      <c r="I133" s="60"/>
      <c r="J133" s="60">
        <v>10.9</v>
      </c>
      <c r="K133" s="60"/>
      <c r="L133" s="60"/>
      <c r="M133" s="60">
        <v>20</v>
      </c>
      <c r="N133" s="60"/>
    </row>
    <row r="134" spans="1:14" ht="15" hidden="1">
      <c r="A134" s="62" t="s">
        <v>188</v>
      </c>
      <c r="B134" s="61">
        <v>2020</v>
      </c>
      <c r="C134" s="60">
        <v>204196</v>
      </c>
      <c r="D134" s="60">
        <v>119219</v>
      </c>
      <c r="E134" s="60"/>
      <c r="F134" s="60">
        <v>41647</v>
      </c>
      <c r="G134" s="60">
        <v>38470</v>
      </c>
      <c r="H134" s="60">
        <v>4860</v>
      </c>
      <c r="I134" s="60"/>
      <c r="J134" s="60">
        <v>172.5</v>
      </c>
      <c r="K134" s="60"/>
      <c r="L134" s="60"/>
      <c r="M134" s="60">
        <v>657.8</v>
      </c>
      <c r="N134" s="60"/>
    </row>
    <row r="135" spans="1:14" ht="15" hidden="1">
      <c r="A135" s="62" t="s">
        <v>186</v>
      </c>
      <c r="B135" s="61">
        <v>2020</v>
      </c>
      <c r="C135" s="60">
        <v>27466</v>
      </c>
      <c r="D135" s="60">
        <v>2133</v>
      </c>
      <c r="E135" s="60"/>
      <c r="F135" s="60"/>
      <c r="G135" s="60">
        <v>25333</v>
      </c>
      <c r="H135" s="60"/>
      <c r="I135" s="60"/>
      <c r="J135" s="60"/>
      <c r="K135" s="60"/>
      <c r="L135" s="60"/>
      <c r="M135" s="60"/>
      <c r="N135" s="60"/>
    </row>
    <row r="136" spans="1:14" ht="15">
      <c r="A136" s="59" t="s">
        <v>242</v>
      </c>
      <c r="B136" s="58">
        <v>2019</v>
      </c>
      <c r="C136" s="57">
        <f>SUM(D136:H136)</f>
        <v>7390294</v>
      </c>
      <c r="D136" s="57">
        <v>3458315</v>
      </c>
      <c r="E136" s="57">
        <v>125565</v>
      </c>
      <c r="F136" s="57">
        <v>1898314</v>
      </c>
      <c r="G136" s="57">
        <v>1537877</v>
      </c>
      <c r="H136" s="57">
        <v>370223</v>
      </c>
      <c r="I136" s="60"/>
      <c r="J136" s="60"/>
      <c r="K136" s="60"/>
      <c r="L136" s="60"/>
      <c r="M136" s="60"/>
      <c r="N136" s="60"/>
    </row>
    <row r="137" spans="1:14" ht="15">
      <c r="A137" s="59" t="s">
        <v>183</v>
      </c>
      <c r="B137" s="58">
        <v>2018</v>
      </c>
      <c r="C137" s="57">
        <v>7299473</v>
      </c>
      <c r="D137" s="57">
        <v>3677952</v>
      </c>
      <c r="E137" s="57">
        <v>135429</v>
      </c>
      <c r="F137" s="57">
        <v>1785067</v>
      </c>
      <c r="G137" s="57">
        <v>1329166</v>
      </c>
      <c r="H137" s="57">
        <v>371859</v>
      </c>
    </row>
    <row r="138" spans="1:14" ht="15" hidden="1">
      <c r="A138" s="62" t="s">
        <v>240</v>
      </c>
      <c r="B138" s="61">
        <v>2018</v>
      </c>
      <c r="C138" s="60">
        <v>29979</v>
      </c>
      <c r="D138" s="60">
        <v>18427</v>
      </c>
      <c r="E138" s="60"/>
      <c r="F138" s="60">
        <v>10001</v>
      </c>
      <c r="G138" s="60">
        <v>744</v>
      </c>
      <c r="H138" s="60">
        <v>807</v>
      </c>
    </row>
    <row r="139" spans="1:14" ht="15" hidden="1">
      <c r="A139" s="62" t="s">
        <v>238</v>
      </c>
      <c r="B139" s="61">
        <v>2018</v>
      </c>
      <c r="C139" s="60">
        <v>8648</v>
      </c>
      <c r="D139" s="60">
        <v>8648</v>
      </c>
      <c r="E139" s="60"/>
      <c r="F139" s="60"/>
      <c r="G139" s="60"/>
      <c r="H139" s="60"/>
    </row>
    <row r="140" spans="1:14" ht="15" hidden="1">
      <c r="A140" s="62" t="s">
        <v>237</v>
      </c>
      <c r="B140" s="61">
        <v>2018</v>
      </c>
      <c r="C140" s="60">
        <v>600956</v>
      </c>
      <c r="D140" s="60">
        <v>359045</v>
      </c>
      <c r="E140" s="60">
        <v>14934</v>
      </c>
      <c r="F140" s="60">
        <v>223827</v>
      </c>
      <c r="G140" s="60">
        <v>238</v>
      </c>
      <c r="H140" s="60">
        <v>2912</v>
      </c>
    </row>
    <row r="141" spans="1:14" ht="15" hidden="1">
      <c r="A141" s="62" t="s">
        <v>235</v>
      </c>
      <c r="B141" s="61">
        <v>2018</v>
      </c>
      <c r="C141" s="60">
        <v>340148</v>
      </c>
      <c r="D141" s="60">
        <v>308020</v>
      </c>
      <c r="E141" s="60"/>
      <c r="F141" s="60">
        <v>32128</v>
      </c>
      <c r="G141" s="60"/>
      <c r="H141" s="60"/>
    </row>
    <row r="142" spans="1:14" ht="15" hidden="1">
      <c r="A142" s="62" t="s">
        <v>234</v>
      </c>
      <c r="B142" s="61">
        <v>2018</v>
      </c>
      <c r="C142" s="60">
        <v>599979</v>
      </c>
      <c r="D142" s="60">
        <v>317967</v>
      </c>
      <c r="E142" s="60">
        <v>61146</v>
      </c>
      <c r="F142" s="60">
        <v>107537</v>
      </c>
      <c r="G142" s="60">
        <v>92497</v>
      </c>
      <c r="H142" s="60">
        <v>20832</v>
      </c>
    </row>
    <row r="143" spans="1:14" ht="15" hidden="1">
      <c r="A143" s="62" t="s">
        <v>232</v>
      </c>
      <c r="B143" s="61">
        <v>2018</v>
      </c>
      <c r="C143" s="60">
        <v>167978</v>
      </c>
      <c r="D143" s="60">
        <v>62353</v>
      </c>
      <c r="E143" s="60">
        <v>13333</v>
      </c>
      <c r="F143" s="60">
        <v>55334</v>
      </c>
      <c r="G143" s="60">
        <v>25673</v>
      </c>
      <c r="H143" s="60">
        <v>11285</v>
      </c>
    </row>
    <row r="144" spans="1:14" ht="15" hidden="1">
      <c r="A144" s="62" t="s">
        <v>230</v>
      </c>
      <c r="B144" s="61">
        <v>2018</v>
      </c>
      <c r="C144" s="60">
        <v>122657</v>
      </c>
      <c r="D144" s="60">
        <v>48260</v>
      </c>
      <c r="E144" s="60"/>
      <c r="F144" s="60"/>
      <c r="G144" s="60">
        <v>62685</v>
      </c>
      <c r="H144" s="60">
        <v>11712</v>
      </c>
    </row>
    <row r="145" spans="1:8" ht="15" hidden="1">
      <c r="A145" s="62" t="s">
        <v>228</v>
      </c>
      <c r="B145" s="61">
        <v>2018</v>
      </c>
      <c r="C145" s="60">
        <v>96639</v>
      </c>
      <c r="D145" s="60">
        <v>45678</v>
      </c>
      <c r="E145" s="60"/>
      <c r="F145" s="60">
        <v>30863</v>
      </c>
      <c r="G145" s="60">
        <v>19692</v>
      </c>
      <c r="H145" s="60">
        <v>406</v>
      </c>
    </row>
    <row r="146" spans="1:8" ht="15" hidden="1">
      <c r="A146" s="62" t="s">
        <v>226</v>
      </c>
      <c r="B146" s="61">
        <v>2018</v>
      </c>
      <c r="C146" s="60">
        <v>3183</v>
      </c>
      <c r="D146" s="60">
        <v>3183</v>
      </c>
      <c r="E146" s="60"/>
      <c r="F146" s="60"/>
      <c r="G146" s="60"/>
      <c r="H146" s="60"/>
    </row>
    <row r="147" spans="1:8" ht="15" hidden="1">
      <c r="A147" s="62" t="s">
        <v>225</v>
      </c>
      <c r="B147" s="61">
        <v>2018</v>
      </c>
      <c r="C147" s="60">
        <v>43356</v>
      </c>
      <c r="D147" s="60">
        <v>41283</v>
      </c>
      <c r="E147" s="60"/>
      <c r="F147" s="60"/>
      <c r="G147" s="60">
        <v>124</v>
      </c>
      <c r="H147" s="60">
        <v>1949</v>
      </c>
    </row>
    <row r="148" spans="1:8" ht="15" hidden="1">
      <c r="A148" s="62" t="s">
        <v>223</v>
      </c>
      <c r="B148" s="61">
        <v>2018</v>
      </c>
      <c r="C148" s="60">
        <v>63643</v>
      </c>
      <c r="D148" s="60">
        <v>7462</v>
      </c>
      <c r="E148" s="60"/>
      <c r="F148" s="60">
        <v>1798</v>
      </c>
      <c r="G148" s="60">
        <v>46964</v>
      </c>
      <c r="H148" s="60">
        <v>7419</v>
      </c>
    </row>
    <row r="149" spans="1:8" ht="15" hidden="1">
      <c r="A149" s="62" t="s">
        <v>221</v>
      </c>
      <c r="B149" s="61">
        <v>2018</v>
      </c>
      <c r="C149" s="60">
        <v>138493</v>
      </c>
      <c r="D149" s="60">
        <v>55718</v>
      </c>
      <c r="E149" s="60"/>
      <c r="F149" s="60">
        <v>39965</v>
      </c>
      <c r="G149" s="60">
        <v>38815</v>
      </c>
      <c r="H149" s="60">
        <v>3995</v>
      </c>
    </row>
    <row r="150" spans="1:8" ht="15" hidden="1">
      <c r="A150" s="62" t="s">
        <v>219</v>
      </c>
      <c r="B150" s="61">
        <v>2018</v>
      </c>
      <c r="C150" s="60">
        <v>193393</v>
      </c>
      <c r="D150" s="60">
        <v>6517</v>
      </c>
      <c r="E150" s="60"/>
      <c r="F150" s="60">
        <v>112846</v>
      </c>
      <c r="G150" s="60">
        <v>18882</v>
      </c>
      <c r="H150" s="60">
        <v>55148</v>
      </c>
    </row>
    <row r="151" spans="1:8" ht="15" hidden="1">
      <c r="A151" s="62" t="s">
        <v>217</v>
      </c>
      <c r="B151" s="61">
        <v>2018</v>
      </c>
      <c r="C151" s="60">
        <v>308143</v>
      </c>
      <c r="D151" s="60">
        <v>88556</v>
      </c>
      <c r="E151" s="60"/>
      <c r="F151" s="60">
        <v>70193</v>
      </c>
      <c r="G151" s="60">
        <v>144835</v>
      </c>
      <c r="H151" s="60">
        <v>4559</v>
      </c>
    </row>
    <row r="152" spans="1:8" ht="15" hidden="1">
      <c r="A152" s="62" t="s">
        <v>215</v>
      </c>
      <c r="B152" s="61">
        <v>2018</v>
      </c>
      <c r="C152" s="60">
        <v>147481</v>
      </c>
      <c r="D152" s="60">
        <v>118745</v>
      </c>
      <c r="E152" s="60"/>
      <c r="F152" s="60"/>
      <c r="G152" s="60">
        <v>3188</v>
      </c>
      <c r="H152" s="60">
        <v>25548</v>
      </c>
    </row>
    <row r="153" spans="1:8" ht="15" hidden="1">
      <c r="A153" s="62" t="s">
        <v>213</v>
      </c>
      <c r="B153" s="61">
        <v>2018</v>
      </c>
      <c r="C153" s="60">
        <v>173596</v>
      </c>
      <c r="D153" s="60">
        <v>137272</v>
      </c>
      <c r="E153" s="60">
        <v>13336</v>
      </c>
      <c r="F153" s="60">
        <v>18890</v>
      </c>
      <c r="G153" s="60">
        <v>4098</v>
      </c>
      <c r="H153" s="60"/>
    </row>
    <row r="154" spans="1:8" ht="15" hidden="1">
      <c r="A154" s="62" t="s">
        <v>212</v>
      </c>
      <c r="B154" s="61">
        <v>2018</v>
      </c>
      <c r="C154" s="60">
        <v>330657</v>
      </c>
      <c r="D154" s="60">
        <v>143803</v>
      </c>
      <c r="E154" s="60"/>
      <c r="F154" s="60">
        <v>63178</v>
      </c>
      <c r="G154" s="60">
        <v>119578</v>
      </c>
      <c r="H154" s="60">
        <v>4098</v>
      </c>
    </row>
    <row r="155" spans="1:8" ht="15" hidden="1">
      <c r="A155" s="62" t="s">
        <v>210</v>
      </c>
      <c r="B155" s="61">
        <v>2018</v>
      </c>
      <c r="C155" s="60">
        <v>584316</v>
      </c>
      <c r="D155" s="60">
        <v>188114</v>
      </c>
      <c r="E155" s="60"/>
      <c r="F155" s="60">
        <v>168002</v>
      </c>
      <c r="G155" s="60">
        <v>223819</v>
      </c>
      <c r="H155" s="60">
        <v>4381</v>
      </c>
    </row>
    <row r="156" spans="1:8" ht="15" hidden="1">
      <c r="A156" s="62" t="s">
        <v>208</v>
      </c>
      <c r="B156" s="61">
        <v>2018</v>
      </c>
      <c r="C156" s="60">
        <v>270462</v>
      </c>
      <c r="D156" s="60">
        <v>85178</v>
      </c>
      <c r="E156" s="60"/>
      <c r="F156" s="60">
        <v>99798</v>
      </c>
      <c r="G156" s="60">
        <v>63696</v>
      </c>
      <c r="H156" s="60">
        <v>21790</v>
      </c>
    </row>
    <row r="157" spans="1:8" ht="15" hidden="1">
      <c r="A157" s="62" t="s">
        <v>206</v>
      </c>
      <c r="B157" s="61">
        <v>2018</v>
      </c>
      <c r="C157" s="60">
        <v>247800</v>
      </c>
      <c r="D157" s="60">
        <v>46828</v>
      </c>
      <c r="E157" s="60"/>
      <c r="F157" s="60">
        <v>29421</v>
      </c>
      <c r="G157" s="60">
        <v>6085</v>
      </c>
      <c r="H157" s="60">
        <v>165466</v>
      </c>
    </row>
    <row r="158" spans="1:8" ht="15" hidden="1">
      <c r="A158" s="62" t="s">
        <v>204</v>
      </c>
      <c r="B158" s="61">
        <v>2018</v>
      </c>
      <c r="C158" s="60">
        <v>10496</v>
      </c>
      <c r="D158" s="60">
        <v>2657</v>
      </c>
      <c r="E158" s="60"/>
      <c r="F158" s="60"/>
      <c r="G158" s="60"/>
      <c r="H158" s="60">
        <v>7839</v>
      </c>
    </row>
    <row r="159" spans="1:8" ht="15" hidden="1">
      <c r="A159" s="62" t="s">
        <v>202</v>
      </c>
      <c r="B159" s="61">
        <v>2018</v>
      </c>
      <c r="C159" s="60">
        <v>270003</v>
      </c>
      <c r="D159" s="60">
        <v>110058</v>
      </c>
      <c r="E159" s="60"/>
      <c r="F159" s="60">
        <v>62225</v>
      </c>
      <c r="G159" s="60">
        <v>89521</v>
      </c>
      <c r="H159" s="60">
        <v>8199</v>
      </c>
    </row>
    <row r="160" spans="1:8" ht="15" hidden="1">
      <c r="A160" s="62" t="s">
        <v>200</v>
      </c>
      <c r="B160" s="61">
        <v>2018</v>
      </c>
      <c r="C160" s="60">
        <v>436816</v>
      </c>
      <c r="D160" s="60">
        <v>257961</v>
      </c>
      <c r="E160" s="60"/>
      <c r="F160" s="60">
        <v>70746</v>
      </c>
      <c r="G160" s="60">
        <v>96135</v>
      </c>
      <c r="H160" s="60">
        <v>11974</v>
      </c>
    </row>
    <row r="161" spans="1:8" ht="15" hidden="1">
      <c r="A161" s="62" t="s">
        <v>198</v>
      </c>
      <c r="B161" s="61">
        <v>2018</v>
      </c>
      <c r="C161" s="60">
        <v>346676</v>
      </c>
      <c r="D161" s="60">
        <v>205917</v>
      </c>
      <c r="E161" s="60"/>
      <c r="F161" s="60">
        <v>84347</v>
      </c>
      <c r="G161" s="60">
        <v>56412</v>
      </c>
      <c r="H161" s="60"/>
    </row>
    <row r="162" spans="1:8" ht="15" hidden="1">
      <c r="A162" s="62" t="s">
        <v>197</v>
      </c>
      <c r="B162" s="61">
        <v>2018</v>
      </c>
      <c r="C162" s="60">
        <v>374796</v>
      </c>
      <c r="D162" s="60">
        <v>261079</v>
      </c>
      <c r="E162" s="60"/>
      <c r="F162" s="60">
        <v>67692</v>
      </c>
      <c r="G162" s="60">
        <v>45937</v>
      </c>
      <c r="H162" s="60">
        <v>88</v>
      </c>
    </row>
    <row r="163" spans="1:8" ht="15" hidden="1">
      <c r="A163" s="62" t="s">
        <v>195</v>
      </c>
      <c r="B163" s="61">
        <v>2018</v>
      </c>
      <c r="C163" s="60">
        <v>75039</v>
      </c>
      <c r="D163" s="60">
        <v>39883</v>
      </c>
      <c r="E163" s="60"/>
      <c r="F163" s="60">
        <v>35156</v>
      </c>
      <c r="G163" s="60"/>
      <c r="H163" s="60"/>
    </row>
    <row r="164" spans="1:8" ht="15" hidden="1">
      <c r="A164" s="62" t="s">
        <v>194</v>
      </c>
      <c r="B164" s="61">
        <v>2018</v>
      </c>
      <c r="C164" s="60">
        <v>348094</v>
      </c>
      <c r="D164" s="60">
        <v>160912</v>
      </c>
      <c r="E164" s="60">
        <v>27004</v>
      </c>
      <c r="F164" s="60">
        <v>75220</v>
      </c>
      <c r="G164" s="60">
        <v>84958</v>
      </c>
      <c r="H164" s="60"/>
    </row>
    <row r="165" spans="1:8" ht="15" hidden="1">
      <c r="A165" s="62" t="s">
        <v>192</v>
      </c>
      <c r="B165" s="61">
        <v>2018</v>
      </c>
      <c r="C165" s="60">
        <v>392765</v>
      </c>
      <c r="D165" s="60">
        <v>296021</v>
      </c>
      <c r="E165" s="60">
        <v>667</v>
      </c>
      <c r="F165" s="60">
        <v>85410</v>
      </c>
      <c r="G165" s="60">
        <v>10667</v>
      </c>
      <c r="H165" s="60"/>
    </row>
    <row r="166" spans="1:8" ht="15" hidden="1">
      <c r="A166" s="62" t="s">
        <v>191</v>
      </c>
      <c r="B166" s="61">
        <v>2018</v>
      </c>
      <c r="C166" s="60">
        <v>205904</v>
      </c>
      <c r="D166" s="60">
        <v>70031</v>
      </c>
      <c r="E166" s="60"/>
      <c r="F166" s="60">
        <v>135873</v>
      </c>
      <c r="G166" s="60"/>
      <c r="H166" s="60"/>
    </row>
    <row r="167" spans="1:8" ht="15" hidden="1">
      <c r="A167" s="62" t="s">
        <v>190</v>
      </c>
      <c r="B167" s="61">
        <v>2018</v>
      </c>
      <c r="C167" s="60">
        <v>100055</v>
      </c>
      <c r="D167" s="60">
        <v>44828</v>
      </c>
      <c r="E167" s="60"/>
      <c r="F167" s="60">
        <v>14939</v>
      </c>
      <c r="G167" s="60">
        <v>40288</v>
      </c>
      <c r="H167" s="60"/>
    </row>
    <row r="168" spans="1:8" ht="15" hidden="1">
      <c r="A168" s="62" t="s">
        <v>188</v>
      </c>
      <c r="B168" s="61">
        <v>2018</v>
      </c>
      <c r="C168" s="60">
        <v>243788</v>
      </c>
      <c r="D168" s="60">
        <v>134881</v>
      </c>
      <c r="E168" s="60">
        <v>5009</v>
      </c>
      <c r="F168" s="60">
        <v>89678</v>
      </c>
      <c r="G168" s="60">
        <v>12768</v>
      </c>
      <c r="H168" s="60">
        <v>1452</v>
      </c>
    </row>
    <row r="169" spans="1:8" ht="15" hidden="1">
      <c r="A169" s="62" t="s">
        <v>186</v>
      </c>
      <c r="B169" s="61">
        <v>2018</v>
      </c>
      <c r="C169" s="60">
        <v>23534</v>
      </c>
      <c r="D169" s="60">
        <v>2667</v>
      </c>
      <c r="E169" s="60"/>
      <c r="F169" s="60"/>
      <c r="G169" s="60">
        <v>20867</v>
      </c>
      <c r="H169" s="60"/>
    </row>
    <row r="170" spans="1:8" ht="15">
      <c r="A170" s="59" t="s">
        <v>183</v>
      </c>
      <c r="B170" s="58">
        <v>2017</v>
      </c>
      <c r="C170" s="57">
        <v>7680711</v>
      </c>
      <c r="D170" s="57">
        <v>4295890</v>
      </c>
      <c r="E170" s="57">
        <v>141220</v>
      </c>
      <c r="F170" s="57">
        <v>1657169</v>
      </c>
      <c r="G170" s="57">
        <v>1280993</v>
      </c>
      <c r="H170" s="57" t="s">
        <v>241</v>
      </c>
    </row>
    <row r="171" spans="1:8" ht="15" hidden="1">
      <c r="A171" s="62" t="s">
        <v>240</v>
      </c>
      <c r="B171" s="61">
        <v>2017</v>
      </c>
      <c r="C171" s="60">
        <v>40339</v>
      </c>
      <c r="D171" s="60">
        <v>9280</v>
      </c>
      <c r="E171" s="60" t="s">
        <v>185</v>
      </c>
      <c r="F171" s="60">
        <v>12666</v>
      </c>
      <c r="G171" s="60">
        <v>18333</v>
      </c>
      <c r="H171" s="60" t="s">
        <v>239</v>
      </c>
    </row>
    <row r="172" spans="1:8" ht="15" hidden="1">
      <c r="A172" s="62" t="s">
        <v>238</v>
      </c>
      <c r="B172" s="61">
        <v>2017</v>
      </c>
      <c r="C172" s="60">
        <v>12224</v>
      </c>
      <c r="D172" s="60">
        <v>9557</v>
      </c>
      <c r="E172" s="60" t="s">
        <v>185</v>
      </c>
      <c r="F172" s="60">
        <v>2667</v>
      </c>
      <c r="G172" s="60" t="s">
        <v>185</v>
      </c>
      <c r="H172" s="60" t="s">
        <v>184</v>
      </c>
    </row>
    <row r="173" spans="1:8" ht="15" hidden="1">
      <c r="A173" s="62" t="s">
        <v>237</v>
      </c>
      <c r="B173" s="61">
        <v>2017</v>
      </c>
      <c r="C173" s="60">
        <v>481271</v>
      </c>
      <c r="D173" s="60">
        <v>371770</v>
      </c>
      <c r="E173" s="60">
        <v>20239</v>
      </c>
      <c r="F173" s="60">
        <v>84790</v>
      </c>
      <c r="G173" s="60">
        <v>1672</v>
      </c>
      <c r="H173" s="60" t="s">
        <v>236</v>
      </c>
    </row>
    <row r="174" spans="1:8" ht="15" hidden="1">
      <c r="A174" s="62" t="s">
        <v>235</v>
      </c>
      <c r="B174" s="61">
        <v>2017</v>
      </c>
      <c r="C174" s="60">
        <v>311968</v>
      </c>
      <c r="D174" s="60">
        <v>279968</v>
      </c>
      <c r="E174" s="60" t="s">
        <v>185</v>
      </c>
      <c r="F174" s="60">
        <v>32000</v>
      </c>
      <c r="G174" s="60" t="s">
        <v>185</v>
      </c>
      <c r="H174" s="60" t="s">
        <v>184</v>
      </c>
    </row>
    <row r="175" spans="1:8" ht="15" hidden="1">
      <c r="A175" s="62" t="s">
        <v>234</v>
      </c>
      <c r="B175" s="61">
        <v>2017</v>
      </c>
      <c r="C175" s="60">
        <v>680453</v>
      </c>
      <c r="D175" s="60">
        <v>346309</v>
      </c>
      <c r="E175" s="60">
        <v>68313</v>
      </c>
      <c r="F175" s="60">
        <v>138068</v>
      </c>
      <c r="G175" s="60">
        <v>125597</v>
      </c>
      <c r="H175" s="60" t="s">
        <v>233</v>
      </c>
    </row>
    <row r="176" spans="1:8" ht="15" hidden="1">
      <c r="A176" s="62" t="s">
        <v>232</v>
      </c>
      <c r="B176" s="61">
        <v>2017</v>
      </c>
      <c r="C176" s="60">
        <v>144223</v>
      </c>
      <c r="D176" s="60">
        <v>56929</v>
      </c>
      <c r="E176" s="60" t="s">
        <v>185</v>
      </c>
      <c r="F176" s="60">
        <v>55330</v>
      </c>
      <c r="G176" s="60">
        <v>25014</v>
      </c>
      <c r="H176" s="60" t="s">
        <v>231</v>
      </c>
    </row>
    <row r="177" spans="1:8" ht="15" hidden="1">
      <c r="A177" s="62" t="s">
        <v>230</v>
      </c>
      <c r="B177" s="61">
        <v>2017</v>
      </c>
      <c r="C177" s="60">
        <v>153038</v>
      </c>
      <c r="D177" s="60">
        <v>80840</v>
      </c>
      <c r="E177" s="60" t="s">
        <v>185</v>
      </c>
      <c r="F177" s="60" t="s">
        <v>185</v>
      </c>
      <c r="G177" s="60">
        <v>62495</v>
      </c>
      <c r="H177" s="60" t="s">
        <v>229</v>
      </c>
    </row>
    <row r="178" spans="1:8" ht="15" hidden="1">
      <c r="A178" s="62" t="s">
        <v>228</v>
      </c>
      <c r="B178" s="61">
        <v>2017</v>
      </c>
      <c r="C178" s="60">
        <v>97591</v>
      </c>
      <c r="D178" s="60">
        <v>36579</v>
      </c>
      <c r="E178" s="60" t="s">
        <v>185</v>
      </c>
      <c r="F178" s="60">
        <v>42250</v>
      </c>
      <c r="G178" s="60">
        <v>18688</v>
      </c>
      <c r="H178" s="60" t="s">
        <v>227</v>
      </c>
    </row>
    <row r="179" spans="1:8" ht="15" hidden="1">
      <c r="A179" s="62" t="s">
        <v>226</v>
      </c>
      <c r="B179" s="61">
        <v>2017</v>
      </c>
      <c r="C179" s="60">
        <v>2680</v>
      </c>
      <c r="D179" s="60">
        <v>2680</v>
      </c>
      <c r="E179" s="60" t="s">
        <v>185</v>
      </c>
      <c r="F179" s="60" t="s">
        <v>185</v>
      </c>
      <c r="G179" s="60" t="s">
        <v>185</v>
      </c>
      <c r="H179" s="60" t="s">
        <v>184</v>
      </c>
    </row>
    <row r="180" spans="1:8" ht="15" hidden="1">
      <c r="A180" s="62" t="s">
        <v>225</v>
      </c>
      <c r="B180" s="61">
        <v>2017</v>
      </c>
      <c r="C180" s="60">
        <v>36572</v>
      </c>
      <c r="D180" s="60">
        <v>33968</v>
      </c>
      <c r="E180" s="60" t="s">
        <v>185</v>
      </c>
      <c r="F180" s="60" t="s">
        <v>185</v>
      </c>
      <c r="G180" s="60">
        <v>143</v>
      </c>
      <c r="H180" s="60" t="s">
        <v>224</v>
      </c>
    </row>
    <row r="181" spans="1:8" ht="15" hidden="1">
      <c r="A181" s="62" t="s">
        <v>223</v>
      </c>
      <c r="B181" s="61">
        <v>2017</v>
      </c>
      <c r="C181" s="60">
        <v>44054</v>
      </c>
      <c r="D181" s="60">
        <v>8450</v>
      </c>
      <c r="E181" s="60" t="s">
        <v>185</v>
      </c>
      <c r="F181" s="60">
        <v>2223</v>
      </c>
      <c r="G181" s="60">
        <v>24936</v>
      </c>
      <c r="H181" s="60" t="s">
        <v>222</v>
      </c>
    </row>
    <row r="182" spans="1:8" ht="15" hidden="1">
      <c r="A182" s="62" t="s">
        <v>221</v>
      </c>
      <c r="B182" s="61">
        <v>2017</v>
      </c>
      <c r="C182" s="60">
        <v>144926</v>
      </c>
      <c r="D182" s="60">
        <v>56667</v>
      </c>
      <c r="E182" s="60" t="s">
        <v>185</v>
      </c>
      <c r="F182" s="60">
        <v>41905</v>
      </c>
      <c r="G182" s="60">
        <v>40241</v>
      </c>
      <c r="H182" s="60" t="s">
        <v>220</v>
      </c>
    </row>
    <row r="183" spans="1:8" ht="15" hidden="1">
      <c r="A183" s="62" t="s">
        <v>219</v>
      </c>
      <c r="B183" s="61">
        <v>2017</v>
      </c>
      <c r="C183" s="60">
        <v>233585</v>
      </c>
      <c r="D183" s="60">
        <v>8094</v>
      </c>
      <c r="E183" s="60" t="s">
        <v>185</v>
      </c>
      <c r="F183" s="60">
        <v>144338</v>
      </c>
      <c r="G183" s="60">
        <v>20024</v>
      </c>
      <c r="H183" s="60" t="s">
        <v>218</v>
      </c>
    </row>
    <row r="184" spans="1:8" ht="15" hidden="1">
      <c r="A184" s="62" t="s">
        <v>217</v>
      </c>
      <c r="B184" s="61">
        <v>2017</v>
      </c>
      <c r="C184" s="60">
        <v>282407</v>
      </c>
      <c r="D184" s="60">
        <v>89405</v>
      </c>
      <c r="E184" s="60" t="s">
        <v>185</v>
      </c>
      <c r="F184" s="60">
        <v>68592</v>
      </c>
      <c r="G184" s="60">
        <v>118066</v>
      </c>
      <c r="H184" s="60" t="s">
        <v>216</v>
      </c>
    </row>
    <row r="185" spans="1:8" ht="15" hidden="1">
      <c r="A185" s="62" t="s">
        <v>215</v>
      </c>
      <c r="B185" s="61">
        <v>2017</v>
      </c>
      <c r="C185" s="60">
        <v>142195</v>
      </c>
      <c r="D185" s="60">
        <v>92306</v>
      </c>
      <c r="E185" s="60" t="s">
        <v>185</v>
      </c>
      <c r="F185" s="60">
        <v>534</v>
      </c>
      <c r="G185" s="60">
        <v>17882</v>
      </c>
      <c r="H185" s="60" t="s">
        <v>214</v>
      </c>
    </row>
    <row r="186" spans="1:8" ht="15" hidden="1">
      <c r="A186" s="62" t="s">
        <v>213</v>
      </c>
      <c r="B186" s="61">
        <v>2017</v>
      </c>
      <c r="C186" s="60">
        <v>180929</v>
      </c>
      <c r="D186" s="60">
        <v>126281</v>
      </c>
      <c r="E186" s="60">
        <v>13733</v>
      </c>
      <c r="F186" s="60">
        <v>19836</v>
      </c>
      <c r="G186" s="60">
        <v>21079</v>
      </c>
      <c r="H186" s="60" t="s">
        <v>184</v>
      </c>
    </row>
    <row r="187" spans="1:8" ht="15" hidden="1">
      <c r="A187" s="62" t="s">
        <v>212</v>
      </c>
      <c r="B187" s="61">
        <v>2017</v>
      </c>
      <c r="C187" s="60">
        <v>400840</v>
      </c>
      <c r="D187" s="60">
        <v>162328</v>
      </c>
      <c r="E187" s="60" t="s">
        <v>185</v>
      </c>
      <c r="F187" s="60">
        <v>67459</v>
      </c>
      <c r="G187" s="60">
        <v>167049</v>
      </c>
      <c r="H187" s="60" t="s">
        <v>211</v>
      </c>
    </row>
    <row r="188" spans="1:8" ht="15" hidden="1">
      <c r="A188" s="62" t="s">
        <v>210</v>
      </c>
      <c r="B188" s="61">
        <v>2017</v>
      </c>
      <c r="C188" s="60">
        <v>554139</v>
      </c>
      <c r="D188" s="60">
        <v>186088</v>
      </c>
      <c r="E188" s="60" t="s">
        <v>185</v>
      </c>
      <c r="F188" s="60">
        <v>160876</v>
      </c>
      <c r="G188" s="60">
        <v>198630</v>
      </c>
      <c r="H188" s="60" t="s">
        <v>209</v>
      </c>
    </row>
    <row r="189" spans="1:8" ht="15" hidden="1">
      <c r="A189" s="62" t="s">
        <v>208</v>
      </c>
      <c r="B189" s="61">
        <v>2017</v>
      </c>
      <c r="C189" s="60">
        <v>270588</v>
      </c>
      <c r="D189" s="60">
        <v>80739</v>
      </c>
      <c r="E189" s="60" t="s">
        <v>185</v>
      </c>
      <c r="F189" s="60">
        <v>89007</v>
      </c>
      <c r="G189" s="60">
        <v>66025</v>
      </c>
      <c r="H189" s="60" t="s">
        <v>207</v>
      </c>
    </row>
    <row r="190" spans="1:8" ht="15" hidden="1">
      <c r="A190" s="62" t="s">
        <v>206</v>
      </c>
      <c r="B190" s="61">
        <v>2017</v>
      </c>
      <c r="C190" s="60">
        <v>176081</v>
      </c>
      <c r="D190" s="60">
        <v>54578</v>
      </c>
      <c r="E190" s="60" t="s">
        <v>185</v>
      </c>
      <c r="F190" s="60">
        <v>26095</v>
      </c>
      <c r="G190" s="60">
        <v>2740</v>
      </c>
      <c r="H190" s="60" t="s">
        <v>205</v>
      </c>
    </row>
    <row r="191" spans="1:8" ht="15" hidden="1">
      <c r="A191" s="62" t="s">
        <v>204</v>
      </c>
      <c r="B191" s="61">
        <v>2017</v>
      </c>
      <c r="C191" s="60">
        <v>12879</v>
      </c>
      <c r="D191" s="60">
        <v>4626</v>
      </c>
      <c r="E191" s="60" t="s">
        <v>185</v>
      </c>
      <c r="F191" s="60" t="s">
        <v>185</v>
      </c>
      <c r="G191" s="60">
        <v>200</v>
      </c>
      <c r="H191" s="60" t="s">
        <v>203</v>
      </c>
    </row>
    <row r="192" spans="1:8" ht="15" hidden="1">
      <c r="A192" s="62" t="s">
        <v>202</v>
      </c>
      <c r="B192" s="61">
        <v>2017</v>
      </c>
      <c r="C192" s="60">
        <v>228052</v>
      </c>
      <c r="D192" s="60">
        <v>100792</v>
      </c>
      <c r="E192" s="60" t="s">
        <v>185</v>
      </c>
      <c r="F192" s="60">
        <v>63263</v>
      </c>
      <c r="G192" s="60">
        <v>63364</v>
      </c>
      <c r="H192" s="60" t="s">
        <v>201</v>
      </c>
    </row>
    <row r="193" spans="1:8" ht="15" hidden="1">
      <c r="A193" s="62" t="s">
        <v>200</v>
      </c>
      <c r="B193" s="61">
        <v>2017</v>
      </c>
      <c r="C193" s="60">
        <v>658370</v>
      </c>
      <c r="D193" s="60">
        <v>483900</v>
      </c>
      <c r="E193" s="60" t="s">
        <v>185</v>
      </c>
      <c r="F193" s="60">
        <v>61548</v>
      </c>
      <c r="G193" s="60">
        <v>107986</v>
      </c>
      <c r="H193" s="60" t="s">
        <v>199</v>
      </c>
    </row>
    <row r="194" spans="1:8" ht="15" hidden="1">
      <c r="A194" s="62" t="s">
        <v>198</v>
      </c>
      <c r="B194" s="61">
        <v>2017</v>
      </c>
      <c r="C194" s="60">
        <v>678300</v>
      </c>
      <c r="D194" s="60">
        <v>584549</v>
      </c>
      <c r="E194" s="60" t="s">
        <v>185</v>
      </c>
      <c r="F194" s="60">
        <v>82151</v>
      </c>
      <c r="G194" s="60">
        <v>11600</v>
      </c>
      <c r="H194" s="60" t="s">
        <v>184</v>
      </c>
    </row>
    <row r="195" spans="1:8" ht="15" hidden="1">
      <c r="A195" s="62" t="s">
        <v>197</v>
      </c>
      <c r="B195" s="61">
        <v>2017</v>
      </c>
      <c r="C195" s="60">
        <v>387158</v>
      </c>
      <c r="D195" s="60">
        <v>277716</v>
      </c>
      <c r="E195" s="60" t="s">
        <v>185</v>
      </c>
      <c r="F195" s="60">
        <v>72461</v>
      </c>
      <c r="G195" s="60">
        <v>36972</v>
      </c>
      <c r="H195" s="60" t="s">
        <v>196</v>
      </c>
    </row>
    <row r="196" spans="1:8" ht="15" hidden="1">
      <c r="A196" s="62" t="s">
        <v>195</v>
      </c>
      <c r="B196" s="61">
        <v>2017</v>
      </c>
      <c r="C196" s="60">
        <v>82667</v>
      </c>
      <c r="D196" s="60">
        <v>37480</v>
      </c>
      <c r="E196" s="60" t="s">
        <v>185</v>
      </c>
      <c r="F196" s="60">
        <v>45187</v>
      </c>
      <c r="G196" s="60" t="s">
        <v>185</v>
      </c>
      <c r="H196" s="60" t="s">
        <v>184</v>
      </c>
    </row>
    <row r="197" spans="1:8" ht="15" hidden="1">
      <c r="A197" s="62" t="s">
        <v>194</v>
      </c>
      <c r="B197" s="61">
        <v>2017</v>
      </c>
      <c r="C197" s="60">
        <v>334786</v>
      </c>
      <c r="D197" s="60">
        <v>163099</v>
      </c>
      <c r="E197" s="60">
        <v>34002</v>
      </c>
      <c r="F197" s="60">
        <v>58403</v>
      </c>
      <c r="G197" s="60">
        <v>75057</v>
      </c>
      <c r="H197" s="60" t="s">
        <v>193</v>
      </c>
    </row>
    <row r="198" spans="1:8" ht="15" hidden="1">
      <c r="A198" s="62" t="s">
        <v>192</v>
      </c>
      <c r="B198" s="61">
        <v>2017</v>
      </c>
      <c r="C198" s="60">
        <v>325431</v>
      </c>
      <c r="D198" s="60">
        <v>280346</v>
      </c>
      <c r="E198" s="60" t="s">
        <v>185</v>
      </c>
      <c r="F198" s="60">
        <v>35419</v>
      </c>
      <c r="G198" s="60">
        <v>9666</v>
      </c>
      <c r="H198" s="60" t="s">
        <v>184</v>
      </c>
    </row>
    <row r="199" spans="1:8" ht="15" hidden="1">
      <c r="A199" s="62" t="s">
        <v>191</v>
      </c>
      <c r="B199" s="61">
        <v>2017</v>
      </c>
      <c r="C199" s="60">
        <v>198809</v>
      </c>
      <c r="D199" s="60">
        <v>56631</v>
      </c>
      <c r="E199" s="60" t="s">
        <v>185</v>
      </c>
      <c r="F199" s="60">
        <v>138844</v>
      </c>
      <c r="G199" s="60">
        <v>3334</v>
      </c>
      <c r="H199" s="60" t="s">
        <v>184</v>
      </c>
    </row>
    <row r="200" spans="1:8" ht="15" hidden="1">
      <c r="A200" s="62" t="s">
        <v>190</v>
      </c>
      <c r="B200" s="61">
        <v>2017</v>
      </c>
      <c r="C200" s="60">
        <v>78238</v>
      </c>
      <c r="D200" s="60">
        <v>45531</v>
      </c>
      <c r="E200" s="60" t="s">
        <v>185</v>
      </c>
      <c r="F200" s="60">
        <v>19062</v>
      </c>
      <c r="G200" s="60">
        <v>7198</v>
      </c>
      <c r="H200" s="60" t="s">
        <v>189</v>
      </c>
    </row>
    <row r="201" spans="1:8" ht="15" hidden="1">
      <c r="A201" s="62" t="s">
        <v>188</v>
      </c>
      <c r="B201" s="61">
        <v>2017</v>
      </c>
      <c r="C201" s="60">
        <v>282384</v>
      </c>
      <c r="D201" s="60">
        <v>165737</v>
      </c>
      <c r="E201" s="60">
        <v>4933</v>
      </c>
      <c r="F201" s="60">
        <v>92195</v>
      </c>
      <c r="G201" s="60">
        <v>16135</v>
      </c>
      <c r="H201" s="60" t="s">
        <v>187</v>
      </c>
    </row>
    <row r="202" spans="1:8" ht="15" hidden="1">
      <c r="A202" s="62" t="s">
        <v>186</v>
      </c>
      <c r="B202" s="61">
        <v>2017</v>
      </c>
      <c r="C202" s="60">
        <v>23534</v>
      </c>
      <c r="D202" s="60">
        <v>2667</v>
      </c>
      <c r="E202" s="60" t="s">
        <v>185</v>
      </c>
      <c r="F202" s="60" t="s">
        <v>185</v>
      </c>
      <c r="G202" s="60">
        <v>20867</v>
      </c>
      <c r="H202" s="60" t="s">
        <v>184</v>
      </c>
    </row>
    <row r="203" spans="1:8" ht="15">
      <c r="A203" s="59" t="s">
        <v>183</v>
      </c>
      <c r="B203" s="58">
        <v>2016</v>
      </c>
      <c r="C203" s="57">
        <v>7203509</v>
      </c>
      <c r="D203" s="57">
        <v>3823656</v>
      </c>
      <c r="E203" s="57">
        <v>162322</v>
      </c>
      <c r="F203" s="57">
        <v>1953638</v>
      </c>
      <c r="G203" s="57">
        <v>991088</v>
      </c>
      <c r="H203" s="57">
        <v>272805</v>
      </c>
    </row>
    <row r="204" spans="1:8" ht="15">
      <c r="A204" s="59" t="s">
        <v>183</v>
      </c>
      <c r="B204" s="58">
        <v>2015</v>
      </c>
      <c r="C204" s="57">
        <v>7683695</v>
      </c>
      <c r="D204" s="57">
        <v>4362589</v>
      </c>
      <c r="E204" s="57">
        <v>128390</v>
      </c>
      <c r="F204" s="57">
        <v>2152877</v>
      </c>
      <c r="G204" s="57">
        <v>739334</v>
      </c>
      <c r="H204" s="57">
        <v>300505</v>
      </c>
    </row>
  </sheetData>
  <autoFilter ref="A1:N204" xr:uid="{4130797B-7611-421B-9CA3-2FFC980FA7C0}">
    <filterColumn colId="0">
      <filters>
        <filter val="全国"/>
      </filters>
    </filterColumn>
  </autoFilter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R49"/>
  <sheetViews>
    <sheetView tabSelected="1" workbookViewId="0">
      <selection activeCell="J12" sqref="J12"/>
    </sheetView>
  </sheetViews>
  <sheetFormatPr defaultColWidth="9.125" defaultRowHeight="13.5"/>
  <cols>
    <col min="1" max="1" width="36.125" bestFit="1" customWidth="1"/>
    <col min="2" max="44" width="12" customWidth="1"/>
  </cols>
  <sheetData>
    <row r="1" spans="1:44">
      <c r="A1" t="s">
        <v>141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142</v>
      </c>
      <c r="B2">
        <f>'set asides_2014to2018'!$A$29</f>
        <v>3362289</v>
      </c>
      <c r="C2">
        <f>$B2</f>
        <v>3362289</v>
      </c>
      <c r="D2">
        <f t="shared" ref="D2:AR7" si="0">$B2</f>
        <v>3362289</v>
      </c>
      <c r="E2">
        <f t="shared" si="0"/>
        <v>3362289</v>
      </c>
      <c r="F2">
        <f t="shared" si="0"/>
        <v>3362289</v>
      </c>
      <c r="G2">
        <f t="shared" si="0"/>
        <v>3362289</v>
      </c>
      <c r="H2">
        <f t="shared" si="0"/>
        <v>3362289</v>
      </c>
      <c r="I2">
        <f t="shared" si="0"/>
        <v>3362289</v>
      </c>
      <c r="J2">
        <f t="shared" si="0"/>
        <v>3362289</v>
      </c>
      <c r="K2">
        <f t="shared" si="0"/>
        <v>3362289</v>
      </c>
      <c r="L2">
        <f t="shared" si="0"/>
        <v>3362289</v>
      </c>
      <c r="M2">
        <f t="shared" si="0"/>
        <v>3362289</v>
      </c>
      <c r="N2">
        <f t="shared" si="0"/>
        <v>3362289</v>
      </c>
      <c r="O2">
        <f t="shared" si="0"/>
        <v>3362289</v>
      </c>
      <c r="P2">
        <f t="shared" si="0"/>
        <v>3362289</v>
      </c>
      <c r="Q2">
        <f t="shared" si="0"/>
        <v>3362289</v>
      </c>
      <c r="R2">
        <f t="shared" si="0"/>
        <v>3362289</v>
      </c>
      <c r="S2">
        <f t="shared" si="0"/>
        <v>3362289</v>
      </c>
      <c r="T2">
        <f t="shared" si="0"/>
        <v>3362289</v>
      </c>
      <c r="U2">
        <f t="shared" si="0"/>
        <v>3362289</v>
      </c>
      <c r="V2">
        <f t="shared" si="0"/>
        <v>3362289</v>
      </c>
      <c r="W2">
        <f t="shared" si="0"/>
        <v>3362289</v>
      </c>
      <c r="X2">
        <f t="shared" si="0"/>
        <v>3362289</v>
      </c>
      <c r="Y2">
        <f t="shared" si="0"/>
        <v>3362289</v>
      </c>
      <c r="Z2">
        <f t="shared" si="0"/>
        <v>3362289</v>
      </c>
      <c r="AA2">
        <f t="shared" si="0"/>
        <v>3362289</v>
      </c>
      <c r="AB2">
        <f t="shared" si="0"/>
        <v>3362289</v>
      </c>
      <c r="AC2">
        <f t="shared" si="0"/>
        <v>3362289</v>
      </c>
      <c r="AD2">
        <f t="shared" si="0"/>
        <v>3362289</v>
      </c>
      <c r="AE2">
        <f t="shared" si="0"/>
        <v>3362289</v>
      </c>
      <c r="AF2">
        <f t="shared" si="0"/>
        <v>3362289</v>
      </c>
      <c r="AG2">
        <f t="shared" si="0"/>
        <v>3362289</v>
      </c>
      <c r="AH2">
        <f t="shared" si="0"/>
        <v>3362289</v>
      </c>
      <c r="AI2">
        <f t="shared" si="0"/>
        <v>3362289</v>
      </c>
      <c r="AJ2">
        <f t="shared" si="0"/>
        <v>3362289</v>
      </c>
      <c r="AK2">
        <f t="shared" si="0"/>
        <v>3362289</v>
      </c>
      <c r="AL2">
        <f t="shared" si="0"/>
        <v>3362289</v>
      </c>
      <c r="AM2">
        <f t="shared" si="0"/>
        <v>3362289</v>
      </c>
      <c r="AN2">
        <f t="shared" si="0"/>
        <v>3362289</v>
      </c>
      <c r="AO2">
        <f t="shared" si="0"/>
        <v>3362289</v>
      </c>
      <c r="AP2">
        <f t="shared" si="0"/>
        <v>3362289</v>
      </c>
      <c r="AQ2">
        <f t="shared" si="0"/>
        <v>3362289</v>
      </c>
      <c r="AR2">
        <f t="shared" si="0"/>
        <v>3362289</v>
      </c>
    </row>
    <row r="3" spans="1:44">
      <c r="A3" s="41" t="s">
        <v>143</v>
      </c>
      <c r="B3">
        <f>Calculation!$M$15</f>
        <v>11830791</v>
      </c>
      <c r="C3">
        <f t="shared" ref="C3:R7" si="1">$B3</f>
        <v>11830791</v>
      </c>
      <c r="D3">
        <f t="shared" si="1"/>
        <v>11830791</v>
      </c>
      <c r="E3">
        <f t="shared" si="1"/>
        <v>11830791</v>
      </c>
      <c r="F3">
        <f t="shared" si="1"/>
        <v>11830791</v>
      </c>
      <c r="G3">
        <f t="shared" si="1"/>
        <v>11830791</v>
      </c>
      <c r="H3">
        <f t="shared" si="1"/>
        <v>11830791</v>
      </c>
      <c r="I3">
        <f t="shared" si="1"/>
        <v>11830791</v>
      </c>
      <c r="J3">
        <f t="shared" si="1"/>
        <v>11830791</v>
      </c>
      <c r="K3">
        <f t="shared" si="1"/>
        <v>11830791</v>
      </c>
      <c r="L3">
        <f t="shared" si="1"/>
        <v>11830791</v>
      </c>
      <c r="M3">
        <f t="shared" si="1"/>
        <v>11830791</v>
      </c>
      <c r="N3">
        <f t="shared" si="1"/>
        <v>11830791</v>
      </c>
      <c r="O3">
        <f t="shared" si="1"/>
        <v>11830791</v>
      </c>
      <c r="P3">
        <f t="shared" si="1"/>
        <v>11830791</v>
      </c>
      <c r="Q3">
        <f t="shared" si="1"/>
        <v>11830791</v>
      </c>
      <c r="R3">
        <f t="shared" si="1"/>
        <v>11830791</v>
      </c>
      <c r="S3">
        <f t="shared" si="0"/>
        <v>11830791</v>
      </c>
      <c r="T3">
        <f t="shared" si="0"/>
        <v>11830791</v>
      </c>
      <c r="U3">
        <f t="shared" si="0"/>
        <v>11830791</v>
      </c>
      <c r="V3">
        <f t="shared" si="0"/>
        <v>11830791</v>
      </c>
      <c r="W3">
        <f t="shared" si="0"/>
        <v>11830791</v>
      </c>
      <c r="X3">
        <f t="shared" si="0"/>
        <v>11830791</v>
      </c>
      <c r="Y3">
        <f t="shared" si="0"/>
        <v>11830791</v>
      </c>
      <c r="Z3">
        <f t="shared" si="0"/>
        <v>11830791</v>
      </c>
      <c r="AA3">
        <f t="shared" si="0"/>
        <v>11830791</v>
      </c>
      <c r="AB3">
        <f t="shared" si="0"/>
        <v>11830791</v>
      </c>
      <c r="AC3">
        <f t="shared" si="0"/>
        <v>11830791</v>
      </c>
      <c r="AD3">
        <f t="shared" si="0"/>
        <v>11830791</v>
      </c>
      <c r="AE3">
        <f t="shared" si="0"/>
        <v>11830791</v>
      </c>
      <c r="AF3">
        <f t="shared" si="0"/>
        <v>11830791</v>
      </c>
      <c r="AG3">
        <f t="shared" si="0"/>
        <v>11830791</v>
      </c>
      <c r="AH3">
        <f t="shared" si="0"/>
        <v>11830791</v>
      </c>
      <c r="AI3">
        <f t="shared" si="0"/>
        <v>11830791</v>
      </c>
      <c r="AJ3">
        <f t="shared" si="0"/>
        <v>11830791</v>
      </c>
      <c r="AK3">
        <f t="shared" si="0"/>
        <v>11830791</v>
      </c>
      <c r="AL3">
        <f t="shared" si="0"/>
        <v>11830791</v>
      </c>
      <c r="AM3">
        <f t="shared" si="0"/>
        <v>11830791</v>
      </c>
      <c r="AN3">
        <f t="shared" si="0"/>
        <v>11830791</v>
      </c>
      <c r="AO3">
        <f t="shared" si="0"/>
        <v>11830791</v>
      </c>
      <c r="AP3">
        <f t="shared" si="0"/>
        <v>11830791</v>
      </c>
      <c r="AQ3">
        <f t="shared" si="0"/>
        <v>11830791</v>
      </c>
      <c r="AR3">
        <f t="shared" si="0"/>
        <v>11830791</v>
      </c>
    </row>
    <row r="4" spans="1:44">
      <c r="A4" t="s">
        <v>144</v>
      </c>
      <c r="B4">
        <f>Calculation!N15</f>
        <v>28145106</v>
      </c>
      <c r="C4">
        <f>$B4</f>
        <v>28145106</v>
      </c>
      <c r="D4">
        <f t="shared" si="1"/>
        <v>28145106</v>
      </c>
      <c r="E4">
        <f t="shared" si="1"/>
        <v>28145106</v>
      </c>
      <c r="F4">
        <f t="shared" si="1"/>
        <v>28145106</v>
      </c>
      <c r="G4">
        <f t="shared" si="1"/>
        <v>28145106</v>
      </c>
      <c r="H4">
        <f t="shared" si="1"/>
        <v>28145106</v>
      </c>
      <c r="I4">
        <f t="shared" si="1"/>
        <v>28145106</v>
      </c>
      <c r="J4">
        <f t="shared" si="1"/>
        <v>28145106</v>
      </c>
      <c r="K4">
        <f t="shared" si="1"/>
        <v>28145106</v>
      </c>
      <c r="L4">
        <f t="shared" si="1"/>
        <v>28145106</v>
      </c>
      <c r="M4">
        <f t="shared" si="1"/>
        <v>28145106</v>
      </c>
      <c r="N4">
        <f t="shared" si="1"/>
        <v>28145106</v>
      </c>
      <c r="O4">
        <f t="shared" si="1"/>
        <v>28145106</v>
      </c>
      <c r="P4">
        <f t="shared" si="1"/>
        <v>28145106</v>
      </c>
      <c r="Q4">
        <f t="shared" si="1"/>
        <v>28145106</v>
      </c>
      <c r="R4">
        <f t="shared" si="1"/>
        <v>28145106</v>
      </c>
      <c r="S4">
        <f t="shared" si="0"/>
        <v>28145106</v>
      </c>
      <c r="T4">
        <f t="shared" si="0"/>
        <v>28145106</v>
      </c>
      <c r="U4">
        <f t="shared" si="0"/>
        <v>28145106</v>
      </c>
      <c r="V4">
        <f t="shared" si="0"/>
        <v>28145106</v>
      </c>
      <c r="W4">
        <f t="shared" si="0"/>
        <v>28145106</v>
      </c>
      <c r="X4">
        <f t="shared" si="0"/>
        <v>28145106</v>
      </c>
      <c r="Y4">
        <f t="shared" si="0"/>
        <v>28145106</v>
      </c>
      <c r="Z4">
        <f t="shared" si="0"/>
        <v>28145106</v>
      </c>
      <c r="AA4">
        <f t="shared" si="0"/>
        <v>28145106</v>
      </c>
      <c r="AB4">
        <f t="shared" si="0"/>
        <v>28145106</v>
      </c>
      <c r="AC4">
        <f t="shared" si="0"/>
        <v>28145106</v>
      </c>
      <c r="AD4">
        <f t="shared" si="0"/>
        <v>28145106</v>
      </c>
      <c r="AE4">
        <f t="shared" si="0"/>
        <v>28145106</v>
      </c>
      <c r="AF4">
        <f t="shared" si="0"/>
        <v>28145106</v>
      </c>
      <c r="AG4">
        <f t="shared" si="0"/>
        <v>28145106</v>
      </c>
      <c r="AH4">
        <f t="shared" si="0"/>
        <v>28145106</v>
      </c>
      <c r="AI4">
        <f t="shared" si="0"/>
        <v>28145106</v>
      </c>
      <c r="AJ4">
        <f t="shared" si="0"/>
        <v>28145106</v>
      </c>
      <c r="AK4">
        <f t="shared" si="0"/>
        <v>28145106</v>
      </c>
      <c r="AL4">
        <f t="shared" si="0"/>
        <v>28145106</v>
      </c>
      <c r="AM4">
        <f t="shared" si="0"/>
        <v>28145106</v>
      </c>
      <c r="AN4">
        <f t="shared" si="0"/>
        <v>28145106</v>
      </c>
      <c r="AO4">
        <f t="shared" si="0"/>
        <v>28145106</v>
      </c>
      <c r="AP4">
        <f t="shared" si="0"/>
        <v>28145106</v>
      </c>
      <c r="AQ4">
        <f t="shared" si="0"/>
        <v>28145106</v>
      </c>
      <c r="AR4">
        <f t="shared" si="0"/>
        <v>28145106</v>
      </c>
    </row>
    <row r="5" spans="1:44">
      <c r="A5" t="s">
        <v>145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</row>
    <row r="6" spans="1:44">
      <c r="A6" t="s">
        <v>146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</row>
    <row r="7" spans="1:44">
      <c r="A7" t="s">
        <v>147</v>
      </c>
      <c r="B7">
        <f>Calculation!$O$15</f>
        <v>10479765</v>
      </c>
      <c r="C7">
        <f t="shared" si="1"/>
        <v>10479765</v>
      </c>
      <c r="D7">
        <f t="shared" si="0"/>
        <v>10479765</v>
      </c>
      <c r="E7">
        <f t="shared" si="0"/>
        <v>10479765</v>
      </c>
      <c r="F7">
        <f t="shared" si="0"/>
        <v>10479765</v>
      </c>
      <c r="G7">
        <f t="shared" si="0"/>
        <v>10479765</v>
      </c>
      <c r="H7">
        <f t="shared" si="0"/>
        <v>10479765</v>
      </c>
      <c r="I7">
        <f t="shared" si="0"/>
        <v>10479765</v>
      </c>
      <c r="J7">
        <f t="shared" si="0"/>
        <v>10479765</v>
      </c>
      <c r="K7">
        <f t="shared" si="0"/>
        <v>10479765</v>
      </c>
      <c r="L7">
        <f t="shared" si="0"/>
        <v>10479765</v>
      </c>
      <c r="M7">
        <f t="shared" si="0"/>
        <v>10479765</v>
      </c>
      <c r="N7">
        <f t="shared" si="0"/>
        <v>10479765</v>
      </c>
      <c r="O7">
        <f t="shared" si="0"/>
        <v>10479765</v>
      </c>
      <c r="P7">
        <f t="shared" si="0"/>
        <v>10479765</v>
      </c>
      <c r="Q7">
        <f t="shared" si="0"/>
        <v>10479765</v>
      </c>
      <c r="R7">
        <f t="shared" si="0"/>
        <v>10479765</v>
      </c>
      <c r="S7">
        <f t="shared" si="0"/>
        <v>10479765</v>
      </c>
      <c r="T7">
        <f t="shared" si="0"/>
        <v>10479765</v>
      </c>
      <c r="U7">
        <f t="shared" si="0"/>
        <v>10479765</v>
      </c>
      <c r="V7">
        <f t="shared" si="0"/>
        <v>10479765</v>
      </c>
      <c r="W7">
        <f t="shared" si="0"/>
        <v>10479765</v>
      </c>
      <c r="X7">
        <f t="shared" si="0"/>
        <v>10479765</v>
      </c>
      <c r="Y7">
        <f t="shared" si="0"/>
        <v>10479765</v>
      </c>
      <c r="Z7">
        <f t="shared" si="0"/>
        <v>10479765</v>
      </c>
      <c r="AA7">
        <f t="shared" si="0"/>
        <v>10479765</v>
      </c>
      <c r="AB7">
        <f t="shared" si="0"/>
        <v>10479765</v>
      </c>
      <c r="AC7">
        <f t="shared" si="0"/>
        <v>10479765</v>
      </c>
      <c r="AD7">
        <f t="shared" si="0"/>
        <v>10479765</v>
      </c>
      <c r="AE7">
        <f t="shared" si="0"/>
        <v>10479765</v>
      </c>
      <c r="AF7">
        <f t="shared" si="0"/>
        <v>10479765</v>
      </c>
      <c r="AG7">
        <f t="shared" si="0"/>
        <v>10479765</v>
      </c>
      <c r="AH7">
        <f t="shared" si="0"/>
        <v>10479765</v>
      </c>
      <c r="AI7">
        <f t="shared" si="0"/>
        <v>10479765</v>
      </c>
      <c r="AJ7">
        <f t="shared" si="0"/>
        <v>10479765</v>
      </c>
      <c r="AK7">
        <f t="shared" si="0"/>
        <v>10479765</v>
      </c>
      <c r="AL7">
        <f t="shared" si="0"/>
        <v>10479765</v>
      </c>
      <c r="AM7">
        <f t="shared" si="0"/>
        <v>10479765</v>
      </c>
      <c r="AN7">
        <f t="shared" si="0"/>
        <v>10479765</v>
      </c>
      <c r="AO7">
        <f t="shared" si="0"/>
        <v>10479765</v>
      </c>
      <c r="AP7">
        <f t="shared" si="0"/>
        <v>10479765</v>
      </c>
      <c r="AQ7">
        <f t="shared" si="0"/>
        <v>10479765</v>
      </c>
      <c r="AR7">
        <f t="shared" si="0"/>
        <v>10479765</v>
      </c>
    </row>
    <row r="11" spans="1:44">
      <c r="A11" s="41"/>
      <c r="B11" s="41"/>
      <c r="C11" s="41"/>
    </row>
    <row r="14" spans="1:44">
      <c r="A14" s="41"/>
      <c r="B14" s="41"/>
      <c r="C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</row>
    <row r="24" spans="1:3">
      <c r="A24" s="44"/>
      <c r="B24" s="44"/>
      <c r="C24" s="44"/>
    </row>
    <row r="37" spans="1:3">
      <c r="A37" s="44"/>
      <c r="B37" s="44"/>
      <c r="C37" s="44"/>
    </row>
    <row r="49" spans="1:3">
      <c r="A49" s="41"/>
      <c r="B49" s="41"/>
      <c r="C49" s="41"/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About</vt:lpstr>
      <vt:lpstr>Aforestation by province</vt:lpstr>
      <vt:lpstr>2020-2023national total</vt:lpstr>
      <vt:lpstr>set asides_2014to2018</vt:lpstr>
      <vt:lpstr>Forestry Statistics</vt:lpstr>
      <vt:lpstr>Calculation</vt:lpstr>
      <vt:lpstr>Yearbook Stats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guoning</dc:creator>
  <cp:lastModifiedBy>Rui Wang</cp:lastModifiedBy>
  <dcterms:created xsi:type="dcterms:W3CDTF">2023-04-04T16:00:14Z</dcterms:created>
  <dcterms:modified xsi:type="dcterms:W3CDTF">2026-05-08T07:20:56Z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2BD14D8714C00E828C5D2E6422B5C5A6</vt:lpwstr>
  </property>
  <property fmtid="{D5CDD505-2E9C-101B-9397-08002B2CF9AE}" pid="3" name="KSOProductBuildVer">
    <vt:lpwstr>2052-5.1.1.7662</vt:lpwstr>
  </property>
</Properties>
</file>