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EPS in github\Github Smart-trans\eps-Inner-Mongolia-smart-trans\InputData\ctrl-settings\EGGRA\"/>
    </mc:Choice>
  </mc:AlternateContent>
  <xr:revisionPtr revIDLastSave="0" documentId="13_ncr:1_{73C13D48-7F34-45A4-AC8C-F3E3CB7740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bout" sheetId="1" r:id="rId1"/>
    <sheet name="Industrial Economy" sheetId="11" r:id="rId2"/>
    <sheet name="EGGRA-gdp-adjustment" sheetId="9" r:id="rId3"/>
    <sheet name="EGGRA-use-adjustment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1" l="1"/>
  <c r="D18" i="11"/>
  <c r="B18" i="11"/>
  <c r="D13" i="11" l="1"/>
  <c r="C13" i="11"/>
  <c r="D15" i="11" l="1"/>
  <c r="D16" i="11" s="1"/>
  <c r="C2" i="9" s="1"/>
  <c r="D2" i="9" l="1"/>
  <c r="C15" i="11"/>
  <c r="C16" i="11" s="1"/>
  <c r="B2" i="9" s="1"/>
</calcChain>
</file>

<file path=xl/sharedStrings.xml><?xml version="1.0" encoding="utf-8"?>
<sst xmlns="http://schemas.openxmlformats.org/spreadsheetml/2006/main" count="58" uniqueCount="58">
  <si>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</si>
  <si>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</si>
  <si>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</si>
  <si>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</si>
  <si>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</si>
  <si>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</si>
  <si>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</si>
  <si>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</si>
  <si>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</si>
  <si>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</si>
  <si>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</si>
  <si>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</si>
  <si>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This control setting is used to cause the BAU case (and policy cases) to</t>
  </si>
  <si>
    <t>EGGRA Exogenous GDP Growth Rate Adjustment</t>
  </si>
  <si>
    <t>Exogenous GDP Growth Rate Adjustment</t>
  </si>
  <si>
    <t>Unit: dimensionless (difference in percentage rates)</t>
  </si>
  <si>
    <t>scenarios with high granularity, this file provides an easy-to-use,</t>
  </si>
  <si>
    <t>As of EPS 3.4, this lever is no longer used for the U.S. EPS.</t>
  </si>
  <si>
    <t xml:space="preserve">It was formerly used to represent the economic impacts of the </t>
  </si>
  <si>
    <t>U.S. EPS Lever Usage</t>
  </si>
  <si>
    <t>COVID-19 pandemic, which was not yet reflected in most energy use</t>
  </si>
  <si>
    <t>data.  This lever was set based on forecates in the EIA Short-Term Energy Outlook (STEO).</t>
  </si>
  <si>
    <t>More recent energy data updates in other sources, such as the EIA Annual Energy</t>
  </si>
  <si>
    <t>Outlook, include the effects of the pandemic, so this lever is no longer needed</t>
  </si>
  <si>
    <t>to represent the COVID-19 recession in the U.S. model.</t>
  </si>
  <si>
    <t>None at present (lever not in use)</t>
  </si>
  <si>
    <t>EGGRA Boolean Use Exogenous GDP Growth Rate Adjustment</t>
  </si>
  <si>
    <t>The variable "EGGRA Boolean Use Exogenous GDP Growth Rate Adjustment"</t>
  </si>
  <si>
    <t>exists to be a toggle lever so that the adjustment can be enabled and disabled</t>
  </si>
  <si>
    <t>in the web application interface.</t>
  </si>
  <si>
    <t>Boolean</t>
  </si>
  <si>
    <t>Unit: boolean (0 or 1)</t>
  </si>
  <si>
    <t>Use Exogenous GDP Growth Rate Adjustment</t>
  </si>
  <si>
    <t>年份</t>
    <phoneticPr fontId="8" type="noConversion"/>
  </si>
  <si>
    <t>2019</t>
    <phoneticPr fontId="8" type="noConversion"/>
  </si>
  <si>
    <t>生产总值</t>
    <phoneticPr fontId="8" type="noConversion"/>
  </si>
  <si>
    <t>第一产业</t>
    <phoneticPr fontId="8" type="noConversion"/>
  </si>
  <si>
    <t>第二产业</t>
    <phoneticPr fontId="8" type="noConversion"/>
  </si>
  <si>
    <t>第三产业</t>
    <phoneticPr fontId="8" type="noConversion"/>
  </si>
  <si>
    <t>人均</t>
    <phoneticPr fontId="8" type="noConversion"/>
  </si>
  <si>
    <t>Real Growth Rate</t>
    <phoneticPr fontId="6" type="noConversion"/>
  </si>
  <si>
    <t>Nominal Growth Rate</t>
    <phoneticPr fontId="6" type="noConversion"/>
  </si>
  <si>
    <t>Model BAU Growth Rate</t>
    <phoneticPr fontId="6" type="noConversion"/>
  </si>
  <si>
    <t>名称</t>
  </si>
  <si>
    <t>EGGRA</t>
    <phoneticPr fontId="6" type="noConversion"/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</si>
  <si>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</si>
  <si>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</si>
  <si>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</si>
  <si>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</si>
  <si>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</si>
  <si>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</si>
  <si>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</si>
  <si>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</si>
  <si>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</si>
  <si>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</si>
  <si>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</si>
  <si>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</si>
  <si>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2-1  生产总值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</si>
</sst>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sz val="11"/>
      <color rgb="FF3D3D3D"/>
      <name val="Microsoft YaHei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4" fillId="0" borderId="0">
      <alignment vertical="center"/>
    </xf>
    <xf numFmtId="0" fontId="4" fillId="0" borderId="0"/>
    <xf numFmtId="0" fontId="15" fillId="0" borderId="0">
      <alignment vertical="center"/>
    </xf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1" fillId="2" borderId="0" xfId="0" applyFont="1" applyFill="1"/>
    <xf numFmtId="0" fontId="3" fillId="0" borderId="0" xfId="0" applyFont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5" fillId="3" borderId="0" xfId="2" applyFont="1" applyFill="1">
      <alignment vertical="center"/>
    </xf>
    <xf numFmtId="0" fontId="4" fillId="0" borderId="0" xfId="3"/>
    <xf numFmtId="0" fontId="7" fillId="0" borderId="1" xfId="3" applyFont="1" applyBorder="1"/>
    <xf numFmtId="49" fontId="9" fillId="4" borderId="1" xfId="2" applyNumberFormat="1" applyFont="1" applyFill="1" applyBorder="1" applyAlignment="1">
      <alignment horizontal="center" vertical="center"/>
    </xf>
    <xf numFmtId="0" fontId="7" fillId="0" borderId="0" xfId="3" applyFont="1"/>
    <xf numFmtId="176" fontId="10" fillId="3" borderId="1" xfId="2" applyNumberFormat="1" applyFont="1" applyFill="1" applyBorder="1" applyAlignment="1">
      <alignment horizontal="right" vertical="center"/>
    </xf>
    <xf numFmtId="1" fontId="10" fillId="3" borderId="1" xfId="2" applyNumberFormat="1" applyFont="1" applyFill="1" applyBorder="1" applyAlignment="1">
      <alignment horizontal="right" vertical="center"/>
    </xf>
    <xf numFmtId="0" fontId="11" fillId="0" borderId="0" xfId="0" applyFont="1"/>
    <xf numFmtId="10" fontId="7" fillId="0" borderId="0" xfId="3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5" borderId="0" xfId="0" applyFont="1" applyFill="1" applyAlignment="1">
      <alignment horizontal="left"/>
    </xf>
    <xf numFmtId="177" fontId="14" fillId="0" borderId="0" xfId="0" applyNumberFormat="1" applyFont="1"/>
    <xf numFmtId="177" fontId="7" fillId="0" borderId="0" xfId="3" applyNumberFormat="1" applyFont="1"/>
    <xf numFmtId="0" fontId="12" fillId="0" borderId="0" xfId="0" applyFont="1" applyAlignment="1">
      <alignment horizontal="left"/>
    </xf>
    <xf numFmtId="177" fontId="10" fillId="6" borderId="2" xfId="0" applyNumberFormat="1" applyFont="1" applyFill="1" applyBorder="1" applyAlignment="1" applyProtection="1">
      <alignment horizontal="right" vertical="center"/>
      <protection locked="0"/>
    </xf>
  </cellXfs>
  <cellStyles count="5">
    <cellStyle name="常规" xfId="0" builtinId="0"/>
    <cellStyle name="常规 2" xfId="3" xr:uid="{68BAE3FD-2838-49CF-800E-60BB0E3BB088}"/>
    <cellStyle name="常规 3" xfId="4" xr:uid="{79A2B751-85AD-4038-B71D-C904B1841320}"/>
    <cellStyle name="常规 4" xfId="2" xr:uid="{3D522B7B-09F7-4703-92FE-3233553FE126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/>
  </sheetViews>
  <sheetFormatPr defaultRowHeight="13.8"/>
  <cols>
    <col min="2" max="2" width="52.6640625" customWidth="1"/>
  </cols>
  <sheetData>
    <row r="1" spans="1:2">
      <c r="A1" s="1" t="s">
        <v>13</v>
      </c>
    </row>
    <row r="2" spans="1:2">
      <c r="A2" s="1" t="s">
        <v>26</v>
      </c>
    </row>
    <row r="3" spans="1:2">
      <c r="A3" s="1"/>
    </row>
    <row r="4" spans="1:2">
      <c r="A4" s="1" t="s">
        <v>11</v>
      </c>
      <c r="B4" t="s">
        <v>25</v>
      </c>
    </row>
    <row r="6" spans="1:2">
      <c r="B6" s="6"/>
    </row>
    <row r="8" spans="1:2">
      <c r="B8" s="3"/>
    </row>
    <row r="10" spans="1:2">
      <c r="A10" s="1" t="s">
        <v>0</v>
      </c>
    </row>
    <row r="11" spans="1:2">
      <c r="A11" t="s">
        <v>12</v>
      </c>
    </row>
    <row r="12" spans="1:2">
      <c r="A12" t="s">
        <v>1</v>
      </c>
    </row>
    <row r="13" spans="1:2">
      <c r="A13" t="s">
        <v>7</v>
      </c>
    </row>
    <row r="14" spans="1:2">
      <c r="A14" t="s">
        <v>2</v>
      </c>
    </row>
    <row r="15" spans="1:2">
      <c r="A15" t="s">
        <v>16</v>
      </c>
    </row>
    <row r="16" spans="1:2">
      <c r="A16" t="s">
        <v>3</v>
      </c>
    </row>
    <row r="17" spans="1:2">
      <c r="A17" t="s">
        <v>4</v>
      </c>
    </row>
    <row r="19" spans="1:2">
      <c r="A19" t="s">
        <v>5</v>
      </c>
    </row>
    <row r="20" spans="1:2">
      <c r="A20" t="s">
        <v>8</v>
      </c>
    </row>
    <row r="21" spans="1:2">
      <c r="A21" t="s">
        <v>9</v>
      </c>
    </row>
    <row r="22" spans="1:2">
      <c r="A22" t="s">
        <v>10</v>
      </c>
    </row>
    <row r="23" spans="1:2">
      <c r="A23" t="s">
        <v>6</v>
      </c>
    </row>
    <row r="25" spans="1:2">
      <c r="A25" t="s">
        <v>27</v>
      </c>
    </row>
    <row r="26" spans="1:2">
      <c r="A26" t="s">
        <v>28</v>
      </c>
    </row>
    <row r="27" spans="1:2">
      <c r="A27" t="s">
        <v>29</v>
      </c>
    </row>
    <row r="29" spans="1:2">
      <c r="A29" s="4" t="s">
        <v>19</v>
      </c>
      <c r="B29" s="2"/>
    </row>
    <row r="30" spans="1:2">
      <c r="A30" t="s">
        <v>17</v>
      </c>
    </row>
    <row r="31" spans="1:2">
      <c r="A31" t="s">
        <v>18</v>
      </c>
    </row>
    <row r="32" spans="1:2">
      <c r="A32" t="s">
        <v>20</v>
      </c>
    </row>
    <row r="33" spans="1:1">
      <c r="A33" t="s">
        <v>21</v>
      </c>
    </row>
    <row r="34" spans="1:1">
      <c r="A34" t="s">
        <v>22</v>
      </c>
    </row>
    <row r="35" spans="1:1">
      <c r="A35" t="s">
        <v>23</v>
      </c>
    </row>
    <row r="36" spans="1:1">
      <c r="A36" t="s">
        <v>24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39F7-8075-45D8-B94F-D8F2D030450D}">
  <dimension ref="A1:AT36"/>
  <sheetViews>
    <sheetView workbookViewId="0">
      <selection activeCell="J27" sqref="J27"/>
    </sheetView>
  </sheetViews>
  <sheetFormatPr defaultColWidth="9" defaultRowHeight="15.6"/>
  <cols>
    <col min="1" max="1" width="36" style="12" customWidth="1"/>
    <col min="2" max="2" width="12.109375" style="12" customWidth="1"/>
    <col min="3" max="3" width="11.33203125" style="12" customWidth="1"/>
    <col min="4" max="4" width="11.109375" style="12" customWidth="1"/>
    <col min="5" max="5" width="9.88671875" style="12" bestFit="1" customWidth="1"/>
    <col min="6" max="6" width="9" style="12"/>
    <col min="7" max="9" width="9" style="9"/>
    <col min="10" max="10" width="9.88671875" style="9" bestFit="1" customWidth="1"/>
    <col min="11" max="16384" width="9" style="9"/>
  </cols>
  <sheetData>
    <row r="1" spans="1:7">
      <c r="A1" s="8" t="s">
        <v>57</v>
      </c>
      <c r="B1" s="8"/>
      <c r="C1" s="8"/>
      <c r="D1" s="8"/>
      <c r="E1" s="8"/>
      <c r="F1" s="8"/>
    </row>
    <row r="2" spans="1:7" ht="14.25" customHeight="1">
      <c r="A2" s="10" t="s">
        <v>33</v>
      </c>
      <c r="B2" s="11" t="s">
        <v>34</v>
      </c>
      <c r="C2" s="11">
        <v>2020</v>
      </c>
      <c r="D2" s="11">
        <v>2021</v>
      </c>
      <c r="G2" s="10"/>
    </row>
    <row r="3" spans="1:7" ht="16.8">
      <c r="A3" s="10" t="s">
        <v>35</v>
      </c>
      <c r="B3" s="23">
        <v>17212.53</v>
      </c>
      <c r="C3" s="13">
        <v>17258.04</v>
      </c>
      <c r="D3" s="13">
        <v>20514.189999999999</v>
      </c>
      <c r="E3" s="15"/>
      <c r="G3" s="10"/>
    </row>
    <row r="4" spans="1:7">
      <c r="A4" s="10" t="s">
        <v>36</v>
      </c>
      <c r="B4" s="13">
        <v>5116.99</v>
      </c>
      <c r="C4" s="13">
        <v>5364.35</v>
      </c>
      <c r="D4" s="13">
        <v>6029.03</v>
      </c>
      <c r="G4" s="10"/>
    </row>
    <row r="5" spans="1:7">
      <c r="A5" s="10" t="s">
        <v>37</v>
      </c>
      <c r="B5" s="13">
        <v>6763.14</v>
      </c>
      <c r="C5" s="13">
        <v>6908.17</v>
      </c>
      <c r="D5" s="13">
        <v>9374.19</v>
      </c>
      <c r="G5" s="10"/>
    </row>
    <row r="6" spans="1:7">
      <c r="A6" s="10" t="s">
        <v>38</v>
      </c>
      <c r="B6" s="13">
        <v>8586.1299999999992</v>
      </c>
      <c r="C6" s="13">
        <v>8321.06</v>
      </c>
      <c r="D6" s="13">
        <v>8914.77</v>
      </c>
      <c r="G6" s="10"/>
    </row>
    <row r="7" spans="1:7">
      <c r="A7" s="10"/>
      <c r="B7" s="13"/>
      <c r="C7" s="13"/>
      <c r="D7" s="13"/>
      <c r="G7" s="10"/>
    </row>
    <row r="8" spans="1:7">
      <c r="A8" s="10"/>
      <c r="B8" s="13"/>
      <c r="C8" s="13"/>
      <c r="D8" s="13"/>
      <c r="G8" s="10"/>
    </row>
    <row r="9" spans="1:7">
      <c r="A9" s="10" t="s">
        <v>39</v>
      </c>
      <c r="B9" s="14">
        <v>71170</v>
      </c>
      <c r="C9" s="14">
        <v>71640</v>
      </c>
      <c r="D9" s="14">
        <v>85422</v>
      </c>
      <c r="G9" s="10"/>
    </row>
    <row r="12" spans="1:7">
      <c r="A12" s="12" t="s">
        <v>40</v>
      </c>
      <c r="B12" s="16">
        <v>5.1999999999999998E-2</v>
      </c>
      <c r="C12" s="16">
        <v>2E-3</v>
      </c>
      <c r="D12" s="16">
        <v>6.3E-2</v>
      </c>
      <c r="E12" s="16"/>
    </row>
    <row r="13" spans="1:7">
      <c r="A13" s="12" t="s">
        <v>41</v>
      </c>
      <c r="C13" s="16">
        <f>C3/B3-1</f>
        <v>2.6440041063109376E-3</v>
      </c>
      <c r="D13" s="16">
        <f t="shared" ref="D13" si="0">D3/C3-1</f>
        <v>0.18867438017295113</v>
      </c>
      <c r="E13" s="16"/>
    </row>
    <row r="15" spans="1:7">
      <c r="A15" s="12" t="s">
        <v>42</v>
      </c>
      <c r="C15" s="16">
        <f>C18/B18-1</f>
        <v>3.7973600686947329E-2</v>
      </c>
      <c r="D15" s="16">
        <f>D18/C18-1</f>
        <v>3.5133116996922453E-2</v>
      </c>
      <c r="E15" s="16"/>
    </row>
    <row r="16" spans="1:7">
      <c r="A16" s="12" t="s">
        <v>44</v>
      </c>
      <c r="C16" s="16">
        <f>C12-C15</f>
        <v>-3.5973600686947327E-2</v>
      </c>
      <c r="D16" s="16">
        <f t="shared" ref="D16" si="1">D12-D15</f>
        <v>2.7866883003077547E-2</v>
      </c>
      <c r="E16" s="16"/>
    </row>
    <row r="18" spans="1:46">
      <c r="B18" s="21">
        <f>SUM(B21:B32)</f>
        <v>15467.906812563953</v>
      </c>
      <c r="C18" s="21">
        <f t="shared" ref="C18:D18" si="2">SUM(C21:C32)</f>
        <v>16055.278929327169</v>
      </c>
      <c r="D18" s="21">
        <f t="shared" si="2"/>
        <v>16619.350922369445</v>
      </c>
      <c r="E18" s="21"/>
    </row>
    <row r="20" spans="1:46" s="18" customFormat="1">
      <c r="A20" s="17" t="s">
        <v>43</v>
      </c>
      <c r="B20" s="17">
        <v>2019</v>
      </c>
      <c r="C20" s="17">
        <v>2020</v>
      </c>
      <c r="D20" s="17">
        <v>2021</v>
      </c>
      <c r="E20" s="17">
        <v>2022</v>
      </c>
      <c r="F20" s="17">
        <v>2023</v>
      </c>
      <c r="G20" s="17">
        <v>2024</v>
      </c>
      <c r="H20" s="17">
        <v>2025</v>
      </c>
      <c r="I20" s="17">
        <v>2026</v>
      </c>
      <c r="J20" s="17">
        <v>2027</v>
      </c>
      <c r="K20" s="17">
        <v>2028</v>
      </c>
      <c r="L20" s="17">
        <v>2029</v>
      </c>
      <c r="M20" s="17">
        <v>2030</v>
      </c>
      <c r="N20" s="17">
        <v>2031</v>
      </c>
      <c r="O20" s="17">
        <v>2032</v>
      </c>
      <c r="P20" s="17">
        <v>2033</v>
      </c>
      <c r="Q20" s="17">
        <v>2034</v>
      </c>
      <c r="R20" s="17">
        <v>2035</v>
      </c>
      <c r="S20" s="17">
        <v>2036</v>
      </c>
      <c r="T20" s="17">
        <v>2037</v>
      </c>
      <c r="U20" s="17">
        <v>2038</v>
      </c>
      <c r="V20" s="17">
        <v>2039</v>
      </c>
      <c r="W20" s="17">
        <v>2040</v>
      </c>
      <c r="X20" s="17">
        <v>2041</v>
      </c>
      <c r="Y20" s="17">
        <v>2042</v>
      </c>
      <c r="Z20" s="17">
        <v>2043</v>
      </c>
      <c r="AA20" s="17">
        <v>2044</v>
      </c>
      <c r="AB20" s="17">
        <v>2045</v>
      </c>
      <c r="AC20" s="17">
        <v>2046</v>
      </c>
      <c r="AD20" s="17">
        <v>2047</v>
      </c>
      <c r="AE20" s="17">
        <v>2048</v>
      </c>
      <c r="AF20" s="17">
        <v>2049</v>
      </c>
      <c r="AG20" s="17">
        <v>2050</v>
      </c>
      <c r="AH20" s="17">
        <v>2051</v>
      </c>
      <c r="AI20" s="17">
        <v>2052</v>
      </c>
      <c r="AJ20" s="17">
        <v>2053</v>
      </c>
      <c r="AK20" s="17">
        <v>2054</v>
      </c>
      <c r="AL20" s="17">
        <v>2055</v>
      </c>
      <c r="AM20" s="17">
        <v>2056</v>
      </c>
      <c r="AN20" s="17">
        <v>2057</v>
      </c>
      <c r="AO20" s="17">
        <v>2058</v>
      </c>
      <c r="AP20" s="17">
        <v>2059</v>
      </c>
      <c r="AQ20" s="17">
        <v>2060</v>
      </c>
    </row>
    <row r="21" spans="1:46" customFormat="1" ht="16.2">
      <c r="A21" s="19" t="s">
        <v>45</v>
      </c>
      <c r="B21" s="20">
        <v>2555.4918436708317</v>
      </c>
      <c r="C21" s="20">
        <v>2674.661870500403</v>
      </c>
      <c r="D21" s="20">
        <v>2795.6497123753784</v>
      </c>
      <c r="E21" s="20">
        <v>2910.4049378500954</v>
      </c>
      <c r="F21" s="20">
        <v>3026.4542856557873</v>
      </c>
      <c r="G21" s="20">
        <v>3143.8685409963227</v>
      </c>
      <c r="H21" s="20">
        <v>3262.7219028586519</v>
      </c>
      <c r="I21" s="20">
        <v>3375.2621063624138</v>
      </c>
      <c r="J21" s="20">
        <v>3488.8645565668598</v>
      </c>
      <c r="K21" s="20">
        <v>3603.6118239391576</v>
      </c>
      <c r="L21" s="20">
        <v>3712.2835876891254</v>
      </c>
      <c r="M21" s="20">
        <v>3821.836771841115</v>
      </c>
      <c r="N21" s="20">
        <v>3932.3623243180259</v>
      </c>
      <c r="O21" s="20">
        <v>4043.9574461441475</v>
      </c>
      <c r="P21" s="20">
        <v>4149.6761814613137</v>
      </c>
      <c r="Q21" s="20">
        <v>4256.2913379019956</v>
      </c>
      <c r="R21" s="20">
        <v>4363.9021583689864</v>
      </c>
      <c r="S21" s="20">
        <v>4465.9872056004824</v>
      </c>
      <c r="T21" s="20">
        <v>4568.9572607616319</v>
      </c>
      <c r="U21" s="20">
        <v>4672.9065179066392</v>
      </c>
      <c r="V21" s="20">
        <v>4771.686771820242</v>
      </c>
      <c r="W21" s="20">
        <v>4871.3702330021379</v>
      </c>
      <c r="X21" s="20">
        <v>4972.0463392675911</v>
      </c>
      <c r="Y21" s="20">
        <v>5067.882982977656</v>
      </c>
      <c r="Z21" s="20">
        <v>5164.6451725858014</v>
      </c>
      <c r="AA21" s="20">
        <v>5262.4033764803416</v>
      </c>
      <c r="AB21" s="20">
        <v>5355.5992163091541</v>
      </c>
      <c r="AC21" s="20">
        <v>5449.7043654514628</v>
      </c>
      <c r="AD21" s="20">
        <v>5544.7609340259451</v>
      </c>
      <c r="AE21" s="20">
        <v>5635.4479641895068</v>
      </c>
      <c r="AF21" s="20">
        <v>5726.955302307786</v>
      </c>
      <c r="AG21" s="20">
        <v>5819.2830277258154</v>
      </c>
      <c r="AH21" s="20">
        <v>5907.3052336743713</v>
      </c>
      <c r="AI21" s="20">
        <v>5995.9448776276904</v>
      </c>
      <c r="AJ21" s="20">
        <v>6085.144660736416</v>
      </c>
      <c r="AK21" s="20">
        <v>6169.9431346259571</v>
      </c>
      <c r="AL21" s="20">
        <v>6254.9931671676932</v>
      </c>
      <c r="AM21" s="20">
        <v>6335.5519680343759</v>
      </c>
      <c r="AN21" s="20">
        <v>6415.9668903992542</v>
      </c>
      <c r="AO21" s="20">
        <v>6496.0633682013122</v>
      </c>
      <c r="AP21" s="20">
        <v>6571.2022302579398</v>
      </c>
      <c r="AQ21" s="20">
        <v>6645.4720379179234</v>
      </c>
      <c r="AR21" s="9"/>
      <c r="AS21" s="9"/>
      <c r="AT21" s="9"/>
    </row>
    <row r="22" spans="1:46" customFormat="1" ht="16.2">
      <c r="A22" s="19" t="s">
        <v>46</v>
      </c>
      <c r="B22" s="20">
        <v>2454.6957156158674</v>
      </c>
      <c r="C22" s="20">
        <v>2502.5696120448347</v>
      </c>
      <c r="D22" s="20">
        <v>2548.4370609048115</v>
      </c>
      <c r="E22" s="20">
        <v>2592.3620027376087</v>
      </c>
      <c r="F22" s="20">
        <v>2634.4105661795843</v>
      </c>
      <c r="G22" s="20">
        <v>2674.6471938215923</v>
      </c>
      <c r="H22" s="20">
        <v>2713.1402912234034</v>
      </c>
      <c r="I22" s="20">
        <v>2749.9543994801506</v>
      </c>
      <c r="J22" s="20">
        <v>2785.15685879376</v>
      </c>
      <c r="K22" s="20">
        <v>2816.0820251485302</v>
      </c>
      <c r="L22" s="20">
        <v>2845.468720230876</v>
      </c>
      <c r="M22" s="20">
        <v>2873.3894665447228</v>
      </c>
      <c r="N22" s="20">
        <v>2899.9149161494502</v>
      </c>
      <c r="O22" s="20">
        <v>2925.1136383351759</v>
      </c>
      <c r="P22" s="20">
        <v>2949.0551146294379</v>
      </c>
      <c r="Q22" s="20">
        <v>2971.8086024922204</v>
      </c>
      <c r="R22" s="20">
        <v>2993.4397335239028</v>
      </c>
      <c r="S22" s="20">
        <v>3014.0146431990743</v>
      </c>
      <c r="T22" s="20">
        <v>3031.1130894189837</v>
      </c>
      <c r="U22" s="20">
        <v>3047.2534704220398</v>
      </c>
      <c r="V22" s="20">
        <v>3062.4992292556285</v>
      </c>
      <c r="W22" s="20">
        <v>3076.9112513872642</v>
      </c>
      <c r="X22" s="20">
        <v>3090.5488238230232</v>
      </c>
      <c r="Y22" s="20">
        <v>3103.4659509177513</v>
      </c>
      <c r="Z22" s="20">
        <v>3115.7181483327918</v>
      </c>
      <c r="AA22" s="20">
        <v>3127.3540498590032</v>
      </c>
      <c r="AB22" s="20">
        <v>3136.2191384102543</v>
      </c>
      <c r="AC22" s="20">
        <v>3144.5457083009833</v>
      </c>
      <c r="AD22" s="20">
        <v>3152.376816735552</v>
      </c>
      <c r="AE22" s="20">
        <v>3159.7474660494977</v>
      </c>
      <c r="AF22" s="20">
        <v>3166.6917318788574</v>
      </c>
      <c r="AG22" s="20">
        <v>3173.2388724677862</v>
      </c>
      <c r="AH22" s="20">
        <v>3179.4130668459588</v>
      </c>
      <c r="AI22" s="20">
        <v>3185.2318506528704</v>
      </c>
      <c r="AJ22" s="20">
        <v>3190.7110047621081</v>
      </c>
      <c r="AK22" s="20">
        <v>3193.9108880904041</v>
      </c>
      <c r="AL22" s="20">
        <v>3196.7762441557056</v>
      </c>
      <c r="AM22" s="20">
        <v>3199.3077103990067</v>
      </c>
      <c r="AN22" s="20">
        <v>3201.4925568055846</v>
      </c>
      <c r="AO22" s="20">
        <v>3203.3191139662154</v>
      </c>
      <c r="AP22" s="20">
        <v>3204.7630516850932</v>
      </c>
      <c r="AQ22" s="20">
        <v>3205.7951654034005</v>
      </c>
      <c r="AR22" s="9"/>
      <c r="AS22" s="9"/>
      <c r="AT22" s="9"/>
    </row>
    <row r="23" spans="1:46" customFormat="1" ht="16.2">
      <c r="A23" s="19" t="s">
        <v>47</v>
      </c>
      <c r="B23" s="20">
        <v>498.71098105362898</v>
      </c>
      <c r="C23" s="20">
        <v>509.00603815007292</v>
      </c>
      <c r="D23" s="20">
        <v>518.91707929647839</v>
      </c>
      <c r="E23" s="20">
        <v>528.45485202611576</v>
      </c>
      <c r="F23" s="20">
        <v>537.6300604468463</v>
      </c>
      <c r="G23" s="20">
        <v>546.45525783791834</v>
      </c>
      <c r="H23" s="20">
        <v>554.94105260575611</v>
      </c>
      <c r="I23" s="20">
        <v>563.09989542512562</v>
      </c>
      <c r="J23" s="20">
        <v>570.94219196315112</v>
      </c>
      <c r="K23" s="20">
        <v>578.47917344342397</v>
      </c>
      <c r="L23" s="20">
        <v>585.15486875286763</v>
      </c>
      <c r="M23" s="20">
        <v>591.53529608768588</v>
      </c>
      <c r="N23" s="20">
        <v>597.63298230620035</v>
      </c>
      <c r="O23" s="20">
        <v>603.45704239569238</v>
      </c>
      <c r="P23" s="20">
        <v>609.0214704008846</v>
      </c>
      <c r="Q23" s="20">
        <v>614.33680122426745</v>
      </c>
      <c r="R23" s="20">
        <v>619.41315684800668</v>
      </c>
      <c r="S23" s="20">
        <v>624.26130477968343</v>
      </c>
      <c r="T23" s="20">
        <v>628.89156804343088</v>
      </c>
      <c r="U23" s="20">
        <v>632.7939675462186</v>
      </c>
      <c r="V23" s="20">
        <v>636.49224902645085</v>
      </c>
      <c r="W23" s="20">
        <v>639.99337195762507</v>
      </c>
      <c r="X23" s="20">
        <v>643.30702515045778</v>
      </c>
      <c r="Y23" s="20">
        <v>646.4410873526466</v>
      </c>
      <c r="Z23" s="20">
        <v>649.40388113363633</v>
      </c>
      <c r="AA23" s="20">
        <v>652.20061237354219</v>
      </c>
      <c r="AB23" s="20">
        <v>654.83801363133546</v>
      </c>
      <c r="AC23" s="20">
        <v>656.860552214069</v>
      </c>
      <c r="AD23" s="20">
        <v>658.73172011817883</v>
      </c>
      <c r="AE23" s="20">
        <v>660.453426347358</v>
      </c>
      <c r="AF23" s="20">
        <v>662.0302328937762</v>
      </c>
      <c r="AG23" s="20">
        <v>663.46317235675667</v>
      </c>
      <c r="AH23" s="20">
        <v>664.75466728218157</v>
      </c>
      <c r="AI23" s="20">
        <v>665.90345420253493</v>
      </c>
      <c r="AJ23" s="20">
        <v>666.90959416741873</v>
      </c>
      <c r="AK23" s="20">
        <v>667.76929825074376</v>
      </c>
      <c r="AL23" s="20">
        <v>668.07278177355943</v>
      </c>
      <c r="AM23" s="20">
        <v>668.22164105336958</v>
      </c>
      <c r="AN23" s="20">
        <v>668.20948070592181</v>
      </c>
      <c r="AO23" s="20">
        <v>668.03110467847125</v>
      </c>
      <c r="AP23" s="20">
        <v>667.67573280501222</v>
      </c>
      <c r="AQ23" s="20">
        <v>667.13365799905944</v>
      </c>
      <c r="AR23" s="9"/>
      <c r="AS23" s="9"/>
      <c r="AT23" s="9"/>
    </row>
    <row r="24" spans="1:46" customFormat="1" ht="16.2">
      <c r="A24" s="19" t="s">
        <v>48</v>
      </c>
      <c r="B24" s="20">
        <v>1531.7392321140671</v>
      </c>
      <c r="C24" s="20">
        <v>1632.7303617824216</v>
      </c>
      <c r="D24" s="20">
        <v>1724.7627698005667</v>
      </c>
      <c r="E24" s="20">
        <v>1820.717097251174</v>
      </c>
      <c r="F24" s="20">
        <v>1920.7104691778106</v>
      </c>
      <c r="G24" s="20">
        <v>2024.8609446590426</v>
      </c>
      <c r="H24" s="20">
        <v>2133.2909835472033</v>
      </c>
      <c r="I24" s="20">
        <v>2233.0614328042802</v>
      </c>
      <c r="J24" s="20">
        <v>2336.0774118740983</v>
      </c>
      <c r="K24" s="20">
        <v>2442.3984986072896</v>
      </c>
      <c r="L24" s="20">
        <v>2552.0874168867058</v>
      </c>
      <c r="M24" s="20">
        <v>2653.5680017394216</v>
      </c>
      <c r="N24" s="20">
        <v>2757.5807146194311</v>
      </c>
      <c r="O24" s="20">
        <v>2864.1540790635631</v>
      </c>
      <c r="P24" s="20">
        <v>2973.3191720090663</v>
      </c>
      <c r="Q24" s="20">
        <v>3074.5288017211788</v>
      </c>
      <c r="R24" s="20">
        <v>3177.6543347720863</v>
      </c>
      <c r="S24" s="20">
        <v>3282.7139175177822</v>
      </c>
      <c r="T24" s="20">
        <v>3380.2961639978835</v>
      </c>
      <c r="U24" s="20">
        <v>3479.2858596437559</v>
      </c>
      <c r="V24" s="20">
        <v>3579.7037715230736</v>
      </c>
      <c r="W24" s="20">
        <v>3681.5772218592028</v>
      </c>
      <c r="X24" s="20">
        <v>3776.1799348485779</v>
      </c>
      <c r="Y24" s="20">
        <v>3871.8573438574335</v>
      </c>
      <c r="Z24" s="20">
        <v>3968.657477165305</v>
      </c>
      <c r="AA24" s="20">
        <v>4058.6480212448614</v>
      </c>
      <c r="AB24" s="20">
        <v>4149.517892652244</v>
      </c>
      <c r="AC24" s="20">
        <v>4241.3476132419009</v>
      </c>
      <c r="AD24" s="20">
        <v>4334.2308178461235</v>
      </c>
      <c r="AE24" s="20">
        <v>4420.7763341111531</v>
      </c>
      <c r="AF24" s="20">
        <v>4508.3052762863481</v>
      </c>
      <c r="AG24" s="20">
        <v>4596.9597160597323</v>
      </c>
      <c r="AH24" s="20">
        <v>4679.9639880646519</v>
      </c>
      <c r="AI24" s="20">
        <v>4764.182907237654</v>
      </c>
      <c r="AJ24" s="20">
        <v>4849.8154624952322</v>
      </c>
      <c r="AK24" s="20">
        <v>4930.6344225792718</v>
      </c>
      <c r="AL24" s="20">
        <v>5013.1248878797323</v>
      </c>
      <c r="AM24" s="20">
        <v>5097.5583722090623</v>
      </c>
      <c r="AN24" s="20">
        <v>5178.1946499341884</v>
      </c>
      <c r="AO24" s="20">
        <v>5261.21199715292</v>
      </c>
      <c r="AP24" s="20">
        <v>5346.9681607045495</v>
      </c>
      <c r="AQ24" s="20">
        <v>5430.1567037070963</v>
      </c>
      <c r="AR24" s="9"/>
      <c r="AS24" s="9"/>
      <c r="AT24" s="9"/>
    </row>
    <row r="25" spans="1:46" customFormat="1" ht="16.2">
      <c r="A25" s="19" t="s">
        <v>49</v>
      </c>
      <c r="B25" s="20">
        <v>1131.9275641588986</v>
      </c>
      <c r="C25" s="20">
        <v>1209.104393525002</v>
      </c>
      <c r="D25" s="20">
        <v>1279.7660565057224</v>
      </c>
      <c r="E25" s="20">
        <v>1353.43836112442</v>
      </c>
      <c r="F25" s="20">
        <v>1430.2168408284799</v>
      </c>
      <c r="G25" s="20">
        <v>1510.1977744185924</v>
      </c>
      <c r="H25" s="20">
        <v>1584.21419947697</v>
      </c>
      <c r="I25" s="20">
        <v>1660.6841039558713</v>
      </c>
      <c r="J25" s="20">
        <v>1739.6602175067519</v>
      </c>
      <c r="K25" s="20">
        <v>1821.1974910971876</v>
      </c>
      <c r="L25" s="20">
        <v>1897.0311077725173</v>
      </c>
      <c r="M25" s="20">
        <v>1974.8190219667506</v>
      </c>
      <c r="N25" s="20">
        <v>2054.5920303087964</v>
      </c>
      <c r="O25" s="20">
        <v>2136.3818214069838</v>
      </c>
      <c r="P25" s="20">
        <v>2212.6053695994792</v>
      </c>
      <c r="Q25" s="20">
        <v>2290.3538815629008</v>
      </c>
      <c r="R25" s="20">
        <v>2369.6459212633017</v>
      </c>
      <c r="S25" s="20">
        <v>2450.506497357122</v>
      </c>
      <c r="T25" s="20">
        <v>2525.9131539668374</v>
      </c>
      <c r="U25" s="20">
        <v>2602.4991608111768</v>
      </c>
      <c r="V25" s="20">
        <v>2680.2887778035588</v>
      </c>
      <c r="W25" s="20">
        <v>2752.9219022720677</v>
      </c>
      <c r="X25" s="20">
        <v>2826.4674615577319</v>
      </c>
      <c r="Y25" s="20">
        <v>2900.9593014611628</v>
      </c>
      <c r="Z25" s="20">
        <v>2976.4374121678497</v>
      </c>
      <c r="AA25" s="20">
        <v>3046.952592055985</v>
      </c>
      <c r="AB25" s="20">
        <v>3118.2656277758551</v>
      </c>
      <c r="AC25" s="20">
        <v>3190.4389675872162</v>
      </c>
      <c r="AD25" s="20">
        <v>3258.0103620611485</v>
      </c>
      <c r="AE25" s="20">
        <v>3326.3486337021313</v>
      </c>
      <c r="AF25" s="20">
        <v>3395.5395121506385</v>
      </c>
      <c r="AG25" s="20">
        <v>3460.5536910769306</v>
      </c>
      <c r="AH25" s="20">
        <v>3526.4264315149248</v>
      </c>
      <c r="AI25" s="20">
        <v>3593.2768832141896</v>
      </c>
      <c r="AJ25" s="20">
        <v>3656.4544998338115</v>
      </c>
      <c r="AK25" s="20">
        <v>3720.719524128875</v>
      </c>
      <c r="AL25" s="20">
        <v>3786.2313869052277</v>
      </c>
      <c r="AM25" s="20">
        <v>3848.6757856069207</v>
      </c>
      <c r="AN25" s="20">
        <v>3912.5819840781169</v>
      </c>
      <c r="AO25" s="20">
        <v>3978.1576573926322</v>
      </c>
      <c r="AP25" s="20">
        <v>4041.3902317605953</v>
      </c>
      <c r="AQ25" s="20">
        <v>4106.6217227568141</v>
      </c>
      <c r="AR25" s="9"/>
      <c r="AS25" s="9"/>
      <c r="AT25" s="9"/>
    </row>
    <row r="26" spans="1:46" customFormat="1" ht="16.2">
      <c r="A26" s="19" t="s">
        <v>50</v>
      </c>
      <c r="B26" s="20">
        <v>3278.9612069857508</v>
      </c>
      <c r="C26" s="20">
        <v>3335.7370284365229</v>
      </c>
      <c r="D26" s="20">
        <v>3389.5891723196905</v>
      </c>
      <c r="E26" s="20">
        <v>3440.6573840028877</v>
      </c>
      <c r="F26" s="20">
        <v>3489.079015474309</v>
      </c>
      <c r="G26" s="20">
        <v>3534.9840378585241</v>
      </c>
      <c r="H26" s="20">
        <v>3578.5043175047713</v>
      </c>
      <c r="I26" s="20">
        <v>3618.2363472128973</v>
      </c>
      <c r="J26" s="20">
        <v>3655.7991929220552</v>
      </c>
      <c r="K26" s="20">
        <v>3691.3125838659566</v>
      </c>
      <c r="L26" s="20">
        <v>3724.8906000241095</v>
      </c>
      <c r="M26" s="20">
        <v>3756.644730399752</v>
      </c>
      <c r="N26" s="20">
        <v>3786.6820231794422</v>
      </c>
      <c r="O26" s="20">
        <v>3815.0980703548339</v>
      </c>
      <c r="P26" s="20">
        <v>3841.9918911142713</v>
      </c>
      <c r="Q26" s="20">
        <v>3865.9824474816969</v>
      </c>
      <c r="R26" s="20">
        <v>3888.6015260317572</v>
      </c>
      <c r="S26" s="20">
        <v>3909.9279772839564</v>
      </c>
      <c r="T26" s="20">
        <v>3930.0274809266839</v>
      </c>
      <c r="U26" s="20">
        <v>3948.9661909143197</v>
      </c>
      <c r="V26" s="20">
        <v>3966.8000282653206</v>
      </c>
      <c r="W26" s="20">
        <v>3983.5742857311388</v>
      </c>
      <c r="X26" s="20">
        <v>3999.3286424784133</v>
      </c>
      <c r="Y26" s="20">
        <v>4012.7210143585226</v>
      </c>
      <c r="Z26" s="20">
        <v>4025.1369610267761</v>
      </c>
      <c r="AA26" s="20">
        <v>4036.593221546721</v>
      </c>
      <c r="AB26" s="20">
        <v>4047.0942651988885</v>
      </c>
      <c r="AC26" s="20">
        <v>4056.633739623433</v>
      </c>
      <c r="AD26" s="20">
        <v>4065.1978647242004</v>
      </c>
      <c r="AE26" s="20">
        <v>4072.7632931224834</v>
      </c>
      <c r="AF26" s="20">
        <v>4079.2891758910005</v>
      </c>
      <c r="AG26" s="20">
        <v>4083.4610279666972</v>
      </c>
      <c r="AH26" s="20">
        <v>4086.4875778155579</v>
      </c>
      <c r="AI26" s="20">
        <v>4088.2990262580561</v>
      </c>
      <c r="AJ26" s="20">
        <v>4088.816262388108</v>
      </c>
      <c r="AK26" s="20">
        <v>4087.9446954603864</v>
      </c>
      <c r="AL26" s="20">
        <v>4085.5797276558492</v>
      </c>
      <c r="AM26" s="20">
        <v>4081.5985074544642</v>
      </c>
      <c r="AN26" s="20">
        <v>4075.8674034026667</v>
      </c>
      <c r="AO26" s="20">
        <v>4067.0855997631397</v>
      </c>
      <c r="AP26" s="20">
        <v>4056.2528973516255</v>
      </c>
      <c r="AQ26" s="20">
        <v>4043.1951453037718</v>
      </c>
      <c r="AR26" s="9"/>
      <c r="AS26" s="9"/>
      <c r="AT26" s="9"/>
    </row>
    <row r="27" spans="1:46" customFormat="1" ht="16.2">
      <c r="A27" s="19" t="s">
        <v>51</v>
      </c>
      <c r="B27" s="20">
        <v>1062.3988120368933</v>
      </c>
      <c r="C27" s="20">
        <v>1123.3366112510719</v>
      </c>
      <c r="D27" s="20">
        <v>1177.8598977890708</v>
      </c>
      <c r="E27" s="20">
        <v>1233.6702898915685</v>
      </c>
      <c r="F27" s="20">
        <v>1290.7899844795068</v>
      </c>
      <c r="G27" s="20">
        <v>1349.2405072668701</v>
      </c>
      <c r="H27" s="20">
        <v>1409.0467405743807</v>
      </c>
      <c r="I27" s="20">
        <v>1462.5806637530504</v>
      </c>
      <c r="J27" s="20">
        <v>1516.9127023310764</v>
      </c>
      <c r="K27" s="20">
        <v>1572.0538231188998</v>
      </c>
      <c r="L27" s="20">
        <v>1628.0175485986899</v>
      </c>
      <c r="M27" s="20">
        <v>1678.1371789678501</v>
      </c>
      <c r="N27" s="20">
        <v>1728.6816014134183</v>
      </c>
      <c r="O27" s="20">
        <v>1779.6619005963248</v>
      </c>
      <c r="P27" s="20">
        <v>1831.0898393246189</v>
      </c>
      <c r="Q27" s="20">
        <v>1877.0830968379651</v>
      </c>
      <c r="R27" s="20">
        <v>1923.2489638703159</v>
      </c>
      <c r="S27" s="20">
        <v>1969.602768002266</v>
      </c>
      <c r="T27" s="20">
        <v>2016.1632084401135</v>
      </c>
      <c r="U27" s="20">
        <v>2057.7033094339708</v>
      </c>
      <c r="V27" s="20">
        <v>2099.2681091692693</v>
      </c>
      <c r="W27" s="20">
        <v>2140.8834795407361</v>
      </c>
      <c r="X27" s="20">
        <v>2182.5761245532549</v>
      </c>
      <c r="Y27" s="20">
        <v>2219.6752503183693</v>
      </c>
      <c r="Z27" s="20">
        <v>2256.7441873870057</v>
      </c>
      <c r="AA27" s="20">
        <v>2293.8175253325603</v>
      </c>
      <c r="AB27" s="20">
        <v>2330.9292520842355</v>
      </c>
      <c r="AC27" s="20">
        <v>2363.8902267802086</v>
      </c>
      <c r="AD27" s="20">
        <v>2396.8420320795553</v>
      </c>
      <c r="AE27" s="20">
        <v>2429.8259715210393</v>
      </c>
      <c r="AF27" s="20">
        <v>2462.8844566284652</v>
      </c>
      <c r="AG27" s="20">
        <v>2492.2405100829988</v>
      </c>
      <c r="AH27" s="20">
        <v>2521.6677585254533</v>
      </c>
      <c r="AI27" s="20">
        <v>2551.2107417555289</v>
      </c>
      <c r="AJ27" s="20">
        <v>2577.4902118680079</v>
      </c>
      <c r="AK27" s="20">
        <v>2603.9113269539162</v>
      </c>
      <c r="AL27" s="20">
        <v>2630.5214112813273</v>
      </c>
      <c r="AM27" s="20">
        <v>2657.3731008402342</v>
      </c>
      <c r="AN27" s="20">
        <v>2681.3852553696038</v>
      </c>
      <c r="AO27" s="20">
        <v>2705.6802259345718</v>
      </c>
      <c r="AP27" s="20">
        <v>2730.3096510420055</v>
      </c>
      <c r="AQ27" s="20">
        <v>2755.3211540243806</v>
      </c>
      <c r="AR27" s="9"/>
      <c r="AS27" s="9"/>
      <c r="AT27" s="9"/>
    </row>
    <row r="28" spans="1:46" customFormat="1" ht="16.2">
      <c r="A28" s="19" t="s">
        <v>52</v>
      </c>
      <c r="B28" s="20">
        <v>782.98323949037456</v>
      </c>
      <c r="C28" s="20">
        <v>803.61543814942058</v>
      </c>
      <c r="D28" s="20">
        <v>823.84389373202953</v>
      </c>
      <c r="E28" s="20">
        <v>843.67059543694518</v>
      </c>
      <c r="F28" s="20">
        <v>863.10011328986468</v>
      </c>
      <c r="G28" s="20">
        <v>882.13641883153662</v>
      </c>
      <c r="H28" s="20">
        <v>900.78392113603161</v>
      </c>
      <c r="I28" s="20">
        <v>919.04862528062802</v>
      </c>
      <c r="J28" s="20">
        <v>936.93703951275484</v>
      </c>
      <c r="K28" s="20">
        <v>954.45495140585911</v>
      </c>
      <c r="L28" s="20">
        <v>969.27415441100391</v>
      </c>
      <c r="M28" s="20">
        <v>983.66371623443831</v>
      </c>
      <c r="N28" s="20">
        <v>997.63540148613902</v>
      </c>
      <c r="O28" s="20">
        <v>1011.2007000518489</v>
      </c>
      <c r="P28" s="20">
        <v>1024.372065883962</v>
      </c>
      <c r="Q28" s="20">
        <v>1037.163611682427</v>
      </c>
      <c r="R28" s="20">
        <v>1049.5877883177459</v>
      </c>
      <c r="S28" s="20">
        <v>1061.659337120429</v>
      </c>
      <c r="T28" s="20">
        <v>1073.3926127431466</v>
      </c>
      <c r="U28" s="20">
        <v>1082.8196936144934</v>
      </c>
      <c r="V28" s="20">
        <v>1091.902413705759</v>
      </c>
      <c r="W28" s="20">
        <v>1100.6574937493199</v>
      </c>
      <c r="X28" s="20">
        <v>1109.1031412941566</v>
      </c>
      <c r="Y28" s="20">
        <v>1117.2576000359124</v>
      </c>
      <c r="Z28" s="20">
        <v>1125.1391020303458</v>
      </c>
      <c r="AA28" s="20">
        <v>1132.7658169873621</v>
      </c>
      <c r="AB28" s="20">
        <v>1140.1557985311217</v>
      </c>
      <c r="AC28" s="20">
        <v>1147.3285290064127</v>
      </c>
      <c r="AD28" s="20">
        <v>1152.6379956305166</v>
      </c>
      <c r="AE28" s="20">
        <v>1157.7506537618474</v>
      </c>
      <c r="AF28" s="20">
        <v>1162.6852463346245</v>
      </c>
      <c r="AG28" s="20">
        <v>1167.4600324372973</v>
      </c>
      <c r="AH28" s="20">
        <v>1172.0952829835751</v>
      </c>
      <c r="AI28" s="20">
        <v>1176.6090463647938</v>
      </c>
      <c r="AJ28" s="20">
        <v>1181.0195959674818</v>
      </c>
      <c r="AK28" s="20">
        <v>1185.344521279829</v>
      </c>
      <c r="AL28" s="20">
        <v>1189.600648355128</v>
      </c>
      <c r="AM28" s="20">
        <v>1192.4099271760674</v>
      </c>
      <c r="AN28" s="20">
        <v>1195.1752184211648</v>
      </c>
      <c r="AO28" s="20">
        <v>1197.9125762078527</v>
      </c>
      <c r="AP28" s="20">
        <v>1200.6360216033579</v>
      </c>
      <c r="AQ28" s="20">
        <v>1203.3602650873247</v>
      </c>
      <c r="AR28" s="9"/>
      <c r="AS28" s="9"/>
      <c r="AT28" s="9"/>
    </row>
    <row r="29" spans="1:46" customFormat="1" ht="16.2">
      <c r="A29" s="19" t="s">
        <v>53</v>
      </c>
      <c r="B29" s="20">
        <v>713.61540132335949</v>
      </c>
      <c r="C29" s="20">
        <v>752.69998285114445</v>
      </c>
      <c r="D29" s="20">
        <v>793.27234706694765</v>
      </c>
      <c r="E29" s="20">
        <v>835.370685252204</v>
      </c>
      <c r="F29" s="20">
        <v>879.03363323627184</v>
      </c>
      <c r="G29" s="20">
        <v>918.92659080351518</v>
      </c>
      <c r="H29" s="20">
        <v>959.95189114703624</v>
      </c>
      <c r="I29" s="20">
        <v>1002.1275618599167</v>
      </c>
      <c r="J29" s="20">
        <v>1045.4713826652917</v>
      </c>
      <c r="K29" s="20">
        <v>1085.2424409250527</v>
      </c>
      <c r="L29" s="20">
        <v>1125.8439191618986</v>
      </c>
      <c r="M29" s="20">
        <v>1167.2825654037149</v>
      </c>
      <c r="N29" s="20">
        <v>1209.5685683558763</v>
      </c>
      <c r="O29" s="20">
        <v>1248.4166900242408</v>
      </c>
      <c r="P29" s="20">
        <v>1287.8488663462922</v>
      </c>
      <c r="Q29" s="20">
        <v>1327.8733949773466</v>
      </c>
      <c r="R29" s="20">
        <v>1368.4996707771061</v>
      </c>
      <c r="S29" s="20">
        <v>1405.8180018372022</v>
      </c>
      <c r="T29" s="20">
        <v>1443.5460510917553</v>
      </c>
      <c r="U29" s="20">
        <v>1481.6980536566793</v>
      </c>
      <c r="V29" s="20">
        <v>1516.7744390505413</v>
      </c>
      <c r="W29" s="20">
        <v>1552.1451534635532</v>
      </c>
      <c r="X29" s="20">
        <v>1587.8361488318378</v>
      </c>
      <c r="Y29" s="20">
        <v>1623.8777117660818</v>
      </c>
      <c r="Z29" s="20">
        <v>1657.0454604372544</v>
      </c>
      <c r="AA29" s="20">
        <v>1690.5030116870191</v>
      </c>
      <c r="AB29" s="20">
        <v>1724.2995165817501</v>
      </c>
      <c r="AC29" s="20">
        <v>1755.5076995904997</v>
      </c>
      <c r="AD29" s="20">
        <v>1787.0566223149124</v>
      </c>
      <c r="AE29" s="20">
        <v>1819.0132244242698</v>
      </c>
      <c r="AF29" s="20">
        <v>1848.7114156105279</v>
      </c>
      <c r="AG29" s="20">
        <v>1878.882706146976</v>
      </c>
      <c r="AH29" s="20">
        <v>1909.6190728122872</v>
      </c>
      <c r="AI29" s="20">
        <v>1938.4808649682891</v>
      </c>
      <c r="AJ29" s="20">
        <v>1968.039146611203</v>
      </c>
      <c r="AK29" s="20">
        <v>1998.4121824438648</v>
      </c>
      <c r="AL29" s="20">
        <v>2027.3634145215112</v>
      </c>
      <c r="AM29" s="20">
        <v>2057.3283914292783</v>
      </c>
      <c r="AN29" s="20">
        <v>2088.4594517696114</v>
      </c>
      <c r="AO29" s="20">
        <v>2118.6963609198747</v>
      </c>
      <c r="AP29" s="20">
        <v>2150.3709426140108</v>
      </c>
      <c r="AQ29" s="20">
        <v>2183.6690348095281</v>
      </c>
      <c r="AR29" s="9"/>
      <c r="AS29" s="9"/>
      <c r="AT29" s="9"/>
    </row>
    <row r="30" spans="1:46" customFormat="1" ht="16.2">
      <c r="A30" s="19" t="s">
        <v>54</v>
      </c>
      <c r="B30" s="20">
        <v>462.46178755589335</v>
      </c>
      <c r="C30" s="20">
        <v>493.94448520409838</v>
      </c>
      <c r="D30" s="20">
        <v>527.03572519775048</v>
      </c>
      <c r="E30" s="20">
        <v>561.80595750580994</v>
      </c>
      <c r="F30" s="20">
        <v>598.32852973894239</v>
      </c>
      <c r="G30" s="20">
        <v>631.41748466200863</v>
      </c>
      <c r="H30" s="20">
        <v>665.79679399532949</v>
      </c>
      <c r="I30" s="20">
        <v>701.50790766140346</v>
      </c>
      <c r="J30" s="20">
        <v>738.5950700198556</v>
      </c>
      <c r="K30" s="20">
        <v>772.58488374379522</v>
      </c>
      <c r="L30" s="20">
        <v>807.606318052804</v>
      </c>
      <c r="M30" s="20">
        <v>843.68683733921114</v>
      </c>
      <c r="N30" s="20">
        <v>880.85501256004636</v>
      </c>
      <c r="O30" s="20">
        <v>915.12648374248715</v>
      </c>
      <c r="P30" s="20">
        <v>950.21892176904475</v>
      </c>
      <c r="Q30" s="20">
        <v>986.15332098708313</v>
      </c>
      <c r="R30" s="20">
        <v>1022.9484417817238</v>
      </c>
      <c r="S30" s="20">
        <v>1056.9897180733237</v>
      </c>
      <c r="T30" s="20">
        <v>1091.6863301339024</v>
      </c>
      <c r="U30" s="20">
        <v>1127.0544952019509</v>
      </c>
      <c r="V30" s="20">
        <v>1163.1123394826679</v>
      </c>
      <c r="W30" s="20">
        <v>1196.5396848083083</v>
      </c>
      <c r="X30" s="20">
        <v>1230.4977560504981</v>
      </c>
      <c r="Y30" s="20">
        <v>1265.0042558300613</v>
      </c>
      <c r="Z30" s="20">
        <v>1300.079234442105</v>
      </c>
      <c r="AA30" s="20">
        <v>1332.6483108917907</v>
      </c>
      <c r="AB30" s="20">
        <v>1365.6681309357775</v>
      </c>
      <c r="AC30" s="20">
        <v>1399.1598456567463</v>
      </c>
      <c r="AD30" s="20">
        <v>1430.3290485440668</v>
      </c>
      <c r="AE30" s="20">
        <v>1461.8875074920134</v>
      </c>
      <c r="AF30" s="20">
        <v>1493.8587628351611</v>
      </c>
      <c r="AG30" s="20">
        <v>1523.6844295087217</v>
      </c>
      <c r="AH30" s="20">
        <v>1553.8717705703029</v>
      </c>
      <c r="AI30" s="20">
        <v>1584.4488019766327</v>
      </c>
      <c r="AJ30" s="20">
        <v>1615.445343424512</v>
      </c>
      <c r="AK30" s="20">
        <v>1644.4592391364163</v>
      </c>
      <c r="AL30" s="20">
        <v>1673.8711180041712</v>
      </c>
      <c r="AM30" s="20">
        <v>1703.7173662705709</v>
      </c>
      <c r="AN30" s="20">
        <v>1731.7679397104516</v>
      </c>
      <c r="AO30" s="20">
        <v>1760.2556387274408</v>
      </c>
      <c r="AP30" s="20">
        <v>1789.2212848616552</v>
      </c>
      <c r="AQ30" s="20">
        <v>1816.5859379097901</v>
      </c>
      <c r="AR30" s="9"/>
      <c r="AS30" s="9"/>
      <c r="AT30" s="9"/>
    </row>
    <row r="31" spans="1:46" customFormat="1" ht="16.2">
      <c r="A31" s="19" t="s">
        <v>55</v>
      </c>
      <c r="B31" s="20">
        <v>725.52678256720844</v>
      </c>
      <c r="C31" s="20">
        <v>743.22376075333466</v>
      </c>
      <c r="D31" s="20">
        <v>760.53570101527202</v>
      </c>
      <c r="E31" s="20">
        <v>777.4671080184097</v>
      </c>
      <c r="F31" s="20">
        <v>794.02437743445057</v>
      </c>
      <c r="G31" s="20">
        <v>808.73092763547209</v>
      </c>
      <c r="H31" s="20">
        <v>823.01978464442652</v>
      </c>
      <c r="I31" s="20">
        <v>836.89884035676653</v>
      </c>
      <c r="J31" s="20">
        <v>850.37713003276519</v>
      </c>
      <c r="K31" s="20">
        <v>863.4633668986769</v>
      </c>
      <c r="L31" s="20">
        <v>876.16665303287675</v>
      </c>
      <c r="M31" s="20">
        <v>888.49725449018888</v>
      </c>
      <c r="N31" s="20">
        <v>900.46506850357503</v>
      </c>
      <c r="O31" s="20">
        <v>912.08036367197576</v>
      </c>
      <c r="P31" s="20">
        <v>922.02209994753252</v>
      </c>
      <c r="Q31" s="20">
        <v>931.60248728429906</v>
      </c>
      <c r="R31" s="20">
        <v>940.83259806452998</v>
      </c>
      <c r="S31" s="20">
        <v>949.72621779938504</v>
      </c>
      <c r="T31" s="20">
        <v>958.29484930214619</v>
      </c>
      <c r="U31" s="20">
        <v>966.55100534363555</v>
      </c>
      <c r="V31" s="20">
        <v>974.50736618533585</v>
      </c>
      <c r="W31" s="20">
        <v>982.17586872810409</v>
      </c>
      <c r="X31" s="20">
        <v>989.56943495093151</v>
      </c>
      <c r="Y31" s="20">
        <v>995.53387355505788</v>
      </c>
      <c r="Z31" s="20">
        <v>1001.2328972085819</v>
      </c>
      <c r="AA31" s="20">
        <v>1006.6795250435338</v>
      </c>
      <c r="AB31" s="20">
        <v>1011.8848047218949</v>
      </c>
      <c r="AC31" s="20">
        <v>1016.8624658302314</v>
      </c>
      <c r="AD31" s="20">
        <v>1021.6242076080565</v>
      </c>
      <c r="AE31" s="20">
        <v>1026.1815175196741</v>
      </c>
      <c r="AF31" s="20">
        <v>1030.545637662435</v>
      </c>
      <c r="AG31" s="20">
        <v>1034.7275296936882</v>
      </c>
      <c r="AH31" s="20">
        <v>1037.7294146050424</v>
      </c>
      <c r="AI31" s="20">
        <v>1040.5624700051449</v>
      </c>
      <c r="AJ31" s="20">
        <v>1043.2359668562344</v>
      </c>
      <c r="AK31" s="20">
        <v>1045.7597063469777</v>
      </c>
      <c r="AL31" s="20">
        <v>1048.140849139927</v>
      </c>
      <c r="AM31" s="20">
        <v>1050.3869778071162</v>
      </c>
      <c r="AN31" s="20">
        <v>1052.5039381749066</v>
      </c>
      <c r="AO31" s="20">
        <v>1054.4990254428506</v>
      </c>
      <c r="AP31" s="20">
        <v>1056.3766166790945</v>
      </c>
      <c r="AQ31" s="20">
        <v>1057.2724860226517</v>
      </c>
      <c r="AR31" s="9"/>
      <c r="AS31" s="9"/>
      <c r="AT31" s="9"/>
    </row>
    <row r="32" spans="1:46" customFormat="1" ht="16.2">
      <c r="A32" s="19" t="s">
        <v>56</v>
      </c>
      <c r="B32" s="20">
        <v>269.39424599117768</v>
      </c>
      <c r="C32" s="20">
        <v>274.64934667884177</v>
      </c>
      <c r="D32" s="20">
        <v>279.68150636572437</v>
      </c>
      <c r="E32" s="20">
        <v>284.49895621202597</v>
      </c>
      <c r="F32" s="20">
        <v>289.10722890914803</v>
      </c>
      <c r="G32" s="20">
        <v>293.51555904591828</v>
      </c>
      <c r="H32" s="20">
        <v>297.73044272751144</v>
      </c>
      <c r="I32" s="20">
        <v>301.51168018228663</v>
      </c>
      <c r="J32" s="20">
        <v>305.10772786572824</v>
      </c>
      <c r="K32" s="20">
        <v>308.52690275434264</v>
      </c>
      <c r="L32" s="20">
        <v>311.77453313380869</v>
      </c>
      <c r="M32" s="20">
        <v>314.85977367189633</v>
      </c>
      <c r="N32" s="20">
        <v>317.78756912532106</v>
      </c>
      <c r="O32" s="20">
        <v>320.56554912150921</v>
      </c>
      <c r="P32" s="20">
        <v>323.20056143603671</v>
      </c>
      <c r="Q32" s="20">
        <v>325.69862265825873</v>
      </c>
      <c r="R32" s="20">
        <v>327.83456988355863</v>
      </c>
      <c r="S32" s="20">
        <v>329.84115384691398</v>
      </c>
      <c r="T32" s="20">
        <v>331.72437623114797</v>
      </c>
      <c r="U32" s="20">
        <v>333.49053927092052</v>
      </c>
      <c r="V32" s="20">
        <v>335.14244604331577</v>
      </c>
      <c r="W32" s="20">
        <v>336.68435299660484</v>
      </c>
      <c r="X32" s="20">
        <v>338.12203504225442</v>
      </c>
      <c r="Y32" s="20">
        <v>339.4589361611155</v>
      </c>
      <c r="Z32" s="20">
        <v>340.48717856443358</v>
      </c>
      <c r="AA32" s="20">
        <v>341.4194298004997</v>
      </c>
      <c r="AB32" s="20">
        <v>342.25582113983484</v>
      </c>
      <c r="AC32" s="20">
        <v>342.99788630039598</v>
      </c>
      <c r="AD32" s="20">
        <v>343.64589441164992</v>
      </c>
      <c r="AE32" s="20">
        <v>344.2015445820324</v>
      </c>
      <c r="AF32" s="20">
        <v>344.66386332247481</v>
      </c>
      <c r="AG32" s="20">
        <v>345.03188566054024</v>
      </c>
      <c r="AH32" s="20">
        <v>345.11873301077912</v>
      </c>
      <c r="AI32" s="20">
        <v>345.10642039045985</v>
      </c>
      <c r="AJ32" s="20">
        <v>344.99266036557748</v>
      </c>
      <c r="AK32" s="20">
        <v>344.77223399032198</v>
      </c>
      <c r="AL32" s="20">
        <v>344.43978943224846</v>
      </c>
      <c r="AM32" s="20">
        <v>343.99131114499153</v>
      </c>
      <c r="AN32" s="20">
        <v>343.41972676850679</v>
      </c>
      <c r="AO32" s="20">
        <v>342.71777488378291</v>
      </c>
      <c r="AP32" s="20">
        <v>341.87498427182317</v>
      </c>
      <c r="AQ32" s="20">
        <v>340.72240167985206</v>
      </c>
      <c r="AR32" s="9"/>
      <c r="AS32" s="9"/>
      <c r="AT32" s="9"/>
    </row>
    <row r="33" spans="1:46" customFormat="1" ht="16.2">
      <c r="A33" s="22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9"/>
      <c r="AS33" s="9"/>
      <c r="AT33" s="9"/>
    </row>
    <row r="34" spans="1:46" customFormat="1" ht="16.2">
      <c r="A34" s="2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9"/>
      <c r="AS34" s="9"/>
      <c r="AT34" s="9"/>
    </row>
    <row r="35" spans="1:46" customFormat="1" ht="16.2">
      <c r="A35" s="22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9"/>
      <c r="AS35" s="9"/>
      <c r="AT35" s="9"/>
    </row>
    <row r="36" spans="1:46" customFormat="1" ht="16.2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9"/>
      <c r="AS36" s="9"/>
      <c r="AT36" s="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00E-D4D3-4777-832B-4AF023FBF737}">
  <sheetPr>
    <tabColor theme="8" tint="-0.249977111117893"/>
  </sheetPr>
  <dimension ref="A1:AP2"/>
  <sheetViews>
    <sheetView topLeftCell="N1" workbookViewId="0">
      <selection activeCell="X34" sqref="X34"/>
    </sheetView>
  </sheetViews>
  <sheetFormatPr defaultRowHeight="13.8"/>
  <cols>
    <col min="1" max="1" width="51.109375" customWidth="1"/>
  </cols>
  <sheetData>
    <row r="1" spans="1:42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14</v>
      </c>
      <c r="B2" s="21">
        <f>'Industrial Economy'!C16</f>
        <v>-3.5973600686947327E-2</v>
      </c>
      <c r="C2" s="21">
        <f>'Industrial Economy'!D16</f>
        <v>2.7866883003077547E-2</v>
      </c>
      <c r="D2" s="21">
        <f>'Industrial Economy'!E16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</sheetData>
  <phoneticPr fontId="6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BF19-5F77-48B9-A755-C990DA6AE4FD}">
  <sheetPr>
    <tabColor theme="8" tint="-0.249977111117893"/>
  </sheetPr>
  <dimension ref="A1:B2"/>
  <sheetViews>
    <sheetView workbookViewId="0">
      <selection activeCell="C6" sqref="C6"/>
    </sheetView>
  </sheetViews>
  <sheetFormatPr defaultRowHeight="13.8"/>
  <cols>
    <col min="1" max="1" width="43.109375" customWidth="1"/>
    <col min="2" max="2" width="10.109375" customWidth="1"/>
  </cols>
  <sheetData>
    <row r="1" spans="1:2">
      <c r="A1" s="5" t="s">
        <v>31</v>
      </c>
      <c r="B1" s="7" t="s">
        <v>30</v>
      </c>
    </row>
    <row r="2" spans="1:2">
      <c r="A2" t="s">
        <v>32</v>
      </c>
      <c r="B2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Industrial Economy</vt:lpstr>
      <vt:lpstr>EGGRA-gdp-adjustment</vt:lpstr>
      <vt:lpstr>EGGRA-use-adjustment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2019-05-23T18:52:04Z</dcterms:created>
  <dcterms:modified xsi:type="dcterms:W3CDTF">2024-03-29T06:11:01Z</dcterms:modified>
</cp:coreProperties>
</file>